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laragon\www\simap\storage\import\DPRD KAB\"/>
    </mc:Choice>
  </mc:AlternateContent>
  <xr:revisionPtr revIDLastSave="0" documentId="13_ncr:1_{92EE0D4A-4E03-4475-9A20-D64E01308C8D}" xr6:coauthVersionLast="47" xr6:coauthVersionMax="47" xr10:uidLastSave="{00000000-0000-0000-0000-000000000000}"/>
  <bookViews>
    <workbookView xWindow="10718" yWindow="0" windowWidth="10965" windowHeight="12863" firstSheet="3" activeTab="3" xr2:uid="{00000000-000D-0000-FFFF-FFFF00000000}"/>
  </bookViews>
  <sheets>
    <sheet name="DPRD KABUPATEN" sheetId="1" r:id="rId1"/>
    <sheet name="KAMPUNGMANDAR" sheetId="2" r:id="rId2"/>
    <sheet name="KAMPUNGMELAYU" sheetId="3" r:id="rId3"/>
    <sheet name="KARANGREJO" sheetId="4" r:id="rId4"/>
    <sheet name="KEBALENAN" sheetId="5" r:id="rId5"/>
    <sheet name="KEPATIHAN" sheetId="6" r:id="rId6"/>
    <sheet name="KERTOSARI" sheetId="7" r:id="rId7"/>
    <sheet name="LATENG" sheetId="8" r:id="rId8"/>
    <sheet name="PAKIS" sheetId="9" r:id="rId9"/>
    <sheet name="PANDEREJO" sheetId="10" r:id="rId10"/>
    <sheet name="PENGANTIGAN" sheetId="11" r:id="rId11"/>
    <sheet name="PENGANJURAN" sheetId="12" r:id="rId12"/>
    <sheet name="SINGONEGARAN" sheetId="13" r:id="rId13"/>
    <sheet name="SINGOTRUNAN" sheetId="14" r:id="rId14"/>
    <sheet name="SOBO" sheetId="15" r:id="rId15"/>
    <sheet name="SUMBERREJO" sheetId="16" r:id="rId16"/>
    <sheet name="TAMANBARU" sheetId="17" r:id="rId17"/>
    <sheet name="TEMENGGUNGAN" sheetId="18" r:id="rId18"/>
    <sheet name="TUKANGKAYU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3" roundtripDataChecksum="//qgDgLhQOLuBdLcxOrdkGEHw2SJczbOy3f5krkjQPs="/>
    </ext>
  </extLst>
</workbook>
</file>

<file path=xl/calcChain.xml><?xml version="1.0" encoding="utf-8"?>
<calcChain xmlns="http://schemas.openxmlformats.org/spreadsheetml/2006/main">
  <c r="AD263" i="19" l="1"/>
  <c r="AC259" i="19"/>
  <c r="AB259" i="19"/>
  <c r="AA259" i="19"/>
  <c r="Z259" i="19"/>
  <c r="Y259" i="19"/>
  <c r="X259" i="19"/>
  <c r="W259" i="19"/>
  <c r="V259" i="19"/>
  <c r="U259" i="19"/>
  <c r="T259" i="19"/>
  <c r="S259" i="19"/>
  <c r="R259" i="19"/>
  <c r="Q259" i="19"/>
  <c r="P259" i="19"/>
  <c r="O259" i="19"/>
  <c r="N259" i="19"/>
  <c r="M259" i="19"/>
  <c r="L259" i="19"/>
  <c r="K259" i="19"/>
  <c r="J259" i="19"/>
  <c r="I259" i="19"/>
  <c r="H259" i="19"/>
  <c r="G259" i="19"/>
  <c r="F259" i="19"/>
  <c r="E259" i="19"/>
  <c r="AD258" i="19"/>
  <c r="AD257" i="19"/>
  <c r="AD256" i="19"/>
  <c r="AD255" i="19"/>
  <c r="AD254" i="19"/>
  <c r="AD253" i="19"/>
  <c r="AD252" i="19"/>
  <c r="AD251" i="19"/>
  <c r="AD250" i="19"/>
  <c r="AD249" i="19"/>
  <c r="AC247" i="19"/>
  <c r="AB247" i="19"/>
  <c r="AA247" i="19"/>
  <c r="Z247" i="19"/>
  <c r="Y247" i="19"/>
  <c r="X247" i="19"/>
  <c r="W247" i="19"/>
  <c r="V247" i="19"/>
  <c r="U247" i="19"/>
  <c r="T247" i="19"/>
  <c r="S247" i="19"/>
  <c r="R247" i="19"/>
  <c r="Q247" i="19"/>
  <c r="P247" i="19"/>
  <c r="O247" i="19"/>
  <c r="N247" i="19"/>
  <c r="M247" i="19"/>
  <c r="L247" i="19"/>
  <c r="K247" i="19"/>
  <c r="J247" i="19"/>
  <c r="I247" i="19"/>
  <c r="H247" i="19"/>
  <c r="G247" i="19"/>
  <c r="F247" i="19"/>
  <c r="E247" i="19"/>
  <c r="AD246" i="19"/>
  <c r="AD245" i="19"/>
  <c r="AD244" i="19"/>
  <c r="AD243" i="19"/>
  <c r="AD242" i="19"/>
  <c r="AD241" i="19"/>
  <c r="AD240" i="19"/>
  <c r="AD239" i="19"/>
  <c r="AD238" i="19"/>
  <c r="AD237" i="19"/>
  <c r="AD247" i="19" s="1"/>
  <c r="AC235" i="19"/>
  <c r="AB235" i="19"/>
  <c r="AA235" i="19"/>
  <c r="Z235" i="19"/>
  <c r="Y235" i="19"/>
  <c r="X235" i="19"/>
  <c r="W235" i="19"/>
  <c r="V235" i="19"/>
  <c r="U235" i="19"/>
  <c r="T235" i="19"/>
  <c r="S235" i="19"/>
  <c r="R235" i="19"/>
  <c r="Q235" i="19"/>
  <c r="P235" i="19"/>
  <c r="O235" i="19"/>
  <c r="N235" i="19"/>
  <c r="M235" i="19"/>
  <c r="L235" i="19"/>
  <c r="K235" i="19"/>
  <c r="J235" i="19"/>
  <c r="I235" i="19"/>
  <c r="H235" i="19"/>
  <c r="G235" i="19"/>
  <c r="F235" i="19"/>
  <c r="E235" i="19"/>
  <c r="AD234" i="19"/>
  <c r="AD233" i="19"/>
  <c r="AD232" i="19"/>
  <c r="AD231" i="19"/>
  <c r="AD230" i="19"/>
  <c r="AD229" i="19"/>
  <c r="AD228" i="19"/>
  <c r="AD227" i="19"/>
  <c r="AD226" i="19"/>
  <c r="AD225" i="19"/>
  <c r="AC223" i="19"/>
  <c r="AB223" i="19"/>
  <c r="AA223" i="19"/>
  <c r="Z223" i="19"/>
  <c r="Y223" i="19"/>
  <c r="X223" i="19"/>
  <c r="W223" i="19"/>
  <c r="V223" i="19"/>
  <c r="U223" i="19"/>
  <c r="T223" i="19"/>
  <c r="S223" i="19"/>
  <c r="R223" i="19"/>
  <c r="Q223" i="19"/>
  <c r="P223" i="19"/>
  <c r="O223" i="19"/>
  <c r="N223" i="19"/>
  <c r="M223" i="19"/>
  <c r="L223" i="19"/>
  <c r="K223" i="19"/>
  <c r="J223" i="19"/>
  <c r="I223" i="19"/>
  <c r="H223" i="19"/>
  <c r="G223" i="19"/>
  <c r="F223" i="19"/>
  <c r="E223" i="19"/>
  <c r="AD222" i="19"/>
  <c r="AD221" i="19"/>
  <c r="AD220" i="19"/>
  <c r="AD219" i="19"/>
  <c r="AD218" i="19"/>
  <c r="AD217" i="19"/>
  <c r="AD216" i="19"/>
  <c r="AD215" i="19"/>
  <c r="AD214" i="19"/>
  <c r="AD213" i="19"/>
  <c r="AC211" i="19"/>
  <c r="AB211" i="19"/>
  <c r="AA211" i="19"/>
  <c r="Z211" i="19"/>
  <c r="Y211" i="19"/>
  <c r="X211" i="19"/>
  <c r="W211" i="19"/>
  <c r="V211" i="19"/>
  <c r="U211" i="19"/>
  <c r="T211" i="19"/>
  <c r="S211" i="19"/>
  <c r="R211" i="19"/>
  <c r="Q211" i="19"/>
  <c r="P211" i="19"/>
  <c r="O211" i="19"/>
  <c r="N211" i="19"/>
  <c r="M211" i="19"/>
  <c r="L211" i="19"/>
  <c r="K211" i="19"/>
  <c r="J211" i="19"/>
  <c r="I211" i="19"/>
  <c r="H211" i="19"/>
  <c r="G211" i="19"/>
  <c r="F211" i="19"/>
  <c r="E211" i="19"/>
  <c r="AD210" i="19"/>
  <c r="AD209" i="19"/>
  <c r="AD208" i="19"/>
  <c r="AD207" i="19"/>
  <c r="AD206" i="19"/>
  <c r="AD205" i="19"/>
  <c r="AD204" i="19"/>
  <c r="AD203" i="19"/>
  <c r="AD202" i="19"/>
  <c r="AD211" i="19" s="1"/>
  <c r="AD201" i="19"/>
  <c r="AC199" i="19"/>
  <c r="AB199" i="19"/>
  <c r="AA199" i="19"/>
  <c r="Z199" i="19"/>
  <c r="Y199" i="19"/>
  <c r="X199" i="19"/>
  <c r="W199" i="19"/>
  <c r="V199" i="19"/>
  <c r="U199" i="19"/>
  <c r="T199" i="19"/>
  <c r="S199" i="19"/>
  <c r="R199" i="19"/>
  <c r="Q199" i="19"/>
  <c r="P199" i="19"/>
  <c r="O199" i="19"/>
  <c r="N199" i="19"/>
  <c r="M199" i="19"/>
  <c r="L199" i="19"/>
  <c r="K199" i="19"/>
  <c r="J199" i="19"/>
  <c r="I199" i="19"/>
  <c r="H199" i="19"/>
  <c r="G199" i="19"/>
  <c r="F199" i="19"/>
  <c r="E199" i="19"/>
  <c r="AD198" i="19"/>
  <c r="AD197" i="19"/>
  <c r="AD196" i="19"/>
  <c r="AD195" i="19"/>
  <c r="AD194" i="19"/>
  <c r="AD193" i="19"/>
  <c r="AD192" i="19"/>
  <c r="AD191" i="19"/>
  <c r="AD190" i="19"/>
  <c r="AD189" i="19"/>
  <c r="AC187" i="19"/>
  <c r="AB187" i="19"/>
  <c r="AA187" i="19"/>
  <c r="Z187" i="19"/>
  <c r="Y187" i="19"/>
  <c r="X187" i="19"/>
  <c r="W187" i="19"/>
  <c r="V187" i="19"/>
  <c r="U187" i="19"/>
  <c r="T187" i="19"/>
  <c r="S187" i="19"/>
  <c r="R187" i="19"/>
  <c r="Q187" i="19"/>
  <c r="P187" i="19"/>
  <c r="O187" i="19"/>
  <c r="N187" i="19"/>
  <c r="M187" i="19"/>
  <c r="L187" i="19"/>
  <c r="K187" i="19"/>
  <c r="J187" i="19"/>
  <c r="I187" i="19"/>
  <c r="H187" i="19"/>
  <c r="G187" i="19"/>
  <c r="F187" i="19"/>
  <c r="E187" i="19"/>
  <c r="AD186" i="19"/>
  <c r="AD185" i="19"/>
  <c r="AD184" i="19"/>
  <c r="AD183" i="19"/>
  <c r="AD182" i="19"/>
  <c r="AD181" i="19"/>
  <c r="AD180" i="19"/>
  <c r="AD179" i="19"/>
  <c r="AD178" i="19"/>
  <c r="AD177" i="19"/>
  <c r="AD187" i="19" s="1"/>
  <c r="AD175" i="19"/>
  <c r="AC175" i="19"/>
  <c r="AB175" i="19"/>
  <c r="AA175" i="19"/>
  <c r="Z175" i="19"/>
  <c r="Y175" i="19"/>
  <c r="X175" i="19"/>
  <c r="W175" i="19"/>
  <c r="V175" i="19"/>
  <c r="U175" i="19"/>
  <c r="T175" i="19"/>
  <c r="S175" i="19"/>
  <c r="R175" i="19"/>
  <c r="Q175" i="19"/>
  <c r="P175" i="19"/>
  <c r="O175" i="19"/>
  <c r="N175" i="19"/>
  <c r="M175" i="19"/>
  <c r="L175" i="19"/>
  <c r="K175" i="19"/>
  <c r="J175" i="19"/>
  <c r="I175" i="19"/>
  <c r="H175" i="19"/>
  <c r="G175" i="19"/>
  <c r="F175" i="19"/>
  <c r="E175" i="19"/>
  <c r="AD174" i="19"/>
  <c r="AD173" i="19"/>
  <c r="AD172" i="19"/>
  <c r="AD171" i="19"/>
  <c r="AD170" i="19"/>
  <c r="AD169" i="19"/>
  <c r="AD168" i="19"/>
  <c r="AD167" i="19"/>
  <c r="AD166" i="19"/>
  <c r="AD165" i="19"/>
  <c r="AC163" i="19"/>
  <c r="AB163" i="19"/>
  <c r="AA163" i="19"/>
  <c r="Z163" i="19"/>
  <c r="Y163" i="19"/>
  <c r="X163" i="19"/>
  <c r="W163" i="19"/>
  <c r="V163" i="19"/>
  <c r="U163" i="19"/>
  <c r="T163" i="19"/>
  <c r="S163" i="19"/>
  <c r="R163" i="19"/>
  <c r="Q163" i="19"/>
  <c r="P163" i="19"/>
  <c r="O163" i="19"/>
  <c r="N163" i="19"/>
  <c r="M163" i="19"/>
  <c r="L163" i="19"/>
  <c r="K163" i="19"/>
  <c r="J163" i="19"/>
  <c r="I163" i="19"/>
  <c r="H163" i="19"/>
  <c r="G163" i="19"/>
  <c r="F163" i="19"/>
  <c r="E163" i="19"/>
  <c r="AD162" i="19"/>
  <c r="AD161" i="19"/>
  <c r="AD160" i="19"/>
  <c r="AD159" i="19"/>
  <c r="AD158" i="19"/>
  <c r="AD157" i="19"/>
  <c r="AD156" i="19"/>
  <c r="AD163" i="19" s="1"/>
  <c r="AD155" i="19"/>
  <c r="AD154" i="19"/>
  <c r="AD153" i="19"/>
  <c r="AC151" i="19"/>
  <c r="AB151" i="19"/>
  <c r="AA151" i="19"/>
  <c r="Z151" i="19"/>
  <c r="Y151" i="19"/>
  <c r="X151" i="19"/>
  <c r="W151" i="19"/>
  <c r="V151" i="19"/>
  <c r="U151" i="19"/>
  <c r="T151" i="19"/>
  <c r="S151" i="19"/>
  <c r="R151" i="19"/>
  <c r="Q151" i="19"/>
  <c r="P151" i="19"/>
  <c r="O151" i="19"/>
  <c r="N151" i="19"/>
  <c r="M151" i="19"/>
  <c r="L151" i="19"/>
  <c r="K151" i="19"/>
  <c r="J151" i="19"/>
  <c r="I151" i="19"/>
  <c r="H151" i="19"/>
  <c r="G151" i="19"/>
  <c r="F151" i="19"/>
  <c r="E151" i="19"/>
  <c r="AD150" i="19"/>
  <c r="AD149" i="19"/>
  <c r="AD148" i="19"/>
  <c r="AD147" i="19"/>
  <c r="AD146" i="19"/>
  <c r="AD145" i="19"/>
  <c r="AD144" i="19"/>
  <c r="AD143" i="19"/>
  <c r="AD142" i="19"/>
  <c r="AD141" i="19"/>
  <c r="AD151" i="19" s="1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AD138" i="19"/>
  <c r="AD139" i="19" s="1"/>
  <c r="AD137" i="19"/>
  <c r="AD136" i="19"/>
  <c r="AD135" i="19"/>
  <c r="AD134" i="19"/>
  <c r="AD133" i="19"/>
  <c r="AD132" i="19"/>
  <c r="AD131" i="19"/>
  <c r="AD130" i="19"/>
  <c r="AD129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AD126" i="19"/>
  <c r="AD125" i="19"/>
  <c r="AD124" i="19"/>
  <c r="AD123" i="19"/>
  <c r="AD122" i="19"/>
  <c r="AD121" i="19"/>
  <c r="AD120" i="19"/>
  <c r="AD119" i="19"/>
  <c r="AD118" i="19"/>
  <c r="AD127" i="19" s="1"/>
  <c r="AD117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AD114" i="19"/>
  <c r="AD113" i="19"/>
  <c r="AD112" i="19"/>
  <c r="AD111" i="19"/>
  <c r="AD110" i="19"/>
  <c r="AD109" i="19"/>
  <c r="AD108" i="19"/>
  <c r="AD107" i="19"/>
  <c r="AD106" i="19"/>
  <c r="AD105" i="19"/>
  <c r="AD115" i="19" s="1"/>
  <c r="AC103" i="19"/>
  <c r="AB103" i="19"/>
  <c r="AA103" i="19"/>
  <c r="Z103" i="19"/>
  <c r="Y103" i="19"/>
  <c r="X103" i="19"/>
  <c r="W103" i="19"/>
  <c r="V103" i="19"/>
  <c r="U103" i="19"/>
  <c r="T103" i="19"/>
  <c r="S103" i="19"/>
  <c r="R103" i="19"/>
  <c r="Q103" i="19"/>
  <c r="P103" i="19"/>
  <c r="O103" i="19"/>
  <c r="N103" i="19"/>
  <c r="M103" i="19"/>
  <c r="L103" i="19"/>
  <c r="K103" i="19"/>
  <c r="J103" i="19"/>
  <c r="I103" i="19"/>
  <c r="H103" i="19"/>
  <c r="G103" i="19"/>
  <c r="F103" i="19"/>
  <c r="E103" i="19"/>
  <c r="AD102" i="19"/>
  <c r="AD101" i="19"/>
  <c r="AD100" i="19"/>
  <c r="AD103" i="19" s="1"/>
  <c r="AD99" i="19"/>
  <c r="AD98" i="19"/>
  <c r="AD97" i="19"/>
  <c r="AD96" i="19"/>
  <c r="AD95" i="19"/>
  <c r="AD94" i="19"/>
  <c r="AD93" i="19"/>
  <c r="AC91" i="19"/>
  <c r="AB91" i="19"/>
  <c r="AA91" i="19"/>
  <c r="Z91" i="19"/>
  <c r="Y91" i="19"/>
  <c r="X91" i="19"/>
  <c r="W91" i="19"/>
  <c r="V91" i="19"/>
  <c r="U91" i="19"/>
  <c r="T91" i="19"/>
  <c r="S91" i="19"/>
  <c r="R91" i="19"/>
  <c r="Q91" i="19"/>
  <c r="P91" i="19"/>
  <c r="O91" i="19"/>
  <c r="N91" i="19"/>
  <c r="M91" i="19"/>
  <c r="L91" i="19"/>
  <c r="K91" i="19"/>
  <c r="J91" i="19"/>
  <c r="I91" i="19"/>
  <c r="H91" i="19"/>
  <c r="G91" i="19"/>
  <c r="F91" i="19"/>
  <c r="E91" i="19"/>
  <c r="AD90" i="19"/>
  <c r="AD89" i="19"/>
  <c r="AD88" i="19"/>
  <c r="AD87" i="19"/>
  <c r="AD86" i="19"/>
  <c r="AD85" i="19"/>
  <c r="AD84" i="19"/>
  <c r="AD83" i="19"/>
  <c r="AD82" i="19"/>
  <c r="AD81" i="19"/>
  <c r="AD91" i="19" s="1"/>
  <c r="AD79" i="19"/>
  <c r="AC79" i="19"/>
  <c r="AB79" i="19"/>
  <c r="AA79" i="19"/>
  <c r="Z79" i="19"/>
  <c r="Y79" i="19"/>
  <c r="X79" i="19"/>
  <c r="W79" i="19"/>
  <c r="V79" i="19"/>
  <c r="U79" i="19"/>
  <c r="T79" i="19"/>
  <c r="S79" i="19"/>
  <c r="R79" i="19"/>
  <c r="Q79" i="19"/>
  <c r="P79" i="19"/>
  <c r="O79" i="19"/>
  <c r="N79" i="19"/>
  <c r="M79" i="19"/>
  <c r="L79" i="19"/>
  <c r="K79" i="19"/>
  <c r="J79" i="19"/>
  <c r="I79" i="19"/>
  <c r="H79" i="19"/>
  <c r="G79" i="19"/>
  <c r="F79" i="19"/>
  <c r="E79" i="19"/>
  <c r="AD78" i="19"/>
  <c r="AD77" i="19"/>
  <c r="AD76" i="19"/>
  <c r="AD75" i="19"/>
  <c r="AD74" i="19"/>
  <c r="AD73" i="19"/>
  <c r="AD72" i="19"/>
  <c r="AD71" i="19"/>
  <c r="AD70" i="19"/>
  <c r="AD69" i="19"/>
  <c r="AC67" i="19"/>
  <c r="AB67" i="19"/>
  <c r="AA67" i="19"/>
  <c r="Z67" i="19"/>
  <c r="Y67" i="19"/>
  <c r="X67" i="19"/>
  <c r="X262" i="19" s="1"/>
  <c r="X264" i="19" s="1"/>
  <c r="W67" i="19"/>
  <c r="V67" i="19"/>
  <c r="U67" i="19"/>
  <c r="T67" i="19"/>
  <c r="S67" i="19"/>
  <c r="R67" i="19"/>
  <c r="Q67" i="19"/>
  <c r="P67" i="19"/>
  <c r="O67" i="19"/>
  <c r="N67" i="19"/>
  <c r="M67" i="19"/>
  <c r="L67" i="19"/>
  <c r="K67" i="19"/>
  <c r="J67" i="19"/>
  <c r="I67" i="19"/>
  <c r="H67" i="19"/>
  <c r="G67" i="19"/>
  <c r="F67" i="19"/>
  <c r="E67" i="19"/>
  <c r="AD66" i="19"/>
  <c r="AD65" i="19"/>
  <c r="AD64" i="19"/>
  <c r="AD63" i="19"/>
  <c r="AD62" i="19"/>
  <c r="AD67" i="19" s="1"/>
  <c r="AD61" i="19"/>
  <c r="AD60" i="19"/>
  <c r="AD59" i="19"/>
  <c r="AD58" i="19"/>
  <c r="AD57" i="19"/>
  <c r="AC55" i="19"/>
  <c r="AC262" i="19" s="1"/>
  <c r="AC264" i="19" s="1"/>
  <c r="AB55" i="19"/>
  <c r="AA55" i="19"/>
  <c r="Z55" i="19"/>
  <c r="Y55" i="19"/>
  <c r="X55" i="19"/>
  <c r="W55" i="19"/>
  <c r="V55" i="19"/>
  <c r="U55" i="19"/>
  <c r="T55" i="19"/>
  <c r="S55" i="19"/>
  <c r="S262" i="19" s="1"/>
  <c r="S264" i="19" s="1"/>
  <c r="R55" i="19"/>
  <c r="R262" i="19" s="1"/>
  <c r="R264" i="19" s="1"/>
  <c r="Q55" i="19"/>
  <c r="Q262" i="19" s="1"/>
  <c r="Q264" i="19" s="1"/>
  <c r="P55" i="19"/>
  <c r="P262" i="19" s="1"/>
  <c r="P264" i="19" s="1"/>
  <c r="O55" i="19"/>
  <c r="N55" i="19"/>
  <c r="M55" i="19"/>
  <c r="L55" i="19"/>
  <c r="K55" i="19"/>
  <c r="J55" i="19"/>
  <c r="I55" i="19"/>
  <c r="H55" i="19"/>
  <c r="H262" i="19" s="1"/>
  <c r="H264" i="19" s="1"/>
  <c r="G55" i="19"/>
  <c r="G262" i="19" s="1"/>
  <c r="G264" i="19" s="1"/>
  <c r="F55" i="19"/>
  <c r="E55" i="19"/>
  <c r="AD54" i="19"/>
  <c r="AD53" i="19"/>
  <c r="AD52" i="19"/>
  <c r="AD51" i="19"/>
  <c r="AD50" i="19"/>
  <c r="AD49" i="19"/>
  <c r="AD48" i="19"/>
  <c r="AD47" i="19"/>
  <c r="AD46" i="19"/>
  <c r="AD45" i="19"/>
  <c r="AD55" i="19" s="1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AD41" i="19" s="1"/>
  <c r="E41" i="19"/>
  <c r="AD40" i="19"/>
  <c r="AD39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AD36" i="19" s="1"/>
  <c r="G36" i="19"/>
  <c r="F36" i="19"/>
  <c r="E36" i="19"/>
  <c r="AD35" i="19"/>
  <c r="AD34" i="19"/>
  <c r="AD33" i="19"/>
  <c r="T30" i="19"/>
  <c r="S30" i="19"/>
  <c r="G30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AD29" i="19" s="1"/>
  <c r="AC28" i="19"/>
  <c r="AC30" i="19" s="1"/>
  <c r="AB28" i="19"/>
  <c r="AA28" i="19"/>
  <c r="Z28" i="19"/>
  <c r="Z30" i="19" s="1"/>
  <c r="Y28" i="19"/>
  <c r="Y30" i="19" s="1"/>
  <c r="X28" i="19"/>
  <c r="X30" i="19" s="1"/>
  <c r="W28" i="19"/>
  <c r="W30" i="19" s="1"/>
  <c r="V28" i="19"/>
  <c r="V30" i="19" s="1"/>
  <c r="U28" i="19"/>
  <c r="U30" i="19" s="1"/>
  <c r="T28" i="19"/>
  <c r="S28" i="19"/>
  <c r="R28" i="19"/>
  <c r="R30" i="19" s="1"/>
  <c r="Q28" i="19"/>
  <c r="Q30" i="19" s="1"/>
  <c r="P28" i="19"/>
  <c r="P30" i="19" s="1"/>
  <c r="O28" i="19"/>
  <c r="O30" i="19" s="1"/>
  <c r="N28" i="19"/>
  <c r="N30" i="19" s="1"/>
  <c r="M28" i="19"/>
  <c r="M30" i="19" s="1"/>
  <c r="L28" i="19"/>
  <c r="L30" i="19" s="1"/>
  <c r="K28" i="19"/>
  <c r="K30" i="19" s="1"/>
  <c r="J28" i="19"/>
  <c r="J30" i="19" s="1"/>
  <c r="I28" i="19"/>
  <c r="I30" i="19" s="1"/>
  <c r="H28" i="19"/>
  <c r="H30" i="19" s="1"/>
  <c r="G28" i="19"/>
  <c r="F28" i="19"/>
  <c r="E28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AD27" i="19" s="1"/>
  <c r="AD26" i="19"/>
  <c r="AD25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E24" i="19"/>
  <c r="AD23" i="19"/>
  <c r="AD22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AD20" i="19"/>
  <c r="AD19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AD16" i="19" s="1"/>
  <c r="F16" i="19"/>
  <c r="E16" i="19"/>
  <c r="AD15" i="19"/>
  <c r="AD14" i="19"/>
  <c r="L263" i="18"/>
  <c r="K259" i="18"/>
  <c r="J259" i="18"/>
  <c r="I259" i="18"/>
  <c r="H259" i="18"/>
  <c r="G259" i="18"/>
  <c r="F259" i="18"/>
  <c r="E259" i="18"/>
  <c r="L258" i="18"/>
  <c r="L257" i="18"/>
  <c r="L256" i="18"/>
  <c r="L255" i="18"/>
  <c r="L254" i="18"/>
  <c r="L253" i="18"/>
  <c r="L252" i="18"/>
  <c r="L251" i="18"/>
  <c r="L250" i="18"/>
  <c r="L249" i="18"/>
  <c r="K247" i="18"/>
  <c r="J247" i="18"/>
  <c r="I247" i="18"/>
  <c r="H247" i="18"/>
  <c r="G247" i="18"/>
  <c r="F247" i="18"/>
  <c r="E247" i="18"/>
  <c r="L246" i="18"/>
  <c r="L245" i="18"/>
  <c r="L244" i="18"/>
  <c r="L243" i="18"/>
  <c r="L242" i="18"/>
  <c r="E242" i="1" s="1"/>
  <c r="L241" i="18"/>
  <c r="L240" i="18"/>
  <c r="L239" i="18"/>
  <c r="L238" i="18"/>
  <c r="L237" i="18"/>
  <c r="K235" i="18"/>
  <c r="J235" i="18"/>
  <c r="I235" i="18"/>
  <c r="H235" i="18"/>
  <c r="G235" i="18"/>
  <c r="F235" i="18"/>
  <c r="E235" i="18"/>
  <c r="L234" i="18"/>
  <c r="L233" i="18"/>
  <c r="L232" i="18"/>
  <c r="L231" i="18"/>
  <c r="L230" i="18"/>
  <c r="L229" i="18"/>
  <c r="L228" i="18"/>
  <c r="L227" i="18"/>
  <c r="L226" i="18"/>
  <c r="L235" i="18" s="1"/>
  <c r="L225" i="18"/>
  <c r="K223" i="18"/>
  <c r="J223" i="18"/>
  <c r="I223" i="18"/>
  <c r="H223" i="18"/>
  <c r="G223" i="18"/>
  <c r="F223" i="18"/>
  <c r="E223" i="18"/>
  <c r="L222" i="18"/>
  <c r="L221" i="18"/>
  <c r="L220" i="18"/>
  <c r="L219" i="18"/>
  <c r="L218" i="18"/>
  <c r="L217" i="18"/>
  <c r="L216" i="18"/>
  <c r="L215" i="18"/>
  <c r="E215" i="1" s="1"/>
  <c r="L214" i="18"/>
  <c r="E214" i="1" s="1"/>
  <c r="L213" i="18"/>
  <c r="L223" i="18" s="1"/>
  <c r="L211" i="18"/>
  <c r="K211" i="18"/>
  <c r="J211" i="18"/>
  <c r="I211" i="18"/>
  <c r="H211" i="18"/>
  <c r="G211" i="18"/>
  <c r="F211" i="18"/>
  <c r="E211" i="18"/>
  <c r="L210" i="18"/>
  <c r="L209" i="18"/>
  <c r="L208" i="18"/>
  <c r="L207" i="18"/>
  <c r="L206" i="18"/>
  <c r="L205" i="18"/>
  <c r="L204" i="18"/>
  <c r="L203" i="18"/>
  <c r="L202" i="18"/>
  <c r="L201" i="18"/>
  <c r="K199" i="18"/>
  <c r="J199" i="18"/>
  <c r="I199" i="18"/>
  <c r="H199" i="18"/>
  <c r="G199" i="18"/>
  <c r="F199" i="18"/>
  <c r="E199" i="18"/>
  <c r="L198" i="18"/>
  <c r="L197" i="18"/>
  <c r="L196" i="18"/>
  <c r="L195" i="18"/>
  <c r="L194" i="18"/>
  <c r="L193" i="18"/>
  <c r="L192" i="18"/>
  <c r="L191" i="18"/>
  <c r="L190" i="18"/>
  <c r="L189" i="18"/>
  <c r="K187" i="18"/>
  <c r="J187" i="18"/>
  <c r="I187" i="18"/>
  <c r="H187" i="18"/>
  <c r="G187" i="18"/>
  <c r="F187" i="18"/>
  <c r="E187" i="18"/>
  <c r="L186" i="18"/>
  <c r="L185" i="18"/>
  <c r="L184" i="18"/>
  <c r="L183" i="18"/>
  <c r="L182" i="18"/>
  <c r="L181" i="18"/>
  <c r="L180" i="18"/>
  <c r="L179" i="18"/>
  <c r="L178" i="18"/>
  <c r="L177" i="18"/>
  <c r="K175" i="18"/>
  <c r="J175" i="18"/>
  <c r="I175" i="18"/>
  <c r="H175" i="18"/>
  <c r="G175" i="18"/>
  <c r="F175" i="18"/>
  <c r="E175" i="18"/>
  <c r="L174" i="18"/>
  <c r="L173" i="18"/>
  <c r="L172" i="18"/>
  <c r="L171" i="18"/>
  <c r="L170" i="18"/>
  <c r="L169" i="18"/>
  <c r="L168" i="18"/>
  <c r="L167" i="18"/>
  <c r="L166" i="18"/>
  <c r="L165" i="18"/>
  <c r="L175" i="18" s="1"/>
  <c r="K163" i="18"/>
  <c r="J163" i="18"/>
  <c r="I163" i="18"/>
  <c r="H163" i="18"/>
  <c r="G163" i="18"/>
  <c r="F163" i="18"/>
  <c r="E163" i="18"/>
  <c r="L162" i="18"/>
  <c r="L161" i="18"/>
  <c r="L160" i="18"/>
  <c r="L159" i="18"/>
  <c r="L158" i="18"/>
  <c r="L157" i="18"/>
  <c r="L156" i="18"/>
  <c r="L155" i="18"/>
  <c r="L154" i="18"/>
  <c r="L153" i="18"/>
  <c r="L163" i="18" s="1"/>
  <c r="L151" i="18"/>
  <c r="K151" i="18"/>
  <c r="J151" i="18"/>
  <c r="I151" i="18"/>
  <c r="H151" i="18"/>
  <c r="G151" i="18"/>
  <c r="F151" i="18"/>
  <c r="E151" i="18"/>
  <c r="L150" i="18"/>
  <c r="L149" i="18"/>
  <c r="L148" i="18"/>
  <c r="L147" i="18"/>
  <c r="L146" i="18"/>
  <c r="L145" i="18"/>
  <c r="L144" i="18"/>
  <c r="L143" i="18"/>
  <c r="L142" i="18"/>
  <c r="L141" i="18"/>
  <c r="K139" i="18"/>
  <c r="J139" i="18"/>
  <c r="I139" i="18"/>
  <c r="H139" i="18"/>
  <c r="G139" i="18"/>
  <c r="F139" i="18"/>
  <c r="E139" i="18"/>
  <c r="L138" i="18"/>
  <c r="L137" i="18"/>
  <c r="L136" i="18"/>
  <c r="L135" i="18"/>
  <c r="L134" i="18"/>
  <c r="L133" i="18"/>
  <c r="L132" i="18"/>
  <c r="L131" i="18"/>
  <c r="L130" i="18"/>
  <c r="L129" i="18"/>
  <c r="K127" i="18"/>
  <c r="J127" i="18"/>
  <c r="I127" i="18"/>
  <c r="H127" i="18"/>
  <c r="G127" i="18"/>
  <c r="F127" i="18"/>
  <c r="E127" i="18"/>
  <c r="L126" i="18"/>
  <c r="L125" i="18"/>
  <c r="L124" i="18"/>
  <c r="L123" i="18"/>
  <c r="L122" i="18"/>
  <c r="L121" i="18"/>
  <c r="L120" i="18"/>
  <c r="L127" i="18" s="1"/>
  <c r="L119" i="18"/>
  <c r="L118" i="18"/>
  <c r="L117" i="18"/>
  <c r="K115" i="18"/>
  <c r="J115" i="18"/>
  <c r="I115" i="18"/>
  <c r="H115" i="18"/>
  <c r="G115" i="18"/>
  <c r="F115" i="18"/>
  <c r="E115" i="18"/>
  <c r="L114" i="18"/>
  <c r="L113" i="18"/>
  <c r="L112" i="18"/>
  <c r="L111" i="18"/>
  <c r="L110" i="18"/>
  <c r="L109" i="18"/>
  <c r="L108" i="18"/>
  <c r="L107" i="18"/>
  <c r="L115" i="18" s="1"/>
  <c r="L106" i="18"/>
  <c r="L105" i="18"/>
  <c r="L103" i="18"/>
  <c r="K103" i="18"/>
  <c r="J103" i="18"/>
  <c r="I103" i="18"/>
  <c r="H103" i="18"/>
  <c r="G103" i="18"/>
  <c r="F103" i="18"/>
  <c r="E103" i="18"/>
  <c r="L102" i="18"/>
  <c r="L101" i="18"/>
  <c r="L100" i="18"/>
  <c r="L99" i="18"/>
  <c r="L98" i="18"/>
  <c r="L97" i="18"/>
  <c r="L96" i="18"/>
  <c r="L95" i="18"/>
  <c r="L94" i="18"/>
  <c r="L93" i="18"/>
  <c r="L91" i="18"/>
  <c r="K91" i="18"/>
  <c r="J91" i="18"/>
  <c r="I91" i="18"/>
  <c r="H91" i="18"/>
  <c r="G91" i="18"/>
  <c r="F91" i="18"/>
  <c r="E91" i="18"/>
  <c r="L90" i="18"/>
  <c r="L89" i="18"/>
  <c r="L88" i="18"/>
  <c r="L87" i="18"/>
  <c r="L86" i="18"/>
  <c r="L85" i="18"/>
  <c r="L84" i="18"/>
  <c r="L83" i="18"/>
  <c r="L82" i="18"/>
  <c r="L81" i="18"/>
  <c r="K79" i="18"/>
  <c r="J79" i="18"/>
  <c r="I79" i="18"/>
  <c r="H79" i="18"/>
  <c r="G79" i="18"/>
  <c r="F79" i="18"/>
  <c r="E79" i="18"/>
  <c r="L78" i="18"/>
  <c r="L77" i="18"/>
  <c r="L76" i="18"/>
  <c r="L75" i="18"/>
  <c r="L74" i="18"/>
  <c r="L73" i="18"/>
  <c r="L72" i="18"/>
  <c r="L71" i="18"/>
  <c r="L70" i="18"/>
  <c r="L69" i="18"/>
  <c r="K67" i="18"/>
  <c r="J67" i="18"/>
  <c r="I67" i="18"/>
  <c r="H67" i="18"/>
  <c r="G67" i="18"/>
  <c r="F67" i="18"/>
  <c r="E67" i="18"/>
  <c r="L66" i="18"/>
  <c r="L65" i="18"/>
  <c r="L64" i="18"/>
  <c r="L63" i="18"/>
  <c r="L62" i="18"/>
  <c r="L61" i="18"/>
  <c r="L60" i="18"/>
  <c r="L59" i="18"/>
  <c r="L58" i="18"/>
  <c r="L57" i="18"/>
  <c r="K55" i="18"/>
  <c r="J55" i="18"/>
  <c r="I55" i="18"/>
  <c r="H55" i="18"/>
  <c r="G55" i="18"/>
  <c r="F55" i="18"/>
  <c r="E55" i="18"/>
  <c r="L54" i="18"/>
  <c r="L53" i="18"/>
  <c r="L52" i="18"/>
  <c r="L51" i="18"/>
  <c r="L50" i="18"/>
  <c r="L49" i="18"/>
  <c r="L48" i="18"/>
  <c r="L47" i="18"/>
  <c r="L46" i="18"/>
  <c r="L55" i="18" s="1"/>
  <c r="L45" i="18"/>
  <c r="K41" i="18"/>
  <c r="J41" i="18"/>
  <c r="I41" i="18"/>
  <c r="H41" i="18"/>
  <c r="G41" i="18"/>
  <c r="F41" i="18"/>
  <c r="E41" i="18"/>
  <c r="L40" i="18"/>
  <c r="L39" i="18"/>
  <c r="K36" i="18"/>
  <c r="J36" i="18"/>
  <c r="I36" i="18"/>
  <c r="H36" i="18"/>
  <c r="G36" i="18"/>
  <c r="F36" i="18"/>
  <c r="E36" i="18"/>
  <c r="L36" i="18" s="1"/>
  <c r="L35" i="18"/>
  <c r="L34" i="18"/>
  <c r="L33" i="18"/>
  <c r="H30" i="18"/>
  <c r="G30" i="18"/>
  <c r="F30" i="18"/>
  <c r="E30" i="18"/>
  <c r="K29" i="18"/>
  <c r="L29" i="18" s="1"/>
  <c r="J29" i="18"/>
  <c r="I29" i="18"/>
  <c r="I30" i="18" s="1"/>
  <c r="H29" i="18"/>
  <c r="G29" i="18"/>
  <c r="F29" i="18"/>
  <c r="E29" i="18"/>
  <c r="K28" i="18"/>
  <c r="J28" i="18"/>
  <c r="I28" i="18"/>
  <c r="H28" i="18"/>
  <c r="G28" i="18"/>
  <c r="F28" i="18"/>
  <c r="E28" i="18"/>
  <c r="L28" i="18" s="1"/>
  <c r="K27" i="18"/>
  <c r="J27" i="18"/>
  <c r="I27" i="18"/>
  <c r="H27" i="18"/>
  <c r="G27" i="18"/>
  <c r="F27" i="18"/>
  <c r="E27" i="18"/>
  <c r="L27" i="18" s="1"/>
  <c r="L26" i="18"/>
  <c r="L25" i="18"/>
  <c r="L24" i="18"/>
  <c r="K24" i="18"/>
  <c r="J24" i="18"/>
  <c r="I24" i="18"/>
  <c r="H24" i="18"/>
  <c r="G24" i="18"/>
  <c r="F24" i="18"/>
  <c r="E24" i="18"/>
  <c r="L23" i="18"/>
  <c r="L22" i="18"/>
  <c r="K21" i="18"/>
  <c r="J21" i="18"/>
  <c r="I21" i="18"/>
  <c r="H21" i="18"/>
  <c r="G21" i="18"/>
  <c r="F21" i="18"/>
  <c r="E21" i="18"/>
  <c r="L21" i="18" s="1"/>
  <c r="L20" i="18"/>
  <c r="L19" i="18"/>
  <c r="K16" i="18"/>
  <c r="J16" i="18"/>
  <c r="L16" i="18" s="1"/>
  <c r="I16" i="18"/>
  <c r="H16" i="18"/>
  <c r="G16" i="18"/>
  <c r="F16" i="18"/>
  <c r="E16" i="18"/>
  <c r="L15" i="18"/>
  <c r="L14" i="18"/>
  <c r="Z263" i="17"/>
  <c r="O262" i="17"/>
  <c r="O264" i="17" s="1"/>
  <c r="N262" i="17"/>
  <c r="N264" i="17" s="1"/>
  <c r="Y259" i="17"/>
  <c r="X259" i="17"/>
  <c r="W259" i="17"/>
  <c r="V259" i="17"/>
  <c r="U259" i="17"/>
  <c r="T259" i="17"/>
  <c r="S259" i="17"/>
  <c r="R259" i="17"/>
  <c r="Q259" i="17"/>
  <c r="P259" i="17"/>
  <c r="O259" i="17"/>
  <c r="N259" i="17"/>
  <c r="M259" i="17"/>
  <c r="L259" i="17"/>
  <c r="K259" i="17"/>
  <c r="J259" i="17"/>
  <c r="I259" i="17"/>
  <c r="H259" i="17"/>
  <c r="G259" i="17"/>
  <c r="F259" i="17"/>
  <c r="E259" i="17"/>
  <c r="Z258" i="17"/>
  <c r="Z257" i="17"/>
  <c r="Z256" i="17"/>
  <c r="Z255" i="17"/>
  <c r="Z254" i="17"/>
  <c r="Z253" i="17"/>
  <c r="Z252" i="17"/>
  <c r="Z259" i="17" s="1"/>
  <c r="Z251" i="17"/>
  <c r="Z250" i="17"/>
  <c r="Z249" i="17"/>
  <c r="Y247" i="17"/>
  <c r="X247" i="17"/>
  <c r="W247" i="17"/>
  <c r="V247" i="17"/>
  <c r="U247" i="17"/>
  <c r="T247" i="17"/>
  <c r="S247" i="17"/>
  <c r="R247" i="17"/>
  <c r="Q247" i="17"/>
  <c r="P247" i="17"/>
  <c r="O247" i="17"/>
  <c r="N247" i="17"/>
  <c r="M247" i="17"/>
  <c r="L247" i="17"/>
  <c r="K247" i="17"/>
  <c r="J247" i="17"/>
  <c r="I247" i="17"/>
  <c r="H247" i="17"/>
  <c r="G247" i="17"/>
  <c r="F247" i="17"/>
  <c r="E247" i="17"/>
  <c r="Z246" i="17"/>
  <c r="Z245" i="17"/>
  <c r="Z244" i="17"/>
  <c r="Z243" i="17"/>
  <c r="Z242" i="17"/>
  <c r="Z241" i="17"/>
  <c r="Z240" i="17"/>
  <c r="Z239" i="17"/>
  <c r="Z238" i="17"/>
  <c r="Z237" i="17"/>
  <c r="Y235" i="17"/>
  <c r="X235" i="17"/>
  <c r="W235" i="17"/>
  <c r="V235" i="17"/>
  <c r="U235" i="17"/>
  <c r="T235" i="17"/>
  <c r="S235" i="17"/>
  <c r="R235" i="17"/>
  <c r="Q235" i="17"/>
  <c r="P235" i="17"/>
  <c r="O235" i="17"/>
  <c r="N235" i="17"/>
  <c r="M235" i="17"/>
  <c r="L235" i="17"/>
  <c r="K235" i="17"/>
  <c r="J235" i="17"/>
  <c r="I235" i="17"/>
  <c r="H235" i="17"/>
  <c r="G235" i="17"/>
  <c r="F235" i="17"/>
  <c r="E235" i="17"/>
  <c r="Z234" i="17"/>
  <c r="Z233" i="17"/>
  <c r="Z232" i="17"/>
  <c r="Z231" i="17"/>
  <c r="Z230" i="17"/>
  <c r="Z229" i="17"/>
  <c r="Z228" i="17"/>
  <c r="Z227" i="17"/>
  <c r="Z226" i="17"/>
  <c r="Z225" i="17"/>
  <c r="Z235" i="17" s="1"/>
  <c r="Y223" i="17"/>
  <c r="X223" i="17"/>
  <c r="W223" i="17"/>
  <c r="V223" i="17"/>
  <c r="U223" i="17"/>
  <c r="T223" i="17"/>
  <c r="S223" i="17"/>
  <c r="R223" i="17"/>
  <c r="Q223" i="17"/>
  <c r="P223" i="17"/>
  <c r="O223" i="17"/>
  <c r="N223" i="17"/>
  <c r="M223" i="17"/>
  <c r="L223" i="17"/>
  <c r="K223" i="17"/>
  <c r="J223" i="17"/>
  <c r="I223" i="17"/>
  <c r="H223" i="17"/>
  <c r="G223" i="17"/>
  <c r="F223" i="17"/>
  <c r="E223" i="17"/>
  <c r="Z222" i="17"/>
  <c r="Z221" i="17"/>
  <c r="Z220" i="17"/>
  <c r="Z219" i="17"/>
  <c r="Z218" i="17"/>
  <c r="Z217" i="17"/>
  <c r="Z216" i="17"/>
  <c r="Z215" i="17"/>
  <c r="Z214" i="17"/>
  <c r="Z213" i="17"/>
  <c r="Z211" i="17"/>
  <c r="Y211" i="17"/>
  <c r="X211" i="17"/>
  <c r="W211" i="17"/>
  <c r="V211" i="17"/>
  <c r="U211" i="17"/>
  <c r="T211" i="17"/>
  <c r="S211" i="17"/>
  <c r="R211" i="17"/>
  <c r="Q211" i="17"/>
  <c r="P211" i="17"/>
  <c r="O211" i="17"/>
  <c r="N211" i="17"/>
  <c r="M211" i="17"/>
  <c r="L211" i="17"/>
  <c r="K211" i="17"/>
  <c r="J211" i="17"/>
  <c r="I211" i="17"/>
  <c r="H211" i="17"/>
  <c r="G211" i="17"/>
  <c r="F211" i="17"/>
  <c r="E211" i="17"/>
  <c r="Z210" i="17"/>
  <c r="Z209" i="17"/>
  <c r="Z208" i="17"/>
  <c r="Z207" i="17"/>
  <c r="Z206" i="17"/>
  <c r="Z205" i="17"/>
  <c r="Z204" i="17"/>
  <c r="Z203" i="17"/>
  <c r="Z202" i="17"/>
  <c r="Z201" i="17"/>
  <c r="Y199" i="17"/>
  <c r="X199" i="17"/>
  <c r="W199" i="17"/>
  <c r="V199" i="17"/>
  <c r="U199" i="17"/>
  <c r="T199" i="17"/>
  <c r="S199" i="17"/>
  <c r="R199" i="17"/>
  <c r="Q199" i="17"/>
  <c r="P199" i="17"/>
  <c r="O199" i="17"/>
  <c r="N199" i="17"/>
  <c r="M199" i="17"/>
  <c r="L199" i="17"/>
  <c r="K199" i="17"/>
  <c r="J199" i="17"/>
  <c r="I199" i="17"/>
  <c r="H199" i="17"/>
  <c r="G199" i="17"/>
  <c r="F199" i="17"/>
  <c r="E199" i="17"/>
  <c r="Z198" i="17"/>
  <c r="Z197" i="17"/>
  <c r="Z196" i="17"/>
  <c r="Z195" i="17"/>
  <c r="Z194" i="17"/>
  <c r="Z193" i="17"/>
  <c r="Z192" i="17"/>
  <c r="Z191" i="17"/>
  <c r="Z190" i="17"/>
  <c r="Z189" i="17"/>
  <c r="Z199" i="17" s="1"/>
  <c r="Y187" i="17"/>
  <c r="X187" i="17"/>
  <c r="W187" i="17"/>
  <c r="V187" i="17"/>
  <c r="U187" i="17"/>
  <c r="T187" i="17"/>
  <c r="S187" i="17"/>
  <c r="R187" i="17"/>
  <c r="Q187" i="17"/>
  <c r="P187" i="17"/>
  <c r="O187" i="17"/>
  <c r="N187" i="17"/>
  <c r="M187" i="17"/>
  <c r="L187" i="17"/>
  <c r="K187" i="17"/>
  <c r="J187" i="17"/>
  <c r="I187" i="17"/>
  <c r="H187" i="17"/>
  <c r="G187" i="17"/>
  <c r="F187" i="17"/>
  <c r="E187" i="17"/>
  <c r="Z186" i="17"/>
  <c r="Z187" i="17" s="1"/>
  <c r="Z185" i="17"/>
  <c r="Z184" i="17"/>
  <c r="Z183" i="17"/>
  <c r="Z182" i="17"/>
  <c r="Z181" i="17"/>
  <c r="Z180" i="17"/>
  <c r="Z179" i="17"/>
  <c r="Z178" i="17"/>
  <c r="Z177" i="17"/>
  <c r="Y175" i="17"/>
  <c r="X175" i="17"/>
  <c r="W175" i="17"/>
  <c r="V175" i="17"/>
  <c r="U175" i="17"/>
  <c r="T175" i="17"/>
  <c r="S175" i="17"/>
  <c r="R175" i="17"/>
  <c r="Q175" i="17"/>
  <c r="P175" i="17"/>
  <c r="O175" i="17"/>
  <c r="N175" i="17"/>
  <c r="M175" i="17"/>
  <c r="L175" i="17"/>
  <c r="K175" i="17"/>
  <c r="J175" i="17"/>
  <c r="I175" i="17"/>
  <c r="H175" i="17"/>
  <c r="G175" i="17"/>
  <c r="F175" i="17"/>
  <c r="E175" i="17"/>
  <c r="Z174" i="17"/>
  <c r="Z173" i="17"/>
  <c r="Z172" i="17"/>
  <c r="Z171" i="17"/>
  <c r="Z170" i="17"/>
  <c r="Z169" i="17"/>
  <c r="Z168" i="17"/>
  <c r="Z167" i="17"/>
  <c r="Z166" i="17"/>
  <c r="Z165" i="17"/>
  <c r="Y163" i="17"/>
  <c r="X163" i="17"/>
  <c r="W163" i="17"/>
  <c r="V163" i="17"/>
  <c r="U163" i="17"/>
  <c r="T163" i="17"/>
  <c r="S163" i="17"/>
  <c r="R163" i="17"/>
  <c r="Q163" i="17"/>
  <c r="P163" i="17"/>
  <c r="O163" i="17"/>
  <c r="N163" i="17"/>
  <c r="M163" i="17"/>
  <c r="L163" i="17"/>
  <c r="K163" i="17"/>
  <c r="J163" i="17"/>
  <c r="I163" i="17"/>
  <c r="H163" i="17"/>
  <c r="G163" i="17"/>
  <c r="F163" i="17"/>
  <c r="E163" i="17"/>
  <c r="Z162" i="17"/>
  <c r="Z161" i="17"/>
  <c r="Z160" i="17"/>
  <c r="Z159" i="17"/>
  <c r="Z158" i="17"/>
  <c r="Z157" i="17"/>
  <c r="Z156" i="17"/>
  <c r="Z155" i="17"/>
  <c r="Z154" i="17"/>
  <c r="Z153" i="17"/>
  <c r="Y151" i="17"/>
  <c r="X151" i="17"/>
  <c r="W151" i="17"/>
  <c r="V151" i="17"/>
  <c r="U151" i="17"/>
  <c r="T151" i="17"/>
  <c r="S151" i="17"/>
  <c r="R151" i="17"/>
  <c r="Q151" i="17"/>
  <c r="P151" i="17"/>
  <c r="O151" i="17"/>
  <c r="N151" i="17"/>
  <c r="M151" i="17"/>
  <c r="L151" i="17"/>
  <c r="K151" i="17"/>
  <c r="J151" i="17"/>
  <c r="I151" i="17"/>
  <c r="H151" i="17"/>
  <c r="G151" i="17"/>
  <c r="F151" i="17"/>
  <c r="E151" i="17"/>
  <c r="Z150" i="17"/>
  <c r="Z149" i="17"/>
  <c r="Z148" i="17"/>
  <c r="Z147" i="17"/>
  <c r="Z146" i="17"/>
  <c r="Z145" i="17"/>
  <c r="Z144" i="17"/>
  <c r="Z143" i="17"/>
  <c r="Z142" i="17"/>
  <c r="Z141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Z138" i="17"/>
  <c r="Z137" i="17"/>
  <c r="Z136" i="17"/>
  <c r="Z135" i="17"/>
  <c r="Z134" i="17"/>
  <c r="Z133" i="17"/>
  <c r="Z132" i="17"/>
  <c r="Z131" i="17"/>
  <c r="Z130" i="17"/>
  <c r="Z129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Z126" i="17"/>
  <c r="Z127" i="17" s="1"/>
  <c r="Z125" i="17"/>
  <c r="Z124" i="17"/>
  <c r="Z123" i="17"/>
  <c r="Z122" i="17"/>
  <c r="Z121" i="17"/>
  <c r="Z120" i="17"/>
  <c r="Z119" i="17"/>
  <c r="Z118" i="17"/>
  <c r="Z117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H262" i="17" s="1"/>
  <c r="H264" i="17" s="1"/>
  <c r="G115" i="17"/>
  <c r="G262" i="17" s="1"/>
  <c r="G264" i="17" s="1"/>
  <c r="F115" i="17"/>
  <c r="E115" i="17"/>
  <c r="Z114" i="17"/>
  <c r="Z113" i="17"/>
  <c r="Z112" i="17"/>
  <c r="Z111" i="17"/>
  <c r="Z110" i="17"/>
  <c r="Z109" i="17"/>
  <c r="Z108" i="17"/>
  <c r="Z107" i="17"/>
  <c r="Z106" i="17"/>
  <c r="Z105" i="17"/>
  <c r="Z115" i="17" s="1"/>
  <c r="Y103" i="17"/>
  <c r="X103" i="17"/>
  <c r="W103" i="17"/>
  <c r="V103" i="17"/>
  <c r="U103" i="17"/>
  <c r="T103" i="17"/>
  <c r="S103" i="17"/>
  <c r="R103" i="17"/>
  <c r="Q103" i="17"/>
  <c r="P103" i="17"/>
  <c r="O103" i="17"/>
  <c r="N103" i="17"/>
  <c r="M103" i="17"/>
  <c r="L103" i="17"/>
  <c r="K103" i="17"/>
  <c r="J103" i="17"/>
  <c r="I103" i="17"/>
  <c r="H103" i="17"/>
  <c r="G103" i="17"/>
  <c r="F103" i="17"/>
  <c r="E103" i="17"/>
  <c r="Z102" i="17"/>
  <c r="Z101" i="17"/>
  <c r="Z100" i="17"/>
  <c r="Z99" i="17"/>
  <c r="Z98" i="17"/>
  <c r="Z97" i="17"/>
  <c r="Z96" i="17"/>
  <c r="Z95" i="17"/>
  <c r="Z94" i="17"/>
  <c r="Z93" i="17"/>
  <c r="Y91" i="17"/>
  <c r="X91" i="17"/>
  <c r="W91" i="17"/>
  <c r="V91" i="17"/>
  <c r="U91" i="17"/>
  <c r="T91" i="17"/>
  <c r="S91" i="17"/>
  <c r="R91" i="17"/>
  <c r="Q91" i="17"/>
  <c r="P91" i="17"/>
  <c r="O91" i="17"/>
  <c r="N91" i="17"/>
  <c r="M91" i="17"/>
  <c r="L91" i="17"/>
  <c r="K91" i="17"/>
  <c r="J91" i="17"/>
  <c r="I91" i="17"/>
  <c r="H91" i="17"/>
  <c r="G91" i="17"/>
  <c r="F91" i="17"/>
  <c r="E91" i="17"/>
  <c r="Z90" i="17"/>
  <c r="Z89" i="17"/>
  <c r="Z88" i="17"/>
  <c r="Z91" i="17" s="1"/>
  <c r="Z87" i="17"/>
  <c r="Z86" i="17"/>
  <c r="Z85" i="17"/>
  <c r="Z84" i="17"/>
  <c r="Z83" i="17"/>
  <c r="Z82" i="17"/>
  <c r="Z81" i="17"/>
  <c r="Y79" i="17"/>
  <c r="X79" i="17"/>
  <c r="W79" i="17"/>
  <c r="V79" i="17"/>
  <c r="U79" i="17"/>
  <c r="T79" i="17"/>
  <c r="S79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F79" i="17"/>
  <c r="E79" i="17"/>
  <c r="Z78" i="17"/>
  <c r="Z77" i="17"/>
  <c r="Z76" i="17"/>
  <c r="Z75" i="17"/>
  <c r="Z74" i="17"/>
  <c r="Z79" i="17" s="1"/>
  <c r="Z73" i="17"/>
  <c r="Z72" i="17"/>
  <c r="Z71" i="17"/>
  <c r="Z70" i="17"/>
  <c r="Z69" i="17"/>
  <c r="Y67" i="17"/>
  <c r="X67" i="17"/>
  <c r="W67" i="17"/>
  <c r="V67" i="17"/>
  <c r="U67" i="17"/>
  <c r="T67" i="17"/>
  <c r="S67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F67" i="17"/>
  <c r="E67" i="17"/>
  <c r="Z66" i="17"/>
  <c r="Z65" i="17"/>
  <c r="Z64" i="17"/>
  <c r="Z63" i="17"/>
  <c r="Z62" i="17"/>
  <c r="Z67" i="17" s="1"/>
  <c r="Z61" i="17"/>
  <c r="Z60" i="17"/>
  <c r="Z59" i="17"/>
  <c r="Z58" i="17"/>
  <c r="Z57" i="17"/>
  <c r="Y55" i="17"/>
  <c r="X55" i="17"/>
  <c r="X262" i="17" s="1"/>
  <c r="X264" i="17" s="1"/>
  <c r="W55" i="17"/>
  <c r="W262" i="17" s="1"/>
  <c r="W264" i="17" s="1"/>
  <c r="V55" i="17"/>
  <c r="U55" i="17"/>
  <c r="T55" i="17"/>
  <c r="S55" i="17"/>
  <c r="R55" i="17"/>
  <c r="Q55" i="17"/>
  <c r="P55" i="17"/>
  <c r="O55" i="17"/>
  <c r="N55" i="17"/>
  <c r="M55" i="17"/>
  <c r="M262" i="17" s="1"/>
  <c r="M264" i="17" s="1"/>
  <c r="L55" i="17"/>
  <c r="L262" i="17" s="1"/>
  <c r="L264" i="17" s="1"/>
  <c r="K55" i="17"/>
  <c r="K262" i="17" s="1"/>
  <c r="K264" i="17" s="1"/>
  <c r="J55" i="17"/>
  <c r="J262" i="17" s="1"/>
  <c r="J264" i="17" s="1"/>
  <c r="I55" i="17"/>
  <c r="H55" i="17"/>
  <c r="G55" i="17"/>
  <c r="F55" i="17"/>
  <c r="E55" i="17"/>
  <c r="Z54" i="17"/>
  <c r="Z53" i="17"/>
  <c r="Z52" i="17"/>
  <c r="Z51" i="17"/>
  <c r="Z50" i="17"/>
  <c r="Z49" i="17"/>
  <c r="Z48" i="17"/>
  <c r="Z47" i="17"/>
  <c r="Z46" i="17"/>
  <c r="Z45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Z40" i="17"/>
  <c r="Z39" i="17"/>
  <c r="Y36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G36" i="17"/>
  <c r="F36" i="17"/>
  <c r="E36" i="17"/>
  <c r="Z35" i="17"/>
  <c r="Z34" i="17"/>
  <c r="Z33" i="17"/>
  <c r="P30" i="17"/>
  <c r="M30" i="17"/>
  <c r="Y29" i="17"/>
  <c r="X29" i="17"/>
  <c r="W29" i="17"/>
  <c r="V29" i="17"/>
  <c r="U29" i="17"/>
  <c r="T29" i="17"/>
  <c r="S29" i="17"/>
  <c r="Z29" i="17" s="1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Y28" i="17"/>
  <c r="X28" i="17"/>
  <c r="X30" i="17" s="1"/>
  <c r="W28" i="17"/>
  <c r="W30" i="17" s="1"/>
  <c r="V28" i="17"/>
  <c r="U28" i="17"/>
  <c r="T28" i="17"/>
  <c r="T30" i="17" s="1"/>
  <c r="S28" i="17"/>
  <c r="Z28" i="17" s="1"/>
  <c r="R28" i="17"/>
  <c r="R30" i="17" s="1"/>
  <c r="Q28" i="17"/>
  <c r="Q30" i="17" s="1"/>
  <c r="P28" i="17"/>
  <c r="O28" i="17"/>
  <c r="O30" i="17" s="1"/>
  <c r="N28" i="17"/>
  <c r="N30" i="17" s="1"/>
  <c r="M28" i="17"/>
  <c r="L28" i="17"/>
  <c r="L30" i="17" s="1"/>
  <c r="K28" i="17"/>
  <c r="K30" i="17" s="1"/>
  <c r="J28" i="17"/>
  <c r="J30" i="17" s="1"/>
  <c r="I28" i="17"/>
  <c r="I30" i="17" s="1"/>
  <c r="H28" i="17"/>
  <c r="H30" i="17" s="1"/>
  <c r="G28" i="17"/>
  <c r="G30" i="17" s="1"/>
  <c r="F28" i="17"/>
  <c r="F30" i="17" s="1"/>
  <c r="E28" i="17"/>
  <c r="E30" i="17" s="1"/>
  <c r="Y27" i="17"/>
  <c r="X27" i="17"/>
  <c r="W27" i="17"/>
  <c r="V27" i="17"/>
  <c r="U27" i="17"/>
  <c r="T27" i="17"/>
  <c r="S27" i="17"/>
  <c r="Z27" i="17" s="1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Z26" i="17"/>
  <c r="Z25" i="17"/>
  <c r="Y24" i="17"/>
  <c r="X24" i="17"/>
  <c r="W24" i="17"/>
  <c r="V24" i="17"/>
  <c r="U24" i="17"/>
  <c r="Z24" i="17" s="1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Z23" i="17"/>
  <c r="Z22" i="17"/>
  <c r="Y21" i="17"/>
  <c r="X21" i="17"/>
  <c r="W21" i="17"/>
  <c r="Z21" i="17" s="1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Z20" i="17"/>
  <c r="Z19" i="17"/>
  <c r="Y16" i="17"/>
  <c r="Z16" i="17" s="1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Z15" i="17"/>
  <c r="Z14" i="17"/>
  <c r="T264" i="16"/>
  <c r="U263" i="16"/>
  <c r="T259" i="16"/>
  <c r="S259" i="16"/>
  <c r="R259" i="16"/>
  <c r="Q259" i="16"/>
  <c r="P259" i="16"/>
  <c r="O259" i="16"/>
  <c r="N259" i="16"/>
  <c r="M259" i="16"/>
  <c r="L259" i="16"/>
  <c r="K259" i="16"/>
  <c r="J259" i="16"/>
  <c r="I259" i="16"/>
  <c r="H259" i="16"/>
  <c r="G259" i="16"/>
  <c r="F259" i="16"/>
  <c r="E259" i="16"/>
  <c r="U258" i="16"/>
  <c r="U257" i="16"/>
  <c r="U256" i="16"/>
  <c r="U255" i="16"/>
  <c r="U254" i="16"/>
  <c r="U253" i="16"/>
  <c r="U252" i="16"/>
  <c r="U251" i="16"/>
  <c r="U259" i="16" s="1"/>
  <c r="U250" i="16"/>
  <c r="U249" i="16"/>
  <c r="T247" i="16"/>
  <c r="S247" i="16"/>
  <c r="R247" i="16"/>
  <c r="Q247" i="16"/>
  <c r="P247" i="16"/>
  <c r="O247" i="16"/>
  <c r="N247" i="16"/>
  <c r="M247" i="16"/>
  <c r="L247" i="16"/>
  <c r="K247" i="16"/>
  <c r="J247" i="16"/>
  <c r="I247" i="16"/>
  <c r="H247" i="16"/>
  <c r="G247" i="16"/>
  <c r="F247" i="16"/>
  <c r="E247" i="16"/>
  <c r="U246" i="16"/>
  <c r="U245" i="16"/>
  <c r="U244" i="16"/>
  <c r="U243" i="16"/>
  <c r="U242" i="16"/>
  <c r="U241" i="16"/>
  <c r="U240" i="16"/>
  <c r="U239" i="16"/>
  <c r="U238" i="16"/>
  <c r="U247" i="16" s="1"/>
  <c r="U237" i="16"/>
  <c r="T235" i="16"/>
  <c r="S235" i="16"/>
  <c r="R235" i="16"/>
  <c r="Q235" i="16"/>
  <c r="P235" i="16"/>
  <c r="O235" i="16"/>
  <c r="N235" i="16"/>
  <c r="M235" i="16"/>
  <c r="L235" i="16"/>
  <c r="K235" i="16"/>
  <c r="J235" i="16"/>
  <c r="I235" i="16"/>
  <c r="H235" i="16"/>
  <c r="G235" i="16"/>
  <c r="G262" i="16" s="1"/>
  <c r="G264" i="16" s="1"/>
  <c r="F235" i="16"/>
  <c r="E235" i="16"/>
  <c r="U234" i="16"/>
  <c r="U233" i="16"/>
  <c r="U232" i="16"/>
  <c r="U231" i="16"/>
  <c r="U230" i="16"/>
  <c r="U229" i="16"/>
  <c r="U228" i="16"/>
  <c r="U227" i="16"/>
  <c r="U226" i="16"/>
  <c r="U225" i="16"/>
  <c r="U235" i="16" s="1"/>
  <c r="T223" i="16"/>
  <c r="S223" i="16"/>
  <c r="R223" i="16"/>
  <c r="Q223" i="16"/>
  <c r="P223" i="16"/>
  <c r="O223" i="16"/>
  <c r="N223" i="16"/>
  <c r="M223" i="16"/>
  <c r="L223" i="16"/>
  <c r="K223" i="16"/>
  <c r="J223" i="16"/>
  <c r="I223" i="16"/>
  <c r="H223" i="16"/>
  <c r="G223" i="16"/>
  <c r="F223" i="16"/>
  <c r="E223" i="16"/>
  <c r="U222" i="16"/>
  <c r="U221" i="16"/>
  <c r="U220" i="16"/>
  <c r="U219" i="16"/>
  <c r="U218" i="16"/>
  <c r="U217" i="16"/>
  <c r="U216" i="16"/>
  <c r="U215" i="16"/>
  <c r="U214" i="16"/>
  <c r="U213" i="16"/>
  <c r="U223" i="16" s="1"/>
  <c r="T211" i="16"/>
  <c r="S211" i="16"/>
  <c r="R211" i="16"/>
  <c r="Q211" i="16"/>
  <c r="P211" i="16"/>
  <c r="O211" i="16"/>
  <c r="N211" i="16"/>
  <c r="M211" i="16"/>
  <c r="L211" i="16"/>
  <c r="K211" i="16"/>
  <c r="J211" i="16"/>
  <c r="I211" i="16"/>
  <c r="H211" i="16"/>
  <c r="G211" i="16"/>
  <c r="F211" i="16"/>
  <c r="E211" i="16"/>
  <c r="U210" i="16"/>
  <c r="U209" i="16"/>
  <c r="U208" i="16"/>
  <c r="U207" i="16"/>
  <c r="U206" i="16"/>
  <c r="U205" i="16"/>
  <c r="U204" i="16"/>
  <c r="U203" i="16"/>
  <c r="U202" i="16"/>
  <c r="U201" i="16"/>
  <c r="T199" i="16"/>
  <c r="S199" i="16"/>
  <c r="R199" i="16"/>
  <c r="Q199" i="16"/>
  <c r="P199" i="16"/>
  <c r="O199" i="16"/>
  <c r="N199" i="16"/>
  <c r="M199" i="16"/>
  <c r="L199" i="16"/>
  <c r="K199" i="16"/>
  <c r="J199" i="16"/>
  <c r="I199" i="16"/>
  <c r="H199" i="16"/>
  <c r="G199" i="16"/>
  <c r="F199" i="16"/>
  <c r="E199" i="16"/>
  <c r="U198" i="16"/>
  <c r="U197" i="16"/>
  <c r="U196" i="16"/>
  <c r="U195" i="16"/>
  <c r="U194" i="16"/>
  <c r="U193" i="16"/>
  <c r="U199" i="16" s="1"/>
  <c r="U192" i="16"/>
  <c r="U191" i="16"/>
  <c r="U190" i="16"/>
  <c r="U189" i="16"/>
  <c r="T187" i="16"/>
  <c r="S187" i="16"/>
  <c r="R187" i="16"/>
  <c r="Q187" i="16"/>
  <c r="P187" i="16"/>
  <c r="O187" i="16"/>
  <c r="N187" i="16"/>
  <c r="M187" i="16"/>
  <c r="L187" i="16"/>
  <c r="K187" i="16"/>
  <c r="J187" i="16"/>
  <c r="I187" i="16"/>
  <c r="H187" i="16"/>
  <c r="G187" i="16"/>
  <c r="F187" i="16"/>
  <c r="E187" i="16"/>
  <c r="E262" i="16" s="1"/>
  <c r="U186" i="16"/>
  <c r="U185" i="16"/>
  <c r="U184" i="16"/>
  <c r="U183" i="16"/>
  <c r="U182" i="16"/>
  <c r="U181" i="16"/>
  <c r="U180" i="16"/>
  <c r="U179" i="16"/>
  <c r="U178" i="16"/>
  <c r="U187" i="16" s="1"/>
  <c r="U177" i="16"/>
  <c r="T175" i="16"/>
  <c r="S175" i="16"/>
  <c r="R175" i="16"/>
  <c r="Q175" i="16"/>
  <c r="P175" i="16"/>
  <c r="O175" i="16"/>
  <c r="N175" i="16"/>
  <c r="M175" i="16"/>
  <c r="L175" i="16"/>
  <c r="K175" i="16"/>
  <c r="J175" i="16"/>
  <c r="I175" i="16"/>
  <c r="H175" i="16"/>
  <c r="G175" i="16"/>
  <c r="F175" i="16"/>
  <c r="E175" i="16"/>
  <c r="U174" i="16"/>
  <c r="U173" i="16"/>
  <c r="U172" i="16"/>
  <c r="U171" i="16"/>
  <c r="U170" i="16"/>
  <c r="U169" i="16"/>
  <c r="U168" i="16"/>
  <c r="U167" i="16"/>
  <c r="U175" i="16" s="1"/>
  <c r="U166" i="16"/>
  <c r="U165" i="16"/>
  <c r="T163" i="16"/>
  <c r="S163" i="16"/>
  <c r="R163" i="16"/>
  <c r="Q163" i="16"/>
  <c r="P163" i="16"/>
  <c r="O163" i="16"/>
  <c r="N163" i="16"/>
  <c r="M163" i="16"/>
  <c r="L163" i="16"/>
  <c r="K163" i="16"/>
  <c r="J163" i="16"/>
  <c r="I163" i="16"/>
  <c r="H163" i="16"/>
  <c r="G163" i="16"/>
  <c r="F163" i="16"/>
  <c r="E163" i="16"/>
  <c r="U162" i="16"/>
  <c r="U161" i="16"/>
  <c r="U160" i="16"/>
  <c r="U159" i="16"/>
  <c r="U158" i="16"/>
  <c r="U157" i="16"/>
  <c r="U156" i="16"/>
  <c r="U155" i="16"/>
  <c r="U154" i="16"/>
  <c r="U153" i="16"/>
  <c r="U163" i="16" s="1"/>
  <c r="T151" i="16"/>
  <c r="S151" i="16"/>
  <c r="R151" i="16"/>
  <c r="Q151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U150" i="16"/>
  <c r="U149" i="16"/>
  <c r="U148" i="16"/>
  <c r="U147" i="16"/>
  <c r="U146" i="16"/>
  <c r="U145" i="16"/>
  <c r="U144" i="16"/>
  <c r="U143" i="16"/>
  <c r="U142" i="16"/>
  <c r="U141" i="16"/>
  <c r="U151" i="16" s="1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U138" i="16"/>
  <c r="U137" i="16"/>
  <c r="U136" i="16"/>
  <c r="U135" i="16"/>
  <c r="U134" i="16"/>
  <c r="U133" i="16"/>
  <c r="U132" i="16"/>
  <c r="U131" i="16"/>
  <c r="U130" i="16"/>
  <c r="U129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U126" i="16"/>
  <c r="U125" i="16"/>
  <c r="U124" i="16"/>
  <c r="U123" i="16"/>
  <c r="U122" i="16"/>
  <c r="U121" i="16"/>
  <c r="U120" i="16"/>
  <c r="U119" i="16"/>
  <c r="U118" i="16"/>
  <c r="U127" i="16" s="1"/>
  <c r="U117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U114" i="16"/>
  <c r="U113" i="16"/>
  <c r="U112" i="16"/>
  <c r="U111" i="16"/>
  <c r="U110" i="16"/>
  <c r="U109" i="16"/>
  <c r="U108" i="16"/>
  <c r="U107" i="16"/>
  <c r="U106" i="16"/>
  <c r="U105" i="16"/>
  <c r="T103" i="16"/>
  <c r="S103" i="16"/>
  <c r="R103" i="16"/>
  <c r="Q103" i="16"/>
  <c r="P103" i="16"/>
  <c r="P262" i="16" s="1"/>
  <c r="P264" i="16" s="1"/>
  <c r="O103" i="16"/>
  <c r="O262" i="16" s="1"/>
  <c r="O264" i="16" s="1"/>
  <c r="N103" i="16"/>
  <c r="M103" i="16"/>
  <c r="L103" i="16"/>
  <c r="K103" i="16"/>
  <c r="J103" i="16"/>
  <c r="I103" i="16"/>
  <c r="H103" i="16"/>
  <c r="G103" i="16"/>
  <c r="F103" i="16"/>
  <c r="F262" i="16" s="1"/>
  <c r="F264" i="16" s="1"/>
  <c r="E103" i="16"/>
  <c r="U102" i="16"/>
  <c r="U101" i="16"/>
  <c r="U100" i="16"/>
  <c r="U99" i="16"/>
  <c r="U98" i="16"/>
  <c r="U97" i="16"/>
  <c r="U96" i="16"/>
  <c r="U95" i="16"/>
  <c r="U94" i="16"/>
  <c r="U93" i="16"/>
  <c r="U103" i="16" s="1"/>
  <c r="T91" i="16"/>
  <c r="T262" i="16" s="1"/>
  <c r="S91" i="16"/>
  <c r="S262" i="16" s="1"/>
  <c r="S264" i="16" s="1"/>
  <c r="R91" i="16"/>
  <c r="Q91" i="16"/>
  <c r="P91" i="16"/>
  <c r="O91" i="16"/>
  <c r="N91" i="16"/>
  <c r="M91" i="16"/>
  <c r="L91" i="16"/>
  <c r="K91" i="16"/>
  <c r="J91" i="16"/>
  <c r="I91" i="16"/>
  <c r="H91" i="16"/>
  <c r="G91" i="16"/>
  <c r="F91" i="16"/>
  <c r="E91" i="16"/>
  <c r="U90" i="16"/>
  <c r="U89" i="16"/>
  <c r="U88" i="16"/>
  <c r="U87" i="16"/>
  <c r="U86" i="16"/>
  <c r="U85" i="16"/>
  <c r="U84" i="16"/>
  <c r="U83" i="16"/>
  <c r="U91" i="16" s="1"/>
  <c r="U82" i="16"/>
  <c r="U81" i="16"/>
  <c r="T79" i="16"/>
  <c r="S79" i="16"/>
  <c r="R79" i="16"/>
  <c r="Q79" i="16"/>
  <c r="P79" i="16"/>
  <c r="O79" i="16"/>
  <c r="N79" i="16"/>
  <c r="M79" i="16"/>
  <c r="L79" i="16"/>
  <c r="K79" i="16"/>
  <c r="J79" i="16"/>
  <c r="I79" i="16"/>
  <c r="H79" i="16"/>
  <c r="G79" i="16"/>
  <c r="F79" i="16"/>
  <c r="E79" i="16"/>
  <c r="U78" i="16"/>
  <c r="U77" i="16"/>
  <c r="U76" i="16"/>
  <c r="U75" i="16"/>
  <c r="U74" i="16"/>
  <c r="U73" i="16"/>
  <c r="U72" i="16"/>
  <c r="U71" i="16"/>
  <c r="U70" i="16"/>
  <c r="U69" i="16"/>
  <c r="T67" i="16"/>
  <c r="S67" i="16"/>
  <c r="R67" i="16"/>
  <c r="Q67" i="16"/>
  <c r="P67" i="16"/>
  <c r="O67" i="16"/>
  <c r="N67" i="16"/>
  <c r="M67" i="16"/>
  <c r="L67" i="16"/>
  <c r="K67" i="16"/>
  <c r="J67" i="16"/>
  <c r="I67" i="16"/>
  <c r="H67" i="16"/>
  <c r="G67" i="16"/>
  <c r="F67" i="16"/>
  <c r="E67" i="16"/>
  <c r="U66" i="16"/>
  <c r="U65" i="16"/>
  <c r="U64" i="16"/>
  <c r="U63" i="16"/>
  <c r="U62" i="16"/>
  <c r="U61" i="16"/>
  <c r="U67" i="16" s="1"/>
  <c r="U60" i="16"/>
  <c r="U59" i="16"/>
  <c r="U58" i="16"/>
  <c r="U57" i="16"/>
  <c r="T55" i="16"/>
  <c r="S55" i="16"/>
  <c r="R55" i="16"/>
  <c r="Q55" i="16"/>
  <c r="P55" i="16"/>
  <c r="O55" i="16"/>
  <c r="N55" i="16"/>
  <c r="M55" i="16"/>
  <c r="L55" i="16"/>
  <c r="L262" i="16" s="1"/>
  <c r="L264" i="16" s="1"/>
  <c r="K55" i="16"/>
  <c r="J55" i="16"/>
  <c r="I55" i="16"/>
  <c r="H55" i="16"/>
  <c r="G55" i="16"/>
  <c r="F55" i="16"/>
  <c r="E55" i="16"/>
  <c r="U54" i="16"/>
  <c r="U53" i="16"/>
  <c r="U52" i="16"/>
  <c r="U51" i="16"/>
  <c r="U50" i="16"/>
  <c r="U49" i="16"/>
  <c r="U48" i="16"/>
  <c r="U47" i="16"/>
  <c r="U46" i="16"/>
  <c r="U45" i="16"/>
  <c r="U55" i="16" s="1"/>
  <c r="T41" i="16"/>
  <c r="S41" i="16"/>
  <c r="R41" i="16"/>
  <c r="Q41" i="16"/>
  <c r="P41" i="16"/>
  <c r="U41" i="16" s="1"/>
  <c r="O41" i="16"/>
  <c r="N41" i="16"/>
  <c r="M41" i="16"/>
  <c r="L41" i="16"/>
  <c r="K41" i="16"/>
  <c r="J41" i="16"/>
  <c r="I41" i="16"/>
  <c r="H41" i="16"/>
  <c r="G41" i="16"/>
  <c r="F41" i="16"/>
  <c r="E41" i="16"/>
  <c r="U40" i="16"/>
  <c r="U39" i="16"/>
  <c r="T36" i="16"/>
  <c r="S36" i="16"/>
  <c r="R36" i="16"/>
  <c r="Q36" i="16"/>
  <c r="P36" i="16"/>
  <c r="O36" i="16"/>
  <c r="N36" i="16"/>
  <c r="M36" i="16"/>
  <c r="U36" i="16" s="1"/>
  <c r="L36" i="16"/>
  <c r="K36" i="16"/>
  <c r="J36" i="16"/>
  <c r="I36" i="16"/>
  <c r="H36" i="16"/>
  <c r="G36" i="16"/>
  <c r="F36" i="16"/>
  <c r="E36" i="16"/>
  <c r="U35" i="16"/>
  <c r="U34" i="16"/>
  <c r="U33" i="16"/>
  <c r="R30" i="16"/>
  <c r="Q30" i="16"/>
  <c r="T29" i="16"/>
  <c r="S29" i="16"/>
  <c r="R29" i="16"/>
  <c r="Q29" i="16"/>
  <c r="P29" i="16"/>
  <c r="P30" i="16" s="1"/>
  <c r="O29" i="16"/>
  <c r="O30" i="16" s="1"/>
  <c r="N29" i="16"/>
  <c r="N30" i="16" s="1"/>
  <c r="M29" i="16"/>
  <c r="M30" i="16" s="1"/>
  <c r="L29" i="16"/>
  <c r="L30" i="16" s="1"/>
  <c r="K29" i="16"/>
  <c r="J29" i="16"/>
  <c r="I29" i="16"/>
  <c r="H29" i="16"/>
  <c r="G29" i="16"/>
  <c r="F29" i="16"/>
  <c r="E29" i="16"/>
  <c r="T28" i="16"/>
  <c r="T30" i="16" s="1"/>
  <c r="S28" i="16"/>
  <c r="S30" i="16" s="1"/>
  <c r="R28" i="16"/>
  <c r="Q28" i="16"/>
  <c r="P28" i="16"/>
  <c r="O28" i="16"/>
  <c r="N28" i="16"/>
  <c r="M28" i="16"/>
  <c r="L28" i="16"/>
  <c r="K28" i="16"/>
  <c r="J28" i="16"/>
  <c r="I28" i="16"/>
  <c r="I30" i="16" s="1"/>
  <c r="H28" i="16"/>
  <c r="H30" i="16" s="1"/>
  <c r="G28" i="16"/>
  <c r="G30" i="16" s="1"/>
  <c r="F28" i="16"/>
  <c r="F30" i="16" s="1"/>
  <c r="E28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U26" i="16"/>
  <c r="U25" i="16"/>
  <c r="T24" i="16"/>
  <c r="S24" i="16"/>
  <c r="R24" i="16"/>
  <c r="U24" i="16" s="1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U23" i="16"/>
  <c r="U22" i="16"/>
  <c r="T21" i="16"/>
  <c r="S21" i="16"/>
  <c r="R21" i="16"/>
  <c r="Q21" i="16"/>
  <c r="P21" i="16"/>
  <c r="O21" i="16"/>
  <c r="U21" i="16" s="1"/>
  <c r="N21" i="16"/>
  <c r="M21" i="16"/>
  <c r="L21" i="16"/>
  <c r="K21" i="16"/>
  <c r="J21" i="16"/>
  <c r="I21" i="16"/>
  <c r="H21" i="16"/>
  <c r="G21" i="16"/>
  <c r="F21" i="16"/>
  <c r="E21" i="16"/>
  <c r="U20" i="16"/>
  <c r="U19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U15" i="16"/>
  <c r="U14" i="16"/>
  <c r="AB263" i="15"/>
  <c r="AA259" i="15"/>
  <c r="Z259" i="15"/>
  <c r="Y259" i="15"/>
  <c r="X259" i="15"/>
  <c r="W259" i="15"/>
  <c r="V259" i="15"/>
  <c r="U259" i="15"/>
  <c r="T259" i="15"/>
  <c r="S259" i="15"/>
  <c r="R259" i="15"/>
  <c r="Q259" i="15"/>
  <c r="P259" i="15"/>
  <c r="O259" i="15"/>
  <c r="N259" i="15"/>
  <c r="M259" i="15"/>
  <c r="L259" i="15"/>
  <c r="K259" i="15"/>
  <c r="J259" i="15"/>
  <c r="I259" i="15"/>
  <c r="H259" i="15"/>
  <c r="G259" i="15"/>
  <c r="F259" i="15"/>
  <c r="E259" i="15"/>
  <c r="AB258" i="15"/>
  <c r="AB257" i="15"/>
  <c r="AB256" i="15"/>
  <c r="AB255" i="15"/>
  <c r="AB254" i="15"/>
  <c r="AB253" i="15"/>
  <c r="AB252" i="15"/>
  <c r="AB251" i="15"/>
  <c r="AB250" i="15"/>
  <c r="AB259" i="15" s="1"/>
  <c r="AB249" i="15"/>
  <c r="AA247" i="15"/>
  <c r="Z247" i="15"/>
  <c r="Y247" i="15"/>
  <c r="X247" i="15"/>
  <c r="W247" i="15"/>
  <c r="V247" i="15"/>
  <c r="U247" i="15"/>
  <c r="T247" i="15"/>
  <c r="S247" i="15"/>
  <c r="R247" i="15"/>
  <c r="Q247" i="15"/>
  <c r="P247" i="15"/>
  <c r="O247" i="15"/>
  <c r="N247" i="15"/>
  <c r="M247" i="15"/>
  <c r="L247" i="15"/>
  <c r="K247" i="15"/>
  <c r="J247" i="15"/>
  <c r="I247" i="15"/>
  <c r="H247" i="15"/>
  <c r="G247" i="15"/>
  <c r="F247" i="15"/>
  <c r="E247" i="15"/>
  <c r="AB246" i="15"/>
  <c r="AB245" i="15"/>
  <c r="AB244" i="15"/>
  <c r="AB243" i="15"/>
  <c r="AB242" i="15"/>
  <c r="AB241" i="15"/>
  <c r="AB240" i="15"/>
  <c r="AB239" i="15"/>
  <c r="AB238" i="15"/>
  <c r="AB237" i="15"/>
  <c r="AA235" i="15"/>
  <c r="Z235" i="15"/>
  <c r="Y235" i="15"/>
  <c r="X235" i="15"/>
  <c r="W235" i="15"/>
  <c r="V235" i="15"/>
  <c r="U235" i="15"/>
  <c r="T235" i="15"/>
  <c r="S235" i="15"/>
  <c r="R235" i="15"/>
  <c r="Q235" i="15"/>
  <c r="P235" i="15"/>
  <c r="O235" i="15"/>
  <c r="N235" i="15"/>
  <c r="M235" i="15"/>
  <c r="L235" i="15"/>
  <c r="K235" i="15"/>
  <c r="J235" i="15"/>
  <c r="I235" i="15"/>
  <c r="H235" i="15"/>
  <c r="G235" i="15"/>
  <c r="F235" i="15"/>
  <c r="E235" i="15"/>
  <c r="AB234" i="15"/>
  <c r="AB233" i="15"/>
  <c r="AB232" i="15"/>
  <c r="AB231" i="15"/>
  <c r="AB230" i="15"/>
  <c r="AB229" i="15"/>
  <c r="AB228" i="15"/>
  <c r="AB227" i="15"/>
  <c r="AB235" i="15" s="1"/>
  <c r="AB226" i="15"/>
  <c r="AB225" i="15"/>
  <c r="AA223" i="15"/>
  <c r="Z223" i="15"/>
  <c r="Y223" i="15"/>
  <c r="X223" i="15"/>
  <c r="W223" i="15"/>
  <c r="V223" i="15"/>
  <c r="U223" i="15"/>
  <c r="T223" i="15"/>
  <c r="S223" i="15"/>
  <c r="R223" i="15"/>
  <c r="Q223" i="15"/>
  <c r="P223" i="15"/>
  <c r="O223" i="15"/>
  <c r="N223" i="15"/>
  <c r="M223" i="15"/>
  <c r="L223" i="15"/>
  <c r="K223" i="15"/>
  <c r="J223" i="15"/>
  <c r="I223" i="15"/>
  <c r="H223" i="15"/>
  <c r="G223" i="15"/>
  <c r="F223" i="15"/>
  <c r="E223" i="15"/>
  <c r="AB222" i="15"/>
  <c r="AB221" i="15"/>
  <c r="AB220" i="15"/>
  <c r="AB219" i="15"/>
  <c r="AB218" i="15"/>
  <c r="AB217" i="15"/>
  <c r="AB216" i="15"/>
  <c r="AB215" i="15"/>
  <c r="AB214" i="15"/>
  <c r="AB213" i="15"/>
  <c r="AB223" i="15" s="1"/>
  <c r="AA211" i="15"/>
  <c r="Z211" i="15"/>
  <c r="Y211" i="15"/>
  <c r="X211" i="15"/>
  <c r="W211" i="15"/>
  <c r="V211" i="15"/>
  <c r="U211" i="15"/>
  <c r="T211" i="15"/>
  <c r="S211" i="15"/>
  <c r="R211" i="15"/>
  <c r="Q211" i="15"/>
  <c r="P211" i="15"/>
  <c r="O211" i="15"/>
  <c r="N211" i="15"/>
  <c r="M211" i="15"/>
  <c r="L211" i="15"/>
  <c r="K211" i="15"/>
  <c r="J211" i="15"/>
  <c r="I211" i="15"/>
  <c r="H211" i="15"/>
  <c r="G211" i="15"/>
  <c r="F211" i="15"/>
  <c r="E211" i="15"/>
  <c r="AB210" i="15"/>
  <c r="AB209" i="15"/>
  <c r="AB208" i="15"/>
  <c r="AB207" i="15"/>
  <c r="AB206" i="15"/>
  <c r="AB205" i="15"/>
  <c r="AB211" i="15" s="1"/>
  <c r="AB204" i="15"/>
  <c r="AB203" i="15"/>
  <c r="AB202" i="15"/>
  <c r="AB201" i="15"/>
  <c r="AA199" i="15"/>
  <c r="Z199" i="15"/>
  <c r="Y199" i="15"/>
  <c r="X199" i="15"/>
  <c r="W199" i="15"/>
  <c r="V199" i="15"/>
  <c r="U199" i="15"/>
  <c r="T199" i="15"/>
  <c r="S199" i="15"/>
  <c r="R199" i="15"/>
  <c r="Q199" i="15"/>
  <c r="P199" i="15"/>
  <c r="O199" i="15"/>
  <c r="N199" i="15"/>
  <c r="M199" i="15"/>
  <c r="L199" i="15"/>
  <c r="K199" i="15"/>
  <c r="J199" i="15"/>
  <c r="I199" i="15"/>
  <c r="H199" i="15"/>
  <c r="G199" i="15"/>
  <c r="F199" i="15"/>
  <c r="E199" i="15"/>
  <c r="AB198" i="15"/>
  <c r="AB197" i="15"/>
  <c r="AB196" i="15"/>
  <c r="AB195" i="15"/>
  <c r="AB194" i="15"/>
  <c r="AB193" i="15"/>
  <c r="AB192" i="15"/>
  <c r="AB191" i="15"/>
  <c r="AB190" i="15"/>
  <c r="AB189" i="15"/>
  <c r="AB199" i="15" s="1"/>
  <c r="AA187" i="15"/>
  <c r="Z187" i="15"/>
  <c r="Y187" i="15"/>
  <c r="X187" i="15"/>
  <c r="W187" i="15"/>
  <c r="V187" i="15"/>
  <c r="U187" i="15"/>
  <c r="T187" i="15"/>
  <c r="S187" i="15"/>
  <c r="R187" i="15"/>
  <c r="Q187" i="15"/>
  <c r="P187" i="15"/>
  <c r="O187" i="15"/>
  <c r="N187" i="15"/>
  <c r="M187" i="15"/>
  <c r="L187" i="15"/>
  <c r="K187" i="15"/>
  <c r="J187" i="15"/>
  <c r="I187" i="15"/>
  <c r="H187" i="15"/>
  <c r="G187" i="15"/>
  <c r="F187" i="15"/>
  <c r="E187" i="15"/>
  <c r="AB186" i="15"/>
  <c r="AB185" i="15"/>
  <c r="AB184" i="15"/>
  <c r="AB183" i="15"/>
  <c r="AB187" i="15" s="1"/>
  <c r="AB182" i="15"/>
  <c r="AB181" i="15"/>
  <c r="AB180" i="15"/>
  <c r="AB179" i="15"/>
  <c r="AB178" i="15"/>
  <c r="AB177" i="15"/>
  <c r="AA175" i="15"/>
  <c r="Z175" i="15"/>
  <c r="Y175" i="15"/>
  <c r="X175" i="15"/>
  <c r="W175" i="15"/>
  <c r="V175" i="15"/>
  <c r="U175" i="15"/>
  <c r="T175" i="15"/>
  <c r="S175" i="15"/>
  <c r="R175" i="15"/>
  <c r="Q175" i="15"/>
  <c r="P175" i="15"/>
  <c r="O175" i="15"/>
  <c r="N175" i="15"/>
  <c r="M175" i="15"/>
  <c r="L175" i="15"/>
  <c r="K175" i="15"/>
  <c r="J175" i="15"/>
  <c r="I175" i="15"/>
  <c r="H175" i="15"/>
  <c r="G175" i="15"/>
  <c r="F175" i="15"/>
  <c r="E175" i="15"/>
  <c r="AB174" i="15"/>
  <c r="AB173" i="15"/>
  <c r="AB172" i="15"/>
  <c r="AB171" i="15"/>
  <c r="AB170" i="15"/>
  <c r="AB169" i="15"/>
  <c r="AB168" i="15"/>
  <c r="AB167" i="15"/>
  <c r="AB166" i="15"/>
  <c r="AB165" i="15"/>
  <c r="AB175" i="15" s="1"/>
  <c r="AA163" i="15"/>
  <c r="Z163" i="15"/>
  <c r="Y163" i="15"/>
  <c r="X163" i="15"/>
  <c r="W163" i="15"/>
  <c r="V163" i="15"/>
  <c r="U163" i="15"/>
  <c r="T163" i="15"/>
  <c r="S163" i="15"/>
  <c r="R163" i="15"/>
  <c r="Q163" i="15"/>
  <c r="P163" i="15"/>
  <c r="O163" i="15"/>
  <c r="N163" i="15"/>
  <c r="M163" i="15"/>
  <c r="L163" i="15"/>
  <c r="K163" i="15"/>
  <c r="J163" i="15"/>
  <c r="I163" i="15"/>
  <c r="H163" i="15"/>
  <c r="G163" i="15"/>
  <c r="F163" i="15"/>
  <c r="E163" i="15"/>
  <c r="AB162" i="15"/>
  <c r="AB161" i="15"/>
  <c r="AB160" i="15"/>
  <c r="AB159" i="15"/>
  <c r="AB163" i="15" s="1"/>
  <c r="AB158" i="15"/>
  <c r="AB157" i="15"/>
  <c r="AB156" i="15"/>
  <c r="AB155" i="15"/>
  <c r="AB154" i="15"/>
  <c r="AB153" i="15"/>
  <c r="AA151" i="15"/>
  <c r="Z151" i="15"/>
  <c r="Y151" i="15"/>
  <c r="X151" i="15"/>
  <c r="W151" i="15"/>
  <c r="V151" i="15"/>
  <c r="U151" i="15"/>
  <c r="T151" i="15"/>
  <c r="S151" i="15"/>
  <c r="R151" i="15"/>
  <c r="Q151" i="15"/>
  <c r="P151" i="15"/>
  <c r="O151" i="15"/>
  <c r="N151" i="15"/>
  <c r="M151" i="15"/>
  <c r="L151" i="15"/>
  <c r="K151" i="15"/>
  <c r="J151" i="15"/>
  <c r="I151" i="15"/>
  <c r="H151" i="15"/>
  <c r="G151" i="15"/>
  <c r="F151" i="15"/>
  <c r="E151" i="15"/>
  <c r="AB150" i="15"/>
  <c r="AB149" i="15"/>
  <c r="AB148" i="15"/>
  <c r="AB147" i="15"/>
  <c r="AB146" i="15"/>
  <c r="AB145" i="15"/>
  <c r="AB144" i="15"/>
  <c r="AB143" i="15"/>
  <c r="AB142" i="15"/>
  <c r="AB141" i="15"/>
  <c r="AB151" i="15" s="1"/>
  <c r="AA139" i="15"/>
  <c r="Z139" i="15"/>
  <c r="Y139" i="15"/>
  <c r="Y262" i="15" s="1"/>
  <c r="Y264" i="15" s="1"/>
  <c r="X139" i="15"/>
  <c r="X262" i="15" s="1"/>
  <c r="X264" i="15" s="1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AB138" i="15"/>
  <c r="AB137" i="15"/>
  <c r="AB136" i="15"/>
  <c r="AB139" i="15" s="1"/>
  <c r="AB135" i="15"/>
  <c r="AB134" i="15"/>
  <c r="AB133" i="15"/>
  <c r="AB132" i="15"/>
  <c r="AB131" i="15"/>
  <c r="AB130" i="15"/>
  <c r="AB129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AB126" i="15"/>
  <c r="AB125" i="15"/>
  <c r="AB124" i="15"/>
  <c r="AB123" i="15"/>
  <c r="AB122" i="15"/>
  <c r="AB121" i="15"/>
  <c r="AB120" i="15"/>
  <c r="AB119" i="15"/>
  <c r="AB118" i="15"/>
  <c r="AB117" i="15"/>
  <c r="AB127" i="15" s="1"/>
  <c r="AA115" i="15"/>
  <c r="Z115" i="15"/>
  <c r="Z262" i="15" s="1"/>
  <c r="Z264" i="15" s="1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AB114" i="15"/>
  <c r="AB113" i="15"/>
  <c r="AB112" i="15"/>
  <c r="AB111" i="15"/>
  <c r="AB110" i="15"/>
  <c r="AB109" i="15"/>
  <c r="AB108" i="15"/>
  <c r="AB107" i="15"/>
  <c r="AB106" i="15"/>
  <c r="AB105" i="15"/>
  <c r="AA103" i="15"/>
  <c r="Z103" i="15"/>
  <c r="Y103" i="15"/>
  <c r="X103" i="15"/>
  <c r="W103" i="15"/>
  <c r="V103" i="15"/>
  <c r="U103" i="15"/>
  <c r="T103" i="15"/>
  <c r="S103" i="15"/>
  <c r="R103" i="15"/>
  <c r="Q103" i="15"/>
  <c r="P103" i="15"/>
  <c r="O103" i="15"/>
  <c r="N103" i="15"/>
  <c r="M103" i="15"/>
  <c r="L103" i="15"/>
  <c r="K103" i="15"/>
  <c r="J103" i="15"/>
  <c r="I103" i="15"/>
  <c r="H103" i="15"/>
  <c r="G103" i="15"/>
  <c r="F103" i="15"/>
  <c r="E103" i="15"/>
  <c r="AB102" i="15"/>
  <c r="AB101" i="15"/>
  <c r="AB100" i="15"/>
  <c r="AB99" i="15"/>
  <c r="AB98" i="15"/>
  <c r="AB97" i="15"/>
  <c r="AB96" i="15"/>
  <c r="AB95" i="15"/>
  <c r="AB94" i="15"/>
  <c r="AB93" i="15"/>
  <c r="AB103" i="15" s="1"/>
  <c r="AB91" i="15"/>
  <c r="AA91" i="15"/>
  <c r="Z91" i="15"/>
  <c r="Y91" i="15"/>
  <c r="X91" i="15"/>
  <c r="W91" i="15"/>
  <c r="V91" i="15"/>
  <c r="U91" i="15"/>
  <c r="T91" i="15"/>
  <c r="S91" i="15"/>
  <c r="R91" i="15"/>
  <c r="Q91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AB90" i="15"/>
  <c r="AB89" i="15"/>
  <c r="AB88" i="15"/>
  <c r="AB87" i="15"/>
  <c r="AB86" i="15"/>
  <c r="AB85" i="15"/>
  <c r="AB84" i="15"/>
  <c r="AB83" i="15"/>
  <c r="AB82" i="15"/>
  <c r="AB81" i="15"/>
  <c r="AA79" i="15"/>
  <c r="Z79" i="15"/>
  <c r="Y79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AB78" i="15"/>
  <c r="AB77" i="15"/>
  <c r="AB76" i="15"/>
  <c r="AB75" i="15"/>
  <c r="AB74" i="15"/>
  <c r="AB73" i="15"/>
  <c r="AB72" i="15"/>
  <c r="AB71" i="15"/>
  <c r="AB70" i="15"/>
  <c r="AB79" i="15" s="1"/>
  <c r="AB69" i="15"/>
  <c r="AA67" i="15"/>
  <c r="Z67" i="15"/>
  <c r="Y67" i="15"/>
  <c r="X67" i="15"/>
  <c r="W67" i="15"/>
  <c r="V67" i="15"/>
  <c r="V262" i="15" s="1"/>
  <c r="V264" i="15" s="1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AB66" i="15"/>
  <c r="AB65" i="15"/>
  <c r="AB64" i="15"/>
  <c r="AB63" i="15"/>
  <c r="AB62" i="15"/>
  <c r="AB61" i="15"/>
  <c r="AB60" i="15"/>
  <c r="AB59" i="15"/>
  <c r="AB58" i="15"/>
  <c r="AB57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AB54" i="15"/>
  <c r="AB53" i="15"/>
  <c r="AB52" i="15"/>
  <c r="AB51" i="15"/>
  <c r="AB50" i="15"/>
  <c r="AB49" i="15"/>
  <c r="AB48" i="15"/>
  <c r="AB55" i="15" s="1"/>
  <c r="AB47" i="15"/>
  <c r="AB46" i="15"/>
  <c r="AB45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AB40" i="15"/>
  <c r="AB39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AB35" i="15"/>
  <c r="AB34" i="15"/>
  <c r="AB33" i="15"/>
  <c r="T30" i="15"/>
  <c r="S30" i="15"/>
  <c r="P30" i="15"/>
  <c r="K30" i="15"/>
  <c r="J30" i="15"/>
  <c r="I30" i="15"/>
  <c r="AA29" i="15"/>
  <c r="Z29" i="15"/>
  <c r="Y29" i="15"/>
  <c r="Y30" i="15" s="1"/>
  <c r="X29" i="15"/>
  <c r="W29" i="15"/>
  <c r="V29" i="15"/>
  <c r="V30" i="15" s="1"/>
  <c r="U29" i="15"/>
  <c r="T29" i="15"/>
  <c r="S29" i="15"/>
  <c r="R29" i="15"/>
  <c r="Q29" i="15"/>
  <c r="Q30" i="15" s="1"/>
  <c r="P29" i="15"/>
  <c r="O29" i="15"/>
  <c r="N29" i="15"/>
  <c r="M29" i="15"/>
  <c r="L29" i="15"/>
  <c r="K29" i="15"/>
  <c r="J29" i="15"/>
  <c r="I29" i="15"/>
  <c r="H29" i="15"/>
  <c r="G29" i="15"/>
  <c r="F29" i="15"/>
  <c r="E29" i="15"/>
  <c r="AA28" i="15"/>
  <c r="AA30" i="15" s="1"/>
  <c r="Z28" i="15"/>
  <c r="Z30" i="15" s="1"/>
  <c r="Y28" i="15"/>
  <c r="X28" i="15"/>
  <c r="X30" i="15" s="1"/>
  <c r="W28" i="15"/>
  <c r="W30" i="15" s="1"/>
  <c r="V28" i="15"/>
  <c r="U28" i="15"/>
  <c r="U30" i="15" s="1"/>
  <c r="T28" i="15"/>
  <c r="S28" i="15"/>
  <c r="R28" i="15"/>
  <c r="R30" i="15" s="1"/>
  <c r="Q28" i="15"/>
  <c r="P28" i="15"/>
  <c r="O28" i="15"/>
  <c r="O30" i="15" s="1"/>
  <c r="N28" i="15"/>
  <c r="N30" i="15" s="1"/>
  <c r="M28" i="15"/>
  <c r="M30" i="15" s="1"/>
  <c r="L28" i="15"/>
  <c r="K28" i="15"/>
  <c r="J28" i="15"/>
  <c r="I28" i="15"/>
  <c r="H28" i="15"/>
  <c r="H30" i="15" s="1"/>
  <c r="G28" i="15"/>
  <c r="G30" i="15" s="1"/>
  <c r="F28" i="15"/>
  <c r="F30" i="15" s="1"/>
  <c r="E28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AB27" i="15" s="1"/>
  <c r="E27" i="15"/>
  <c r="AB26" i="15"/>
  <c r="AB25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AB23" i="15"/>
  <c r="AB22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AB20" i="15"/>
  <c r="AB19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AB16" i="15" s="1"/>
  <c r="E16" i="15"/>
  <c r="AB15" i="15"/>
  <c r="AB14" i="15"/>
  <c r="G264" i="14"/>
  <c r="AE263" i="14"/>
  <c r="G262" i="14"/>
  <c r="AD259" i="14"/>
  <c r="AC259" i="14"/>
  <c r="AB259" i="14"/>
  <c r="AA259" i="14"/>
  <c r="Z259" i="14"/>
  <c r="Y259" i="14"/>
  <c r="X259" i="14"/>
  <c r="W259" i="14"/>
  <c r="V259" i="14"/>
  <c r="U259" i="14"/>
  <c r="T259" i="14"/>
  <c r="S259" i="14"/>
  <c r="R259" i="14"/>
  <c r="Q259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AE258" i="14"/>
  <c r="AE257" i="14"/>
  <c r="AE256" i="14"/>
  <c r="AE255" i="14"/>
  <c r="AE254" i="14"/>
  <c r="AE253" i="14"/>
  <c r="AE252" i="14"/>
  <c r="AE251" i="14"/>
  <c r="AE250" i="14"/>
  <c r="AE249" i="14"/>
  <c r="AE259" i="14" s="1"/>
  <c r="AD247" i="14"/>
  <c r="AC247" i="14"/>
  <c r="AB247" i="14"/>
  <c r="AA247" i="14"/>
  <c r="Z247" i="14"/>
  <c r="Y247" i="14"/>
  <c r="X247" i="14"/>
  <c r="W247" i="14"/>
  <c r="V247" i="14"/>
  <c r="U247" i="14"/>
  <c r="T247" i="14"/>
  <c r="S247" i="14"/>
  <c r="R247" i="14"/>
  <c r="Q247" i="14"/>
  <c r="P247" i="14"/>
  <c r="O247" i="14"/>
  <c r="N247" i="14"/>
  <c r="M247" i="14"/>
  <c r="L247" i="14"/>
  <c r="K247" i="14"/>
  <c r="J247" i="14"/>
  <c r="I247" i="14"/>
  <c r="H247" i="14"/>
  <c r="G247" i="14"/>
  <c r="F247" i="14"/>
  <c r="E247" i="14"/>
  <c r="AE246" i="14"/>
  <c r="AE245" i="14"/>
  <c r="AE244" i="14"/>
  <c r="AE243" i="14"/>
  <c r="AE247" i="14" s="1"/>
  <c r="AE242" i="14"/>
  <c r="AE241" i="14"/>
  <c r="AE240" i="14"/>
  <c r="AE239" i="14"/>
  <c r="AE238" i="14"/>
  <c r="AE237" i="14"/>
  <c r="AD235" i="14"/>
  <c r="AC235" i="14"/>
  <c r="AB235" i="14"/>
  <c r="AA235" i="14"/>
  <c r="Z235" i="14"/>
  <c r="Y235" i="14"/>
  <c r="X235" i="14"/>
  <c r="W235" i="14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J235" i="14"/>
  <c r="I235" i="14"/>
  <c r="H235" i="14"/>
  <c r="G235" i="14"/>
  <c r="F235" i="14"/>
  <c r="E235" i="14"/>
  <c r="AE234" i="14"/>
  <c r="AE233" i="14"/>
  <c r="AE232" i="14"/>
  <c r="AE231" i="14"/>
  <c r="AE230" i="14"/>
  <c r="AE229" i="14"/>
  <c r="AE228" i="14"/>
  <c r="AE227" i="14"/>
  <c r="AE235" i="14" s="1"/>
  <c r="AE226" i="14"/>
  <c r="AE225" i="14"/>
  <c r="AE223" i="14"/>
  <c r="AD223" i="14"/>
  <c r="AC223" i="14"/>
  <c r="AB223" i="14"/>
  <c r="AA223" i="14"/>
  <c r="Z223" i="14"/>
  <c r="Y223" i="14"/>
  <c r="X223" i="14"/>
  <c r="W223" i="14"/>
  <c r="V223" i="14"/>
  <c r="U223" i="14"/>
  <c r="T223" i="14"/>
  <c r="S223" i="14"/>
  <c r="R223" i="14"/>
  <c r="Q223" i="14"/>
  <c r="P223" i="14"/>
  <c r="O223" i="14"/>
  <c r="N223" i="14"/>
  <c r="M223" i="14"/>
  <c r="L223" i="14"/>
  <c r="K223" i="14"/>
  <c r="J223" i="14"/>
  <c r="I223" i="14"/>
  <c r="H223" i="14"/>
  <c r="G223" i="14"/>
  <c r="F223" i="14"/>
  <c r="E223" i="14"/>
  <c r="AE222" i="14"/>
  <c r="AE221" i="14"/>
  <c r="AE220" i="14"/>
  <c r="AE219" i="14"/>
  <c r="AE218" i="14"/>
  <c r="AE217" i="14"/>
  <c r="AE216" i="14"/>
  <c r="AE215" i="14"/>
  <c r="AE214" i="14"/>
  <c r="AE213" i="14"/>
  <c r="AD211" i="14"/>
  <c r="AC211" i="14"/>
  <c r="AB211" i="14"/>
  <c r="AA211" i="14"/>
  <c r="Z211" i="14"/>
  <c r="Y211" i="14"/>
  <c r="X211" i="14"/>
  <c r="W211" i="14"/>
  <c r="V211" i="14"/>
  <c r="U211" i="14"/>
  <c r="T211" i="14"/>
  <c r="S211" i="14"/>
  <c r="R211" i="14"/>
  <c r="Q211" i="14"/>
  <c r="P211" i="14"/>
  <c r="O211" i="14"/>
  <c r="N211" i="14"/>
  <c r="M211" i="14"/>
  <c r="L211" i="14"/>
  <c r="K211" i="14"/>
  <c r="J211" i="14"/>
  <c r="I211" i="14"/>
  <c r="H211" i="14"/>
  <c r="G211" i="14"/>
  <c r="F211" i="14"/>
  <c r="E211" i="14"/>
  <c r="AE210" i="14"/>
  <c r="AE209" i="14"/>
  <c r="AE208" i="14"/>
  <c r="AE211" i="14" s="1"/>
  <c r="AE207" i="14"/>
  <c r="AE206" i="14"/>
  <c r="AE205" i="14"/>
  <c r="AE204" i="14"/>
  <c r="AE203" i="14"/>
  <c r="AE202" i="14"/>
  <c r="AE201" i="14"/>
  <c r="AD199" i="14"/>
  <c r="AC199" i="14"/>
  <c r="AB199" i="14"/>
  <c r="AA199" i="14"/>
  <c r="Z199" i="14"/>
  <c r="Y199" i="14"/>
  <c r="X199" i="14"/>
  <c r="W199" i="14"/>
  <c r="V199" i="14"/>
  <c r="U199" i="14"/>
  <c r="T199" i="14"/>
  <c r="S199" i="14"/>
  <c r="R199" i="14"/>
  <c r="Q199" i="14"/>
  <c r="P199" i="14"/>
  <c r="O199" i="14"/>
  <c r="N199" i="14"/>
  <c r="M199" i="14"/>
  <c r="L199" i="14"/>
  <c r="K199" i="14"/>
  <c r="J199" i="14"/>
  <c r="I199" i="14"/>
  <c r="H199" i="14"/>
  <c r="G199" i="14"/>
  <c r="F199" i="14"/>
  <c r="E199" i="14"/>
  <c r="AE198" i="14"/>
  <c r="AE197" i="14"/>
  <c r="AE196" i="14"/>
  <c r="AE195" i="14"/>
  <c r="AE194" i="14"/>
  <c r="AE193" i="14"/>
  <c r="AE192" i="14"/>
  <c r="AE191" i="14"/>
  <c r="AE190" i="14"/>
  <c r="AE189" i="14"/>
  <c r="AE199" i="14" s="1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E187" i="14"/>
  <c r="AE186" i="14"/>
  <c r="AE185" i="14"/>
  <c r="AE184" i="14"/>
  <c r="AE183" i="14"/>
  <c r="AE182" i="14"/>
  <c r="AE181" i="14"/>
  <c r="AE180" i="14"/>
  <c r="AE179" i="14"/>
  <c r="AE178" i="14"/>
  <c r="AE177" i="14"/>
  <c r="AD175" i="14"/>
  <c r="AC175" i="14"/>
  <c r="AB175" i="14"/>
  <c r="AA175" i="14"/>
  <c r="Z175" i="14"/>
  <c r="Y175" i="14"/>
  <c r="X175" i="14"/>
  <c r="W175" i="14"/>
  <c r="V175" i="14"/>
  <c r="U175" i="14"/>
  <c r="T175" i="14"/>
  <c r="S175" i="14"/>
  <c r="R175" i="14"/>
  <c r="Q175" i="14"/>
  <c r="P175" i="14"/>
  <c r="O175" i="14"/>
  <c r="N175" i="14"/>
  <c r="M175" i="14"/>
  <c r="L175" i="14"/>
  <c r="K175" i="14"/>
  <c r="J175" i="14"/>
  <c r="I175" i="14"/>
  <c r="H175" i="14"/>
  <c r="G175" i="14"/>
  <c r="F175" i="14"/>
  <c r="E175" i="14"/>
  <c r="AE174" i="14"/>
  <c r="AE173" i="14"/>
  <c r="AE172" i="14"/>
  <c r="AE171" i="14"/>
  <c r="AE170" i="14"/>
  <c r="AE169" i="14"/>
  <c r="AE168" i="14"/>
  <c r="AE175" i="14" s="1"/>
  <c r="AE167" i="14"/>
  <c r="AE166" i="14"/>
  <c r="AE165" i="14"/>
  <c r="AD163" i="14"/>
  <c r="AC163" i="14"/>
  <c r="AB163" i="14"/>
  <c r="AA163" i="14"/>
  <c r="Z163" i="14"/>
  <c r="Y163" i="14"/>
  <c r="X163" i="14"/>
  <c r="W163" i="14"/>
  <c r="V163" i="14"/>
  <c r="U163" i="14"/>
  <c r="T163" i="14"/>
  <c r="S163" i="14"/>
  <c r="R163" i="14"/>
  <c r="Q163" i="14"/>
  <c r="P163" i="14"/>
  <c r="O163" i="14"/>
  <c r="N163" i="14"/>
  <c r="M163" i="14"/>
  <c r="L163" i="14"/>
  <c r="K163" i="14"/>
  <c r="J163" i="14"/>
  <c r="I163" i="14"/>
  <c r="H163" i="14"/>
  <c r="G163" i="14"/>
  <c r="F163" i="14"/>
  <c r="E163" i="14"/>
  <c r="AE162" i="14"/>
  <c r="AE161" i="14"/>
  <c r="AE160" i="14"/>
  <c r="AE159" i="14"/>
  <c r="AE158" i="14"/>
  <c r="AE157" i="14"/>
  <c r="AE156" i="14"/>
  <c r="AE155" i="14"/>
  <c r="AE154" i="14"/>
  <c r="AE153" i="14"/>
  <c r="AD151" i="14"/>
  <c r="AC151" i="14"/>
  <c r="AB151" i="14"/>
  <c r="AA151" i="14"/>
  <c r="Z151" i="14"/>
  <c r="Y151" i="14"/>
  <c r="X151" i="14"/>
  <c r="W151" i="14"/>
  <c r="V151" i="14"/>
  <c r="U151" i="14"/>
  <c r="T151" i="14"/>
  <c r="S151" i="14"/>
  <c r="R151" i="14"/>
  <c r="Q151" i="14"/>
  <c r="P151" i="14"/>
  <c r="O151" i="14"/>
  <c r="N151" i="14"/>
  <c r="M151" i="14"/>
  <c r="L151" i="14"/>
  <c r="K151" i="14"/>
  <c r="J151" i="14"/>
  <c r="I151" i="14"/>
  <c r="H151" i="14"/>
  <c r="G151" i="14"/>
  <c r="F151" i="14"/>
  <c r="F262" i="14" s="1"/>
  <c r="F264" i="14" s="1"/>
  <c r="E151" i="14"/>
  <c r="AE150" i="14"/>
  <c r="AE149" i="14"/>
  <c r="AE148" i="14"/>
  <c r="AE147" i="14"/>
  <c r="AE146" i="14"/>
  <c r="AE145" i="14"/>
  <c r="AE144" i="14"/>
  <c r="AE143" i="14"/>
  <c r="AE142" i="14"/>
  <c r="AE141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AE138" i="14"/>
  <c r="AE137" i="14"/>
  <c r="AE136" i="14"/>
  <c r="AE135" i="14"/>
  <c r="AE134" i="14"/>
  <c r="AE133" i="14"/>
  <c r="AE132" i="14"/>
  <c r="AE131" i="14"/>
  <c r="AE130" i="14"/>
  <c r="AE129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AE126" i="14"/>
  <c r="AE125" i="14"/>
  <c r="AE124" i="14"/>
  <c r="AE123" i="14"/>
  <c r="AE122" i="14"/>
  <c r="AE121" i="14"/>
  <c r="AE120" i="14"/>
  <c r="AE119" i="14"/>
  <c r="AE118" i="14"/>
  <c r="AE117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AE114" i="14"/>
  <c r="AE113" i="14"/>
  <c r="AE112" i="14"/>
  <c r="AE111" i="14"/>
  <c r="AE110" i="14"/>
  <c r="AE109" i="14"/>
  <c r="AE108" i="14"/>
  <c r="AE107" i="14"/>
  <c r="AE106" i="14"/>
  <c r="AE105" i="14"/>
  <c r="AE115" i="14" s="1"/>
  <c r="AE103" i="14"/>
  <c r="AD103" i="14"/>
  <c r="AC103" i="14"/>
  <c r="AB103" i="14"/>
  <c r="AA103" i="14"/>
  <c r="Z103" i="14"/>
  <c r="Y103" i="14"/>
  <c r="X103" i="14"/>
  <c r="W103" i="14"/>
  <c r="V103" i="14"/>
  <c r="U103" i="14"/>
  <c r="T103" i="14"/>
  <c r="S103" i="14"/>
  <c r="R103" i="14"/>
  <c r="Q103" i="14"/>
  <c r="P103" i="14"/>
  <c r="O103" i="14"/>
  <c r="N103" i="14"/>
  <c r="M103" i="14"/>
  <c r="L103" i="14"/>
  <c r="K103" i="14"/>
  <c r="J103" i="14"/>
  <c r="I103" i="14"/>
  <c r="H103" i="14"/>
  <c r="G103" i="14"/>
  <c r="F103" i="14"/>
  <c r="E103" i="14"/>
  <c r="AE102" i="14"/>
  <c r="AE101" i="14"/>
  <c r="AE100" i="14"/>
  <c r="AE99" i="14"/>
  <c r="AE98" i="14"/>
  <c r="AE97" i="14"/>
  <c r="AE96" i="14"/>
  <c r="AE95" i="14"/>
  <c r="AE94" i="14"/>
  <c r="AE93" i="14"/>
  <c r="AD91" i="14"/>
  <c r="AC91" i="14"/>
  <c r="AB91" i="14"/>
  <c r="AA91" i="14"/>
  <c r="Z91" i="14"/>
  <c r="Y91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AE90" i="14"/>
  <c r="AE89" i="14"/>
  <c r="AE88" i="14"/>
  <c r="AE87" i="14"/>
  <c r="AE86" i="14"/>
  <c r="AE85" i="14"/>
  <c r="AE84" i="14"/>
  <c r="AE83" i="14"/>
  <c r="AE82" i="14"/>
  <c r="AE81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Q262" i="14" s="1"/>
  <c r="Q264" i="14" s="1"/>
  <c r="P79" i="14"/>
  <c r="O79" i="14"/>
  <c r="N79" i="14"/>
  <c r="M79" i="14"/>
  <c r="L79" i="14"/>
  <c r="K79" i="14"/>
  <c r="J79" i="14"/>
  <c r="I79" i="14"/>
  <c r="H79" i="14"/>
  <c r="G79" i="14"/>
  <c r="F79" i="14"/>
  <c r="E79" i="14"/>
  <c r="AE78" i="14"/>
  <c r="AE77" i="14"/>
  <c r="AE76" i="14"/>
  <c r="AE75" i="14"/>
  <c r="AE74" i="14"/>
  <c r="AE73" i="14"/>
  <c r="AE72" i="14"/>
  <c r="AE71" i="14"/>
  <c r="AE70" i="14"/>
  <c r="AE69" i="14"/>
  <c r="AE79" i="14" s="1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AE66" i="14"/>
  <c r="AE65" i="14"/>
  <c r="AE64" i="14"/>
  <c r="AE63" i="14"/>
  <c r="AE62" i="14"/>
  <c r="AE61" i="14"/>
  <c r="AE60" i="14"/>
  <c r="AE59" i="14"/>
  <c r="AE58" i="14"/>
  <c r="AE57" i="14"/>
  <c r="AD55" i="14"/>
  <c r="AC55" i="14"/>
  <c r="AC262" i="14" s="1"/>
  <c r="AC264" i="14" s="1"/>
  <c r="AB55" i="14"/>
  <c r="AB262" i="14" s="1"/>
  <c r="AB264" i="14" s="1"/>
  <c r="AA55" i="14"/>
  <c r="Z55" i="14"/>
  <c r="Y55" i="14"/>
  <c r="X55" i="14"/>
  <c r="W55" i="14"/>
  <c r="V55" i="14"/>
  <c r="V262" i="14" s="1"/>
  <c r="V264" i="14" s="1"/>
  <c r="U55" i="14"/>
  <c r="T55" i="14"/>
  <c r="S55" i="14"/>
  <c r="R55" i="14"/>
  <c r="Q55" i="14"/>
  <c r="P55" i="14"/>
  <c r="P262" i="14" s="1"/>
  <c r="P264" i="14" s="1"/>
  <c r="O55" i="14"/>
  <c r="O262" i="14" s="1"/>
  <c r="O264" i="14" s="1"/>
  <c r="N55" i="14"/>
  <c r="N262" i="14" s="1"/>
  <c r="N264" i="14" s="1"/>
  <c r="M55" i="14"/>
  <c r="L55" i="14"/>
  <c r="K55" i="14"/>
  <c r="J55" i="14"/>
  <c r="I55" i="14"/>
  <c r="H55" i="14"/>
  <c r="G55" i="14"/>
  <c r="F55" i="14"/>
  <c r="E55" i="14"/>
  <c r="AE54" i="14"/>
  <c r="AE53" i="14"/>
  <c r="AE52" i="14"/>
  <c r="AE51" i="14"/>
  <c r="AE50" i="14"/>
  <c r="AE49" i="14"/>
  <c r="AE48" i="14"/>
  <c r="AE47" i="14"/>
  <c r="AE46" i="14"/>
  <c r="AE45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AE40" i="14"/>
  <c r="AE39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AE35" i="14"/>
  <c r="AE34" i="14"/>
  <c r="AE33" i="14"/>
  <c r="AC30" i="14"/>
  <c r="X30" i="14"/>
  <c r="W30" i="14"/>
  <c r="R30" i="14"/>
  <c r="Q30" i="14"/>
  <c r="P30" i="14"/>
  <c r="O30" i="14"/>
  <c r="N30" i="14"/>
  <c r="M30" i="14"/>
  <c r="AD29" i="14"/>
  <c r="AC29" i="14"/>
  <c r="AB29" i="14"/>
  <c r="AA29" i="14"/>
  <c r="Z29" i="14"/>
  <c r="Y29" i="14"/>
  <c r="X29" i="14"/>
  <c r="W29" i="14"/>
  <c r="V29" i="14"/>
  <c r="V30" i="14" s="1"/>
  <c r="U29" i="14"/>
  <c r="T29" i="14"/>
  <c r="T30" i="14" s="1"/>
  <c r="S29" i="14"/>
  <c r="S30" i="14" s="1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AD28" i="14"/>
  <c r="AD30" i="14" s="1"/>
  <c r="AC28" i="14"/>
  <c r="AB28" i="14"/>
  <c r="AB30" i="14" s="1"/>
  <c r="AA28" i="14"/>
  <c r="AA30" i="14" s="1"/>
  <c r="Z28" i="14"/>
  <c r="Z30" i="14" s="1"/>
  <c r="Y28" i="14"/>
  <c r="Y30" i="14" s="1"/>
  <c r="X28" i="14"/>
  <c r="W28" i="14"/>
  <c r="V28" i="14"/>
  <c r="U28" i="14"/>
  <c r="U30" i="14" s="1"/>
  <c r="T28" i="14"/>
  <c r="S28" i="14"/>
  <c r="R28" i="14"/>
  <c r="Q28" i="14"/>
  <c r="P28" i="14"/>
  <c r="O28" i="14"/>
  <c r="N28" i="14"/>
  <c r="M28" i="14"/>
  <c r="L28" i="14"/>
  <c r="L30" i="14" s="1"/>
  <c r="K28" i="14"/>
  <c r="K30" i="14" s="1"/>
  <c r="J28" i="14"/>
  <c r="J30" i="14" s="1"/>
  <c r="I28" i="14"/>
  <c r="I30" i="14" s="1"/>
  <c r="H28" i="14"/>
  <c r="H30" i="14" s="1"/>
  <c r="G28" i="14"/>
  <c r="G30" i="14" s="1"/>
  <c r="F28" i="14"/>
  <c r="F30" i="14" s="1"/>
  <c r="E28" i="14"/>
  <c r="E30" i="14" s="1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AE27" i="14" s="1"/>
  <c r="F27" i="14"/>
  <c r="E27" i="14"/>
  <c r="AE26" i="14"/>
  <c r="AE25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AE23" i="14"/>
  <c r="AE22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AE20" i="14"/>
  <c r="AE19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AE16" i="14" s="1"/>
  <c r="AE15" i="14"/>
  <c r="AE14" i="14"/>
  <c r="U263" i="13"/>
  <c r="T259" i="13"/>
  <c r="S259" i="13"/>
  <c r="R259" i="13"/>
  <c r="Q259" i="13"/>
  <c r="P259" i="13"/>
  <c r="O259" i="13"/>
  <c r="N259" i="13"/>
  <c r="M259" i="13"/>
  <c r="L259" i="13"/>
  <c r="K259" i="13"/>
  <c r="J259" i="13"/>
  <c r="I259" i="13"/>
  <c r="H259" i="13"/>
  <c r="G259" i="13"/>
  <c r="F259" i="13"/>
  <c r="E259" i="13"/>
  <c r="U258" i="13"/>
  <c r="U257" i="13"/>
  <c r="U256" i="13"/>
  <c r="U255" i="13"/>
  <c r="U254" i="13"/>
  <c r="U253" i="13"/>
  <c r="U252" i="13"/>
  <c r="U251" i="13"/>
  <c r="U250" i="13"/>
  <c r="U249" i="13"/>
  <c r="T247" i="13"/>
  <c r="S247" i="13"/>
  <c r="R247" i="13"/>
  <c r="Q247" i="13"/>
  <c r="P247" i="13"/>
  <c r="O247" i="13"/>
  <c r="N247" i="13"/>
  <c r="M247" i="13"/>
  <c r="L247" i="13"/>
  <c r="K247" i="13"/>
  <c r="J247" i="13"/>
  <c r="I247" i="13"/>
  <c r="H247" i="13"/>
  <c r="G247" i="13"/>
  <c r="F247" i="13"/>
  <c r="E247" i="13"/>
  <c r="U246" i="13"/>
  <c r="U245" i="13"/>
  <c r="U244" i="13"/>
  <c r="U243" i="13"/>
  <c r="U242" i="13"/>
  <c r="U241" i="13"/>
  <c r="U240" i="13"/>
  <c r="U239" i="13"/>
  <c r="U238" i="13"/>
  <c r="U237" i="13"/>
  <c r="T235" i="13"/>
  <c r="S235" i="13"/>
  <c r="R235" i="13"/>
  <c r="Q235" i="13"/>
  <c r="P235" i="13"/>
  <c r="O235" i="13"/>
  <c r="N235" i="13"/>
  <c r="M235" i="13"/>
  <c r="L235" i="13"/>
  <c r="K235" i="13"/>
  <c r="J235" i="13"/>
  <c r="I235" i="13"/>
  <c r="H235" i="13"/>
  <c r="G235" i="13"/>
  <c r="F235" i="13"/>
  <c r="E235" i="13"/>
  <c r="E262" i="13" s="1"/>
  <c r="U234" i="13"/>
  <c r="U233" i="13"/>
  <c r="U232" i="13"/>
  <c r="U231" i="13"/>
  <c r="U230" i="13"/>
  <c r="U229" i="13"/>
  <c r="U228" i="13"/>
  <c r="U227" i="13"/>
  <c r="U226" i="13"/>
  <c r="U225" i="13"/>
  <c r="U235" i="13" s="1"/>
  <c r="T223" i="13"/>
  <c r="S223" i="13"/>
  <c r="R223" i="13"/>
  <c r="Q223" i="13"/>
  <c r="P223" i="13"/>
  <c r="O223" i="13"/>
  <c r="N223" i="13"/>
  <c r="M223" i="13"/>
  <c r="L223" i="13"/>
  <c r="K223" i="13"/>
  <c r="J223" i="13"/>
  <c r="I223" i="13"/>
  <c r="H223" i="13"/>
  <c r="G223" i="13"/>
  <c r="F223" i="13"/>
  <c r="E223" i="13"/>
  <c r="U222" i="13"/>
  <c r="U221" i="13"/>
  <c r="U220" i="13"/>
  <c r="U219" i="13"/>
  <c r="U218" i="13"/>
  <c r="U217" i="13"/>
  <c r="U216" i="13"/>
  <c r="U215" i="13"/>
  <c r="U214" i="13"/>
  <c r="U213" i="13"/>
  <c r="U223" i="13" s="1"/>
  <c r="T211" i="13"/>
  <c r="S211" i="13"/>
  <c r="R211" i="13"/>
  <c r="Q211" i="13"/>
  <c r="P211" i="13"/>
  <c r="O211" i="13"/>
  <c r="N211" i="13"/>
  <c r="M211" i="13"/>
  <c r="L211" i="13"/>
  <c r="K211" i="13"/>
  <c r="J211" i="13"/>
  <c r="I211" i="13"/>
  <c r="H211" i="13"/>
  <c r="G211" i="13"/>
  <c r="F211" i="13"/>
  <c r="E211" i="13"/>
  <c r="U210" i="13"/>
  <c r="U209" i="13"/>
  <c r="U208" i="13"/>
  <c r="U207" i="13"/>
  <c r="U206" i="13"/>
  <c r="U205" i="13"/>
  <c r="U204" i="13"/>
  <c r="U203" i="13"/>
  <c r="U202" i="13"/>
  <c r="U201" i="13"/>
  <c r="U211" i="13" s="1"/>
  <c r="T199" i="13"/>
  <c r="S199" i="13"/>
  <c r="R199" i="13"/>
  <c r="Q199" i="13"/>
  <c r="P199" i="13"/>
  <c r="O199" i="13"/>
  <c r="N199" i="13"/>
  <c r="M199" i="13"/>
  <c r="L199" i="13"/>
  <c r="K199" i="13"/>
  <c r="J199" i="13"/>
  <c r="I199" i="13"/>
  <c r="H199" i="13"/>
  <c r="G199" i="13"/>
  <c r="F199" i="13"/>
  <c r="E199" i="13"/>
  <c r="U198" i="13"/>
  <c r="U197" i="13"/>
  <c r="U196" i="13"/>
  <c r="U195" i="13"/>
  <c r="U194" i="13"/>
  <c r="U193" i="13"/>
  <c r="U192" i="13"/>
  <c r="U191" i="13"/>
  <c r="U199" i="13" s="1"/>
  <c r="U190" i="13"/>
  <c r="U189" i="13"/>
  <c r="T187" i="13"/>
  <c r="S187" i="13"/>
  <c r="R187" i="13"/>
  <c r="Q187" i="13"/>
  <c r="P187" i="13"/>
  <c r="O187" i="13"/>
  <c r="N187" i="13"/>
  <c r="M187" i="13"/>
  <c r="L187" i="13"/>
  <c r="K187" i="13"/>
  <c r="J187" i="13"/>
  <c r="I187" i="13"/>
  <c r="H187" i="13"/>
  <c r="G187" i="13"/>
  <c r="F187" i="13"/>
  <c r="E187" i="13"/>
  <c r="U186" i="13"/>
  <c r="U185" i="13"/>
  <c r="U184" i="13"/>
  <c r="U183" i="13"/>
  <c r="U182" i="13"/>
  <c r="U181" i="13"/>
  <c r="U180" i="13"/>
  <c r="U179" i="13"/>
  <c r="U178" i="13"/>
  <c r="U177" i="13"/>
  <c r="T175" i="13"/>
  <c r="S175" i="13"/>
  <c r="R175" i="13"/>
  <c r="Q175" i="13"/>
  <c r="P175" i="13"/>
  <c r="O175" i="13"/>
  <c r="N175" i="13"/>
  <c r="M175" i="13"/>
  <c r="L175" i="13"/>
  <c r="K175" i="13"/>
  <c r="J175" i="13"/>
  <c r="I175" i="13"/>
  <c r="H175" i="13"/>
  <c r="H262" i="13" s="1"/>
  <c r="H264" i="13" s="1"/>
  <c r="G175" i="13"/>
  <c r="F175" i="13"/>
  <c r="F262" i="13" s="1"/>
  <c r="F264" i="13" s="1"/>
  <c r="E175" i="13"/>
  <c r="U174" i="13"/>
  <c r="U173" i="13"/>
  <c r="U172" i="13"/>
  <c r="U171" i="13"/>
  <c r="U170" i="13"/>
  <c r="U169" i="13"/>
  <c r="U168" i="13"/>
  <c r="U167" i="13"/>
  <c r="U166" i="13"/>
  <c r="U165" i="13"/>
  <c r="U175" i="13" s="1"/>
  <c r="T163" i="13"/>
  <c r="S163" i="13"/>
  <c r="R163" i="13"/>
  <c r="Q163" i="13"/>
  <c r="P163" i="13"/>
  <c r="O163" i="13"/>
  <c r="N163" i="13"/>
  <c r="M163" i="13"/>
  <c r="L163" i="13"/>
  <c r="K163" i="13"/>
  <c r="J163" i="13"/>
  <c r="I163" i="13"/>
  <c r="H163" i="13"/>
  <c r="G163" i="13"/>
  <c r="F163" i="13"/>
  <c r="E163" i="13"/>
  <c r="U162" i="13"/>
  <c r="U161" i="13"/>
  <c r="U160" i="13"/>
  <c r="U159" i="13"/>
  <c r="U158" i="13"/>
  <c r="U157" i="13"/>
  <c r="U156" i="13"/>
  <c r="U155" i="13"/>
  <c r="U154" i="13"/>
  <c r="U153" i="13"/>
  <c r="U163" i="13" s="1"/>
  <c r="T151" i="13"/>
  <c r="S151" i="13"/>
  <c r="R151" i="13"/>
  <c r="Q151" i="13"/>
  <c r="P151" i="13"/>
  <c r="O151" i="13"/>
  <c r="N151" i="13"/>
  <c r="M151" i="13"/>
  <c r="L151" i="13"/>
  <c r="K151" i="13"/>
  <c r="J151" i="13"/>
  <c r="I151" i="13"/>
  <c r="H151" i="13"/>
  <c r="G151" i="13"/>
  <c r="F151" i="13"/>
  <c r="E151" i="13"/>
  <c r="U150" i="13"/>
  <c r="U149" i="13"/>
  <c r="U148" i="13"/>
  <c r="U147" i="13"/>
  <c r="U146" i="13"/>
  <c r="U145" i="13"/>
  <c r="U144" i="13"/>
  <c r="U143" i="13"/>
  <c r="U142" i="13"/>
  <c r="U141" i="13"/>
  <c r="U151" i="13" s="1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U138" i="13"/>
  <c r="U137" i="13"/>
  <c r="U136" i="13"/>
  <c r="U135" i="13"/>
  <c r="U134" i="13"/>
  <c r="U133" i="13"/>
  <c r="U132" i="13"/>
  <c r="U131" i="13"/>
  <c r="U130" i="13"/>
  <c r="U129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U126" i="13"/>
  <c r="U125" i="13"/>
  <c r="U124" i="13"/>
  <c r="U123" i="13"/>
  <c r="U122" i="13"/>
  <c r="U121" i="13"/>
  <c r="U120" i="13"/>
  <c r="U119" i="13"/>
  <c r="U118" i="13"/>
  <c r="U117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G262" i="13" s="1"/>
  <c r="G264" i="13" s="1"/>
  <c r="F115" i="13"/>
  <c r="E115" i="13"/>
  <c r="U114" i="13"/>
  <c r="U113" i="13"/>
  <c r="U112" i="13"/>
  <c r="U111" i="13"/>
  <c r="U110" i="13"/>
  <c r="U109" i="13"/>
  <c r="U108" i="13"/>
  <c r="U107" i="13"/>
  <c r="U106" i="13"/>
  <c r="U105" i="13"/>
  <c r="U115" i="13" s="1"/>
  <c r="T103" i="13"/>
  <c r="S103" i="13"/>
  <c r="R103" i="13"/>
  <c r="Q103" i="13"/>
  <c r="P103" i="13"/>
  <c r="O103" i="13"/>
  <c r="N103" i="13"/>
  <c r="M103" i="13"/>
  <c r="L103" i="13"/>
  <c r="K103" i="13"/>
  <c r="J103" i="13"/>
  <c r="I103" i="13"/>
  <c r="H103" i="13"/>
  <c r="G103" i="13"/>
  <c r="F103" i="13"/>
  <c r="E103" i="13"/>
  <c r="U102" i="13"/>
  <c r="U101" i="13"/>
  <c r="U100" i="13"/>
  <c r="U99" i="13"/>
  <c r="U98" i="13"/>
  <c r="U97" i="13"/>
  <c r="U96" i="13"/>
  <c r="U95" i="13"/>
  <c r="U94" i="13"/>
  <c r="U93" i="13"/>
  <c r="U103" i="13" s="1"/>
  <c r="T91" i="13"/>
  <c r="S91" i="13"/>
  <c r="R91" i="13"/>
  <c r="Q91" i="13"/>
  <c r="P91" i="13"/>
  <c r="O91" i="13"/>
  <c r="N91" i="13"/>
  <c r="M91" i="13"/>
  <c r="L91" i="13"/>
  <c r="K91" i="13"/>
  <c r="J91" i="13"/>
  <c r="I91" i="13"/>
  <c r="H91" i="13"/>
  <c r="G91" i="13"/>
  <c r="F91" i="13"/>
  <c r="E91" i="13"/>
  <c r="U90" i="13"/>
  <c r="U89" i="13"/>
  <c r="U88" i="13"/>
  <c r="U87" i="13"/>
  <c r="U86" i="13"/>
  <c r="U85" i="13"/>
  <c r="U84" i="13"/>
  <c r="U83" i="13"/>
  <c r="U82" i="13"/>
  <c r="U81" i="13"/>
  <c r="U91" i="13" s="1"/>
  <c r="T79" i="13"/>
  <c r="S79" i="13"/>
  <c r="R79" i="13"/>
  <c r="Q79" i="13"/>
  <c r="P79" i="13"/>
  <c r="O79" i="13"/>
  <c r="N79" i="13"/>
  <c r="M79" i="13"/>
  <c r="L79" i="13"/>
  <c r="K79" i="13"/>
  <c r="J79" i="13"/>
  <c r="I79" i="13"/>
  <c r="H79" i="13"/>
  <c r="G79" i="13"/>
  <c r="F79" i="13"/>
  <c r="E79" i="13"/>
  <c r="U78" i="13"/>
  <c r="U77" i="13"/>
  <c r="U76" i="13"/>
  <c r="U75" i="13"/>
  <c r="U74" i="13"/>
  <c r="U73" i="13"/>
  <c r="U72" i="13"/>
  <c r="U71" i="13"/>
  <c r="U70" i="13"/>
  <c r="U79" i="13" s="1"/>
  <c r="U69" i="13"/>
  <c r="T67" i="13"/>
  <c r="S67" i="13"/>
  <c r="R67" i="13"/>
  <c r="Q67" i="13"/>
  <c r="P67" i="13"/>
  <c r="O67" i="13"/>
  <c r="N67" i="13"/>
  <c r="M67" i="13"/>
  <c r="L67" i="13"/>
  <c r="K67" i="13"/>
  <c r="J67" i="13"/>
  <c r="I67" i="13"/>
  <c r="H67" i="13"/>
  <c r="G67" i="13"/>
  <c r="F67" i="13"/>
  <c r="E67" i="13"/>
  <c r="U66" i="13"/>
  <c r="U65" i="13"/>
  <c r="U64" i="13"/>
  <c r="U63" i="13"/>
  <c r="U62" i="13"/>
  <c r="U61" i="13"/>
  <c r="U60" i="13"/>
  <c r="U59" i="13"/>
  <c r="U58" i="13"/>
  <c r="U57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U54" i="13"/>
  <c r="U53" i="13"/>
  <c r="U52" i="13"/>
  <c r="U51" i="13"/>
  <c r="U50" i="13"/>
  <c r="U49" i="13"/>
  <c r="U48" i="13"/>
  <c r="U47" i="13"/>
  <c r="U46" i="13"/>
  <c r="U45" i="13"/>
  <c r="U55" i="13" s="1"/>
  <c r="T41" i="13"/>
  <c r="S41" i="13"/>
  <c r="R41" i="13"/>
  <c r="Q41" i="13"/>
  <c r="P41" i="13"/>
  <c r="O41" i="13"/>
  <c r="N41" i="13"/>
  <c r="U41" i="13" s="1"/>
  <c r="M41" i="13"/>
  <c r="L41" i="13"/>
  <c r="K41" i="13"/>
  <c r="J41" i="13"/>
  <c r="I41" i="13"/>
  <c r="H41" i="13"/>
  <c r="G41" i="13"/>
  <c r="F41" i="13"/>
  <c r="E41" i="13"/>
  <c r="U40" i="13"/>
  <c r="U39" i="13"/>
  <c r="T36" i="13"/>
  <c r="S36" i="13"/>
  <c r="R36" i="13"/>
  <c r="Q36" i="13"/>
  <c r="P36" i="13"/>
  <c r="O36" i="13"/>
  <c r="N36" i="13"/>
  <c r="M36" i="13"/>
  <c r="L36" i="13"/>
  <c r="K36" i="13"/>
  <c r="U36" i="13" s="1"/>
  <c r="J36" i="13"/>
  <c r="I36" i="13"/>
  <c r="H36" i="13"/>
  <c r="G36" i="13"/>
  <c r="F36" i="13"/>
  <c r="E36" i="13"/>
  <c r="U35" i="13"/>
  <c r="U34" i="13"/>
  <c r="U33" i="13"/>
  <c r="T30" i="13"/>
  <c r="S30" i="13"/>
  <c r="Q30" i="13"/>
  <c r="P30" i="13"/>
  <c r="O30" i="13"/>
  <c r="N30" i="13"/>
  <c r="M30" i="13"/>
  <c r="L30" i="13"/>
  <c r="J30" i="13"/>
  <c r="I30" i="13"/>
  <c r="F30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U29" i="13" s="1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T27" i="13"/>
  <c r="S27" i="13"/>
  <c r="R27" i="13"/>
  <c r="Q27" i="13"/>
  <c r="P27" i="13"/>
  <c r="O27" i="13"/>
  <c r="N27" i="13"/>
  <c r="M27" i="13"/>
  <c r="U27" i="13" s="1"/>
  <c r="L27" i="13"/>
  <c r="K27" i="13"/>
  <c r="J27" i="13"/>
  <c r="I27" i="13"/>
  <c r="H27" i="13"/>
  <c r="G27" i="13"/>
  <c r="F27" i="13"/>
  <c r="E27" i="13"/>
  <c r="U26" i="13"/>
  <c r="U25" i="13"/>
  <c r="T24" i="13"/>
  <c r="S24" i="13"/>
  <c r="R24" i="13"/>
  <c r="Q24" i="13"/>
  <c r="P24" i="13"/>
  <c r="O24" i="13"/>
  <c r="N24" i="13"/>
  <c r="M24" i="13"/>
  <c r="L24" i="13"/>
  <c r="K24" i="13"/>
  <c r="J24" i="13"/>
  <c r="U24" i="13" s="1"/>
  <c r="I24" i="13"/>
  <c r="H24" i="13"/>
  <c r="G24" i="13"/>
  <c r="F24" i="13"/>
  <c r="E24" i="13"/>
  <c r="U23" i="13"/>
  <c r="U22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U21" i="13" s="1"/>
  <c r="F21" i="13"/>
  <c r="E21" i="13"/>
  <c r="U20" i="13"/>
  <c r="U19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U16" i="13" s="1"/>
  <c r="F16" i="13"/>
  <c r="E16" i="13"/>
  <c r="U15" i="13"/>
  <c r="U14" i="13"/>
  <c r="T263" i="12"/>
  <c r="S259" i="12"/>
  <c r="R259" i="12"/>
  <c r="Q259" i="12"/>
  <c r="P259" i="12"/>
  <c r="O259" i="12"/>
  <c r="N259" i="12"/>
  <c r="M259" i="12"/>
  <c r="L259" i="12"/>
  <c r="K259" i="12"/>
  <c r="J259" i="12"/>
  <c r="I259" i="12"/>
  <c r="H259" i="12"/>
  <c r="G259" i="12"/>
  <c r="F259" i="12"/>
  <c r="E259" i="12"/>
  <c r="T258" i="12"/>
  <c r="T257" i="12"/>
  <c r="T256" i="12"/>
  <c r="T255" i="12"/>
  <c r="T254" i="12"/>
  <c r="T253" i="12"/>
  <c r="T252" i="12"/>
  <c r="T251" i="12"/>
  <c r="T250" i="12"/>
  <c r="T249" i="12"/>
  <c r="T259" i="12" s="1"/>
  <c r="S247" i="12"/>
  <c r="R247" i="12"/>
  <c r="Q247" i="12"/>
  <c r="P247" i="12"/>
  <c r="O247" i="12"/>
  <c r="N247" i="12"/>
  <c r="M247" i="12"/>
  <c r="L247" i="12"/>
  <c r="K247" i="12"/>
  <c r="J247" i="12"/>
  <c r="I247" i="12"/>
  <c r="H247" i="12"/>
  <c r="G247" i="12"/>
  <c r="F247" i="12"/>
  <c r="E247" i="12"/>
  <c r="T246" i="12"/>
  <c r="T245" i="12"/>
  <c r="T244" i="12"/>
  <c r="T243" i="12"/>
  <c r="T242" i="12"/>
  <c r="T241" i="12"/>
  <c r="T240" i="12"/>
  <c r="T239" i="12"/>
  <c r="T238" i="12"/>
  <c r="T237" i="12"/>
  <c r="S235" i="12"/>
  <c r="R235" i="12"/>
  <c r="Q235" i="12"/>
  <c r="P235" i="12"/>
  <c r="O235" i="12"/>
  <c r="N235" i="12"/>
  <c r="M235" i="12"/>
  <c r="L235" i="12"/>
  <c r="K235" i="12"/>
  <c r="J235" i="12"/>
  <c r="I235" i="12"/>
  <c r="H235" i="12"/>
  <c r="G235" i="12"/>
  <c r="F235" i="12"/>
  <c r="E235" i="12"/>
  <c r="T234" i="12"/>
  <c r="T233" i="12"/>
  <c r="T232" i="12"/>
  <c r="T231" i="12"/>
  <c r="T230" i="12"/>
  <c r="T229" i="12"/>
  <c r="T228" i="12"/>
  <c r="T227" i="12"/>
  <c r="T226" i="12"/>
  <c r="T225" i="12"/>
  <c r="T235" i="12" s="1"/>
  <c r="S223" i="12"/>
  <c r="R223" i="12"/>
  <c r="Q223" i="12"/>
  <c r="P223" i="12"/>
  <c r="O223" i="12"/>
  <c r="N223" i="12"/>
  <c r="M223" i="12"/>
  <c r="L223" i="12"/>
  <c r="K223" i="12"/>
  <c r="J223" i="12"/>
  <c r="I223" i="12"/>
  <c r="H223" i="12"/>
  <c r="G223" i="12"/>
  <c r="F223" i="12"/>
  <c r="E223" i="12"/>
  <c r="T222" i="12"/>
  <c r="T221" i="12"/>
  <c r="T220" i="12"/>
  <c r="T219" i="12"/>
  <c r="T218" i="12"/>
  <c r="T217" i="12"/>
  <c r="T216" i="12"/>
  <c r="T215" i="12"/>
  <c r="T214" i="12"/>
  <c r="T213" i="12"/>
  <c r="T223" i="12" s="1"/>
  <c r="S211" i="12"/>
  <c r="R211" i="12"/>
  <c r="Q211" i="12"/>
  <c r="P211" i="12"/>
  <c r="O211" i="12"/>
  <c r="N211" i="12"/>
  <c r="M211" i="12"/>
  <c r="L211" i="12"/>
  <c r="K211" i="12"/>
  <c r="J211" i="12"/>
  <c r="I211" i="12"/>
  <c r="H211" i="12"/>
  <c r="G211" i="12"/>
  <c r="F211" i="12"/>
  <c r="E211" i="12"/>
  <c r="T210" i="12"/>
  <c r="T209" i="12"/>
  <c r="T208" i="12"/>
  <c r="T207" i="12"/>
  <c r="T206" i="12"/>
  <c r="T205" i="12"/>
  <c r="T204" i="12"/>
  <c r="T203" i="12"/>
  <c r="T211" i="12" s="1"/>
  <c r="T202" i="12"/>
  <c r="T201" i="12"/>
  <c r="S199" i="12"/>
  <c r="R199" i="12"/>
  <c r="Q199" i="12"/>
  <c r="P199" i="12"/>
  <c r="O199" i="12"/>
  <c r="N199" i="12"/>
  <c r="M199" i="12"/>
  <c r="L199" i="12"/>
  <c r="K199" i="12"/>
  <c r="J199" i="12"/>
  <c r="I199" i="12"/>
  <c r="H199" i="12"/>
  <c r="G199" i="12"/>
  <c r="F199" i="12"/>
  <c r="E199" i="12"/>
  <c r="T198" i="12"/>
  <c r="T197" i="12"/>
  <c r="T196" i="12"/>
  <c r="T195" i="12"/>
  <c r="T194" i="12"/>
  <c r="T193" i="12"/>
  <c r="T192" i="12"/>
  <c r="T191" i="12"/>
  <c r="T190" i="12"/>
  <c r="T189" i="12"/>
  <c r="S187" i="12"/>
  <c r="R187" i="12"/>
  <c r="Q187" i="12"/>
  <c r="P187" i="12"/>
  <c r="O187" i="12"/>
  <c r="N187" i="12"/>
  <c r="M187" i="12"/>
  <c r="L187" i="12"/>
  <c r="K187" i="12"/>
  <c r="J187" i="12"/>
  <c r="I187" i="12"/>
  <c r="H187" i="12"/>
  <c r="G187" i="12"/>
  <c r="F187" i="12"/>
  <c r="E187" i="12"/>
  <c r="T186" i="12"/>
  <c r="T185" i="12"/>
  <c r="T184" i="12"/>
  <c r="T183" i="12"/>
  <c r="T182" i="12"/>
  <c r="T181" i="12"/>
  <c r="T180" i="12"/>
  <c r="T187" i="12" s="1"/>
  <c r="T179" i="12"/>
  <c r="T178" i="12"/>
  <c r="T177" i="12"/>
  <c r="S175" i="12"/>
  <c r="R175" i="12"/>
  <c r="Q175" i="12"/>
  <c r="P175" i="12"/>
  <c r="O175" i="12"/>
  <c r="N175" i="12"/>
  <c r="M175" i="12"/>
  <c r="L175" i="12"/>
  <c r="K175" i="12"/>
  <c r="J175" i="12"/>
  <c r="I175" i="12"/>
  <c r="H175" i="12"/>
  <c r="G175" i="12"/>
  <c r="F175" i="12"/>
  <c r="E175" i="12"/>
  <c r="T174" i="12"/>
  <c r="T173" i="12"/>
  <c r="T172" i="12"/>
  <c r="T171" i="12"/>
  <c r="T170" i="12"/>
  <c r="T169" i="12"/>
  <c r="T168" i="12"/>
  <c r="T167" i="12"/>
  <c r="T166" i="12"/>
  <c r="T165" i="12"/>
  <c r="T175" i="12" s="1"/>
  <c r="S163" i="12"/>
  <c r="R163" i="12"/>
  <c r="Q163" i="12"/>
  <c r="P163" i="12"/>
  <c r="O163" i="12"/>
  <c r="N163" i="12"/>
  <c r="M163" i="12"/>
  <c r="L163" i="12"/>
  <c r="K163" i="12"/>
  <c r="J163" i="12"/>
  <c r="I163" i="12"/>
  <c r="H163" i="12"/>
  <c r="G163" i="12"/>
  <c r="F163" i="12"/>
  <c r="E163" i="12"/>
  <c r="T162" i="12"/>
  <c r="T161" i="12"/>
  <c r="T160" i="12"/>
  <c r="T159" i="12"/>
  <c r="T158" i="12"/>
  <c r="T157" i="12"/>
  <c r="T156" i="12"/>
  <c r="T155" i="12"/>
  <c r="T163" i="12" s="1"/>
  <c r="T154" i="12"/>
  <c r="T153" i="12"/>
  <c r="S151" i="12"/>
  <c r="R151" i="12"/>
  <c r="Q151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T150" i="12"/>
  <c r="T149" i="12"/>
  <c r="T148" i="12"/>
  <c r="T147" i="12"/>
  <c r="T146" i="12"/>
  <c r="T145" i="12"/>
  <c r="T144" i="12"/>
  <c r="T143" i="12"/>
  <c r="T142" i="12"/>
  <c r="E142" i="1" s="1"/>
  <c r="T141" i="12"/>
  <c r="T151" i="12" s="1"/>
  <c r="S139" i="12"/>
  <c r="R139" i="12"/>
  <c r="Q139" i="12"/>
  <c r="P139" i="12"/>
  <c r="O139" i="12"/>
  <c r="N139" i="12"/>
  <c r="M139" i="12"/>
  <c r="L139" i="12"/>
  <c r="K139" i="12"/>
  <c r="J139" i="12"/>
  <c r="I139" i="12"/>
  <c r="H139" i="12"/>
  <c r="G139" i="12"/>
  <c r="F139" i="12"/>
  <c r="E139" i="12"/>
  <c r="T138" i="12"/>
  <c r="T137" i="12"/>
  <c r="T136" i="12"/>
  <c r="T135" i="12"/>
  <c r="T134" i="12"/>
  <c r="T133" i="12"/>
  <c r="T132" i="12"/>
  <c r="T131" i="12"/>
  <c r="T139" i="12" s="1"/>
  <c r="T130" i="12"/>
  <c r="T129" i="12"/>
  <c r="S127" i="12"/>
  <c r="R127" i="12"/>
  <c r="Q127" i="12"/>
  <c r="P127" i="12"/>
  <c r="O127" i="12"/>
  <c r="N127" i="12"/>
  <c r="M127" i="12"/>
  <c r="L127" i="12"/>
  <c r="K127" i="12"/>
  <c r="J127" i="12"/>
  <c r="I127" i="12"/>
  <c r="H127" i="12"/>
  <c r="G127" i="12"/>
  <c r="F127" i="12"/>
  <c r="E127" i="12"/>
  <c r="T126" i="12"/>
  <c r="T125" i="12"/>
  <c r="T124" i="12"/>
  <c r="T123" i="12"/>
  <c r="T122" i="12"/>
  <c r="T121" i="12"/>
  <c r="T120" i="12"/>
  <c r="T119" i="12"/>
  <c r="T118" i="12"/>
  <c r="T117" i="12"/>
  <c r="S115" i="12"/>
  <c r="R115" i="12"/>
  <c r="Q115" i="12"/>
  <c r="P115" i="12"/>
  <c r="O115" i="12"/>
  <c r="N115" i="12"/>
  <c r="M115" i="12"/>
  <c r="L115" i="12"/>
  <c r="K115" i="12"/>
  <c r="J115" i="12"/>
  <c r="I115" i="12"/>
  <c r="H115" i="12"/>
  <c r="G115" i="12"/>
  <c r="F115" i="12"/>
  <c r="E115" i="12"/>
  <c r="T114" i="12"/>
  <c r="T113" i="12"/>
  <c r="T112" i="12"/>
  <c r="T111" i="12"/>
  <c r="T110" i="12"/>
  <c r="T109" i="12"/>
  <c r="T108" i="12"/>
  <c r="T107" i="12"/>
  <c r="T106" i="12"/>
  <c r="T105" i="12"/>
  <c r="S103" i="12"/>
  <c r="R103" i="12"/>
  <c r="Q103" i="12"/>
  <c r="P103" i="12"/>
  <c r="O103" i="12"/>
  <c r="N103" i="12"/>
  <c r="M103" i="12"/>
  <c r="L103" i="12"/>
  <c r="K103" i="12"/>
  <c r="J103" i="12"/>
  <c r="I103" i="12"/>
  <c r="H103" i="12"/>
  <c r="G103" i="12"/>
  <c r="F103" i="12"/>
  <c r="E103" i="12"/>
  <c r="T102" i="12"/>
  <c r="T101" i="12"/>
  <c r="T100" i="12"/>
  <c r="T99" i="12"/>
  <c r="T98" i="12"/>
  <c r="T97" i="12"/>
  <c r="T96" i="12"/>
  <c r="T95" i="12"/>
  <c r="T94" i="12"/>
  <c r="T93" i="12"/>
  <c r="S91" i="12"/>
  <c r="R91" i="12"/>
  <c r="Q91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T90" i="12"/>
  <c r="T89" i="12"/>
  <c r="T88" i="12"/>
  <c r="T87" i="12"/>
  <c r="T86" i="12"/>
  <c r="T85" i="12"/>
  <c r="T84" i="12"/>
  <c r="T83" i="12"/>
  <c r="T82" i="12"/>
  <c r="T81" i="12"/>
  <c r="T91" i="12" s="1"/>
  <c r="S79" i="12"/>
  <c r="R79" i="12"/>
  <c r="Q79" i="12"/>
  <c r="Q262" i="12" s="1"/>
  <c r="Q264" i="12" s="1"/>
  <c r="P79" i="12"/>
  <c r="O79" i="12"/>
  <c r="N79" i="12"/>
  <c r="M79" i="12"/>
  <c r="L79" i="12"/>
  <c r="K79" i="12"/>
  <c r="J79" i="12"/>
  <c r="I79" i="12"/>
  <c r="H79" i="12"/>
  <c r="G79" i="12"/>
  <c r="F79" i="12"/>
  <c r="E79" i="12"/>
  <c r="T78" i="12"/>
  <c r="T77" i="12"/>
  <c r="T76" i="12"/>
  <c r="T75" i="12"/>
  <c r="T74" i="12"/>
  <c r="T73" i="12"/>
  <c r="T72" i="12"/>
  <c r="T71" i="12"/>
  <c r="T70" i="12"/>
  <c r="T69" i="12"/>
  <c r="T79" i="12" s="1"/>
  <c r="S67" i="12"/>
  <c r="R67" i="12"/>
  <c r="Q67" i="12"/>
  <c r="P67" i="12"/>
  <c r="O67" i="12"/>
  <c r="N67" i="12"/>
  <c r="M67" i="12"/>
  <c r="L67" i="12"/>
  <c r="K67" i="12"/>
  <c r="J67" i="12"/>
  <c r="I67" i="12"/>
  <c r="H67" i="12"/>
  <c r="G67" i="12"/>
  <c r="F67" i="12"/>
  <c r="E67" i="12"/>
  <c r="T66" i="12"/>
  <c r="T65" i="12"/>
  <c r="T64" i="12"/>
  <c r="T63" i="12"/>
  <c r="T62" i="12"/>
  <c r="T61" i="12"/>
  <c r="T60" i="12"/>
  <c r="T59" i="12"/>
  <c r="T67" i="12" s="1"/>
  <c r="T58" i="12"/>
  <c r="T57" i="12"/>
  <c r="S55" i="12"/>
  <c r="R55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T54" i="12"/>
  <c r="T53" i="12"/>
  <c r="T52" i="12"/>
  <c r="T51" i="12"/>
  <c r="T50" i="12"/>
  <c r="T49" i="12"/>
  <c r="T48" i="12"/>
  <c r="T47" i="12"/>
  <c r="T46" i="12"/>
  <c r="T45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T41" i="12" s="1"/>
  <c r="T40" i="12"/>
  <c r="E40" i="1" s="1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T36" i="12" s="1"/>
  <c r="T35" i="12"/>
  <c r="T34" i="12"/>
  <c r="T33" i="12"/>
  <c r="S30" i="12"/>
  <c r="R30" i="12"/>
  <c r="Q30" i="12"/>
  <c r="P30" i="12"/>
  <c r="O30" i="12"/>
  <c r="N30" i="12"/>
  <c r="S29" i="12"/>
  <c r="R29" i="12"/>
  <c r="Q29" i="12"/>
  <c r="P29" i="12"/>
  <c r="O29" i="12"/>
  <c r="N29" i="12"/>
  <c r="M29" i="12"/>
  <c r="L29" i="12"/>
  <c r="L30" i="12" s="1"/>
  <c r="K29" i="12"/>
  <c r="K30" i="12" s="1"/>
  <c r="J29" i="12"/>
  <c r="I29" i="12"/>
  <c r="H29" i="12"/>
  <c r="H30" i="12" s="1"/>
  <c r="G29" i="12"/>
  <c r="F29" i="12"/>
  <c r="E29" i="12"/>
  <c r="T29" i="12" s="1"/>
  <c r="S28" i="12"/>
  <c r="R28" i="12"/>
  <c r="Q28" i="12"/>
  <c r="P28" i="12"/>
  <c r="O28" i="12"/>
  <c r="N28" i="12"/>
  <c r="M28" i="12"/>
  <c r="M30" i="12" s="1"/>
  <c r="L28" i="12"/>
  <c r="K28" i="12"/>
  <c r="J28" i="12"/>
  <c r="I28" i="12"/>
  <c r="H28" i="12"/>
  <c r="G28" i="12"/>
  <c r="G30" i="12" s="1"/>
  <c r="F28" i="12"/>
  <c r="E28" i="12"/>
  <c r="S27" i="12"/>
  <c r="R27" i="12"/>
  <c r="Q27" i="12"/>
  <c r="P27" i="12"/>
  <c r="O27" i="12"/>
  <c r="T27" i="12" s="1"/>
  <c r="N27" i="12"/>
  <c r="M27" i="12"/>
  <c r="L27" i="12"/>
  <c r="K27" i="12"/>
  <c r="J27" i="12"/>
  <c r="I27" i="12"/>
  <c r="H27" i="12"/>
  <c r="G27" i="12"/>
  <c r="F27" i="12"/>
  <c r="E27" i="12"/>
  <c r="T26" i="12"/>
  <c r="T25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T24" i="12" s="1"/>
  <c r="G24" i="12"/>
  <c r="F24" i="12"/>
  <c r="E24" i="12"/>
  <c r="T23" i="12"/>
  <c r="T22" i="12"/>
  <c r="S21" i="12"/>
  <c r="R21" i="12"/>
  <c r="Q21" i="12"/>
  <c r="P21" i="12"/>
  <c r="O21" i="12"/>
  <c r="N21" i="12"/>
  <c r="M21" i="12"/>
  <c r="L21" i="12"/>
  <c r="K21" i="12"/>
  <c r="I21" i="12"/>
  <c r="H21" i="12"/>
  <c r="G21" i="12"/>
  <c r="F21" i="12"/>
  <c r="T21" i="12" s="1"/>
  <c r="E21" i="12"/>
  <c r="T20" i="12"/>
  <c r="T19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T16" i="12" s="1"/>
  <c r="T15" i="12"/>
  <c r="T14" i="12"/>
  <c r="X263" i="11"/>
  <c r="I262" i="11"/>
  <c r="I264" i="11" s="1"/>
  <c r="H262" i="11"/>
  <c r="H264" i="11" s="1"/>
  <c r="G262" i="11"/>
  <c r="G264" i="11" s="1"/>
  <c r="F262" i="11"/>
  <c r="F264" i="11" s="1"/>
  <c r="W259" i="11"/>
  <c r="V259" i="11"/>
  <c r="U259" i="11"/>
  <c r="T259" i="11"/>
  <c r="S259" i="11"/>
  <c r="R259" i="11"/>
  <c r="Q259" i="11"/>
  <c r="P259" i="11"/>
  <c r="O259" i="11"/>
  <c r="N259" i="11"/>
  <c r="M259" i="11"/>
  <c r="L259" i="11"/>
  <c r="K259" i="11"/>
  <c r="J259" i="11"/>
  <c r="I259" i="11"/>
  <c r="H259" i="11"/>
  <c r="G259" i="11"/>
  <c r="F259" i="11"/>
  <c r="E259" i="11"/>
  <c r="X258" i="11"/>
  <c r="X257" i="11"/>
  <c r="X256" i="11"/>
  <c r="X255" i="11"/>
  <c r="X254" i="11"/>
  <c r="X259" i="11" s="1"/>
  <c r="X253" i="11"/>
  <c r="X252" i="11"/>
  <c r="X251" i="11"/>
  <c r="X250" i="11"/>
  <c r="X249" i="11"/>
  <c r="W247" i="11"/>
  <c r="V247" i="11"/>
  <c r="U247" i="11"/>
  <c r="T247" i="11"/>
  <c r="S247" i="11"/>
  <c r="R247" i="11"/>
  <c r="Q247" i="11"/>
  <c r="P247" i="11"/>
  <c r="O247" i="11"/>
  <c r="N247" i="11"/>
  <c r="M247" i="11"/>
  <c r="L247" i="11"/>
  <c r="K247" i="11"/>
  <c r="J247" i="11"/>
  <c r="I247" i="11"/>
  <c r="H247" i="11"/>
  <c r="G247" i="11"/>
  <c r="F247" i="11"/>
  <c r="E247" i="11"/>
  <c r="X246" i="11"/>
  <c r="X245" i="11"/>
  <c r="X244" i="11"/>
  <c r="X243" i="11"/>
  <c r="X242" i="11"/>
  <c r="X241" i="11"/>
  <c r="X240" i="11"/>
  <c r="X239" i="11"/>
  <c r="X238" i="11"/>
  <c r="X237" i="11"/>
  <c r="X247" i="11" s="1"/>
  <c r="W235" i="11"/>
  <c r="V235" i="11"/>
  <c r="U235" i="11"/>
  <c r="T235" i="11"/>
  <c r="S235" i="11"/>
  <c r="R235" i="11"/>
  <c r="Q235" i="11"/>
  <c r="P235" i="11"/>
  <c r="O235" i="11"/>
  <c r="N235" i="11"/>
  <c r="M235" i="11"/>
  <c r="L235" i="11"/>
  <c r="K235" i="11"/>
  <c r="J235" i="11"/>
  <c r="I235" i="11"/>
  <c r="H235" i="11"/>
  <c r="G235" i="11"/>
  <c r="F235" i="11"/>
  <c r="E235" i="11"/>
  <c r="X234" i="11"/>
  <c r="X233" i="11"/>
  <c r="X232" i="11"/>
  <c r="X231" i="11"/>
  <c r="X230" i="11"/>
  <c r="X229" i="11"/>
  <c r="E229" i="1" s="1"/>
  <c r="X228" i="11"/>
  <c r="E228" i="1" s="1"/>
  <c r="X227" i="11"/>
  <c r="X226" i="11"/>
  <c r="X235" i="11" s="1"/>
  <c r="X225" i="11"/>
  <c r="W223" i="11"/>
  <c r="V223" i="11"/>
  <c r="U223" i="11"/>
  <c r="T223" i="11"/>
  <c r="S223" i="11"/>
  <c r="R223" i="11"/>
  <c r="Q223" i="11"/>
  <c r="P223" i="11"/>
  <c r="O223" i="11"/>
  <c r="N223" i="11"/>
  <c r="M223" i="11"/>
  <c r="L223" i="11"/>
  <c r="K223" i="11"/>
  <c r="J223" i="11"/>
  <c r="I223" i="11"/>
  <c r="H223" i="11"/>
  <c r="G223" i="11"/>
  <c r="F223" i="11"/>
  <c r="E223" i="11"/>
  <c r="X222" i="11"/>
  <c r="X221" i="11"/>
  <c r="X220" i="11"/>
  <c r="X219" i="11"/>
  <c r="X223" i="11" s="1"/>
  <c r="X218" i="11"/>
  <c r="X217" i="11"/>
  <c r="X216" i="11"/>
  <c r="X215" i="11"/>
  <c r="X214" i="11"/>
  <c r="X213" i="11"/>
  <c r="W211" i="11"/>
  <c r="V211" i="11"/>
  <c r="U211" i="11"/>
  <c r="T211" i="11"/>
  <c r="S211" i="11"/>
  <c r="R211" i="11"/>
  <c r="Q211" i="11"/>
  <c r="P211" i="11"/>
  <c r="O211" i="11"/>
  <c r="N211" i="11"/>
  <c r="M211" i="11"/>
  <c r="L211" i="11"/>
  <c r="K211" i="11"/>
  <c r="J211" i="11"/>
  <c r="I211" i="11"/>
  <c r="H211" i="11"/>
  <c r="G211" i="11"/>
  <c r="F211" i="11"/>
  <c r="E211" i="11"/>
  <c r="X210" i="11"/>
  <c r="X209" i="11"/>
  <c r="X208" i="11"/>
  <c r="X207" i="11"/>
  <c r="X206" i="11"/>
  <c r="X205" i="11"/>
  <c r="X204" i="11"/>
  <c r="X203" i="11"/>
  <c r="X202" i="11"/>
  <c r="X201" i="11"/>
  <c r="X211" i="11" s="1"/>
  <c r="W199" i="11"/>
  <c r="V199" i="11"/>
  <c r="U199" i="11"/>
  <c r="T199" i="11"/>
  <c r="S199" i="11"/>
  <c r="R199" i="11"/>
  <c r="Q199" i="11"/>
  <c r="P199" i="11"/>
  <c r="O199" i="11"/>
  <c r="N199" i="11"/>
  <c r="M199" i="11"/>
  <c r="L199" i="11"/>
  <c r="K199" i="11"/>
  <c r="J199" i="11"/>
  <c r="I199" i="11"/>
  <c r="H199" i="11"/>
  <c r="G199" i="11"/>
  <c r="F199" i="11"/>
  <c r="E199" i="11"/>
  <c r="X198" i="11"/>
  <c r="X197" i="11"/>
  <c r="X196" i="11"/>
  <c r="X195" i="11"/>
  <c r="X194" i="11"/>
  <c r="X193" i="11"/>
  <c r="X192" i="11"/>
  <c r="X191" i="11"/>
  <c r="X190" i="11"/>
  <c r="X189" i="11"/>
  <c r="W187" i="11"/>
  <c r="V187" i="11"/>
  <c r="U187" i="11"/>
  <c r="T187" i="11"/>
  <c r="S187" i="11"/>
  <c r="R187" i="11"/>
  <c r="Q187" i="11"/>
  <c r="P187" i="11"/>
  <c r="O187" i="11"/>
  <c r="N187" i="11"/>
  <c r="M187" i="11"/>
  <c r="L187" i="11"/>
  <c r="K187" i="11"/>
  <c r="J187" i="11"/>
  <c r="I187" i="11"/>
  <c r="H187" i="11"/>
  <c r="G187" i="11"/>
  <c r="F187" i="11"/>
  <c r="E187" i="11"/>
  <c r="X186" i="11"/>
  <c r="X185" i="11"/>
  <c r="X184" i="11"/>
  <c r="X183" i="11"/>
  <c r="X182" i="11"/>
  <c r="X181" i="11"/>
  <c r="X180" i="11"/>
  <c r="X179" i="11"/>
  <c r="X178" i="11"/>
  <c r="X177" i="11"/>
  <c r="W175" i="11"/>
  <c r="V175" i="11"/>
  <c r="U175" i="11"/>
  <c r="T175" i="11"/>
  <c r="S175" i="11"/>
  <c r="R175" i="11"/>
  <c r="Q175" i="11"/>
  <c r="P175" i="11"/>
  <c r="O175" i="11"/>
  <c r="N175" i="11"/>
  <c r="M175" i="11"/>
  <c r="L175" i="11"/>
  <c r="K175" i="11"/>
  <c r="J175" i="11"/>
  <c r="I175" i="11"/>
  <c r="H175" i="11"/>
  <c r="G175" i="11"/>
  <c r="F175" i="11"/>
  <c r="E175" i="11"/>
  <c r="X174" i="11"/>
  <c r="X173" i="11"/>
  <c r="X172" i="11"/>
  <c r="X171" i="11"/>
  <c r="X170" i="11"/>
  <c r="X169" i="11"/>
  <c r="X168" i="11"/>
  <c r="X167" i="11"/>
  <c r="X166" i="11"/>
  <c r="X165" i="11"/>
  <c r="X175" i="11" s="1"/>
  <c r="W163" i="11"/>
  <c r="V163" i="11"/>
  <c r="U163" i="11"/>
  <c r="T163" i="11"/>
  <c r="S163" i="11"/>
  <c r="R163" i="11"/>
  <c r="Q163" i="11"/>
  <c r="P163" i="11"/>
  <c r="O163" i="11"/>
  <c r="N163" i="11"/>
  <c r="M163" i="11"/>
  <c r="L163" i="11"/>
  <c r="K163" i="11"/>
  <c r="J163" i="11"/>
  <c r="I163" i="11"/>
  <c r="H163" i="11"/>
  <c r="G163" i="11"/>
  <c r="F163" i="11"/>
  <c r="E163" i="11"/>
  <c r="X162" i="11"/>
  <c r="X161" i="11"/>
  <c r="X160" i="11"/>
  <c r="X159" i="11"/>
  <c r="X158" i="11"/>
  <c r="X157" i="11"/>
  <c r="X156" i="11"/>
  <c r="X155" i="11"/>
  <c r="X163" i="11" s="1"/>
  <c r="X154" i="11"/>
  <c r="X153" i="11"/>
  <c r="W151" i="11"/>
  <c r="V151" i="11"/>
  <c r="U151" i="11"/>
  <c r="T151" i="11"/>
  <c r="S151" i="11"/>
  <c r="R151" i="11"/>
  <c r="Q151" i="11"/>
  <c r="P151" i="11"/>
  <c r="O151" i="11"/>
  <c r="N151" i="11"/>
  <c r="M151" i="11"/>
  <c r="L151" i="11"/>
  <c r="K151" i="11"/>
  <c r="J151" i="11"/>
  <c r="I151" i="11"/>
  <c r="H151" i="11"/>
  <c r="G151" i="11"/>
  <c r="F151" i="11"/>
  <c r="E151" i="11"/>
  <c r="E262" i="11" s="1"/>
  <c r="X150" i="11"/>
  <c r="X149" i="11"/>
  <c r="X148" i="11"/>
  <c r="X147" i="11"/>
  <c r="X146" i="11"/>
  <c r="X145" i="11"/>
  <c r="X144" i="11"/>
  <c r="X143" i="11"/>
  <c r="X142" i="11"/>
  <c r="X141" i="11"/>
  <c r="X151" i="11" s="1"/>
  <c r="W139" i="11"/>
  <c r="V139" i="11"/>
  <c r="U139" i="11"/>
  <c r="T139" i="11"/>
  <c r="S139" i="11"/>
  <c r="R139" i="11"/>
  <c r="Q139" i="11"/>
  <c r="P139" i="11"/>
  <c r="O139" i="11"/>
  <c r="N139" i="11"/>
  <c r="M139" i="11"/>
  <c r="L139" i="11"/>
  <c r="K139" i="11"/>
  <c r="J139" i="11"/>
  <c r="I139" i="11"/>
  <c r="H139" i="11"/>
  <c r="G139" i="11"/>
  <c r="F139" i="11"/>
  <c r="E139" i="11"/>
  <c r="X138" i="11"/>
  <c r="X137" i="11"/>
  <c r="X136" i="11"/>
  <c r="X135" i="11"/>
  <c r="X134" i="11"/>
  <c r="X133" i="11"/>
  <c r="X132" i="11"/>
  <c r="X131" i="11"/>
  <c r="X130" i="11"/>
  <c r="X129" i="11"/>
  <c r="X139" i="11" s="1"/>
  <c r="W127" i="11"/>
  <c r="V127" i="11"/>
  <c r="U127" i="11"/>
  <c r="T127" i="11"/>
  <c r="S127" i="11"/>
  <c r="R127" i="11"/>
  <c r="Q127" i="11"/>
  <c r="P127" i="11"/>
  <c r="O127" i="11"/>
  <c r="N127" i="11"/>
  <c r="M127" i="11"/>
  <c r="L127" i="11"/>
  <c r="K127" i="11"/>
  <c r="J127" i="11"/>
  <c r="I127" i="11"/>
  <c r="H127" i="11"/>
  <c r="G127" i="11"/>
  <c r="F127" i="11"/>
  <c r="E127" i="11"/>
  <c r="X126" i="11"/>
  <c r="X125" i="11"/>
  <c r="X124" i="11"/>
  <c r="X123" i="11"/>
  <c r="X122" i="11"/>
  <c r="X121" i="11"/>
  <c r="X127" i="11" s="1"/>
  <c r="X120" i="11"/>
  <c r="X119" i="11"/>
  <c r="X118" i="11"/>
  <c r="X117" i="11"/>
  <c r="W115" i="11"/>
  <c r="V115" i="11"/>
  <c r="U115" i="11"/>
  <c r="T115" i="11"/>
  <c r="S115" i="11"/>
  <c r="R115" i="11"/>
  <c r="Q115" i="11"/>
  <c r="P115" i="11"/>
  <c r="O115" i="11"/>
  <c r="N115" i="11"/>
  <c r="M115" i="11"/>
  <c r="L115" i="11"/>
  <c r="K115" i="11"/>
  <c r="J115" i="11"/>
  <c r="I115" i="11"/>
  <c r="H115" i="11"/>
  <c r="G115" i="11"/>
  <c r="F115" i="11"/>
  <c r="E115" i="11"/>
  <c r="X114" i="11"/>
  <c r="X113" i="11"/>
  <c r="X112" i="11"/>
  <c r="X111" i="11"/>
  <c r="X110" i="11"/>
  <c r="X109" i="11"/>
  <c r="X108" i="11"/>
  <c r="X107" i="11"/>
  <c r="X106" i="11"/>
  <c r="X105" i="11"/>
  <c r="W103" i="11"/>
  <c r="V103" i="11"/>
  <c r="U103" i="11"/>
  <c r="T103" i="11"/>
  <c r="S103" i="11"/>
  <c r="R103" i="11"/>
  <c r="Q103" i="11"/>
  <c r="P103" i="11"/>
  <c r="O103" i="11"/>
  <c r="N103" i="11"/>
  <c r="M103" i="11"/>
  <c r="L103" i="11"/>
  <c r="K103" i="11"/>
  <c r="J103" i="11"/>
  <c r="I103" i="11"/>
  <c r="H103" i="11"/>
  <c r="G103" i="11"/>
  <c r="F103" i="11"/>
  <c r="E103" i="11"/>
  <c r="X102" i="11"/>
  <c r="X101" i="11"/>
  <c r="X100" i="11"/>
  <c r="X99" i="11"/>
  <c r="X98" i="11"/>
  <c r="X97" i="11"/>
  <c r="X96" i="11"/>
  <c r="X95" i="11"/>
  <c r="X94" i="11"/>
  <c r="X103" i="11" s="1"/>
  <c r="X93" i="11"/>
  <c r="W91" i="11"/>
  <c r="V91" i="11"/>
  <c r="U91" i="11"/>
  <c r="T91" i="11"/>
  <c r="S91" i="11"/>
  <c r="R91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X90" i="11"/>
  <c r="X89" i="11"/>
  <c r="X88" i="11"/>
  <c r="X87" i="11"/>
  <c r="X86" i="11"/>
  <c r="X85" i="11"/>
  <c r="X84" i="11"/>
  <c r="X91" i="11" s="1"/>
  <c r="X83" i="11"/>
  <c r="X82" i="11"/>
  <c r="X81" i="11"/>
  <c r="W79" i="11"/>
  <c r="V79" i="11"/>
  <c r="U79" i="11"/>
  <c r="T79" i="11"/>
  <c r="S79" i="11"/>
  <c r="R79" i="11"/>
  <c r="Q79" i="11"/>
  <c r="P79" i="11"/>
  <c r="O79" i="11"/>
  <c r="N79" i="11"/>
  <c r="M79" i="11"/>
  <c r="L79" i="11"/>
  <c r="K79" i="11"/>
  <c r="J79" i="11"/>
  <c r="J262" i="11" s="1"/>
  <c r="J264" i="11" s="1"/>
  <c r="I79" i="11"/>
  <c r="H79" i="11"/>
  <c r="G79" i="11"/>
  <c r="F79" i="11"/>
  <c r="E79" i="11"/>
  <c r="X78" i="11"/>
  <c r="X77" i="11"/>
  <c r="X76" i="11"/>
  <c r="X75" i="11"/>
  <c r="X74" i="11"/>
  <c r="X73" i="11"/>
  <c r="X72" i="11"/>
  <c r="X71" i="11"/>
  <c r="X70" i="11"/>
  <c r="X69" i="11"/>
  <c r="X79" i="11" s="1"/>
  <c r="W67" i="11"/>
  <c r="V67" i="11"/>
  <c r="U67" i="11"/>
  <c r="T67" i="11"/>
  <c r="S67" i="11"/>
  <c r="R67" i="11"/>
  <c r="Q67" i="11"/>
  <c r="P67" i="11"/>
  <c r="O67" i="11"/>
  <c r="N67" i="11"/>
  <c r="M67" i="11"/>
  <c r="L67" i="11"/>
  <c r="K67" i="11"/>
  <c r="J67" i="11"/>
  <c r="I67" i="11"/>
  <c r="H67" i="11"/>
  <c r="G67" i="11"/>
  <c r="F67" i="11"/>
  <c r="E67" i="11"/>
  <c r="X66" i="11"/>
  <c r="X65" i="11"/>
  <c r="X64" i="11"/>
  <c r="X63" i="11"/>
  <c r="X62" i="11"/>
  <c r="X61" i="11"/>
  <c r="X60" i="11"/>
  <c r="X59" i="11"/>
  <c r="X58" i="11"/>
  <c r="X57" i="11"/>
  <c r="X67" i="11" s="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F55" i="11"/>
  <c r="E55" i="11"/>
  <c r="X54" i="11"/>
  <c r="X53" i="11"/>
  <c r="X52" i="11"/>
  <c r="X51" i="11"/>
  <c r="X50" i="11"/>
  <c r="X49" i="11"/>
  <c r="X48" i="11"/>
  <c r="X47" i="11"/>
  <c r="X46" i="11"/>
  <c r="X45" i="11"/>
  <c r="W41" i="11"/>
  <c r="V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X41" i="11" s="1"/>
  <c r="G41" i="11"/>
  <c r="F41" i="11"/>
  <c r="E41" i="11"/>
  <c r="X40" i="11"/>
  <c r="X39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X36" i="11" s="1"/>
  <c r="G36" i="11"/>
  <c r="F36" i="11"/>
  <c r="E36" i="11"/>
  <c r="X35" i="11"/>
  <c r="X34" i="11"/>
  <c r="X33" i="11"/>
  <c r="U30" i="11"/>
  <c r="T30" i="11"/>
  <c r="P30" i="11"/>
  <c r="O30" i="11"/>
  <c r="M30" i="11"/>
  <c r="L30" i="11"/>
  <c r="W29" i="11"/>
  <c r="W30" i="11" s="1"/>
  <c r="V29" i="11"/>
  <c r="U29" i="11"/>
  <c r="T29" i="11"/>
  <c r="S29" i="11"/>
  <c r="R29" i="11"/>
  <c r="Q29" i="11"/>
  <c r="P29" i="11"/>
  <c r="O29" i="11"/>
  <c r="N29" i="11"/>
  <c r="M29" i="11"/>
  <c r="L29" i="11"/>
  <c r="K29" i="11"/>
  <c r="X29" i="11" s="1"/>
  <c r="J29" i="11"/>
  <c r="J30" i="11" s="1"/>
  <c r="I29" i="11"/>
  <c r="H29" i="11"/>
  <c r="G29" i="11"/>
  <c r="G30" i="11" s="1"/>
  <c r="F29" i="11"/>
  <c r="E29" i="11"/>
  <c r="W28" i="11"/>
  <c r="V28" i="11"/>
  <c r="U28" i="11"/>
  <c r="T28" i="11"/>
  <c r="S28" i="11"/>
  <c r="S30" i="11" s="1"/>
  <c r="R28" i="11"/>
  <c r="R30" i="11" s="1"/>
  <c r="Q28" i="11"/>
  <c r="Q30" i="11" s="1"/>
  <c r="P28" i="11"/>
  <c r="O28" i="11"/>
  <c r="N28" i="11"/>
  <c r="M28" i="11"/>
  <c r="L28" i="11"/>
  <c r="K28" i="11"/>
  <c r="J28" i="11"/>
  <c r="I28" i="11"/>
  <c r="I30" i="11" s="1"/>
  <c r="H28" i="11"/>
  <c r="H30" i="11" s="1"/>
  <c r="G28" i="11"/>
  <c r="F28" i="11"/>
  <c r="F30" i="11" s="1"/>
  <c r="E28" i="11"/>
  <c r="W27" i="11"/>
  <c r="V27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X27" i="11" s="1"/>
  <c r="E27" i="11"/>
  <c r="X26" i="11"/>
  <c r="X25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X23" i="11"/>
  <c r="X22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X20" i="11"/>
  <c r="X19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X15" i="11"/>
  <c r="X14" i="11"/>
  <c r="R263" i="10"/>
  <c r="Q259" i="10"/>
  <c r="P259" i="10"/>
  <c r="O259" i="10"/>
  <c r="N259" i="10"/>
  <c r="M259" i="10"/>
  <c r="L259" i="10"/>
  <c r="K259" i="10"/>
  <c r="J259" i="10"/>
  <c r="I259" i="10"/>
  <c r="H259" i="10"/>
  <c r="G259" i="10"/>
  <c r="F259" i="10"/>
  <c r="E259" i="10"/>
  <c r="R258" i="10"/>
  <c r="R257" i="10"/>
  <c r="R256" i="10"/>
  <c r="R255" i="10"/>
  <c r="R254" i="10"/>
  <c r="R253" i="10"/>
  <c r="R252" i="10"/>
  <c r="R251" i="10"/>
  <c r="R250" i="10"/>
  <c r="R249" i="10"/>
  <c r="R259" i="10" s="1"/>
  <c r="Q247" i="10"/>
  <c r="P247" i="10"/>
  <c r="O247" i="10"/>
  <c r="N247" i="10"/>
  <c r="M247" i="10"/>
  <c r="L247" i="10"/>
  <c r="K247" i="10"/>
  <c r="J247" i="10"/>
  <c r="I247" i="10"/>
  <c r="H247" i="10"/>
  <c r="G247" i="10"/>
  <c r="F247" i="10"/>
  <c r="E247" i="10"/>
  <c r="R246" i="10"/>
  <c r="R245" i="10"/>
  <c r="R244" i="10"/>
  <c r="R243" i="10"/>
  <c r="R242" i="10"/>
  <c r="R241" i="10"/>
  <c r="R240" i="10"/>
  <c r="R239" i="10"/>
  <c r="R238" i="10"/>
  <c r="R237" i="10"/>
  <c r="R247" i="10" s="1"/>
  <c r="Q235" i="10"/>
  <c r="P235" i="10"/>
  <c r="O235" i="10"/>
  <c r="N235" i="10"/>
  <c r="M235" i="10"/>
  <c r="L235" i="10"/>
  <c r="K235" i="10"/>
  <c r="J235" i="10"/>
  <c r="I235" i="10"/>
  <c r="H235" i="10"/>
  <c r="G235" i="10"/>
  <c r="F235" i="10"/>
  <c r="E235" i="10"/>
  <c r="R234" i="10"/>
  <c r="R233" i="10"/>
  <c r="R232" i="10"/>
  <c r="R231" i="10"/>
  <c r="R230" i="10"/>
  <c r="R229" i="10"/>
  <c r="R228" i="10"/>
  <c r="R227" i="10"/>
  <c r="R226" i="10"/>
  <c r="R235" i="10" s="1"/>
  <c r="R225" i="10"/>
  <c r="Q223" i="10"/>
  <c r="P223" i="10"/>
  <c r="O223" i="10"/>
  <c r="N223" i="10"/>
  <c r="M223" i="10"/>
  <c r="L223" i="10"/>
  <c r="K223" i="10"/>
  <c r="J223" i="10"/>
  <c r="I223" i="10"/>
  <c r="H223" i="10"/>
  <c r="G223" i="10"/>
  <c r="F223" i="10"/>
  <c r="E223" i="10"/>
  <c r="R222" i="10"/>
  <c r="R221" i="10"/>
  <c r="R220" i="10"/>
  <c r="R219" i="10"/>
  <c r="R218" i="10"/>
  <c r="R217" i="10"/>
  <c r="R216" i="10"/>
  <c r="R215" i="10"/>
  <c r="R214" i="10"/>
  <c r="R223" i="10" s="1"/>
  <c r="R213" i="10"/>
  <c r="Q211" i="10"/>
  <c r="P211" i="10"/>
  <c r="O211" i="10"/>
  <c r="N211" i="10"/>
  <c r="M211" i="10"/>
  <c r="L211" i="10"/>
  <c r="K211" i="10"/>
  <c r="J211" i="10"/>
  <c r="I211" i="10"/>
  <c r="H211" i="10"/>
  <c r="G211" i="10"/>
  <c r="F211" i="10"/>
  <c r="E211" i="10"/>
  <c r="R210" i="10"/>
  <c r="R209" i="10"/>
  <c r="R208" i="10"/>
  <c r="R207" i="10"/>
  <c r="R206" i="10"/>
  <c r="R205" i="10"/>
  <c r="R204" i="10"/>
  <c r="R203" i="10"/>
  <c r="R202" i="10"/>
  <c r="R211" i="10" s="1"/>
  <c r="R201" i="10"/>
  <c r="Q199" i="10"/>
  <c r="P199" i="10"/>
  <c r="O199" i="10"/>
  <c r="N199" i="10"/>
  <c r="M199" i="10"/>
  <c r="L199" i="10"/>
  <c r="K199" i="10"/>
  <c r="J199" i="10"/>
  <c r="I199" i="10"/>
  <c r="H199" i="10"/>
  <c r="G199" i="10"/>
  <c r="F199" i="10"/>
  <c r="E199" i="10"/>
  <c r="R198" i="10"/>
  <c r="R197" i="10"/>
  <c r="R196" i="10"/>
  <c r="R195" i="10"/>
  <c r="R194" i="10"/>
  <c r="R193" i="10"/>
  <c r="R192" i="10"/>
  <c r="R191" i="10"/>
  <c r="R190" i="10"/>
  <c r="R199" i="10" s="1"/>
  <c r="R189" i="10"/>
  <c r="Q187" i="10"/>
  <c r="P187" i="10"/>
  <c r="O187" i="10"/>
  <c r="N187" i="10"/>
  <c r="M187" i="10"/>
  <c r="L187" i="10"/>
  <c r="K187" i="10"/>
  <c r="J187" i="10"/>
  <c r="I187" i="10"/>
  <c r="H187" i="10"/>
  <c r="G187" i="10"/>
  <c r="F187" i="10"/>
  <c r="E187" i="10"/>
  <c r="R186" i="10"/>
  <c r="R185" i="10"/>
  <c r="R184" i="10"/>
  <c r="R183" i="10"/>
  <c r="R182" i="10"/>
  <c r="R181" i="10"/>
  <c r="R180" i="10"/>
  <c r="R179" i="10"/>
  <c r="R178" i="10"/>
  <c r="R177" i="10"/>
  <c r="Q175" i="10"/>
  <c r="P175" i="10"/>
  <c r="O175" i="10"/>
  <c r="N175" i="10"/>
  <c r="M175" i="10"/>
  <c r="L175" i="10"/>
  <c r="K175" i="10"/>
  <c r="J175" i="10"/>
  <c r="I175" i="10"/>
  <c r="H175" i="10"/>
  <c r="G175" i="10"/>
  <c r="F175" i="10"/>
  <c r="E175" i="10"/>
  <c r="R174" i="10"/>
  <c r="R173" i="10"/>
  <c r="R172" i="10"/>
  <c r="R171" i="10"/>
  <c r="R170" i="10"/>
  <c r="R169" i="10"/>
  <c r="R168" i="10"/>
  <c r="R167" i="10"/>
  <c r="R166" i="10"/>
  <c r="R165" i="10"/>
  <c r="Q163" i="10"/>
  <c r="P163" i="10"/>
  <c r="O163" i="10"/>
  <c r="N163" i="10"/>
  <c r="M163" i="10"/>
  <c r="L163" i="10"/>
  <c r="K163" i="10"/>
  <c r="J163" i="10"/>
  <c r="I163" i="10"/>
  <c r="H163" i="10"/>
  <c r="G163" i="10"/>
  <c r="F163" i="10"/>
  <c r="E163" i="10"/>
  <c r="R162" i="10"/>
  <c r="R161" i="10"/>
  <c r="R160" i="10"/>
  <c r="R159" i="10"/>
  <c r="R158" i="10"/>
  <c r="R157" i="10"/>
  <c r="R156" i="10"/>
  <c r="R155" i="10"/>
  <c r="R154" i="10"/>
  <c r="R153" i="10"/>
  <c r="Q151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R150" i="10"/>
  <c r="R149" i="10"/>
  <c r="R148" i="10"/>
  <c r="R147" i="10"/>
  <c r="R146" i="10"/>
  <c r="R145" i="10"/>
  <c r="R144" i="10"/>
  <c r="R143" i="10"/>
  <c r="R142" i="10"/>
  <c r="R141" i="10"/>
  <c r="Q139" i="10"/>
  <c r="P139" i="10"/>
  <c r="O139" i="10"/>
  <c r="N139" i="10"/>
  <c r="M139" i="10"/>
  <c r="L139" i="10"/>
  <c r="K139" i="10"/>
  <c r="J139" i="10"/>
  <c r="I139" i="10"/>
  <c r="H139" i="10"/>
  <c r="G139" i="10"/>
  <c r="F139" i="10"/>
  <c r="E139" i="10"/>
  <c r="R138" i="10"/>
  <c r="R137" i="10"/>
  <c r="R136" i="10"/>
  <c r="R135" i="10"/>
  <c r="R134" i="10"/>
  <c r="R133" i="10"/>
  <c r="R132" i="10"/>
  <c r="R131" i="10"/>
  <c r="R130" i="10"/>
  <c r="R139" i="10" s="1"/>
  <c r="R129" i="10"/>
  <c r="Q127" i="10"/>
  <c r="P127" i="10"/>
  <c r="O127" i="10"/>
  <c r="N127" i="10"/>
  <c r="M127" i="10"/>
  <c r="L127" i="10"/>
  <c r="K127" i="10"/>
  <c r="J127" i="10"/>
  <c r="I127" i="10"/>
  <c r="H127" i="10"/>
  <c r="G127" i="10"/>
  <c r="F127" i="10"/>
  <c r="E127" i="10"/>
  <c r="R126" i="10"/>
  <c r="R125" i="10"/>
  <c r="R124" i="10"/>
  <c r="R123" i="10"/>
  <c r="R122" i="10"/>
  <c r="R121" i="10"/>
  <c r="R120" i="10"/>
  <c r="R119" i="10"/>
  <c r="R118" i="10"/>
  <c r="R117" i="10"/>
  <c r="Q115" i="10"/>
  <c r="P115" i="10"/>
  <c r="O115" i="10"/>
  <c r="N115" i="10"/>
  <c r="M115" i="10"/>
  <c r="L115" i="10"/>
  <c r="K115" i="10"/>
  <c r="J115" i="10"/>
  <c r="I115" i="10"/>
  <c r="H115" i="10"/>
  <c r="G115" i="10"/>
  <c r="F115" i="10"/>
  <c r="E115" i="10"/>
  <c r="R114" i="10"/>
  <c r="R113" i="10"/>
  <c r="R112" i="10"/>
  <c r="R111" i="10"/>
  <c r="R110" i="10"/>
  <c r="R109" i="10"/>
  <c r="R108" i="10"/>
  <c r="R107" i="10"/>
  <c r="R106" i="10"/>
  <c r="R115" i="10" s="1"/>
  <c r="R105" i="10"/>
  <c r="Q103" i="10"/>
  <c r="P103" i="10"/>
  <c r="O103" i="10"/>
  <c r="N103" i="10"/>
  <c r="M103" i="10"/>
  <c r="L103" i="10"/>
  <c r="K103" i="10"/>
  <c r="J103" i="10"/>
  <c r="I103" i="10"/>
  <c r="H103" i="10"/>
  <c r="G103" i="10"/>
  <c r="F103" i="10"/>
  <c r="E103" i="10"/>
  <c r="R102" i="10"/>
  <c r="R101" i="10"/>
  <c r="R100" i="10"/>
  <c r="R99" i="10"/>
  <c r="R98" i="10"/>
  <c r="R97" i="10"/>
  <c r="R96" i="10"/>
  <c r="R95" i="10"/>
  <c r="R94" i="10"/>
  <c r="R93" i="10"/>
  <c r="R103" i="10" s="1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R90" i="10"/>
  <c r="R89" i="10"/>
  <c r="R88" i="10"/>
  <c r="R87" i="10"/>
  <c r="R86" i="10"/>
  <c r="R85" i="10"/>
  <c r="R84" i="10"/>
  <c r="R83" i="10"/>
  <c r="R82" i="10"/>
  <c r="R81" i="10"/>
  <c r="R91" i="10" s="1"/>
  <c r="Q79" i="10"/>
  <c r="P79" i="10"/>
  <c r="O79" i="10"/>
  <c r="O262" i="10" s="1"/>
  <c r="O264" i="10" s="1"/>
  <c r="N79" i="10"/>
  <c r="M79" i="10"/>
  <c r="L79" i="10"/>
  <c r="K79" i="10"/>
  <c r="J79" i="10"/>
  <c r="I79" i="10"/>
  <c r="H79" i="10"/>
  <c r="G79" i="10"/>
  <c r="F79" i="10"/>
  <c r="E79" i="10"/>
  <c r="R78" i="10"/>
  <c r="R77" i="10"/>
  <c r="R76" i="10"/>
  <c r="R75" i="10"/>
  <c r="R74" i="10"/>
  <c r="R73" i="10"/>
  <c r="R72" i="10"/>
  <c r="R71" i="10"/>
  <c r="R70" i="10"/>
  <c r="R79" i="10" s="1"/>
  <c r="R69" i="10"/>
  <c r="Q67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R66" i="10"/>
  <c r="R65" i="10"/>
  <c r="R64" i="10"/>
  <c r="R63" i="10"/>
  <c r="R62" i="10"/>
  <c r="R61" i="10"/>
  <c r="R60" i="10"/>
  <c r="R59" i="10"/>
  <c r="R58" i="10"/>
  <c r="R57" i="10"/>
  <c r="R67" i="10" s="1"/>
  <c r="Q55" i="10"/>
  <c r="Q262" i="10" s="1"/>
  <c r="Q264" i="10" s="1"/>
  <c r="P55" i="10"/>
  <c r="O55" i="10"/>
  <c r="N55" i="10"/>
  <c r="M55" i="10"/>
  <c r="L55" i="10"/>
  <c r="K55" i="10"/>
  <c r="J55" i="10"/>
  <c r="I55" i="10"/>
  <c r="H55" i="10"/>
  <c r="G55" i="10"/>
  <c r="F55" i="10"/>
  <c r="E55" i="10"/>
  <c r="R54" i="10"/>
  <c r="R53" i="10"/>
  <c r="R52" i="10"/>
  <c r="R51" i="10"/>
  <c r="R50" i="10"/>
  <c r="R49" i="10"/>
  <c r="R48" i="10"/>
  <c r="R47" i="10"/>
  <c r="R46" i="10"/>
  <c r="R45" i="10"/>
  <c r="R55" i="10" s="1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R40" i="10"/>
  <c r="R39" i="10"/>
  <c r="Q36" i="10"/>
  <c r="P36" i="10"/>
  <c r="O36" i="10"/>
  <c r="N36" i="10"/>
  <c r="M36" i="10"/>
  <c r="L36" i="10"/>
  <c r="R36" i="10" s="1"/>
  <c r="K36" i="10"/>
  <c r="J36" i="10"/>
  <c r="I36" i="10"/>
  <c r="H36" i="10"/>
  <c r="G36" i="10"/>
  <c r="F36" i="10"/>
  <c r="E36" i="10"/>
  <c r="R35" i="10"/>
  <c r="R34" i="10"/>
  <c r="R33" i="10"/>
  <c r="Q29" i="10"/>
  <c r="P29" i="10"/>
  <c r="P30" i="10" s="1"/>
  <c r="O29" i="10"/>
  <c r="O30" i="10" s="1"/>
  <c r="N29" i="10"/>
  <c r="N30" i="10" s="1"/>
  <c r="M29" i="10"/>
  <c r="M30" i="10" s="1"/>
  <c r="L29" i="10"/>
  <c r="K29" i="10"/>
  <c r="K30" i="10" s="1"/>
  <c r="J29" i="10"/>
  <c r="J30" i="10" s="1"/>
  <c r="I29" i="10"/>
  <c r="H29" i="10"/>
  <c r="G29" i="10"/>
  <c r="F29" i="10"/>
  <c r="E29" i="10"/>
  <c r="Q28" i="10"/>
  <c r="Q30" i="10" s="1"/>
  <c r="P28" i="10"/>
  <c r="O28" i="10"/>
  <c r="N28" i="10"/>
  <c r="M28" i="10"/>
  <c r="L28" i="10"/>
  <c r="K28" i="10"/>
  <c r="J28" i="10"/>
  <c r="I28" i="10"/>
  <c r="H28" i="10"/>
  <c r="G28" i="10"/>
  <c r="G30" i="10" s="1"/>
  <c r="F28" i="10"/>
  <c r="F30" i="10" s="1"/>
  <c r="E28" i="10"/>
  <c r="Q27" i="10"/>
  <c r="P27" i="10"/>
  <c r="O27" i="10"/>
  <c r="N27" i="10"/>
  <c r="M27" i="10"/>
  <c r="R27" i="10" s="1"/>
  <c r="L27" i="10"/>
  <c r="K27" i="10"/>
  <c r="J27" i="10"/>
  <c r="I27" i="10"/>
  <c r="H27" i="10"/>
  <c r="G27" i="10"/>
  <c r="F27" i="10"/>
  <c r="E27" i="10"/>
  <c r="R26" i="10"/>
  <c r="R25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R23" i="10"/>
  <c r="R22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R21" i="10" s="1"/>
  <c r="R20" i="10"/>
  <c r="R19" i="10"/>
  <c r="Q16" i="10"/>
  <c r="P16" i="10"/>
  <c r="R16" i="10" s="1"/>
  <c r="O16" i="10"/>
  <c r="N16" i="10"/>
  <c r="M16" i="10"/>
  <c r="L16" i="10"/>
  <c r="K16" i="10"/>
  <c r="J16" i="10"/>
  <c r="I16" i="10"/>
  <c r="H16" i="10"/>
  <c r="G16" i="10"/>
  <c r="F16" i="10"/>
  <c r="E16" i="10"/>
  <c r="R15" i="10"/>
  <c r="R14" i="10"/>
  <c r="O264" i="9"/>
  <c r="M264" i="9"/>
  <c r="T263" i="9"/>
  <c r="S259" i="9"/>
  <c r="R259" i="9"/>
  <c r="Q259" i="9"/>
  <c r="P259" i="9"/>
  <c r="O259" i="9"/>
  <c r="N259" i="9"/>
  <c r="M259" i="9"/>
  <c r="L259" i="9"/>
  <c r="K259" i="9"/>
  <c r="J259" i="9"/>
  <c r="I259" i="9"/>
  <c r="H259" i="9"/>
  <c r="G259" i="9"/>
  <c r="F259" i="9"/>
  <c r="E259" i="9"/>
  <c r="T258" i="9"/>
  <c r="T257" i="9"/>
  <c r="T256" i="9"/>
  <c r="T255" i="9"/>
  <c r="T254" i="9"/>
  <c r="T253" i="9"/>
  <c r="T252" i="9"/>
  <c r="T251" i="9"/>
  <c r="T259" i="9" s="1"/>
  <c r="T250" i="9"/>
  <c r="T249" i="9"/>
  <c r="S247" i="9"/>
  <c r="R247" i="9"/>
  <c r="Q247" i="9"/>
  <c r="P247" i="9"/>
  <c r="O247" i="9"/>
  <c r="N247" i="9"/>
  <c r="M247" i="9"/>
  <c r="L247" i="9"/>
  <c r="K247" i="9"/>
  <c r="J247" i="9"/>
  <c r="I247" i="9"/>
  <c r="H247" i="9"/>
  <c r="G247" i="9"/>
  <c r="F247" i="9"/>
  <c r="E247" i="9"/>
  <c r="T246" i="9"/>
  <c r="T245" i="9"/>
  <c r="T244" i="9"/>
  <c r="T243" i="9"/>
  <c r="T242" i="9"/>
  <c r="T241" i="9"/>
  <c r="T240" i="9"/>
  <c r="T247" i="9" s="1"/>
  <c r="T239" i="9"/>
  <c r="T238" i="9"/>
  <c r="T237" i="9"/>
  <c r="S235" i="9"/>
  <c r="R235" i="9"/>
  <c r="Q235" i="9"/>
  <c r="P235" i="9"/>
  <c r="O235" i="9"/>
  <c r="N235" i="9"/>
  <c r="M235" i="9"/>
  <c r="L235" i="9"/>
  <c r="K235" i="9"/>
  <c r="J235" i="9"/>
  <c r="I235" i="9"/>
  <c r="H235" i="9"/>
  <c r="G235" i="9"/>
  <c r="F235" i="9"/>
  <c r="E235" i="9"/>
  <c r="T235" i="9" s="1"/>
  <c r="T234" i="9"/>
  <c r="T233" i="9"/>
  <c r="T232" i="9"/>
  <c r="T231" i="9"/>
  <c r="T230" i="9"/>
  <c r="T229" i="9"/>
  <c r="T228" i="9"/>
  <c r="T227" i="9"/>
  <c r="T226" i="9"/>
  <c r="T225" i="9"/>
  <c r="S223" i="9"/>
  <c r="R223" i="9"/>
  <c r="Q223" i="9"/>
  <c r="P223" i="9"/>
  <c r="O223" i="9"/>
  <c r="N223" i="9"/>
  <c r="M223" i="9"/>
  <c r="L223" i="9"/>
  <c r="K223" i="9"/>
  <c r="J223" i="9"/>
  <c r="I223" i="9"/>
  <c r="H223" i="9"/>
  <c r="G223" i="9"/>
  <c r="F223" i="9"/>
  <c r="E223" i="9"/>
  <c r="T222" i="9"/>
  <c r="T221" i="9"/>
  <c r="T220" i="9"/>
  <c r="T219" i="9"/>
  <c r="T218" i="9"/>
  <c r="T217" i="9"/>
  <c r="T216" i="9"/>
  <c r="T215" i="9"/>
  <c r="T214" i="9"/>
  <c r="T213" i="9"/>
  <c r="S211" i="9"/>
  <c r="R211" i="9"/>
  <c r="Q211" i="9"/>
  <c r="P211" i="9"/>
  <c r="O211" i="9"/>
  <c r="N211" i="9"/>
  <c r="M211" i="9"/>
  <c r="L211" i="9"/>
  <c r="K211" i="9"/>
  <c r="J211" i="9"/>
  <c r="I211" i="9"/>
  <c r="H211" i="9"/>
  <c r="G211" i="9"/>
  <c r="F211" i="9"/>
  <c r="E211" i="9"/>
  <c r="T210" i="9"/>
  <c r="T209" i="9"/>
  <c r="T208" i="9"/>
  <c r="T207" i="9"/>
  <c r="T206" i="9"/>
  <c r="T205" i="9"/>
  <c r="T204" i="9"/>
  <c r="T203" i="9"/>
  <c r="T202" i="9"/>
  <c r="T201" i="9"/>
  <c r="T211" i="9" s="1"/>
  <c r="S199" i="9"/>
  <c r="R199" i="9"/>
  <c r="Q199" i="9"/>
  <c r="P199" i="9"/>
  <c r="O199" i="9"/>
  <c r="N199" i="9"/>
  <c r="M199" i="9"/>
  <c r="L199" i="9"/>
  <c r="K199" i="9"/>
  <c r="J199" i="9"/>
  <c r="I199" i="9"/>
  <c r="H199" i="9"/>
  <c r="G199" i="9"/>
  <c r="F199" i="9"/>
  <c r="E199" i="9"/>
  <c r="T198" i="9"/>
  <c r="T197" i="9"/>
  <c r="T196" i="9"/>
  <c r="T195" i="9"/>
  <c r="T194" i="9"/>
  <c r="T193" i="9"/>
  <c r="T192" i="9"/>
  <c r="T191" i="9"/>
  <c r="T190" i="9"/>
  <c r="T189" i="9"/>
  <c r="T199" i="9" s="1"/>
  <c r="S187" i="9"/>
  <c r="R187" i="9"/>
  <c r="Q187" i="9"/>
  <c r="P187" i="9"/>
  <c r="O187" i="9"/>
  <c r="N187" i="9"/>
  <c r="M187" i="9"/>
  <c r="L187" i="9"/>
  <c r="K187" i="9"/>
  <c r="J187" i="9"/>
  <c r="I187" i="9"/>
  <c r="H187" i="9"/>
  <c r="G187" i="9"/>
  <c r="F187" i="9"/>
  <c r="E187" i="9"/>
  <c r="T186" i="9"/>
  <c r="T185" i="9"/>
  <c r="T184" i="9"/>
  <c r="T183" i="9"/>
  <c r="T182" i="9"/>
  <c r="T181" i="9"/>
  <c r="T180" i="9"/>
  <c r="T179" i="9"/>
  <c r="T178" i="9"/>
  <c r="T177" i="9"/>
  <c r="T187" i="9" s="1"/>
  <c r="S175" i="9"/>
  <c r="R175" i="9"/>
  <c r="Q175" i="9"/>
  <c r="P175" i="9"/>
  <c r="O175" i="9"/>
  <c r="N175" i="9"/>
  <c r="M175" i="9"/>
  <c r="L175" i="9"/>
  <c r="K175" i="9"/>
  <c r="J175" i="9"/>
  <c r="I175" i="9"/>
  <c r="H175" i="9"/>
  <c r="G175" i="9"/>
  <c r="F175" i="9"/>
  <c r="E175" i="9"/>
  <c r="T174" i="9"/>
  <c r="T173" i="9"/>
  <c r="T172" i="9"/>
  <c r="T171" i="9"/>
  <c r="T170" i="9"/>
  <c r="T169" i="9"/>
  <c r="T168" i="9"/>
  <c r="T167" i="9"/>
  <c r="T166" i="9"/>
  <c r="T165" i="9"/>
  <c r="S163" i="9"/>
  <c r="R163" i="9"/>
  <c r="Q163" i="9"/>
  <c r="P163" i="9"/>
  <c r="O163" i="9"/>
  <c r="N163" i="9"/>
  <c r="M163" i="9"/>
  <c r="L163" i="9"/>
  <c r="K163" i="9"/>
  <c r="J163" i="9"/>
  <c r="I163" i="9"/>
  <c r="H163" i="9"/>
  <c r="G163" i="9"/>
  <c r="F163" i="9"/>
  <c r="E163" i="9"/>
  <c r="T162" i="9"/>
  <c r="T161" i="9"/>
  <c r="T160" i="9"/>
  <c r="T159" i="9"/>
  <c r="T158" i="9"/>
  <c r="T157" i="9"/>
  <c r="T156" i="9"/>
  <c r="T155" i="9"/>
  <c r="T154" i="9"/>
  <c r="T153" i="9"/>
  <c r="T163" i="9" s="1"/>
  <c r="S151" i="9"/>
  <c r="R151" i="9"/>
  <c r="Q151" i="9"/>
  <c r="P151" i="9"/>
  <c r="O151" i="9"/>
  <c r="N151" i="9"/>
  <c r="M151" i="9"/>
  <c r="L151" i="9"/>
  <c r="K151" i="9"/>
  <c r="J151" i="9"/>
  <c r="I151" i="9"/>
  <c r="H151" i="9"/>
  <c r="G151" i="9"/>
  <c r="F151" i="9"/>
  <c r="E151" i="9"/>
  <c r="T150" i="9"/>
  <c r="T149" i="9"/>
  <c r="T148" i="9"/>
  <c r="T147" i="9"/>
  <c r="T146" i="9"/>
  <c r="T145" i="9"/>
  <c r="T144" i="9"/>
  <c r="T143" i="9"/>
  <c r="T142" i="9"/>
  <c r="T141" i="9"/>
  <c r="T151" i="9" s="1"/>
  <c r="S139" i="9"/>
  <c r="R139" i="9"/>
  <c r="Q139" i="9"/>
  <c r="P139" i="9"/>
  <c r="O139" i="9"/>
  <c r="N139" i="9"/>
  <c r="M139" i="9"/>
  <c r="L139" i="9"/>
  <c r="K139" i="9"/>
  <c r="J139" i="9"/>
  <c r="I139" i="9"/>
  <c r="H139" i="9"/>
  <c r="G139" i="9"/>
  <c r="F139" i="9"/>
  <c r="E139" i="9"/>
  <c r="T138" i="9"/>
  <c r="T137" i="9"/>
  <c r="T136" i="9"/>
  <c r="T135" i="9"/>
  <c r="T134" i="9"/>
  <c r="T133" i="9"/>
  <c r="T132" i="9"/>
  <c r="T139" i="9" s="1"/>
  <c r="T131" i="9"/>
  <c r="T130" i="9"/>
  <c r="T129" i="9"/>
  <c r="S127" i="9"/>
  <c r="R127" i="9"/>
  <c r="Q127" i="9"/>
  <c r="P127" i="9"/>
  <c r="O127" i="9"/>
  <c r="N127" i="9"/>
  <c r="M127" i="9"/>
  <c r="L127" i="9"/>
  <c r="K127" i="9"/>
  <c r="J127" i="9"/>
  <c r="I127" i="9"/>
  <c r="H127" i="9"/>
  <c r="G127" i="9"/>
  <c r="F127" i="9"/>
  <c r="E127" i="9"/>
  <c r="T126" i="9"/>
  <c r="T125" i="9"/>
  <c r="T124" i="9"/>
  <c r="T123" i="9"/>
  <c r="T122" i="9"/>
  <c r="T121" i="9"/>
  <c r="T120" i="9"/>
  <c r="T119" i="9"/>
  <c r="T127" i="9" s="1"/>
  <c r="T118" i="9"/>
  <c r="T117" i="9"/>
  <c r="T115" i="9"/>
  <c r="S115" i="9"/>
  <c r="R115" i="9"/>
  <c r="Q115" i="9"/>
  <c r="P115" i="9"/>
  <c r="O115" i="9"/>
  <c r="N115" i="9"/>
  <c r="M115" i="9"/>
  <c r="L115" i="9"/>
  <c r="K115" i="9"/>
  <c r="J115" i="9"/>
  <c r="I115" i="9"/>
  <c r="I262" i="9" s="1"/>
  <c r="I264" i="9" s="1"/>
  <c r="H115" i="9"/>
  <c r="G115" i="9"/>
  <c r="G262" i="9" s="1"/>
  <c r="G264" i="9" s="1"/>
  <c r="F115" i="9"/>
  <c r="E115" i="9"/>
  <c r="T114" i="9"/>
  <c r="T113" i="9"/>
  <c r="T112" i="9"/>
  <c r="T111" i="9"/>
  <c r="T110" i="9"/>
  <c r="T109" i="9"/>
  <c r="T108" i="9"/>
  <c r="T107" i="9"/>
  <c r="T106" i="9"/>
  <c r="T105" i="9"/>
  <c r="S103" i="9"/>
  <c r="R103" i="9"/>
  <c r="Q103" i="9"/>
  <c r="P103" i="9"/>
  <c r="O103" i="9"/>
  <c r="N103" i="9"/>
  <c r="M103" i="9"/>
  <c r="L103" i="9"/>
  <c r="K103" i="9"/>
  <c r="J103" i="9"/>
  <c r="I103" i="9"/>
  <c r="H103" i="9"/>
  <c r="G103" i="9"/>
  <c r="F103" i="9"/>
  <c r="E103" i="9"/>
  <c r="T102" i="9"/>
  <c r="T101" i="9"/>
  <c r="T100" i="9"/>
  <c r="T99" i="9"/>
  <c r="T98" i="9"/>
  <c r="T97" i="9"/>
  <c r="T96" i="9"/>
  <c r="T95" i="9"/>
  <c r="T94" i="9"/>
  <c r="T93" i="9"/>
  <c r="S91" i="9"/>
  <c r="R91" i="9"/>
  <c r="Q91" i="9"/>
  <c r="P91" i="9"/>
  <c r="O91" i="9"/>
  <c r="O262" i="9" s="1"/>
  <c r="N91" i="9"/>
  <c r="M91" i="9"/>
  <c r="L91" i="9"/>
  <c r="K91" i="9"/>
  <c r="J91" i="9"/>
  <c r="I91" i="9"/>
  <c r="H91" i="9"/>
  <c r="G91" i="9"/>
  <c r="F91" i="9"/>
  <c r="E91" i="9"/>
  <c r="T90" i="9"/>
  <c r="T89" i="9"/>
  <c r="T88" i="9"/>
  <c r="T87" i="9"/>
  <c r="T86" i="9"/>
  <c r="T85" i="9"/>
  <c r="T84" i="9"/>
  <c r="T83" i="9"/>
  <c r="T82" i="9"/>
  <c r="T81" i="9"/>
  <c r="T91" i="9" s="1"/>
  <c r="S79" i="9"/>
  <c r="R79" i="9"/>
  <c r="Q79" i="9"/>
  <c r="P79" i="9"/>
  <c r="O79" i="9"/>
  <c r="N79" i="9"/>
  <c r="M79" i="9"/>
  <c r="L79" i="9"/>
  <c r="K79" i="9"/>
  <c r="J79" i="9"/>
  <c r="I79" i="9"/>
  <c r="H79" i="9"/>
  <c r="G79" i="9"/>
  <c r="F79" i="9"/>
  <c r="E79" i="9"/>
  <c r="T78" i="9"/>
  <c r="T77" i="9"/>
  <c r="T76" i="9"/>
  <c r="T75" i="9"/>
  <c r="T74" i="9"/>
  <c r="T73" i="9"/>
  <c r="T72" i="9"/>
  <c r="T71" i="9"/>
  <c r="T70" i="9"/>
  <c r="T79" i="9" s="1"/>
  <c r="T69" i="9"/>
  <c r="S67" i="9"/>
  <c r="R67" i="9"/>
  <c r="Q67" i="9"/>
  <c r="P67" i="9"/>
  <c r="O67" i="9"/>
  <c r="N67" i="9"/>
  <c r="M67" i="9"/>
  <c r="L67" i="9"/>
  <c r="K67" i="9"/>
  <c r="J67" i="9"/>
  <c r="I67" i="9"/>
  <c r="H67" i="9"/>
  <c r="G67" i="9"/>
  <c r="F67" i="9"/>
  <c r="E67" i="9"/>
  <c r="T66" i="9"/>
  <c r="T65" i="9"/>
  <c r="T64" i="9"/>
  <c r="T63" i="9"/>
  <c r="T62" i="9"/>
  <c r="T61" i="9"/>
  <c r="T60" i="9"/>
  <c r="T59" i="9"/>
  <c r="T58" i="9"/>
  <c r="T57" i="9"/>
  <c r="S55" i="9"/>
  <c r="R55" i="9"/>
  <c r="Q55" i="9"/>
  <c r="P55" i="9"/>
  <c r="O55" i="9"/>
  <c r="N55" i="9"/>
  <c r="M55" i="9"/>
  <c r="M262" i="9" s="1"/>
  <c r="L55" i="9"/>
  <c r="K55" i="9"/>
  <c r="J55" i="9"/>
  <c r="I55" i="9"/>
  <c r="H55" i="9"/>
  <c r="G55" i="9"/>
  <c r="F55" i="9"/>
  <c r="E55" i="9"/>
  <c r="T54" i="9"/>
  <c r="T53" i="9"/>
  <c r="T52" i="9"/>
  <c r="T51" i="9"/>
  <c r="T50" i="9"/>
  <c r="T49" i="9"/>
  <c r="T48" i="9"/>
  <c r="T47" i="9"/>
  <c r="T46" i="9"/>
  <c r="T45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T40" i="9"/>
  <c r="T39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T35" i="9"/>
  <c r="T34" i="9"/>
  <c r="T33" i="9"/>
  <c r="S30" i="9"/>
  <c r="R30" i="9"/>
  <c r="J30" i="9"/>
  <c r="H30" i="9"/>
  <c r="G30" i="9"/>
  <c r="F30" i="9"/>
  <c r="E30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S28" i="9"/>
  <c r="R28" i="9"/>
  <c r="Q28" i="9"/>
  <c r="P28" i="9"/>
  <c r="P30" i="9" s="1"/>
  <c r="O28" i="9"/>
  <c r="O30" i="9" s="1"/>
  <c r="N28" i="9"/>
  <c r="N30" i="9" s="1"/>
  <c r="M28" i="9"/>
  <c r="M30" i="9" s="1"/>
  <c r="L28" i="9"/>
  <c r="L30" i="9" s="1"/>
  <c r="K28" i="9"/>
  <c r="K30" i="9" s="1"/>
  <c r="J28" i="9"/>
  <c r="I28" i="9"/>
  <c r="H28" i="9"/>
  <c r="G28" i="9"/>
  <c r="F28" i="9"/>
  <c r="E28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T27" i="9" s="1"/>
  <c r="T26" i="9"/>
  <c r="T25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T23" i="9"/>
  <c r="T22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T21" i="9" s="1"/>
  <c r="E21" i="9"/>
  <c r="T20" i="9"/>
  <c r="T19" i="9"/>
  <c r="S16" i="9"/>
  <c r="R16" i="9"/>
  <c r="Q16" i="9"/>
  <c r="P16" i="9"/>
  <c r="O16" i="9"/>
  <c r="N16" i="9"/>
  <c r="M16" i="9"/>
  <c r="T16" i="9" s="1"/>
  <c r="L16" i="9"/>
  <c r="K16" i="9"/>
  <c r="J16" i="9"/>
  <c r="I16" i="9"/>
  <c r="H16" i="9"/>
  <c r="G16" i="9"/>
  <c r="F16" i="9"/>
  <c r="E16" i="9"/>
  <c r="T15" i="9"/>
  <c r="T14" i="9"/>
  <c r="AD263" i="8"/>
  <c r="AC259" i="8"/>
  <c r="AB259" i="8"/>
  <c r="AA259" i="8"/>
  <c r="Z259" i="8"/>
  <c r="Y259" i="8"/>
  <c r="X259" i="8"/>
  <c r="W259" i="8"/>
  <c r="V259" i="8"/>
  <c r="U259" i="8"/>
  <c r="T259" i="8"/>
  <c r="S259" i="8"/>
  <c r="R259" i="8"/>
  <c r="Q259" i="8"/>
  <c r="P259" i="8"/>
  <c r="O259" i="8"/>
  <c r="N259" i="8"/>
  <c r="M259" i="8"/>
  <c r="L259" i="8"/>
  <c r="K259" i="8"/>
  <c r="J259" i="8"/>
  <c r="I259" i="8"/>
  <c r="H259" i="8"/>
  <c r="G259" i="8"/>
  <c r="F259" i="8"/>
  <c r="E259" i="8"/>
  <c r="AD258" i="8"/>
  <c r="AD257" i="8"/>
  <c r="AD256" i="8"/>
  <c r="AD255" i="8"/>
  <c r="AD254" i="8"/>
  <c r="AD253" i="8"/>
  <c r="AD252" i="8"/>
  <c r="AD251" i="8"/>
  <c r="AD250" i="8"/>
  <c r="AD249" i="8"/>
  <c r="AD259" i="8" s="1"/>
  <c r="AD247" i="8"/>
  <c r="AC247" i="8"/>
  <c r="AB247" i="8"/>
  <c r="AA247" i="8"/>
  <c r="Z247" i="8"/>
  <c r="Y247" i="8"/>
  <c r="X247" i="8"/>
  <c r="W247" i="8"/>
  <c r="V247" i="8"/>
  <c r="U247" i="8"/>
  <c r="T247" i="8"/>
  <c r="S247" i="8"/>
  <c r="R247" i="8"/>
  <c r="Q247" i="8"/>
  <c r="P247" i="8"/>
  <c r="O247" i="8"/>
  <c r="N247" i="8"/>
  <c r="M247" i="8"/>
  <c r="L247" i="8"/>
  <c r="K247" i="8"/>
  <c r="J247" i="8"/>
  <c r="I247" i="8"/>
  <c r="H247" i="8"/>
  <c r="G247" i="8"/>
  <c r="F247" i="8"/>
  <c r="E247" i="8"/>
  <c r="AD246" i="8"/>
  <c r="AD245" i="8"/>
  <c r="AD244" i="8"/>
  <c r="AD243" i="8"/>
  <c r="AD242" i="8"/>
  <c r="AD241" i="8"/>
  <c r="AD240" i="8"/>
  <c r="AD239" i="8"/>
  <c r="AD238" i="8"/>
  <c r="AD237" i="8"/>
  <c r="AC235" i="8"/>
  <c r="AB235" i="8"/>
  <c r="AA235" i="8"/>
  <c r="Z235" i="8"/>
  <c r="Y235" i="8"/>
  <c r="X235" i="8"/>
  <c r="W235" i="8"/>
  <c r="V235" i="8"/>
  <c r="U235" i="8"/>
  <c r="T235" i="8"/>
  <c r="S235" i="8"/>
  <c r="R235" i="8"/>
  <c r="Q235" i="8"/>
  <c r="P235" i="8"/>
  <c r="O235" i="8"/>
  <c r="N235" i="8"/>
  <c r="M235" i="8"/>
  <c r="L235" i="8"/>
  <c r="K235" i="8"/>
  <c r="J235" i="8"/>
  <c r="I235" i="8"/>
  <c r="H235" i="8"/>
  <c r="G235" i="8"/>
  <c r="F235" i="8"/>
  <c r="E235" i="8"/>
  <c r="AD234" i="8"/>
  <c r="AD233" i="8"/>
  <c r="AD232" i="8"/>
  <c r="AD231" i="8"/>
  <c r="E231" i="1" s="1"/>
  <c r="AD230" i="8"/>
  <c r="E230" i="1" s="1"/>
  <c r="AD229" i="8"/>
  <c r="AD228" i="8"/>
  <c r="AD227" i="8"/>
  <c r="AD226" i="8"/>
  <c r="AD225" i="8"/>
  <c r="AC223" i="8"/>
  <c r="AB223" i="8"/>
  <c r="AA223" i="8"/>
  <c r="Z223" i="8"/>
  <c r="Y223" i="8"/>
  <c r="X223" i="8"/>
  <c r="W223" i="8"/>
  <c r="V223" i="8"/>
  <c r="U223" i="8"/>
  <c r="T223" i="8"/>
  <c r="S223" i="8"/>
  <c r="R223" i="8"/>
  <c r="Q223" i="8"/>
  <c r="P223" i="8"/>
  <c r="O223" i="8"/>
  <c r="N223" i="8"/>
  <c r="M223" i="8"/>
  <c r="L223" i="8"/>
  <c r="K223" i="8"/>
  <c r="J223" i="8"/>
  <c r="I223" i="8"/>
  <c r="H223" i="8"/>
  <c r="G223" i="8"/>
  <c r="F223" i="8"/>
  <c r="E223" i="8"/>
  <c r="AD222" i="8"/>
  <c r="AD221" i="8"/>
  <c r="AD220" i="8"/>
  <c r="AD219" i="8"/>
  <c r="AD218" i="8"/>
  <c r="AD217" i="8"/>
  <c r="AD216" i="8"/>
  <c r="AD223" i="8" s="1"/>
  <c r="AD215" i="8"/>
  <c r="AD214" i="8"/>
  <c r="AD213" i="8"/>
  <c r="AC211" i="8"/>
  <c r="AB211" i="8"/>
  <c r="AA211" i="8"/>
  <c r="Z211" i="8"/>
  <c r="Y211" i="8"/>
  <c r="X211" i="8"/>
  <c r="W211" i="8"/>
  <c r="V211" i="8"/>
  <c r="U211" i="8"/>
  <c r="T211" i="8"/>
  <c r="S211" i="8"/>
  <c r="R211" i="8"/>
  <c r="Q211" i="8"/>
  <c r="P211" i="8"/>
  <c r="O211" i="8"/>
  <c r="N211" i="8"/>
  <c r="M211" i="8"/>
  <c r="L211" i="8"/>
  <c r="K211" i="8"/>
  <c r="J211" i="8"/>
  <c r="I211" i="8"/>
  <c r="H211" i="8"/>
  <c r="G211" i="8"/>
  <c r="F211" i="8"/>
  <c r="E211" i="8"/>
  <c r="AD210" i="8"/>
  <c r="AD209" i="8"/>
  <c r="AD208" i="8"/>
  <c r="AD207" i="8"/>
  <c r="AD206" i="8"/>
  <c r="AD205" i="8"/>
  <c r="AD204" i="8"/>
  <c r="AD203" i="8"/>
  <c r="AD202" i="8"/>
  <c r="AD201" i="8"/>
  <c r="AC199" i="8"/>
  <c r="AB199" i="8"/>
  <c r="AA199" i="8"/>
  <c r="Z199" i="8"/>
  <c r="Y199" i="8"/>
  <c r="X199" i="8"/>
  <c r="W199" i="8"/>
  <c r="V199" i="8"/>
  <c r="U199" i="8"/>
  <c r="T199" i="8"/>
  <c r="S199" i="8"/>
  <c r="R199" i="8"/>
  <c r="Q199" i="8"/>
  <c r="P199" i="8"/>
  <c r="O199" i="8"/>
  <c r="N199" i="8"/>
  <c r="M199" i="8"/>
  <c r="L199" i="8"/>
  <c r="K199" i="8"/>
  <c r="J199" i="8"/>
  <c r="I199" i="8"/>
  <c r="H199" i="8"/>
  <c r="G199" i="8"/>
  <c r="F199" i="8"/>
  <c r="E199" i="8"/>
  <c r="AD198" i="8"/>
  <c r="AD197" i="8"/>
  <c r="AD196" i="8"/>
  <c r="AD195" i="8"/>
  <c r="AD194" i="8"/>
  <c r="AD193" i="8"/>
  <c r="AD192" i="8"/>
  <c r="AD191" i="8"/>
  <c r="AD190" i="8"/>
  <c r="AD189" i="8"/>
  <c r="AD199" i="8" s="1"/>
  <c r="AD187" i="8"/>
  <c r="AC187" i="8"/>
  <c r="AB187" i="8"/>
  <c r="AA187" i="8"/>
  <c r="Z187" i="8"/>
  <c r="Y187" i="8"/>
  <c r="X187" i="8"/>
  <c r="W187" i="8"/>
  <c r="V187" i="8"/>
  <c r="U187" i="8"/>
  <c r="T187" i="8"/>
  <c r="S187" i="8"/>
  <c r="R187" i="8"/>
  <c r="Q187" i="8"/>
  <c r="P187" i="8"/>
  <c r="O187" i="8"/>
  <c r="N187" i="8"/>
  <c r="M187" i="8"/>
  <c r="L187" i="8"/>
  <c r="K187" i="8"/>
  <c r="J187" i="8"/>
  <c r="I187" i="8"/>
  <c r="H187" i="8"/>
  <c r="G187" i="8"/>
  <c r="F187" i="8"/>
  <c r="E187" i="8"/>
  <c r="AD186" i="8"/>
  <c r="AD185" i="8"/>
  <c r="AD184" i="8"/>
  <c r="AD183" i="8"/>
  <c r="AD182" i="8"/>
  <c r="AD181" i="8"/>
  <c r="AD180" i="8"/>
  <c r="AD179" i="8"/>
  <c r="AD178" i="8"/>
  <c r="AD177" i="8"/>
  <c r="AC175" i="8"/>
  <c r="AB175" i="8"/>
  <c r="AA175" i="8"/>
  <c r="Z175" i="8"/>
  <c r="Y175" i="8"/>
  <c r="X175" i="8"/>
  <c r="W175" i="8"/>
  <c r="V175" i="8"/>
  <c r="U175" i="8"/>
  <c r="T175" i="8"/>
  <c r="S175" i="8"/>
  <c r="R175" i="8"/>
  <c r="Q175" i="8"/>
  <c r="P175" i="8"/>
  <c r="O175" i="8"/>
  <c r="N175" i="8"/>
  <c r="M175" i="8"/>
  <c r="L175" i="8"/>
  <c r="K175" i="8"/>
  <c r="J175" i="8"/>
  <c r="I175" i="8"/>
  <c r="H175" i="8"/>
  <c r="G175" i="8"/>
  <c r="F175" i="8"/>
  <c r="E175" i="8"/>
  <c r="AD174" i="8"/>
  <c r="AD173" i="8"/>
  <c r="AD172" i="8"/>
  <c r="AD171" i="8"/>
  <c r="AD170" i="8"/>
  <c r="AD169" i="8"/>
  <c r="AD168" i="8"/>
  <c r="AD167" i="8"/>
  <c r="AD166" i="8"/>
  <c r="AD165" i="8"/>
  <c r="AC163" i="8"/>
  <c r="AB163" i="8"/>
  <c r="AA163" i="8"/>
  <c r="Z163" i="8"/>
  <c r="Y163" i="8"/>
  <c r="X163" i="8"/>
  <c r="W163" i="8"/>
  <c r="V163" i="8"/>
  <c r="U163" i="8"/>
  <c r="T163" i="8"/>
  <c r="S163" i="8"/>
  <c r="R163" i="8"/>
  <c r="Q163" i="8"/>
  <c r="P163" i="8"/>
  <c r="O163" i="8"/>
  <c r="N163" i="8"/>
  <c r="M163" i="8"/>
  <c r="L163" i="8"/>
  <c r="K163" i="8"/>
  <c r="J163" i="8"/>
  <c r="I163" i="8"/>
  <c r="H163" i="8"/>
  <c r="G163" i="8"/>
  <c r="F163" i="8"/>
  <c r="E163" i="8"/>
  <c r="AD162" i="8"/>
  <c r="AD161" i="8"/>
  <c r="AD160" i="8"/>
  <c r="AD159" i="8"/>
  <c r="AD158" i="8"/>
  <c r="AD157" i="8"/>
  <c r="AD156" i="8"/>
  <c r="AD155" i="8"/>
  <c r="AD154" i="8"/>
  <c r="AD153" i="8"/>
  <c r="AD163" i="8" s="1"/>
  <c r="AD151" i="8"/>
  <c r="AC151" i="8"/>
  <c r="AB151" i="8"/>
  <c r="AA151" i="8"/>
  <c r="Z151" i="8"/>
  <c r="Y151" i="8"/>
  <c r="X151" i="8"/>
  <c r="W151" i="8"/>
  <c r="V151" i="8"/>
  <c r="U151" i="8"/>
  <c r="T151" i="8"/>
  <c r="S151" i="8"/>
  <c r="R151" i="8"/>
  <c r="Q151" i="8"/>
  <c r="P151" i="8"/>
  <c r="O151" i="8"/>
  <c r="N151" i="8"/>
  <c r="M151" i="8"/>
  <c r="L151" i="8"/>
  <c r="K151" i="8"/>
  <c r="J151" i="8"/>
  <c r="I151" i="8"/>
  <c r="H151" i="8"/>
  <c r="G151" i="8"/>
  <c r="F151" i="8"/>
  <c r="E151" i="8"/>
  <c r="AD150" i="8"/>
  <c r="AD149" i="8"/>
  <c r="AD148" i="8"/>
  <c r="AD147" i="8"/>
  <c r="AD146" i="8"/>
  <c r="AD145" i="8"/>
  <c r="AD144" i="8"/>
  <c r="AD143" i="8"/>
  <c r="AD142" i="8"/>
  <c r="AD141" i="8"/>
  <c r="AC139" i="8"/>
  <c r="AB139" i="8"/>
  <c r="AA139" i="8"/>
  <c r="Z139" i="8"/>
  <c r="Y139" i="8"/>
  <c r="X139" i="8"/>
  <c r="W139" i="8"/>
  <c r="V139" i="8"/>
  <c r="U139" i="8"/>
  <c r="T139" i="8"/>
  <c r="S139" i="8"/>
  <c r="R139" i="8"/>
  <c r="Q139" i="8"/>
  <c r="P139" i="8"/>
  <c r="O139" i="8"/>
  <c r="N139" i="8"/>
  <c r="M139" i="8"/>
  <c r="L139" i="8"/>
  <c r="K139" i="8"/>
  <c r="J139" i="8"/>
  <c r="I139" i="8"/>
  <c r="H139" i="8"/>
  <c r="G139" i="8"/>
  <c r="F139" i="8"/>
  <c r="E139" i="8"/>
  <c r="AD138" i="8"/>
  <c r="AD137" i="8"/>
  <c r="AD136" i="8"/>
  <c r="AD135" i="8"/>
  <c r="AD134" i="8"/>
  <c r="AD133" i="8"/>
  <c r="AD132" i="8"/>
  <c r="AD131" i="8"/>
  <c r="AD139" i="8" s="1"/>
  <c r="AD130" i="8"/>
  <c r="AD129" i="8"/>
  <c r="AC127" i="8"/>
  <c r="AB127" i="8"/>
  <c r="AA127" i="8"/>
  <c r="Z127" i="8"/>
  <c r="Y127" i="8"/>
  <c r="X127" i="8"/>
  <c r="W127" i="8"/>
  <c r="V127" i="8"/>
  <c r="U127" i="8"/>
  <c r="T127" i="8"/>
  <c r="S127" i="8"/>
  <c r="R127" i="8"/>
  <c r="Q127" i="8"/>
  <c r="P127" i="8"/>
  <c r="O127" i="8"/>
  <c r="N127" i="8"/>
  <c r="M127" i="8"/>
  <c r="L127" i="8"/>
  <c r="K127" i="8"/>
  <c r="J127" i="8"/>
  <c r="I127" i="8"/>
  <c r="H127" i="8"/>
  <c r="G127" i="8"/>
  <c r="F127" i="8"/>
  <c r="E127" i="8"/>
  <c r="AD126" i="8"/>
  <c r="AD125" i="8"/>
  <c r="AD124" i="8"/>
  <c r="AD123" i="8"/>
  <c r="AD122" i="8"/>
  <c r="AD121" i="8"/>
  <c r="AD120" i="8"/>
  <c r="AD119" i="8"/>
  <c r="AD118" i="8"/>
  <c r="AD117" i="8"/>
  <c r="AD127" i="8" s="1"/>
  <c r="AC115" i="8"/>
  <c r="AB115" i="8"/>
  <c r="AA115" i="8"/>
  <c r="Z115" i="8"/>
  <c r="Y115" i="8"/>
  <c r="X115" i="8"/>
  <c r="W115" i="8"/>
  <c r="V115" i="8"/>
  <c r="U115" i="8"/>
  <c r="T115" i="8"/>
  <c r="S115" i="8"/>
  <c r="R115" i="8"/>
  <c r="Q115" i="8"/>
  <c r="P115" i="8"/>
  <c r="O115" i="8"/>
  <c r="N115" i="8"/>
  <c r="M115" i="8"/>
  <c r="L115" i="8"/>
  <c r="K115" i="8"/>
  <c r="J115" i="8"/>
  <c r="I115" i="8"/>
  <c r="H115" i="8"/>
  <c r="G115" i="8"/>
  <c r="F115" i="8"/>
  <c r="E115" i="8"/>
  <c r="AD114" i="8"/>
  <c r="AD113" i="8"/>
  <c r="AD115" i="8" s="1"/>
  <c r="AD112" i="8"/>
  <c r="AD111" i="8"/>
  <c r="AD110" i="8"/>
  <c r="AD109" i="8"/>
  <c r="AD108" i="8"/>
  <c r="AD107" i="8"/>
  <c r="AD106" i="8"/>
  <c r="AD105" i="8"/>
  <c r="AC103" i="8"/>
  <c r="AB103" i="8"/>
  <c r="AA103" i="8"/>
  <c r="Z103" i="8"/>
  <c r="Y103" i="8"/>
  <c r="X103" i="8"/>
  <c r="W103" i="8"/>
  <c r="V103" i="8"/>
  <c r="U103" i="8"/>
  <c r="T103" i="8"/>
  <c r="S103" i="8"/>
  <c r="R103" i="8"/>
  <c r="R262" i="8" s="1"/>
  <c r="R264" i="8" s="1"/>
  <c r="Q103" i="8"/>
  <c r="P103" i="8"/>
  <c r="O103" i="8"/>
  <c r="N103" i="8"/>
  <c r="M103" i="8"/>
  <c r="L103" i="8"/>
  <c r="K103" i="8"/>
  <c r="J103" i="8"/>
  <c r="I103" i="8"/>
  <c r="H103" i="8"/>
  <c r="G103" i="8"/>
  <c r="F103" i="8"/>
  <c r="E103" i="8"/>
  <c r="AD102" i="8"/>
  <c r="AD101" i="8"/>
  <c r="AD100" i="8"/>
  <c r="AD99" i="8"/>
  <c r="AD98" i="8"/>
  <c r="AD97" i="8"/>
  <c r="AD96" i="8"/>
  <c r="AD95" i="8"/>
  <c r="AD94" i="8"/>
  <c r="AD93" i="8"/>
  <c r="AD103" i="8" s="1"/>
  <c r="AD91" i="8"/>
  <c r="AC91" i="8"/>
  <c r="AB91" i="8"/>
  <c r="AA91" i="8"/>
  <c r="Z91" i="8"/>
  <c r="Y91" i="8"/>
  <c r="X91" i="8"/>
  <c r="W91" i="8"/>
  <c r="V91" i="8"/>
  <c r="U91" i="8"/>
  <c r="T91" i="8"/>
  <c r="S91" i="8"/>
  <c r="R91" i="8"/>
  <c r="Q91" i="8"/>
  <c r="P91" i="8"/>
  <c r="O91" i="8"/>
  <c r="N91" i="8"/>
  <c r="M91" i="8"/>
  <c r="L91" i="8"/>
  <c r="K91" i="8"/>
  <c r="J91" i="8"/>
  <c r="I91" i="8"/>
  <c r="H91" i="8"/>
  <c r="G91" i="8"/>
  <c r="F91" i="8"/>
  <c r="E91" i="8"/>
  <c r="AD90" i="8"/>
  <c r="AD89" i="8"/>
  <c r="AD88" i="8"/>
  <c r="AD87" i="8"/>
  <c r="AD86" i="8"/>
  <c r="AD85" i="8"/>
  <c r="AD84" i="8"/>
  <c r="AD83" i="8"/>
  <c r="AD82" i="8"/>
  <c r="AD81" i="8"/>
  <c r="AC79" i="8"/>
  <c r="AB79" i="8"/>
  <c r="AA79" i="8"/>
  <c r="Z79" i="8"/>
  <c r="Z262" i="8" s="1"/>
  <c r="Z264" i="8" s="1"/>
  <c r="Y79" i="8"/>
  <c r="Y262" i="8" s="1"/>
  <c r="Y264" i="8" s="1"/>
  <c r="X79" i="8"/>
  <c r="X262" i="8" s="1"/>
  <c r="X264" i="8" s="1"/>
  <c r="W79" i="8"/>
  <c r="V79" i="8"/>
  <c r="V262" i="8" s="1"/>
  <c r="V264" i="8" s="1"/>
  <c r="U79" i="8"/>
  <c r="U262" i="8" s="1"/>
  <c r="U264" i="8" s="1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F79" i="8"/>
  <c r="E79" i="8"/>
  <c r="AD78" i="8"/>
  <c r="AD77" i="8"/>
  <c r="AD76" i="8"/>
  <c r="AD75" i="8"/>
  <c r="E75" i="1" s="1"/>
  <c r="AD74" i="8"/>
  <c r="AD73" i="8"/>
  <c r="AD72" i="8"/>
  <c r="AD71" i="8"/>
  <c r="AD70" i="8"/>
  <c r="AD69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E67" i="8"/>
  <c r="AD66" i="8"/>
  <c r="AD65" i="8"/>
  <c r="AD64" i="8"/>
  <c r="AD63" i="8"/>
  <c r="AD62" i="8"/>
  <c r="AD61" i="8"/>
  <c r="AD60" i="8"/>
  <c r="AD59" i="8"/>
  <c r="AD58" i="8"/>
  <c r="AD57" i="8"/>
  <c r="AD67" i="8" s="1"/>
  <c r="AD55" i="8"/>
  <c r="AC55" i="8"/>
  <c r="AC262" i="8" s="1"/>
  <c r="AC264" i="8" s="1"/>
  <c r="AB55" i="8"/>
  <c r="AB262" i="8" s="1"/>
  <c r="AB264" i="8" s="1"/>
  <c r="AA55" i="8"/>
  <c r="AA262" i="8" s="1"/>
  <c r="AA264" i="8" s="1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E55" i="8"/>
  <c r="AD54" i="8"/>
  <c r="AD53" i="8"/>
  <c r="AD52" i="8"/>
  <c r="AD51" i="8"/>
  <c r="AD50" i="8"/>
  <c r="AD49" i="8"/>
  <c r="AD48" i="8"/>
  <c r="AD47" i="8"/>
  <c r="AD46" i="8"/>
  <c r="AD45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AD40" i="8"/>
  <c r="AD39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AD35" i="8"/>
  <c r="AD34" i="8"/>
  <c r="E34" i="1" s="1"/>
  <c r="AD33" i="8"/>
  <c r="AC30" i="8"/>
  <c r="P30" i="8"/>
  <c r="O30" i="8"/>
  <c r="N30" i="8"/>
  <c r="M30" i="8"/>
  <c r="L30" i="8"/>
  <c r="K30" i="8"/>
  <c r="J30" i="8"/>
  <c r="G30" i="8"/>
  <c r="AC29" i="8"/>
  <c r="AB29" i="8"/>
  <c r="AB30" i="8" s="1"/>
  <c r="AA29" i="8"/>
  <c r="AA30" i="8" s="1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H30" i="8" s="1"/>
  <c r="G29" i="8"/>
  <c r="F29" i="8"/>
  <c r="F30" i="8" s="1"/>
  <c r="E29" i="8"/>
  <c r="E30" i="8" s="1"/>
  <c r="AC28" i="8"/>
  <c r="AB28" i="8"/>
  <c r="AA28" i="8"/>
  <c r="Z28" i="8"/>
  <c r="Z30" i="8" s="1"/>
  <c r="Y28" i="8"/>
  <c r="Y30" i="8" s="1"/>
  <c r="X28" i="8"/>
  <c r="X30" i="8" s="1"/>
  <c r="W28" i="8"/>
  <c r="W30" i="8" s="1"/>
  <c r="V28" i="8"/>
  <c r="V30" i="8" s="1"/>
  <c r="U28" i="8"/>
  <c r="U30" i="8" s="1"/>
  <c r="T28" i="8"/>
  <c r="T30" i="8" s="1"/>
  <c r="S28" i="8"/>
  <c r="S30" i="8" s="1"/>
  <c r="R28" i="8"/>
  <c r="R30" i="8" s="1"/>
  <c r="Q28" i="8"/>
  <c r="P28" i="8"/>
  <c r="O28" i="8"/>
  <c r="N28" i="8"/>
  <c r="M28" i="8"/>
  <c r="L28" i="8"/>
  <c r="K28" i="8"/>
  <c r="J28" i="8"/>
  <c r="I28" i="8"/>
  <c r="I30" i="8" s="1"/>
  <c r="H28" i="8"/>
  <c r="G28" i="8"/>
  <c r="F28" i="8"/>
  <c r="E28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AD26" i="8"/>
  <c r="AD25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AD24" i="8" s="1"/>
  <c r="AD23" i="8"/>
  <c r="AD22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AD20" i="8"/>
  <c r="AD19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AD15" i="8"/>
  <c r="AD14" i="8"/>
  <c r="H264" i="7"/>
  <c r="AB263" i="7"/>
  <c r="G262" i="7"/>
  <c r="G264" i="7" s="1"/>
  <c r="AA259" i="7"/>
  <c r="Z259" i="7"/>
  <c r="Y259" i="7"/>
  <c r="X259" i="7"/>
  <c r="W259" i="7"/>
  <c r="V259" i="7"/>
  <c r="U259" i="7"/>
  <c r="T259" i="7"/>
  <c r="S259" i="7"/>
  <c r="R259" i="7"/>
  <c r="Q259" i="7"/>
  <c r="P259" i="7"/>
  <c r="O259" i="7"/>
  <c r="N259" i="7"/>
  <c r="M259" i="7"/>
  <c r="L259" i="7"/>
  <c r="K259" i="7"/>
  <c r="J259" i="7"/>
  <c r="I259" i="7"/>
  <c r="H259" i="7"/>
  <c r="G259" i="7"/>
  <c r="F259" i="7"/>
  <c r="E259" i="7"/>
  <c r="AB258" i="7"/>
  <c r="AB257" i="7"/>
  <c r="AB256" i="7"/>
  <c r="AB259" i="7" s="1"/>
  <c r="AB255" i="7"/>
  <c r="AB254" i="7"/>
  <c r="AB253" i="7"/>
  <c r="AB252" i="7"/>
  <c r="AB251" i="7"/>
  <c r="AB250" i="7"/>
  <c r="AB249" i="7"/>
  <c r="AA247" i="7"/>
  <c r="Z247" i="7"/>
  <c r="Y247" i="7"/>
  <c r="X247" i="7"/>
  <c r="W247" i="7"/>
  <c r="V247" i="7"/>
  <c r="U247" i="7"/>
  <c r="T247" i="7"/>
  <c r="S247" i="7"/>
  <c r="R247" i="7"/>
  <c r="Q247" i="7"/>
  <c r="P247" i="7"/>
  <c r="O247" i="7"/>
  <c r="N247" i="7"/>
  <c r="M247" i="7"/>
  <c r="L247" i="7"/>
  <c r="K247" i="7"/>
  <c r="J247" i="7"/>
  <c r="I247" i="7"/>
  <c r="H247" i="7"/>
  <c r="G247" i="7"/>
  <c r="F247" i="7"/>
  <c r="E247" i="7"/>
  <c r="AB246" i="7"/>
  <c r="AB245" i="7"/>
  <c r="AB244" i="7"/>
  <c r="AB243" i="7"/>
  <c r="AB242" i="7"/>
  <c r="AB241" i="7"/>
  <c r="AB240" i="7"/>
  <c r="AB239" i="7"/>
  <c r="AB238" i="7"/>
  <c r="AB237" i="7"/>
  <c r="AB235" i="7"/>
  <c r="AA235" i="7"/>
  <c r="Z235" i="7"/>
  <c r="Y235" i="7"/>
  <c r="X235" i="7"/>
  <c r="W235" i="7"/>
  <c r="V235" i="7"/>
  <c r="U235" i="7"/>
  <c r="T235" i="7"/>
  <c r="S235" i="7"/>
  <c r="R235" i="7"/>
  <c r="Q235" i="7"/>
  <c r="P235" i="7"/>
  <c r="O235" i="7"/>
  <c r="N235" i="7"/>
  <c r="M235" i="7"/>
  <c r="L235" i="7"/>
  <c r="K235" i="7"/>
  <c r="J235" i="7"/>
  <c r="I235" i="7"/>
  <c r="H235" i="7"/>
  <c r="G235" i="7"/>
  <c r="F235" i="7"/>
  <c r="E235" i="7"/>
  <c r="AB234" i="7"/>
  <c r="AB233" i="7"/>
  <c r="AB232" i="7"/>
  <c r="AB231" i="7"/>
  <c r="AB230" i="7"/>
  <c r="AB229" i="7"/>
  <c r="AB228" i="7"/>
  <c r="AB227" i="7"/>
  <c r="AB226" i="7"/>
  <c r="AB225" i="7"/>
  <c r="AA223" i="7"/>
  <c r="Z223" i="7"/>
  <c r="Y223" i="7"/>
  <c r="X223" i="7"/>
  <c r="W223" i="7"/>
  <c r="V223" i="7"/>
  <c r="U223" i="7"/>
  <c r="T223" i="7"/>
  <c r="S223" i="7"/>
  <c r="R223" i="7"/>
  <c r="Q223" i="7"/>
  <c r="P223" i="7"/>
  <c r="O223" i="7"/>
  <c r="N223" i="7"/>
  <c r="M223" i="7"/>
  <c r="L223" i="7"/>
  <c r="K223" i="7"/>
  <c r="J223" i="7"/>
  <c r="I223" i="7"/>
  <c r="H223" i="7"/>
  <c r="G223" i="7"/>
  <c r="F223" i="7"/>
  <c r="E223" i="7"/>
  <c r="AB222" i="7"/>
  <c r="AB221" i="7"/>
  <c r="AB220" i="7"/>
  <c r="AB219" i="7"/>
  <c r="AB218" i="7"/>
  <c r="AB217" i="7"/>
  <c r="AB216" i="7"/>
  <c r="AB215" i="7"/>
  <c r="AB214" i="7"/>
  <c r="AB213" i="7"/>
  <c r="AA211" i="7"/>
  <c r="Z211" i="7"/>
  <c r="Y211" i="7"/>
  <c r="X211" i="7"/>
  <c r="W211" i="7"/>
  <c r="V211" i="7"/>
  <c r="U211" i="7"/>
  <c r="T211" i="7"/>
  <c r="S211" i="7"/>
  <c r="R211" i="7"/>
  <c r="Q211" i="7"/>
  <c r="P211" i="7"/>
  <c r="O211" i="7"/>
  <c r="N211" i="7"/>
  <c r="M211" i="7"/>
  <c r="L211" i="7"/>
  <c r="K211" i="7"/>
  <c r="J211" i="7"/>
  <c r="I211" i="7"/>
  <c r="H211" i="7"/>
  <c r="G211" i="7"/>
  <c r="F211" i="7"/>
  <c r="E211" i="7"/>
  <c r="AB210" i="7"/>
  <c r="AB211" i="7" s="1"/>
  <c r="AB209" i="7"/>
  <c r="AB208" i="7"/>
  <c r="AB207" i="7"/>
  <c r="AB206" i="7"/>
  <c r="AB205" i="7"/>
  <c r="AB204" i="7"/>
  <c r="AB203" i="7"/>
  <c r="AB202" i="7"/>
  <c r="AB201" i="7"/>
  <c r="AA199" i="7"/>
  <c r="Z199" i="7"/>
  <c r="Y199" i="7"/>
  <c r="X199" i="7"/>
  <c r="W199" i="7"/>
  <c r="V199" i="7"/>
  <c r="U199" i="7"/>
  <c r="T199" i="7"/>
  <c r="S199" i="7"/>
  <c r="R199" i="7"/>
  <c r="Q199" i="7"/>
  <c r="P199" i="7"/>
  <c r="O199" i="7"/>
  <c r="N199" i="7"/>
  <c r="M199" i="7"/>
  <c r="L199" i="7"/>
  <c r="K199" i="7"/>
  <c r="J199" i="7"/>
  <c r="I199" i="7"/>
  <c r="H199" i="7"/>
  <c r="G199" i="7"/>
  <c r="F199" i="7"/>
  <c r="E199" i="7"/>
  <c r="AB198" i="7"/>
  <c r="AB197" i="7"/>
  <c r="AB196" i="7"/>
  <c r="AB195" i="7"/>
  <c r="AB194" i="7"/>
  <c r="AB193" i="7"/>
  <c r="AB192" i="7"/>
  <c r="AB191" i="7"/>
  <c r="AB190" i="7"/>
  <c r="AB189" i="7"/>
  <c r="AB187" i="7"/>
  <c r="AA187" i="7"/>
  <c r="Z187" i="7"/>
  <c r="Y187" i="7"/>
  <c r="X187" i="7"/>
  <c r="W187" i="7"/>
  <c r="V187" i="7"/>
  <c r="U187" i="7"/>
  <c r="T187" i="7"/>
  <c r="S187" i="7"/>
  <c r="R187" i="7"/>
  <c r="Q187" i="7"/>
  <c r="P187" i="7"/>
  <c r="O187" i="7"/>
  <c r="N187" i="7"/>
  <c r="M187" i="7"/>
  <c r="L187" i="7"/>
  <c r="K187" i="7"/>
  <c r="J187" i="7"/>
  <c r="I187" i="7"/>
  <c r="H187" i="7"/>
  <c r="G187" i="7"/>
  <c r="F187" i="7"/>
  <c r="E187" i="7"/>
  <c r="AB186" i="7"/>
  <c r="AB185" i="7"/>
  <c r="AB184" i="7"/>
  <c r="AB183" i="7"/>
  <c r="AB182" i="7"/>
  <c r="AB181" i="7"/>
  <c r="AB180" i="7"/>
  <c r="AB179" i="7"/>
  <c r="AB178" i="7"/>
  <c r="AB177" i="7"/>
  <c r="AA175" i="7"/>
  <c r="Z175" i="7"/>
  <c r="Y175" i="7"/>
  <c r="X175" i="7"/>
  <c r="W175" i="7"/>
  <c r="V175" i="7"/>
  <c r="U175" i="7"/>
  <c r="T175" i="7"/>
  <c r="S175" i="7"/>
  <c r="R175" i="7"/>
  <c r="Q175" i="7"/>
  <c r="P175" i="7"/>
  <c r="O175" i="7"/>
  <c r="N175" i="7"/>
  <c r="M175" i="7"/>
  <c r="L175" i="7"/>
  <c r="K175" i="7"/>
  <c r="J175" i="7"/>
  <c r="I175" i="7"/>
  <c r="H175" i="7"/>
  <c r="G175" i="7"/>
  <c r="F175" i="7"/>
  <c r="E175" i="7"/>
  <c r="AB174" i="7"/>
  <c r="AB173" i="7"/>
  <c r="AB172" i="7"/>
  <c r="AB171" i="7"/>
  <c r="AB170" i="7"/>
  <c r="AB169" i="7"/>
  <c r="AB168" i="7"/>
  <c r="AB167" i="7"/>
  <c r="AB166" i="7"/>
  <c r="AB165" i="7"/>
  <c r="AA163" i="7"/>
  <c r="Z163" i="7"/>
  <c r="Y163" i="7"/>
  <c r="X163" i="7"/>
  <c r="W163" i="7"/>
  <c r="V163" i="7"/>
  <c r="U163" i="7"/>
  <c r="T163" i="7"/>
  <c r="S163" i="7"/>
  <c r="R163" i="7"/>
  <c r="Q163" i="7"/>
  <c r="P163" i="7"/>
  <c r="O163" i="7"/>
  <c r="N163" i="7"/>
  <c r="M163" i="7"/>
  <c r="L163" i="7"/>
  <c r="K163" i="7"/>
  <c r="J163" i="7"/>
  <c r="I163" i="7"/>
  <c r="H163" i="7"/>
  <c r="G163" i="7"/>
  <c r="F163" i="7"/>
  <c r="E163" i="7"/>
  <c r="AB162" i="7"/>
  <c r="AB161" i="7"/>
  <c r="AB160" i="7"/>
  <c r="AB159" i="7"/>
  <c r="AB158" i="7"/>
  <c r="AB157" i="7"/>
  <c r="AB156" i="7"/>
  <c r="AB155" i="7"/>
  <c r="AB154" i="7"/>
  <c r="AB153" i="7"/>
  <c r="AB163" i="7" s="1"/>
  <c r="AA151" i="7"/>
  <c r="Z151" i="7"/>
  <c r="Y151" i="7"/>
  <c r="X151" i="7"/>
  <c r="W151" i="7"/>
  <c r="V151" i="7"/>
  <c r="U151" i="7"/>
  <c r="T151" i="7"/>
  <c r="S151" i="7"/>
  <c r="R151" i="7"/>
  <c r="Q151" i="7"/>
  <c r="P151" i="7"/>
  <c r="O151" i="7"/>
  <c r="N151" i="7"/>
  <c r="M151" i="7"/>
  <c r="L151" i="7"/>
  <c r="K151" i="7"/>
  <c r="J151" i="7"/>
  <c r="I151" i="7"/>
  <c r="H151" i="7"/>
  <c r="G151" i="7"/>
  <c r="F151" i="7"/>
  <c r="E151" i="7"/>
  <c r="AB150" i="7"/>
  <c r="AB149" i="7"/>
  <c r="AB148" i="7"/>
  <c r="AB147" i="7"/>
  <c r="AB146" i="7"/>
  <c r="AB145" i="7"/>
  <c r="AB144" i="7"/>
  <c r="AB143" i="7"/>
  <c r="AB142" i="7"/>
  <c r="AB141" i="7"/>
  <c r="AA139" i="7"/>
  <c r="Z139" i="7"/>
  <c r="Y139" i="7"/>
  <c r="X139" i="7"/>
  <c r="W139" i="7"/>
  <c r="V139" i="7"/>
  <c r="U139" i="7"/>
  <c r="T139" i="7"/>
  <c r="S139" i="7"/>
  <c r="R139" i="7"/>
  <c r="Q139" i="7"/>
  <c r="P139" i="7"/>
  <c r="O139" i="7"/>
  <c r="N139" i="7"/>
  <c r="M139" i="7"/>
  <c r="L139" i="7"/>
  <c r="K139" i="7"/>
  <c r="J139" i="7"/>
  <c r="I139" i="7"/>
  <c r="H139" i="7"/>
  <c r="G139" i="7"/>
  <c r="F139" i="7"/>
  <c r="E139" i="7"/>
  <c r="AB138" i="7"/>
  <c r="AB137" i="7"/>
  <c r="AB136" i="7"/>
  <c r="AB135" i="7"/>
  <c r="AB134" i="7"/>
  <c r="AB133" i="7"/>
  <c r="AB132" i="7"/>
  <c r="AB131" i="7"/>
  <c r="AB130" i="7"/>
  <c r="AB129" i="7"/>
  <c r="AB139" i="7" s="1"/>
  <c r="AA127" i="7"/>
  <c r="Z127" i="7"/>
  <c r="Y127" i="7"/>
  <c r="X127" i="7"/>
  <c r="W127" i="7"/>
  <c r="V127" i="7"/>
  <c r="U127" i="7"/>
  <c r="T127" i="7"/>
  <c r="S127" i="7"/>
  <c r="R127" i="7"/>
  <c r="Q127" i="7"/>
  <c r="P127" i="7"/>
  <c r="O127" i="7"/>
  <c r="N127" i="7"/>
  <c r="M127" i="7"/>
  <c r="L127" i="7"/>
  <c r="K127" i="7"/>
  <c r="J127" i="7"/>
  <c r="I127" i="7"/>
  <c r="H127" i="7"/>
  <c r="G127" i="7"/>
  <c r="F127" i="7"/>
  <c r="E127" i="7"/>
  <c r="AB126" i="7"/>
  <c r="AB125" i="7"/>
  <c r="AB124" i="7"/>
  <c r="AB123" i="7"/>
  <c r="AB122" i="7"/>
  <c r="AB121" i="7"/>
  <c r="AB120" i="7"/>
  <c r="AB119" i="7"/>
  <c r="AB118" i="7"/>
  <c r="AB117" i="7"/>
  <c r="AA115" i="7"/>
  <c r="Z115" i="7"/>
  <c r="Y115" i="7"/>
  <c r="X115" i="7"/>
  <c r="W115" i="7"/>
  <c r="V115" i="7"/>
  <c r="U115" i="7"/>
  <c r="T115" i="7"/>
  <c r="S115" i="7"/>
  <c r="R115" i="7"/>
  <c r="Q115" i="7"/>
  <c r="P115" i="7"/>
  <c r="O115" i="7"/>
  <c r="N115" i="7"/>
  <c r="M115" i="7"/>
  <c r="L115" i="7"/>
  <c r="K115" i="7"/>
  <c r="J115" i="7"/>
  <c r="I115" i="7"/>
  <c r="H115" i="7"/>
  <c r="G115" i="7"/>
  <c r="F115" i="7"/>
  <c r="E115" i="7"/>
  <c r="AB114" i="7"/>
  <c r="AB113" i="7"/>
  <c r="AB112" i="7"/>
  <c r="AB111" i="7"/>
  <c r="AB110" i="7"/>
  <c r="AB109" i="7"/>
  <c r="AB108" i="7"/>
  <c r="AB107" i="7"/>
  <c r="AB106" i="7"/>
  <c r="AB105" i="7"/>
  <c r="AB115" i="7" s="1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F103" i="7"/>
  <c r="E103" i="7"/>
  <c r="AB102" i="7"/>
  <c r="AB101" i="7"/>
  <c r="AB100" i="7"/>
  <c r="AB103" i="7" s="1"/>
  <c r="AB99" i="7"/>
  <c r="AB98" i="7"/>
  <c r="AB97" i="7"/>
  <c r="AB96" i="7"/>
  <c r="AB95" i="7"/>
  <c r="AB94" i="7"/>
  <c r="AB93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F91" i="7"/>
  <c r="E91" i="7"/>
  <c r="AB90" i="7"/>
  <c r="AB89" i="7"/>
  <c r="AB88" i="7"/>
  <c r="AB87" i="7"/>
  <c r="AB86" i="7"/>
  <c r="AB85" i="7"/>
  <c r="AB84" i="7"/>
  <c r="AB83" i="7"/>
  <c r="AB82" i="7"/>
  <c r="AB81" i="7"/>
  <c r="AB91" i="7" s="1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AB78" i="7"/>
  <c r="AB77" i="7"/>
  <c r="AB79" i="7" s="1"/>
  <c r="AB76" i="7"/>
  <c r="AB75" i="7"/>
  <c r="AB74" i="7"/>
  <c r="AB73" i="7"/>
  <c r="AB72" i="7"/>
  <c r="AB71" i="7"/>
  <c r="AB70" i="7"/>
  <c r="AB69" i="7"/>
  <c r="AA67" i="7"/>
  <c r="Z67" i="7"/>
  <c r="Y67" i="7"/>
  <c r="X67" i="7"/>
  <c r="W67" i="7"/>
  <c r="V67" i="7"/>
  <c r="U67" i="7"/>
  <c r="T67" i="7"/>
  <c r="S67" i="7"/>
  <c r="S262" i="7" s="1"/>
  <c r="S264" i="7" s="1"/>
  <c r="R67" i="7"/>
  <c r="Q67" i="7"/>
  <c r="P67" i="7"/>
  <c r="P262" i="7" s="1"/>
  <c r="P264" i="7" s="1"/>
  <c r="O67" i="7"/>
  <c r="N67" i="7"/>
  <c r="M67" i="7"/>
  <c r="L67" i="7"/>
  <c r="K67" i="7"/>
  <c r="J67" i="7"/>
  <c r="I67" i="7"/>
  <c r="H67" i="7"/>
  <c r="G67" i="7"/>
  <c r="F67" i="7"/>
  <c r="E67" i="7"/>
  <c r="AB66" i="7"/>
  <c r="AB65" i="7"/>
  <c r="AB64" i="7"/>
  <c r="AB63" i="7"/>
  <c r="AB62" i="7"/>
  <c r="AB61" i="7"/>
  <c r="AB60" i="7"/>
  <c r="AB59" i="7"/>
  <c r="AB58" i="7"/>
  <c r="AB67" i="7" s="1"/>
  <c r="AB57" i="7"/>
  <c r="AB55" i="7"/>
  <c r="AA55" i="7"/>
  <c r="AA262" i="7" s="1"/>
  <c r="AA264" i="7" s="1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H262" i="7" s="1"/>
  <c r="G55" i="7"/>
  <c r="F55" i="7"/>
  <c r="F262" i="7" s="1"/>
  <c r="F264" i="7" s="1"/>
  <c r="E55" i="7"/>
  <c r="E262" i="7" s="1"/>
  <c r="AB54" i="7"/>
  <c r="AB53" i="7"/>
  <c r="AB52" i="7"/>
  <c r="AB51" i="7"/>
  <c r="AB50" i="7"/>
  <c r="AB49" i="7"/>
  <c r="AB48" i="7"/>
  <c r="AB47" i="7"/>
  <c r="AB46" i="7"/>
  <c r="AB45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AB40" i="7"/>
  <c r="AB39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AB35" i="7"/>
  <c r="AB34" i="7"/>
  <c r="AB33" i="7"/>
  <c r="AA30" i="7"/>
  <c r="Z30" i="7"/>
  <c r="W30" i="7"/>
  <c r="R30" i="7"/>
  <c r="Q30" i="7"/>
  <c r="P30" i="7"/>
  <c r="N30" i="7"/>
  <c r="H30" i="7"/>
  <c r="E30" i="7"/>
  <c r="AA29" i="7"/>
  <c r="Z29" i="7"/>
  <c r="Y29" i="7"/>
  <c r="X29" i="7"/>
  <c r="X30" i="7" s="1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J30" i="7" s="1"/>
  <c r="I29" i="7"/>
  <c r="H29" i="7"/>
  <c r="G29" i="7"/>
  <c r="G30" i="7" s="1"/>
  <c r="F29" i="7"/>
  <c r="E29" i="7"/>
  <c r="AA28" i="7"/>
  <c r="Z28" i="7"/>
  <c r="Y28" i="7"/>
  <c r="Y30" i="7" s="1"/>
  <c r="X28" i="7"/>
  <c r="W28" i="7"/>
  <c r="V28" i="7"/>
  <c r="V30" i="7" s="1"/>
  <c r="U28" i="7"/>
  <c r="U30" i="7" s="1"/>
  <c r="T28" i="7"/>
  <c r="T30" i="7" s="1"/>
  <c r="S28" i="7"/>
  <c r="S30" i="7" s="1"/>
  <c r="R28" i="7"/>
  <c r="Q28" i="7"/>
  <c r="P28" i="7"/>
  <c r="O28" i="7"/>
  <c r="O30" i="7" s="1"/>
  <c r="N28" i="7"/>
  <c r="M28" i="7"/>
  <c r="M30" i="7" s="1"/>
  <c r="L28" i="7"/>
  <c r="L30" i="7" s="1"/>
  <c r="K28" i="7"/>
  <c r="K30" i="7" s="1"/>
  <c r="J28" i="7"/>
  <c r="I28" i="7"/>
  <c r="I30" i="7" s="1"/>
  <c r="H28" i="7"/>
  <c r="G28" i="7"/>
  <c r="F28" i="7"/>
  <c r="E28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AB26" i="7"/>
  <c r="AB25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AB23" i="7"/>
  <c r="AB22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AB20" i="7"/>
  <c r="AB19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AB15" i="7"/>
  <c r="AB14" i="7"/>
  <c r="S263" i="6"/>
  <c r="R259" i="6"/>
  <c r="Q259" i="6"/>
  <c r="P259" i="6"/>
  <c r="O259" i="6"/>
  <c r="N259" i="6"/>
  <c r="M259" i="6"/>
  <c r="L259" i="6"/>
  <c r="K259" i="6"/>
  <c r="J259" i="6"/>
  <c r="I259" i="6"/>
  <c r="H259" i="6"/>
  <c r="G259" i="6"/>
  <c r="F259" i="6"/>
  <c r="E259" i="6"/>
  <c r="S258" i="6"/>
  <c r="S257" i="6"/>
  <c r="S256" i="6"/>
  <c r="S255" i="6"/>
  <c r="S254" i="6"/>
  <c r="S253" i="6"/>
  <c r="S252" i="6"/>
  <c r="S251" i="6"/>
  <c r="S250" i="6"/>
  <c r="S249" i="6"/>
  <c r="R247" i="6"/>
  <c r="Q247" i="6"/>
  <c r="P247" i="6"/>
  <c r="O247" i="6"/>
  <c r="N247" i="6"/>
  <c r="M247" i="6"/>
  <c r="L247" i="6"/>
  <c r="K247" i="6"/>
  <c r="J247" i="6"/>
  <c r="I247" i="6"/>
  <c r="H247" i="6"/>
  <c r="G247" i="6"/>
  <c r="F247" i="6"/>
  <c r="E247" i="6"/>
  <c r="S246" i="6"/>
  <c r="S245" i="6"/>
  <c r="S244" i="6"/>
  <c r="S243" i="6"/>
  <c r="S242" i="6"/>
  <c r="S241" i="6"/>
  <c r="S240" i="6"/>
  <c r="S239" i="6"/>
  <c r="S238" i="6"/>
  <c r="S237" i="6"/>
  <c r="S247" i="6" s="1"/>
  <c r="S235" i="6"/>
  <c r="R235" i="6"/>
  <c r="Q235" i="6"/>
  <c r="P235" i="6"/>
  <c r="O235" i="6"/>
  <c r="N235" i="6"/>
  <c r="M235" i="6"/>
  <c r="L235" i="6"/>
  <c r="K235" i="6"/>
  <c r="J235" i="6"/>
  <c r="I235" i="6"/>
  <c r="H235" i="6"/>
  <c r="G235" i="6"/>
  <c r="F235" i="6"/>
  <c r="E235" i="6"/>
  <c r="S234" i="6"/>
  <c r="S233" i="6"/>
  <c r="S232" i="6"/>
  <c r="S231" i="6"/>
  <c r="S230" i="6"/>
  <c r="S229" i="6"/>
  <c r="S228" i="6"/>
  <c r="S227" i="6"/>
  <c r="S226" i="6"/>
  <c r="S225" i="6"/>
  <c r="R223" i="6"/>
  <c r="Q223" i="6"/>
  <c r="P223" i="6"/>
  <c r="O223" i="6"/>
  <c r="N223" i="6"/>
  <c r="M223" i="6"/>
  <c r="L223" i="6"/>
  <c r="K223" i="6"/>
  <c r="J223" i="6"/>
  <c r="I223" i="6"/>
  <c r="H223" i="6"/>
  <c r="G223" i="6"/>
  <c r="F223" i="6"/>
  <c r="E223" i="6"/>
  <c r="S222" i="6"/>
  <c r="S221" i="6"/>
  <c r="S220" i="6"/>
  <c r="S219" i="6"/>
  <c r="S218" i="6"/>
  <c r="S217" i="6"/>
  <c r="S216" i="6"/>
  <c r="S215" i="6"/>
  <c r="S214" i="6"/>
  <c r="S213" i="6"/>
  <c r="S223" i="6" s="1"/>
  <c r="S211" i="6"/>
  <c r="R211" i="6"/>
  <c r="Q211" i="6"/>
  <c r="P211" i="6"/>
  <c r="O211" i="6"/>
  <c r="N211" i="6"/>
  <c r="M211" i="6"/>
  <c r="L211" i="6"/>
  <c r="K211" i="6"/>
  <c r="J211" i="6"/>
  <c r="I211" i="6"/>
  <c r="H211" i="6"/>
  <c r="G211" i="6"/>
  <c r="F211" i="6"/>
  <c r="E211" i="6"/>
  <c r="S210" i="6"/>
  <c r="S209" i="6"/>
  <c r="S208" i="6"/>
  <c r="S207" i="6"/>
  <c r="S206" i="6"/>
  <c r="S205" i="6"/>
  <c r="S204" i="6"/>
  <c r="S203" i="6"/>
  <c r="S202" i="6"/>
  <c r="S201" i="6"/>
  <c r="R199" i="6"/>
  <c r="Q199" i="6"/>
  <c r="P199" i="6"/>
  <c r="O199" i="6"/>
  <c r="N199" i="6"/>
  <c r="M199" i="6"/>
  <c r="L199" i="6"/>
  <c r="K199" i="6"/>
  <c r="J199" i="6"/>
  <c r="I199" i="6"/>
  <c r="H199" i="6"/>
  <c r="G199" i="6"/>
  <c r="F199" i="6"/>
  <c r="E199" i="6"/>
  <c r="S198" i="6"/>
  <c r="S197" i="6"/>
  <c r="S196" i="6"/>
  <c r="S195" i="6"/>
  <c r="S194" i="6"/>
  <c r="S193" i="6"/>
  <c r="S192" i="6"/>
  <c r="S191" i="6"/>
  <c r="S199" i="6" s="1"/>
  <c r="S190" i="6"/>
  <c r="S189" i="6"/>
  <c r="R187" i="6"/>
  <c r="Q187" i="6"/>
  <c r="P187" i="6"/>
  <c r="O187" i="6"/>
  <c r="N187" i="6"/>
  <c r="M187" i="6"/>
  <c r="L187" i="6"/>
  <c r="K187" i="6"/>
  <c r="J187" i="6"/>
  <c r="I187" i="6"/>
  <c r="H187" i="6"/>
  <c r="G187" i="6"/>
  <c r="F187" i="6"/>
  <c r="E187" i="6"/>
  <c r="S186" i="6"/>
  <c r="S185" i="6"/>
  <c r="S184" i="6"/>
  <c r="S183" i="6"/>
  <c r="S182" i="6"/>
  <c r="S181" i="6"/>
  <c r="S180" i="6"/>
  <c r="S179" i="6"/>
  <c r="S187" i="6" s="1"/>
  <c r="S178" i="6"/>
  <c r="S177" i="6"/>
  <c r="R175" i="6"/>
  <c r="Q175" i="6"/>
  <c r="P175" i="6"/>
  <c r="O175" i="6"/>
  <c r="N175" i="6"/>
  <c r="M175" i="6"/>
  <c r="L175" i="6"/>
  <c r="K175" i="6"/>
  <c r="J175" i="6"/>
  <c r="I175" i="6"/>
  <c r="H175" i="6"/>
  <c r="G175" i="6"/>
  <c r="F175" i="6"/>
  <c r="E175" i="6"/>
  <c r="S174" i="6"/>
  <c r="S173" i="6"/>
  <c r="S172" i="6"/>
  <c r="S171" i="6"/>
  <c r="S170" i="6"/>
  <c r="S169" i="6"/>
  <c r="S168" i="6"/>
  <c r="S167" i="6"/>
  <c r="S166" i="6"/>
  <c r="S165" i="6"/>
  <c r="R163" i="6"/>
  <c r="Q163" i="6"/>
  <c r="P163" i="6"/>
  <c r="O163" i="6"/>
  <c r="N163" i="6"/>
  <c r="M163" i="6"/>
  <c r="L163" i="6"/>
  <c r="K163" i="6"/>
  <c r="J163" i="6"/>
  <c r="I163" i="6"/>
  <c r="H163" i="6"/>
  <c r="G163" i="6"/>
  <c r="F163" i="6"/>
  <c r="E163" i="6"/>
  <c r="S162" i="6"/>
  <c r="S161" i="6"/>
  <c r="S160" i="6"/>
  <c r="S159" i="6"/>
  <c r="S158" i="6"/>
  <c r="S157" i="6"/>
  <c r="S156" i="6"/>
  <c r="S155" i="6"/>
  <c r="S154" i="6"/>
  <c r="S153" i="6"/>
  <c r="S163" i="6" s="1"/>
  <c r="R151" i="6"/>
  <c r="Q151" i="6"/>
  <c r="P151" i="6"/>
  <c r="O151" i="6"/>
  <c r="N151" i="6"/>
  <c r="M151" i="6"/>
  <c r="L151" i="6"/>
  <c r="K151" i="6"/>
  <c r="J151" i="6"/>
  <c r="I151" i="6"/>
  <c r="H151" i="6"/>
  <c r="G151" i="6"/>
  <c r="F151" i="6"/>
  <c r="E151" i="6"/>
  <c r="S150" i="6"/>
  <c r="S149" i="6"/>
  <c r="S148" i="6"/>
  <c r="S147" i="6"/>
  <c r="S146" i="6"/>
  <c r="S145" i="6"/>
  <c r="S144" i="6"/>
  <c r="S143" i="6"/>
  <c r="S142" i="6"/>
  <c r="S141" i="6"/>
  <c r="S151" i="6" s="1"/>
  <c r="R139" i="6"/>
  <c r="Q139" i="6"/>
  <c r="P139" i="6"/>
  <c r="O139" i="6"/>
  <c r="N139" i="6"/>
  <c r="M139" i="6"/>
  <c r="L139" i="6"/>
  <c r="K139" i="6"/>
  <c r="J139" i="6"/>
  <c r="I139" i="6"/>
  <c r="H139" i="6"/>
  <c r="G139" i="6"/>
  <c r="F139" i="6"/>
  <c r="E139" i="6"/>
  <c r="S138" i="6"/>
  <c r="S137" i="6"/>
  <c r="S136" i="6"/>
  <c r="S135" i="6"/>
  <c r="S134" i="6"/>
  <c r="S133" i="6"/>
  <c r="S132" i="6"/>
  <c r="S131" i="6"/>
  <c r="S139" i="6" s="1"/>
  <c r="S130" i="6"/>
  <c r="S129" i="6"/>
  <c r="R127" i="6"/>
  <c r="Q127" i="6"/>
  <c r="P127" i="6"/>
  <c r="O127" i="6"/>
  <c r="N127" i="6"/>
  <c r="M127" i="6"/>
  <c r="L127" i="6"/>
  <c r="K127" i="6"/>
  <c r="J127" i="6"/>
  <c r="I127" i="6"/>
  <c r="H127" i="6"/>
  <c r="G127" i="6"/>
  <c r="F127" i="6"/>
  <c r="E127" i="6"/>
  <c r="S126" i="6"/>
  <c r="S125" i="6"/>
  <c r="S124" i="6"/>
  <c r="S123" i="6"/>
  <c r="S122" i="6"/>
  <c r="S121" i="6"/>
  <c r="S120" i="6"/>
  <c r="S119" i="6"/>
  <c r="S127" i="6" s="1"/>
  <c r="S118" i="6"/>
  <c r="S117" i="6"/>
  <c r="R115" i="6"/>
  <c r="R262" i="6" s="1"/>
  <c r="R264" i="6" s="1"/>
  <c r="Q115" i="6"/>
  <c r="P115" i="6"/>
  <c r="O115" i="6"/>
  <c r="N115" i="6"/>
  <c r="M115" i="6"/>
  <c r="L115" i="6"/>
  <c r="K115" i="6"/>
  <c r="J115" i="6"/>
  <c r="I115" i="6"/>
  <c r="H115" i="6"/>
  <c r="G115" i="6"/>
  <c r="F115" i="6"/>
  <c r="E115" i="6"/>
  <c r="S114" i="6"/>
  <c r="S113" i="6"/>
  <c r="S112" i="6"/>
  <c r="S111" i="6"/>
  <c r="S110" i="6"/>
  <c r="S109" i="6"/>
  <c r="S108" i="6"/>
  <c r="S107" i="6"/>
  <c r="S106" i="6"/>
  <c r="S115" i="6" s="1"/>
  <c r="S105" i="6"/>
  <c r="R103" i="6"/>
  <c r="Q103" i="6"/>
  <c r="P103" i="6"/>
  <c r="O103" i="6"/>
  <c r="N103" i="6"/>
  <c r="M103" i="6"/>
  <c r="L103" i="6"/>
  <c r="K103" i="6"/>
  <c r="J103" i="6"/>
  <c r="I103" i="6"/>
  <c r="H103" i="6"/>
  <c r="G103" i="6"/>
  <c r="F103" i="6"/>
  <c r="E103" i="6"/>
  <c r="S102" i="6"/>
  <c r="S101" i="6"/>
  <c r="S100" i="6"/>
  <c r="S99" i="6"/>
  <c r="S98" i="6"/>
  <c r="S97" i="6"/>
  <c r="S96" i="6"/>
  <c r="S95" i="6"/>
  <c r="S94" i="6"/>
  <c r="S93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S90" i="6"/>
  <c r="S89" i="6"/>
  <c r="S88" i="6"/>
  <c r="S87" i="6"/>
  <c r="S86" i="6"/>
  <c r="S85" i="6"/>
  <c r="S84" i="6"/>
  <c r="S83" i="6"/>
  <c r="S82" i="6"/>
  <c r="S81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S78" i="6"/>
  <c r="S77" i="6"/>
  <c r="S76" i="6"/>
  <c r="S75" i="6"/>
  <c r="S74" i="6"/>
  <c r="S73" i="6"/>
  <c r="S72" i="6"/>
  <c r="S71" i="6"/>
  <c r="S79" i="6" s="1"/>
  <c r="S70" i="6"/>
  <c r="S69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S66" i="6"/>
  <c r="S65" i="6"/>
  <c r="S64" i="6"/>
  <c r="S63" i="6"/>
  <c r="S62" i="6"/>
  <c r="S61" i="6"/>
  <c r="S60" i="6"/>
  <c r="S59" i="6"/>
  <c r="S58" i="6"/>
  <c r="S57" i="6"/>
  <c r="S67" i="6" s="1"/>
  <c r="R55" i="6"/>
  <c r="Q55" i="6"/>
  <c r="Q262" i="6" s="1"/>
  <c r="Q264" i="6" s="1"/>
  <c r="P55" i="6"/>
  <c r="O55" i="6"/>
  <c r="N55" i="6"/>
  <c r="M55" i="6"/>
  <c r="L55" i="6"/>
  <c r="K55" i="6"/>
  <c r="J55" i="6"/>
  <c r="I55" i="6"/>
  <c r="H55" i="6"/>
  <c r="G55" i="6"/>
  <c r="F55" i="6"/>
  <c r="E55" i="6"/>
  <c r="S54" i="6"/>
  <c r="S53" i="6"/>
  <c r="S52" i="6"/>
  <c r="S51" i="6"/>
  <c r="S50" i="6"/>
  <c r="S49" i="6"/>
  <c r="S48" i="6"/>
  <c r="S47" i="6"/>
  <c r="S46" i="6"/>
  <c r="S45" i="6"/>
  <c r="S55" i="6" s="1"/>
  <c r="R41" i="6"/>
  <c r="Q41" i="6"/>
  <c r="P41" i="6"/>
  <c r="O41" i="6"/>
  <c r="N41" i="6"/>
  <c r="M41" i="6"/>
  <c r="L41" i="6"/>
  <c r="K41" i="6"/>
  <c r="S41" i="6" s="1"/>
  <c r="J41" i="6"/>
  <c r="I41" i="6"/>
  <c r="H41" i="6"/>
  <c r="G41" i="6"/>
  <c r="F41" i="6"/>
  <c r="E41" i="6"/>
  <c r="S40" i="6"/>
  <c r="S39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S35" i="6"/>
  <c r="S34" i="6"/>
  <c r="S33" i="6"/>
  <c r="O30" i="6"/>
  <c r="I30" i="6"/>
  <c r="H30" i="6"/>
  <c r="F30" i="6"/>
  <c r="R29" i="6"/>
  <c r="Q29" i="6"/>
  <c r="P29" i="6"/>
  <c r="O29" i="6"/>
  <c r="N29" i="6"/>
  <c r="M29" i="6"/>
  <c r="L29" i="6"/>
  <c r="L30" i="6" s="1"/>
  <c r="K29" i="6"/>
  <c r="K30" i="6" s="1"/>
  <c r="J29" i="6"/>
  <c r="I29" i="6"/>
  <c r="H29" i="6"/>
  <c r="G29" i="6"/>
  <c r="G30" i="6" s="1"/>
  <c r="F29" i="6"/>
  <c r="E29" i="6"/>
  <c r="R28" i="6"/>
  <c r="R30" i="6" s="1"/>
  <c r="Q28" i="6"/>
  <c r="P28" i="6"/>
  <c r="P30" i="6" s="1"/>
  <c r="O28" i="6"/>
  <c r="N28" i="6"/>
  <c r="N30" i="6" s="1"/>
  <c r="M28" i="6"/>
  <c r="M30" i="6" s="1"/>
  <c r="L28" i="6"/>
  <c r="K28" i="6"/>
  <c r="J28" i="6"/>
  <c r="J30" i="6" s="1"/>
  <c r="I28" i="6"/>
  <c r="H28" i="6"/>
  <c r="G28" i="6"/>
  <c r="F28" i="6"/>
  <c r="E28" i="6"/>
  <c r="R27" i="6"/>
  <c r="S27" i="6" s="1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S26" i="6"/>
  <c r="S25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S23" i="6"/>
  <c r="S22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S20" i="6"/>
  <c r="S19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S16" i="6" s="1"/>
  <c r="S15" i="6"/>
  <c r="E15" i="1" s="1"/>
  <c r="S14" i="6"/>
  <c r="E14" i="1" s="1"/>
  <c r="E16" i="1" s="1"/>
  <c r="AH263" i="5"/>
  <c r="N262" i="5"/>
  <c r="N264" i="5" s="1"/>
  <c r="M262" i="5"/>
  <c r="M264" i="5" s="1"/>
  <c r="L262" i="5"/>
  <c r="L264" i="5" s="1"/>
  <c r="K262" i="5"/>
  <c r="K264" i="5" s="1"/>
  <c r="I262" i="5"/>
  <c r="I264" i="5" s="1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AH258" i="5"/>
  <c r="AH257" i="5"/>
  <c r="AH256" i="5"/>
  <c r="AH255" i="5"/>
  <c r="AH254" i="5"/>
  <c r="AH253" i="5"/>
  <c r="AH252" i="5"/>
  <c r="AH251" i="5"/>
  <c r="AH250" i="5"/>
  <c r="AH249" i="5"/>
  <c r="AH259" i="5" s="1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AH246" i="5"/>
  <c r="AH245" i="5"/>
  <c r="AH244" i="5"/>
  <c r="AH243" i="5"/>
  <c r="AH242" i="5"/>
  <c r="AH241" i="5"/>
  <c r="AH240" i="5"/>
  <c r="AH239" i="5"/>
  <c r="AH238" i="5"/>
  <c r="AH237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AH234" i="5"/>
  <c r="AH233" i="5"/>
  <c r="AH232" i="5"/>
  <c r="AH231" i="5"/>
  <c r="AH230" i="5"/>
  <c r="AH229" i="5"/>
  <c r="AH228" i="5"/>
  <c r="AH227" i="5"/>
  <c r="AH226" i="5"/>
  <c r="AH225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AH222" i="5"/>
  <c r="AH223" i="5" s="1"/>
  <c r="AH221" i="5"/>
  <c r="AH220" i="5"/>
  <c r="AH219" i="5"/>
  <c r="AH218" i="5"/>
  <c r="AH217" i="5"/>
  <c r="AH216" i="5"/>
  <c r="AH215" i="5"/>
  <c r="AH214" i="5"/>
  <c r="AH213" i="5"/>
  <c r="AG211" i="5"/>
  <c r="AF211" i="5"/>
  <c r="AE211" i="5"/>
  <c r="AD211" i="5"/>
  <c r="AC211" i="5"/>
  <c r="AB211" i="5"/>
  <c r="AB262" i="5" s="1"/>
  <c r="AB264" i="5" s="1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AH210" i="5"/>
  <c r="AH209" i="5"/>
  <c r="AH208" i="5"/>
  <c r="AH207" i="5"/>
  <c r="AH206" i="5"/>
  <c r="AH205" i="5"/>
  <c r="AH204" i="5"/>
  <c r="AH203" i="5"/>
  <c r="AH202" i="5"/>
  <c r="AH201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S262" i="5" s="1"/>
  <c r="S264" i="5" s="1"/>
  <c r="R199" i="5"/>
  <c r="R262" i="5" s="1"/>
  <c r="R264" i="5" s="1"/>
  <c r="Q199" i="5"/>
  <c r="P199" i="5"/>
  <c r="O199" i="5"/>
  <c r="O262" i="5" s="1"/>
  <c r="O264" i="5" s="1"/>
  <c r="N199" i="5"/>
  <c r="M199" i="5"/>
  <c r="L199" i="5"/>
  <c r="K199" i="5"/>
  <c r="J199" i="5"/>
  <c r="I199" i="5"/>
  <c r="H199" i="5"/>
  <c r="G199" i="5"/>
  <c r="F199" i="5"/>
  <c r="E199" i="5"/>
  <c r="AH198" i="5"/>
  <c r="AH197" i="5"/>
  <c r="AH196" i="5"/>
  <c r="AH195" i="5"/>
  <c r="AH194" i="5"/>
  <c r="AH193" i="5"/>
  <c r="AH192" i="5"/>
  <c r="AH191" i="5"/>
  <c r="AH190" i="5"/>
  <c r="AH189" i="5"/>
  <c r="AH199" i="5" s="1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AH186" i="5"/>
  <c r="AH185" i="5"/>
  <c r="AH184" i="5"/>
  <c r="AH183" i="5"/>
  <c r="AH182" i="5"/>
  <c r="AH181" i="5"/>
  <c r="AH180" i="5"/>
  <c r="AH179" i="5"/>
  <c r="AH178" i="5"/>
  <c r="AH177" i="5"/>
  <c r="AH187" i="5" s="1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AH174" i="5"/>
  <c r="AH173" i="5"/>
  <c r="AH172" i="5"/>
  <c r="AH171" i="5"/>
  <c r="AH170" i="5"/>
  <c r="AH169" i="5"/>
  <c r="AH168" i="5"/>
  <c r="AH167" i="5"/>
  <c r="AH166" i="5"/>
  <c r="AH165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AH162" i="5"/>
  <c r="AH161" i="5"/>
  <c r="AH160" i="5"/>
  <c r="AH159" i="5"/>
  <c r="AH158" i="5"/>
  <c r="AH157" i="5"/>
  <c r="AH156" i="5"/>
  <c r="AH155" i="5"/>
  <c r="AH154" i="5"/>
  <c r="AH153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AH150" i="5"/>
  <c r="AH149" i="5"/>
  <c r="AH148" i="5"/>
  <c r="AH147" i="5"/>
  <c r="AH146" i="5"/>
  <c r="AH145" i="5"/>
  <c r="AH144" i="5"/>
  <c r="AH151" i="5" s="1"/>
  <c r="AH143" i="5"/>
  <c r="AH142" i="5"/>
  <c r="AH141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T262" i="5" s="1"/>
  <c r="T264" i="5" s="1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AH138" i="5"/>
  <c r="AH137" i="5"/>
  <c r="AH136" i="5"/>
  <c r="AH135" i="5"/>
  <c r="AH134" i="5"/>
  <c r="AH133" i="5"/>
  <c r="AH132" i="5"/>
  <c r="AH131" i="5"/>
  <c r="AH130" i="5"/>
  <c r="AH129" i="5"/>
  <c r="AH139" i="5" s="1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Q262" i="5" s="1"/>
  <c r="Q264" i="5" s="1"/>
  <c r="P127" i="5"/>
  <c r="O127" i="5"/>
  <c r="N127" i="5"/>
  <c r="M127" i="5"/>
  <c r="L127" i="5"/>
  <c r="K127" i="5"/>
  <c r="J127" i="5"/>
  <c r="I127" i="5"/>
  <c r="H127" i="5"/>
  <c r="G127" i="5"/>
  <c r="F127" i="5"/>
  <c r="E127" i="5"/>
  <c r="AH126" i="5"/>
  <c r="AH125" i="5"/>
  <c r="AH124" i="5"/>
  <c r="AH123" i="5"/>
  <c r="AH122" i="5"/>
  <c r="AH121" i="5"/>
  <c r="AH120" i="5"/>
  <c r="AH119" i="5"/>
  <c r="AH118" i="5"/>
  <c r="AH117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AH114" i="5"/>
  <c r="AH113" i="5"/>
  <c r="AH115" i="5" s="1"/>
  <c r="AH112" i="5"/>
  <c r="AH111" i="5"/>
  <c r="AH110" i="5"/>
  <c r="AH109" i="5"/>
  <c r="AH108" i="5"/>
  <c r="AH107" i="5"/>
  <c r="AH106" i="5"/>
  <c r="AH105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U262" i="5" s="1"/>
  <c r="U264" i="5" s="1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AH102" i="5"/>
  <c r="AH101" i="5"/>
  <c r="AH100" i="5"/>
  <c r="AH99" i="5"/>
  <c r="AH98" i="5"/>
  <c r="AH97" i="5"/>
  <c r="AH103" i="5" s="1"/>
  <c r="AH96" i="5"/>
  <c r="AH95" i="5"/>
  <c r="AH94" i="5"/>
  <c r="AH93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P262" i="5" s="1"/>
  <c r="P264" i="5" s="1"/>
  <c r="O91" i="5"/>
  <c r="N91" i="5"/>
  <c r="M91" i="5"/>
  <c r="L91" i="5"/>
  <c r="K91" i="5"/>
  <c r="J91" i="5"/>
  <c r="I91" i="5"/>
  <c r="H91" i="5"/>
  <c r="G91" i="5"/>
  <c r="F91" i="5"/>
  <c r="E91" i="5"/>
  <c r="AH90" i="5"/>
  <c r="AH89" i="5"/>
  <c r="AH88" i="5"/>
  <c r="AH87" i="5"/>
  <c r="AH86" i="5"/>
  <c r="AH85" i="5"/>
  <c r="AH84" i="5"/>
  <c r="AH83" i="5"/>
  <c r="AH82" i="5"/>
  <c r="AH81" i="5"/>
  <c r="AH91" i="5" s="1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AH78" i="5"/>
  <c r="AH77" i="5"/>
  <c r="AH76" i="5"/>
  <c r="AH75" i="5"/>
  <c r="AH74" i="5"/>
  <c r="AH73" i="5"/>
  <c r="AH72" i="5"/>
  <c r="AH71" i="5"/>
  <c r="AH70" i="5"/>
  <c r="AH69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AH66" i="5"/>
  <c r="AH65" i="5"/>
  <c r="AH64" i="5"/>
  <c r="AH63" i="5"/>
  <c r="AH62" i="5"/>
  <c r="AH61" i="5"/>
  <c r="AH60" i="5"/>
  <c r="AH59" i="5"/>
  <c r="AH58" i="5"/>
  <c r="AH57" i="5"/>
  <c r="AH67" i="5" s="1"/>
  <c r="AG55" i="5"/>
  <c r="AF55" i="5"/>
  <c r="AE55" i="5"/>
  <c r="AD55" i="5"/>
  <c r="AC55" i="5"/>
  <c r="AB55" i="5"/>
  <c r="AA55" i="5"/>
  <c r="Z55" i="5"/>
  <c r="Y55" i="5"/>
  <c r="X55" i="5"/>
  <c r="X262" i="5" s="1"/>
  <c r="X264" i="5" s="1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AH54" i="5"/>
  <c r="AH53" i="5"/>
  <c r="AH52" i="5"/>
  <c r="AH51" i="5"/>
  <c r="AH50" i="5"/>
  <c r="AH49" i="5"/>
  <c r="AH48" i="5"/>
  <c r="AH47" i="5"/>
  <c r="AH46" i="5"/>
  <c r="AH45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AH40" i="5"/>
  <c r="AH39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AH35" i="5"/>
  <c r="AH34" i="5"/>
  <c r="AH33" i="5"/>
  <c r="R30" i="5"/>
  <c r="Q30" i="5"/>
  <c r="O30" i="5"/>
  <c r="N30" i="5"/>
  <c r="M30" i="5"/>
  <c r="L30" i="5"/>
  <c r="K30" i="5"/>
  <c r="AG29" i="5"/>
  <c r="AF29" i="5"/>
  <c r="AE29" i="5"/>
  <c r="AD29" i="5"/>
  <c r="AC29" i="5"/>
  <c r="AB29" i="5"/>
  <c r="AA29" i="5"/>
  <c r="Z29" i="5"/>
  <c r="Y29" i="5"/>
  <c r="X29" i="5"/>
  <c r="W29" i="5"/>
  <c r="V29" i="5"/>
  <c r="V30" i="5" s="1"/>
  <c r="U29" i="5"/>
  <c r="U30" i="5" s="1"/>
  <c r="T29" i="5"/>
  <c r="T30" i="5" s="1"/>
  <c r="S29" i="5"/>
  <c r="S30" i="5" s="1"/>
  <c r="R29" i="5"/>
  <c r="Q29" i="5"/>
  <c r="P29" i="5"/>
  <c r="P30" i="5" s="1"/>
  <c r="O29" i="5"/>
  <c r="N29" i="5"/>
  <c r="M29" i="5"/>
  <c r="L29" i="5"/>
  <c r="K29" i="5"/>
  <c r="J29" i="5"/>
  <c r="I29" i="5"/>
  <c r="H29" i="5"/>
  <c r="G29" i="5"/>
  <c r="F29" i="5"/>
  <c r="E29" i="5"/>
  <c r="AG28" i="5"/>
  <c r="AG30" i="5" s="1"/>
  <c r="AF28" i="5"/>
  <c r="AF30" i="5" s="1"/>
  <c r="AE28" i="5"/>
  <c r="AE30" i="5" s="1"/>
  <c r="AD28" i="5"/>
  <c r="AD30" i="5" s="1"/>
  <c r="AC28" i="5"/>
  <c r="AC30" i="5" s="1"/>
  <c r="AB28" i="5"/>
  <c r="AB30" i="5" s="1"/>
  <c r="AA28" i="5"/>
  <c r="AA30" i="5" s="1"/>
  <c r="Z28" i="5"/>
  <c r="Z30" i="5" s="1"/>
  <c r="Y28" i="5"/>
  <c r="Y30" i="5" s="1"/>
  <c r="X28" i="5"/>
  <c r="X30" i="5" s="1"/>
  <c r="W28" i="5"/>
  <c r="W30" i="5" s="1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J30" i="5" s="1"/>
  <c r="I28" i="5"/>
  <c r="I30" i="5" s="1"/>
  <c r="H28" i="5"/>
  <c r="H30" i="5" s="1"/>
  <c r="G28" i="5"/>
  <c r="G30" i="5" s="1"/>
  <c r="F28" i="5"/>
  <c r="F30" i="5" s="1"/>
  <c r="E28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AH26" i="5"/>
  <c r="AH25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AH23" i="5"/>
  <c r="AH22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AH20" i="5"/>
  <c r="AH19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AH15" i="5"/>
  <c r="AH14" i="5"/>
  <c r="J264" i="4"/>
  <c r="G264" i="4"/>
  <c r="AI263" i="4"/>
  <c r="AH259" i="4"/>
  <c r="AG259" i="4"/>
  <c r="AF259" i="4"/>
  <c r="AE259" i="4"/>
  <c r="AD259" i="4"/>
  <c r="AC259" i="4"/>
  <c r="AB259" i="4"/>
  <c r="AA259" i="4"/>
  <c r="Z259" i="4"/>
  <c r="Y259" i="4"/>
  <c r="X259" i="4"/>
  <c r="W259" i="4"/>
  <c r="V259" i="4"/>
  <c r="U259" i="4"/>
  <c r="T259" i="4"/>
  <c r="S259" i="4"/>
  <c r="R259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AI258" i="4"/>
  <c r="AI259" i="4" s="1"/>
  <c r="AI257" i="4"/>
  <c r="AI256" i="4"/>
  <c r="AI255" i="4"/>
  <c r="AI254" i="4"/>
  <c r="AI253" i="4"/>
  <c r="AI252" i="4"/>
  <c r="AI251" i="4"/>
  <c r="AI250" i="4"/>
  <c r="AI249" i="4"/>
  <c r="AH247" i="4"/>
  <c r="AG247" i="4"/>
  <c r="AF247" i="4"/>
  <c r="AE247" i="4"/>
  <c r="AD247" i="4"/>
  <c r="AC247" i="4"/>
  <c r="AB247" i="4"/>
  <c r="AA247" i="4"/>
  <c r="Z247" i="4"/>
  <c r="Y247" i="4"/>
  <c r="X247" i="4"/>
  <c r="W247" i="4"/>
  <c r="V247" i="4"/>
  <c r="U247" i="4"/>
  <c r="T247" i="4"/>
  <c r="S247" i="4"/>
  <c r="R247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AI246" i="4"/>
  <c r="AI245" i="4"/>
  <c r="AI244" i="4"/>
  <c r="AI243" i="4"/>
  <c r="AI247" i="4" s="1"/>
  <c r="AI242" i="4"/>
  <c r="AI241" i="4"/>
  <c r="AI240" i="4"/>
  <c r="AI239" i="4"/>
  <c r="AI238" i="4"/>
  <c r="AI237" i="4"/>
  <c r="AH235" i="4"/>
  <c r="AG235" i="4"/>
  <c r="AF235" i="4"/>
  <c r="AE235" i="4"/>
  <c r="AD235" i="4"/>
  <c r="AC235" i="4"/>
  <c r="AB235" i="4"/>
  <c r="AA235" i="4"/>
  <c r="Z235" i="4"/>
  <c r="Y235" i="4"/>
  <c r="X235" i="4"/>
  <c r="W235" i="4"/>
  <c r="V235" i="4"/>
  <c r="U235" i="4"/>
  <c r="T235" i="4"/>
  <c r="S235" i="4"/>
  <c r="R235" i="4"/>
  <c r="Q235" i="4"/>
  <c r="P235" i="4"/>
  <c r="O235" i="4"/>
  <c r="N235" i="4"/>
  <c r="M235" i="4"/>
  <c r="K235" i="4"/>
  <c r="J235" i="4"/>
  <c r="I235" i="4"/>
  <c r="H235" i="4"/>
  <c r="G235" i="4"/>
  <c r="F235" i="4"/>
  <c r="E235" i="4"/>
  <c r="AI234" i="4"/>
  <c r="AI233" i="4"/>
  <c r="AI232" i="4"/>
  <c r="AI231" i="4"/>
  <c r="AI230" i="4"/>
  <c r="AI229" i="4"/>
  <c r="AI228" i="4"/>
  <c r="AI227" i="4"/>
  <c r="AI226" i="4"/>
  <c r="AI225" i="4"/>
  <c r="AH223" i="4"/>
  <c r="AG223" i="4"/>
  <c r="AF223" i="4"/>
  <c r="AE223" i="4"/>
  <c r="AD223" i="4"/>
  <c r="AC223" i="4"/>
  <c r="AB223" i="4"/>
  <c r="AA223" i="4"/>
  <c r="Z223" i="4"/>
  <c r="Y223" i="4"/>
  <c r="X223" i="4"/>
  <c r="W223" i="4"/>
  <c r="V223" i="4"/>
  <c r="U223" i="4"/>
  <c r="T223" i="4"/>
  <c r="S223" i="4"/>
  <c r="R223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AI222" i="4"/>
  <c r="AI221" i="4"/>
  <c r="AI220" i="4"/>
  <c r="AI219" i="4"/>
  <c r="AI218" i="4"/>
  <c r="AI217" i="4"/>
  <c r="AI216" i="4"/>
  <c r="AI215" i="4"/>
  <c r="AI214" i="4"/>
  <c r="AI213" i="4"/>
  <c r="AH211" i="4"/>
  <c r="AG211" i="4"/>
  <c r="AF211" i="4"/>
  <c r="AE211" i="4"/>
  <c r="AD211" i="4"/>
  <c r="AC211" i="4"/>
  <c r="AB211" i="4"/>
  <c r="AA211" i="4"/>
  <c r="Z211" i="4"/>
  <c r="Y211" i="4"/>
  <c r="X211" i="4"/>
  <c r="W211" i="4"/>
  <c r="V211" i="4"/>
  <c r="U211" i="4"/>
  <c r="T211" i="4"/>
  <c r="S211" i="4"/>
  <c r="R211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AI210" i="4"/>
  <c r="AI209" i="4"/>
  <c r="AI208" i="4"/>
  <c r="AI207" i="4"/>
  <c r="AI206" i="4"/>
  <c r="AI211" i="4" s="1"/>
  <c r="AI205" i="4"/>
  <c r="AI204" i="4"/>
  <c r="AI203" i="4"/>
  <c r="AI202" i="4"/>
  <c r="AI201" i="4"/>
  <c r="AH199" i="4"/>
  <c r="AG199" i="4"/>
  <c r="AF199" i="4"/>
  <c r="AE199" i="4"/>
  <c r="AD199" i="4"/>
  <c r="AC199" i="4"/>
  <c r="AB199" i="4"/>
  <c r="AA199" i="4"/>
  <c r="Z199" i="4"/>
  <c r="Y199" i="4"/>
  <c r="X199" i="4"/>
  <c r="W199" i="4"/>
  <c r="V199" i="4"/>
  <c r="U199" i="4"/>
  <c r="T199" i="4"/>
  <c r="S199" i="4"/>
  <c r="R199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AI198" i="4"/>
  <c r="AI197" i="4"/>
  <c r="AI196" i="4"/>
  <c r="AI195" i="4"/>
  <c r="AI194" i="4"/>
  <c r="AI193" i="4"/>
  <c r="E193" i="1" s="1"/>
  <c r="AI192" i="4"/>
  <c r="AI191" i="4"/>
  <c r="AI190" i="4"/>
  <c r="AI189" i="4"/>
  <c r="AI199" i="4" s="1"/>
  <c r="AI187" i="4"/>
  <c r="AH187" i="4"/>
  <c r="AG187" i="4"/>
  <c r="AF187" i="4"/>
  <c r="AE187" i="4"/>
  <c r="AD187" i="4"/>
  <c r="AC187" i="4"/>
  <c r="AB187" i="4"/>
  <c r="AA187" i="4"/>
  <c r="Z187" i="4"/>
  <c r="Y187" i="4"/>
  <c r="X187" i="4"/>
  <c r="W187" i="4"/>
  <c r="V187" i="4"/>
  <c r="U187" i="4"/>
  <c r="T187" i="4"/>
  <c r="S187" i="4"/>
  <c r="R187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AI186" i="4"/>
  <c r="AI185" i="4"/>
  <c r="AI184" i="4"/>
  <c r="AI183" i="4"/>
  <c r="AI182" i="4"/>
  <c r="AI181" i="4"/>
  <c r="AI180" i="4"/>
  <c r="AI179" i="4"/>
  <c r="AI178" i="4"/>
  <c r="AI177" i="4"/>
  <c r="AI175" i="4"/>
  <c r="AH175" i="4"/>
  <c r="AG175" i="4"/>
  <c r="AF175" i="4"/>
  <c r="AE175" i="4"/>
  <c r="AD175" i="4"/>
  <c r="AC175" i="4"/>
  <c r="AB175" i="4"/>
  <c r="AA175" i="4"/>
  <c r="Z175" i="4"/>
  <c r="Y175" i="4"/>
  <c r="X175" i="4"/>
  <c r="W175" i="4"/>
  <c r="V175" i="4"/>
  <c r="U175" i="4"/>
  <c r="T175" i="4"/>
  <c r="S175" i="4"/>
  <c r="R175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AI174" i="4"/>
  <c r="AI173" i="4"/>
  <c r="AI172" i="4"/>
  <c r="AI171" i="4"/>
  <c r="AI170" i="4"/>
  <c r="AI169" i="4"/>
  <c r="AI168" i="4"/>
  <c r="AI167" i="4"/>
  <c r="AI166" i="4"/>
  <c r="AI165" i="4"/>
  <c r="AH163" i="4"/>
  <c r="AG163" i="4"/>
  <c r="AF163" i="4"/>
  <c r="AE163" i="4"/>
  <c r="AD163" i="4"/>
  <c r="AC163" i="4"/>
  <c r="AB163" i="4"/>
  <c r="AA163" i="4"/>
  <c r="Z163" i="4"/>
  <c r="Y163" i="4"/>
  <c r="X163" i="4"/>
  <c r="W163" i="4"/>
  <c r="V163" i="4"/>
  <c r="U163" i="4"/>
  <c r="T163" i="4"/>
  <c r="S163" i="4"/>
  <c r="R163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AI162" i="4"/>
  <c r="AI161" i="4"/>
  <c r="AI160" i="4"/>
  <c r="AI159" i="4"/>
  <c r="AI158" i="4"/>
  <c r="AI157" i="4"/>
  <c r="AI156" i="4"/>
  <c r="AI155" i="4"/>
  <c r="AI154" i="4"/>
  <c r="AI153" i="4"/>
  <c r="AH151" i="4"/>
  <c r="AG151" i="4"/>
  <c r="AF151" i="4"/>
  <c r="AE151" i="4"/>
  <c r="AD151" i="4"/>
  <c r="AC151" i="4"/>
  <c r="AB151" i="4"/>
  <c r="AA151" i="4"/>
  <c r="Z151" i="4"/>
  <c r="Y151" i="4"/>
  <c r="X151" i="4"/>
  <c r="W151" i="4"/>
  <c r="V151" i="4"/>
  <c r="U151" i="4"/>
  <c r="T151" i="4"/>
  <c r="S151" i="4"/>
  <c r="R151" i="4"/>
  <c r="Q151" i="4"/>
  <c r="P151" i="4"/>
  <c r="O151" i="4"/>
  <c r="N151" i="4"/>
  <c r="M151" i="4"/>
  <c r="L151" i="4"/>
  <c r="K151" i="4"/>
  <c r="J151" i="4"/>
  <c r="I151" i="4"/>
  <c r="H151" i="4"/>
  <c r="G151" i="4"/>
  <c r="G262" i="4" s="1"/>
  <c r="F151" i="4"/>
  <c r="E151" i="4"/>
  <c r="AI150" i="4"/>
  <c r="AI149" i="4"/>
  <c r="AI148" i="4"/>
  <c r="AI147" i="4"/>
  <c r="AI146" i="4"/>
  <c r="AI145" i="4"/>
  <c r="AI144" i="4"/>
  <c r="AI143" i="4"/>
  <c r="AI142" i="4"/>
  <c r="AI141" i="4"/>
  <c r="AI151" i="4" s="1"/>
  <c r="AH139" i="4"/>
  <c r="AG139" i="4"/>
  <c r="AF139" i="4"/>
  <c r="AE139" i="4"/>
  <c r="AD139" i="4"/>
  <c r="AC139" i="4"/>
  <c r="AB139" i="4"/>
  <c r="AA139" i="4"/>
  <c r="Z139" i="4"/>
  <c r="Y139" i="4"/>
  <c r="X139" i="4"/>
  <c r="W139" i="4"/>
  <c r="V139" i="4"/>
  <c r="U139" i="4"/>
  <c r="T139" i="4"/>
  <c r="S139" i="4"/>
  <c r="R139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AI138" i="4"/>
  <c r="AI137" i="4"/>
  <c r="AI136" i="4"/>
  <c r="AI135" i="4"/>
  <c r="AI134" i="4"/>
  <c r="AI133" i="4"/>
  <c r="AI132" i="4"/>
  <c r="AI131" i="4"/>
  <c r="AI130" i="4"/>
  <c r="AI129" i="4"/>
  <c r="AH127" i="4"/>
  <c r="AG127" i="4"/>
  <c r="AF127" i="4"/>
  <c r="AE127" i="4"/>
  <c r="AD127" i="4"/>
  <c r="AC127" i="4"/>
  <c r="AB127" i="4"/>
  <c r="AA127" i="4"/>
  <c r="Z127" i="4"/>
  <c r="Y127" i="4"/>
  <c r="X127" i="4"/>
  <c r="W127" i="4"/>
  <c r="V127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AI126" i="4"/>
  <c r="AI125" i="4"/>
  <c r="AI124" i="4"/>
  <c r="AI123" i="4"/>
  <c r="AI122" i="4"/>
  <c r="AI121" i="4"/>
  <c r="AI120" i="4"/>
  <c r="AI119" i="4"/>
  <c r="AI118" i="4"/>
  <c r="AI117" i="4"/>
  <c r="AH115" i="4"/>
  <c r="AG115" i="4"/>
  <c r="AF115" i="4"/>
  <c r="AE115" i="4"/>
  <c r="AD115" i="4"/>
  <c r="AC115" i="4"/>
  <c r="AB115" i="4"/>
  <c r="AA115" i="4"/>
  <c r="Z115" i="4"/>
  <c r="Y115" i="4"/>
  <c r="X115" i="4"/>
  <c r="W115" i="4"/>
  <c r="V115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AI114" i="4"/>
  <c r="AI113" i="4"/>
  <c r="AI112" i="4"/>
  <c r="AI111" i="4"/>
  <c r="AI110" i="4"/>
  <c r="AI109" i="4"/>
  <c r="AI108" i="4"/>
  <c r="AI107" i="4"/>
  <c r="AI106" i="4"/>
  <c r="AI105" i="4"/>
  <c r="AI115" i="4" s="1"/>
  <c r="AI103" i="4"/>
  <c r="AH103" i="4"/>
  <c r="AG103" i="4"/>
  <c r="AF103" i="4"/>
  <c r="AE103" i="4"/>
  <c r="AE262" i="4" s="1"/>
  <c r="AE264" i="4" s="1"/>
  <c r="AD103" i="4"/>
  <c r="AC103" i="4"/>
  <c r="AB103" i="4"/>
  <c r="AA103" i="4"/>
  <c r="Z103" i="4"/>
  <c r="Y103" i="4"/>
  <c r="X103" i="4"/>
  <c r="W103" i="4"/>
  <c r="V103" i="4"/>
  <c r="U103" i="4"/>
  <c r="T103" i="4"/>
  <c r="S103" i="4"/>
  <c r="R103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E262" i="4" s="1"/>
  <c r="AI102" i="4"/>
  <c r="AI101" i="4"/>
  <c r="AI100" i="4"/>
  <c r="AI99" i="4"/>
  <c r="AI98" i="4"/>
  <c r="AI97" i="4"/>
  <c r="AI96" i="4"/>
  <c r="AI95" i="4"/>
  <c r="AI94" i="4"/>
  <c r="AI93" i="4"/>
  <c r="AH91" i="4"/>
  <c r="AG91" i="4"/>
  <c r="AF91" i="4"/>
  <c r="AE91" i="4"/>
  <c r="AD91" i="4"/>
  <c r="AC91" i="4"/>
  <c r="AB91" i="4"/>
  <c r="AA91" i="4"/>
  <c r="Z91" i="4"/>
  <c r="Y91" i="4"/>
  <c r="X91" i="4"/>
  <c r="W91" i="4"/>
  <c r="V91" i="4"/>
  <c r="U91" i="4"/>
  <c r="T91" i="4"/>
  <c r="S91" i="4"/>
  <c r="R91" i="4"/>
  <c r="Q91" i="4"/>
  <c r="P91" i="4"/>
  <c r="O91" i="4"/>
  <c r="N91" i="4"/>
  <c r="M91" i="4"/>
  <c r="L91" i="4"/>
  <c r="K91" i="4"/>
  <c r="J91" i="4"/>
  <c r="I91" i="4"/>
  <c r="H91" i="4"/>
  <c r="G91" i="4"/>
  <c r="F91" i="4"/>
  <c r="F262" i="4" s="1"/>
  <c r="F264" i="4" s="1"/>
  <c r="E91" i="4"/>
  <c r="AI90" i="4"/>
  <c r="AI89" i="4"/>
  <c r="AI88" i="4"/>
  <c r="AI91" i="4" s="1"/>
  <c r="AI87" i="4"/>
  <c r="AI86" i="4"/>
  <c r="AI85" i="4"/>
  <c r="AI84" i="4"/>
  <c r="AI83" i="4"/>
  <c r="AI82" i="4"/>
  <c r="AI81" i="4"/>
  <c r="AH79" i="4"/>
  <c r="AG79" i="4"/>
  <c r="AF79" i="4"/>
  <c r="AE79" i="4"/>
  <c r="AD79" i="4"/>
  <c r="AC79" i="4"/>
  <c r="AC262" i="4" s="1"/>
  <c r="AC264" i="4" s="1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AI78" i="4"/>
  <c r="AI77" i="4"/>
  <c r="AI76" i="4"/>
  <c r="AI75" i="4"/>
  <c r="AI74" i="4"/>
  <c r="AI73" i="4"/>
  <c r="AI72" i="4"/>
  <c r="AI71" i="4"/>
  <c r="AI70" i="4"/>
  <c r="AI69" i="4"/>
  <c r="AH67" i="4"/>
  <c r="AG67" i="4"/>
  <c r="AF67" i="4"/>
  <c r="AE67" i="4"/>
  <c r="AD67" i="4"/>
  <c r="AC67" i="4"/>
  <c r="AB67" i="4"/>
  <c r="AB262" i="4" s="1"/>
  <c r="AB264" i="4" s="1"/>
  <c r="AA67" i="4"/>
  <c r="Z67" i="4"/>
  <c r="Z262" i="4" s="1"/>
  <c r="Z264" i="4" s="1"/>
  <c r="Y67" i="4"/>
  <c r="X67" i="4"/>
  <c r="X262" i="4" s="1"/>
  <c r="X264" i="4" s="1"/>
  <c r="W67" i="4"/>
  <c r="V67" i="4"/>
  <c r="V262" i="4" s="1"/>
  <c r="V264" i="4" s="1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AI66" i="4"/>
  <c r="AI65" i="4"/>
  <c r="AI64" i="4"/>
  <c r="AI63" i="4"/>
  <c r="AI62" i="4"/>
  <c r="AI61" i="4"/>
  <c r="AI60" i="4"/>
  <c r="AI59" i="4"/>
  <c r="AI58" i="4"/>
  <c r="AI57" i="4"/>
  <c r="AH55" i="4"/>
  <c r="AG55" i="4"/>
  <c r="AG262" i="4" s="1"/>
  <c r="AG264" i="4" s="1"/>
  <c r="AF55" i="4"/>
  <c r="AE55" i="4"/>
  <c r="AD55" i="4"/>
  <c r="AC55" i="4"/>
  <c r="AA55" i="4"/>
  <c r="Z55" i="4"/>
  <c r="Y55" i="4"/>
  <c r="X55" i="4"/>
  <c r="W55" i="4"/>
  <c r="V55" i="4"/>
  <c r="U55" i="4"/>
  <c r="T55" i="4"/>
  <c r="S55" i="4"/>
  <c r="R55" i="4"/>
  <c r="Q55" i="4"/>
  <c r="Q262" i="4" s="1"/>
  <c r="Q264" i="4" s="1"/>
  <c r="P55" i="4"/>
  <c r="O55" i="4"/>
  <c r="N55" i="4"/>
  <c r="M55" i="4"/>
  <c r="L55" i="4"/>
  <c r="K55" i="4"/>
  <c r="J55" i="4"/>
  <c r="J262" i="4" s="1"/>
  <c r="I55" i="4"/>
  <c r="H55" i="4"/>
  <c r="G55" i="4"/>
  <c r="F55" i="4"/>
  <c r="E55" i="4"/>
  <c r="AI54" i="4"/>
  <c r="AI53" i="4"/>
  <c r="AI52" i="4"/>
  <c r="AI51" i="4"/>
  <c r="AI50" i="4"/>
  <c r="AI49" i="4"/>
  <c r="AI48" i="4"/>
  <c r="AI47" i="4"/>
  <c r="AI46" i="4"/>
  <c r="E46" i="1" s="1"/>
  <c r="AI45" i="4"/>
  <c r="AH41" i="4"/>
  <c r="AG41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AI40" i="4"/>
  <c r="AI39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AI35" i="4"/>
  <c r="AI34" i="4"/>
  <c r="AI33" i="4"/>
  <c r="AH30" i="4"/>
  <c r="AC30" i="4"/>
  <c r="AB30" i="4"/>
  <c r="AA30" i="4"/>
  <c r="Z30" i="4"/>
  <c r="W30" i="4"/>
  <c r="O30" i="4"/>
  <c r="G30" i="4"/>
  <c r="AH29" i="4"/>
  <c r="AG29" i="4"/>
  <c r="AF29" i="4"/>
  <c r="AF30" i="4" s="1"/>
  <c r="AE29" i="4"/>
  <c r="AD29" i="4"/>
  <c r="AC29" i="4"/>
  <c r="AB29" i="4"/>
  <c r="AA29" i="4"/>
  <c r="Z29" i="4"/>
  <c r="Y29" i="4"/>
  <c r="Y30" i="4" s="1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J30" i="4" s="1"/>
  <c r="I29" i="4"/>
  <c r="H29" i="4"/>
  <c r="G29" i="4"/>
  <c r="F29" i="4"/>
  <c r="F30" i="4" s="1"/>
  <c r="E29" i="4"/>
  <c r="E30" i="4" s="1"/>
  <c r="AH28" i="4"/>
  <c r="AG28" i="4"/>
  <c r="AG30" i="4" s="1"/>
  <c r="AF28" i="4"/>
  <c r="AE28" i="4"/>
  <c r="AD28" i="4"/>
  <c r="AC28" i="4"/>
  <c r="AB28" i="4"/>
  <c r="AA28" i="4"/>
  <c r="Z28" i="4"/>
  <c r="Y28" i="4"/>
  <c r="X28" i="4"/>
  <c r="X30" i="4" s="1"/>
  <c r="W28" i="4"/>
  <c r="V28" i="4"/>
  <c r="V30" i="4" s="1"/>
  <c r="U28" i="4"/>
  <c r="U30" i="4" s="1"/>
  <c r="T28" i="4"/>
  <c r="T30" i="4" s="1"/>
  <c r="S28" i="4"/>
  <c r="S30" i="4" s="1"/>
  <c r="R28" i="4"/>
  <c r="R30" i="4" s="1"/>
  <c r="Q28" i="4"/>
  <c r="Q30" i="4" s="1"/>
  <c r="P28" i="4"/>
  <c r="O28" i="4"/>
  <c r="N28" i="4"/>
  <c r="N30" i="4" s="1"/>
  <c r="M28" i="4"/>
  <c r="L28" i="4"/>
  <c r="L30" i="4" s="1"/>
  <c r="K28" i="4"/>
  <c r="K30" i="4" s="1"/>
  <c r="J28" i="4"/>
  <c r="I28" i="4"/>
  <c r="H28" i="4"/>
  <c r="G28" i="4"/>
  <c r="F28" i="4"/>
  <c r="E28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AI26" i="4"/>
  <c r="AI25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AI24" i="4" s="1"/>
  <c r="H24" i="4"/>
  <c r="G24" i="4"/>
  <c r="F24" i="4"/>
  <c r="E24" i="4"/>
  <c r="AI23" i="4"/>
  <c r="AI22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AI20" i="4"/>
  <c r="AI19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AI16" i="4" s="1"/>
  <c r="H16" i="4"/>
  <c r="G16" i="4"/>
  <c r="F16" i="4"/>
  <c r="E16" i="4"/>
  <c r="AI15" i="4"/>
  <c r="AI14" i="4"/>
  <c r="M263" i="3"/>
  <c r="L259" i="3"/>
  <c r="K259" i="3"/>
  <c r="J259" i="3"/>
  <c r="I259" i="3"/>
  <c r="H259" i="3"/>
  <c r="G259" i="3"/>
  <c r="F259" i="3"/>
  <c r="E259" i="3"/>
  <c r="M258" i="3"/>
  <c r="M257" i="3"/>
  <c r="M256" i="3"/>
  <c r="M255" i="3"/>
  <c r="M254" i="3"/>
  <c r="M253" i="3"/>
  <c r="E253" i="1" s="1"/>
  <c r="M252" i="3"/>
  <c r="M251" i="3"/>
  <c r="M250" i="3"/>
  <c r="M249" i="3"/>
  <c r="L247" i="3"/>
  <c r="K247" i="3"/>
  <c r="J247" i="3"/>
  <c r="I247" i="3"/>
  <c r="H247" i="3"/>
  <c r="G247" i="3"/>
  <c r="F247" i="3"/>
  <c r="E247" i="3"/>
  <c r="M246" i="3"/>
  <c r="M245" i="3"/>
  <c r="M244" i="3"/>
  <c r="M243" i="3"/>
  <c r="M242" i="3"/>
  <c r="M241" i="3"/>
  <c r="E241" i="1" s="1"/>
  <c r="M240" i="3"/>
  <c r="M239" i="3"/>
  <c r="M238" i="3"/>
  <c r="M237" i="3"/>
  <c r="M247" i="3" s="1"/>
  <c r="L235" i="3"/>
  <c r="K235" i="3"/>
  <c r="J235" i="3"/>
  <c r="I235" i="3"/>
  <c r="H235" i="3"/>
  <c r="G235" i="3"/>
  <c r="F235" i="3"/>
  <c r="E235" i="3"/>
  <c r="M234" i="3"/>
  <c r="M233" i="3"/>
  <c r="M232" i="3"/>
  <c r="M231" i="3"/>
  <c r="M230" i="3"/>
  <c r="M229" i="3"/>
  <c r="M228" i="3"/>
  <c r="M227" i="3"/>
  <c r="M226" i="3"/>
  <c r="M225" i="3"/>
  <c r="M223" i="3"/>
  <c r="L223" i="3"/>
  <c r="K223" i="3"/>
  <c r="J223" i="3"/>
  <c r="I223" i="3"/>
  <c r="H223" i="3"/>
  <c r="G223" i="3"/>
  <c r="F223" i="3"/>
  <c r="E223" i="3"/>
  <c r="M222" i="3"/>
  <c r="M221" i="3"/>
  <c r="M220" i="3"/>
  <c r="M219" i="3"/>
  <c r="M218" i="3"/>
  <c r="M217" i="3"/>
  <c r="M216" i="3"/>
  <c r="M215" i="3"/>
  <c r="M214" i="3"/>
  <c r="M213" i="3"/>
  <c r="L211" i="3"/>
  <c r="K211" i="3"/>
  <c r="J211" i="3"/>
  <c r="I211" i="3"/>
  <c r="H211" i="3"/>
  <c r="G211" i="3"/>
  <c r="F211" i="3"/>
  <c r="E211" i="3"/>
  <c r="M210" i="3"/>
  <c r="M209" i="3"/>
  <c r="M208" i="3"/>
  <c r="M207" i="3"/>
  <c r="M206" i="3"/>
  <c r="M205" i="3"/>
  <c r="M204" i="3"/>
  <c r="M203" i="3"/>
  <c r="M202" i="3"/>
  <c r="M211" i="3" s="1"/>
  <c r="M201" i="3"/>
  <c r="L199" i="3"/>
  <c r="K199" i="3"/>
  <c r="J199" i="3"/>
  <c r="I199" i="3"/>
  <c r="H199" i="3"/>
  <c r="G199" i="3"/>
  <c r="F199" i="3"/>
  <c r="E199" i="3"/>
  <c r="M198" i="3"/>
  <c r="M197" i="3"/>
  <c r="M196" i="3"/>
  <c r="M195" i="3"/>
  <c r="M194" i="3"/>
  <c r="M193" i="3"/>
  <c r="M192" i="3"/>
  <c r="M191" i="3"/>
  <c r="M190" i="3"/>
  <c r="M189" i="3"/>
  <c r="L187" i="3"/>
  <c r="K187" i="3"/>
  <c r="J187" i="3"/>
  <c r="I187" i="3"/>
  <c r="H187" i="3"/>
  <c r="G187" i="3"/>
  <c r="F187" i="3"/>
  <c r="E187" i="3"/>
  <c r="M186" i="3"/>
  <c r="M185" i="3"/>
  <c r="M184" i="3"/>
  <c r="M183" i="3"/>
  <c r="M182" i="3"/>
  <c r="M181" i="3"/>
  <c r="M180" i="3"/>
  <c r="M179" i="3"/>
  <c r="M178" i="3"/>
  <c r="M177" i="3"/>
  <c r="L175" i="3"/>
  <c r="K175" i="3"/>
  <c r="J175" i="3"/>
  <c r="I175" i="3"/>
  <c r="H175" i="3"/>
  <c r="G175" i="3"/>
  <c r="F175" i="3"/>
  <c r="E175" i="3"/>
  <c r="M174" i="3"/>
  <c r="M173" i="3"/>
  <c r="M172" i="3"/>
  <c r="M171" i="3"/>
  <c r="M170" i="3"/>
  <c r="M169" i="3"/>
  <c r="M168" i="3"/>
  <c r="M167" i="3"/>
  <c r="M166" i="3"/>
  <c r="M175" i="3" s="1"/>
  <c r="M165" i="3"/>
  <c r="L163" i="3"/>
  <c r="K163" i="3"/>
  <c r="J163" i="3"/>
  <c r="I163" i="3"/>
  <c r="H163" i="3"/>
  <c r="G163" i="3"/>
  <c r="F163" i="3"/>
  <c r="E163" i="3"/>
  <c r="M162" i="3"/>
  <c r="M161" i="3"/>
  <c r="M160" i="3"/>
  <c r="M159" i="3"/>
  <c r="M158" i="3"/>
  <c r="M157" i="3"/>
  <c r="M156" i="3"/>
  <c r="M155" i="3"/>
  <c r="E155" i="1" s="1"/>
  <c r="M154" i="3"/>
  <c r="M163" i="3" s="1"/>
  <c r="M153" i="3"/>
  <c r="M151" i="3"/>
  <c r="L151" i="3"/>
  <c r="K151" i="3"/>
  <c r="J151" i="3"/>
  <c r="I151" i="3"/>
  <c r="H151" i="3"/>
  <c r="G151" i="3"/>
  <c r="F151" i="3"/>
  <c r="E151" i="3"/>
  <c r="M150" i="3"/>
  <c r="M149" i="3"/>
  <c r="M148" i="3"/>
  <c r="M147" i="3"/>
  <c r="M146" i="3"/>
  <c r="M145" i="3"/>
  <c r="M144" i="3"/>
  <c r="M143" i="3"/>
  <c r="M142" i="3"/>
  <c r="M141" i="3"/>
  <c r="M139" i="3"/>
  <c r="L139" i="3"/>
  <c r="K139" i="3"/>
  <c r="J139" i="3"/>
  <c r="I139" i="3"/>
  <c r="H139" i="3"/>
  <c r="G139" i="3"/>
  <c r="F139" i="3"/>
  <c r="E139" i="3"/>
  <c r="M138" i="3"/>
  <c r="M137" i="3"/>
  <c r="M136" i="3"/>
  <c r="M135" i="3"/>
  <c r="M134" i="3"/>
  <c r="M133" i="3"/>
  <c r="M132" i="3"/>
  <c r="M131" i="3"/>
  <c r="M130" i="3"/>
  <c r="M129" i="3"/>
  <c r="L127" i="3"/>
  <c r="K127" i="3"/>
  <c r="J127" i="3"/>
  <c r="I127" i="3"/>
  <c r="H127" i="3"/>
  <c r="G127" i="3"/>
  <c r="F127" i="3"/>
  <c r="E127" i="3"/>
  <c r="M126" i="3"/>
  <c r="M125" i="3"/>
  <c r="M124" i="3"/>
  <c r="M123" i="3"/>
  <c r="M122" i="3"/>
  <c r="M121" i="3"/>
  <c r="M120" i="3"/>
  <c r="M119" i="3"/>
  <c r="M118" i="3"/>
  <c r="M117" i="3"/>
  <c r="L115" i="3"/>
  <c r="K115" i="3"/>
  <c r="J115" i="3"/>
  <c r="I115" i="3"/>
  <c r="H115" i="3"/>
  <c r="G115" i="3"/>
  <c r="F115" i="3"/>
  <c r="E115" i="3"/>
  <c r="M114" i="3"/>
  <c r="M113" i="3"/>
  <c r="M112" i="3"/>
  <c r="M111" i="3"/>
  <c r="M110" i="3"/>
  <c r="M109" i="3"/>
  <c r="M108" i="3"/>
  <c r="M107" i="3"/>
  <c r="M106" i="3"/>
  <c r="M105" i="3"/>
  <c r="L103" i="3"/>
  <c r="K103" i="3"/>
  <c r="J103" i="3"/>
  <c r="I103" i="3"/>
  <c r="H103" i="3"/>
  <c r="G103" i="3"/>
  <c r="F103" i="3"/>
  <c r="E103" i="3"/>
  <c r="M102" i="3"/>
  <c r="M101" i="3"/>
  <c r="M100" i="3"/>
  <c r="M99" i="3"/>
  <c r="M98" i="3"/>
  <c r="M97" i="3"/>
  <c r="M96" i="3"/>
  <c r="M95" i="3"/>
  <c r="M103" i="3" s="1"/>
  <c r="M94" i="3"/>
  <c r="M93" i="3"/>
  <c r="L91" i="3"/>
  <c r="K91" i="3"/>
  <c r="J91" i="3"/>
  <c r="I91" i="3"/>
  <c r="H91" i="3"/>
  <c r="G91" i="3"/>
  <c r="F91" i="3"/>
  <c r="E91" i="3"/>
  <c r="M90" i="3"/>
  <c r="M89" i="3"/>
  <c r="M88" i="3"/>
  <c r="M87" i="3"/>
  <c r="M86" i="3"/>
  <c r="M85" i="3"/>
  <c r="M84" i="3"/>
  <c r="M83" i="3"/>
  <c r="M82" i="3"/>
  <c r="M81" i="3"/>
  <c r="M91" i="3" s="1"/>
  <c r="M79" i="3"/>
  <c r="L79" i="3"/>
  <c r="K79" i="3"/>
  <c r="J79" i="3"/>
  <c r="I79" i="3"/>
  <c r="H79" i="3"/>
  <c r="G79" i="3"/>
  <c r="F79" i="3"/>
  <c r="E79" i="3"/>
  <c r="M78" i="3"/>
  <c r="M77" i="3"/>
  <c r="M76" i="3"/>
  <c r="M75" i="3"/>
  <c r="M74" i="3"/>
  <c r="M73" i="3"/>
  <c r="M72" i="3"/>
  <c r="M71" i="3"/>
  <c r="M70" i="3"/>
  <c r="M69" i="3"/>
  <c r="M67" i="3"/>
  <c r="L67" i="3"/>
  <c r="K67" i="3"/>
  <c r="J67" i="3"/>
  <c r="I67" i="3"/>
  <c r="H67" i="3"/>
  <c r="G67" i="3"/>
  <c r="F67" i="3"/>
  <c r="E67" i="3"/>
  <c r="M66" i="3"/>
  <c r="M65" i="3"/>
  <c r="M64" i="3"/>
  <c r="M63" i="3"/>
  <c r="M62" i="3"/>
  <c r="M61" i="3"/>
  <c r="M60" i="3"/>
  <c r="M59" i="3"/>
  <c r="M58" i="3"/>
  <c r="M57" i="3"/>
  <c r="M55" i="3"/>
  <c r="L55" i="3"/>
  <c r="K55" i="3"/>
  <c r="J55" i="3"/>
  <c r="I55" i="3"/>
  <c r="H55" i="3"/>
  <c r="G55" i="3"/>
  <c r="G262" i="3" s="1"/>
  <c r="G264" i="3" s="1"/>
  <c r="F55" i="3"/>
  <c r="E55" i="3"/>
  <c r="M54" i="3"/>
  <c r="M53" i="3"/>
  <c r="M52" i="3"/>
  <c r="M51" i="3"/>
  <c r="M50" i="3"/>
  <c r="M49" i="3"/>
  <c r="M48" i="3"/>
  <c r="M47" i="3"/>
  <c r="M46" i="3"/>
  <c r="M45" i="3"/>
  <c r="L41" i="3"/>
  <c r="K41" i="3"/>
  <c r="J41" i="3"/>
  <c r="I41" i="3"/>
  <c r="H41" i="3"/>
  <c r="G41" i="3"/>
  <c r="M41" i="3" s="1"/>
  <c r="F41" i="3"/>
  <c r="E41" i="3"/>
  <c r="M40" i="3"/>
  <c r="M39" i="3"/>
  <c r="L36" i="3"/>
  <c r="K36" i="3"/>
  <c r="J36" i="3"/>
  <c r="I36" i="3"/>
  <c r="H36" i="3"/>
  <c r="G36" i="3"/>
  <c r="F36" i="3"/>
  <c r="E36" i="3"/>
  <c r="M36" i="3" s="1"/>
  <c r="M35" i="3"/>
  <c r="M34" i="3"/>
  <c r="M33" i="3"/>
  <c r="L29" i="3"/>
  <c r="K29" i="3"/>
  <c r="J29" i="3"/>
  <c r="I29" i="3"/>
  <c r="I30" i="3" s="1"/>
  <c r="H29" i="3"/>
  <c r="H30" i="3" s="1"/>
  <c r="G29" i="3"/>
  <c r="F29" i="3"/>
  <c r="F30" i="3" s="1"/>
  <c r="E29" i="3"/>
  <c r="M29" i="3" s="1"/>
  <c r="L28" i="3"/>
  <c r="L30" i="3" s="1"/>
  <c r="K28" i="3"/>
  <c r="K30" i="3" s="1"/>
  <c r="J28" i="3"/>
  <c r="J30" i="3" s="1"/>
  <c r="I28" i="3"/>
  <c r="H28" i="3"/>
  <c r="G28" i="3"/>
  <c r="F28" i="3"/>
  <c r="E28" i="3"/>
  <c r="L27" i="3"/>
  <c r="K27" i="3"/>
  <c r="J27" i="3"/>
  <c r="I27" i="3"/>
  <c r="H27" i="3"/>
  <c r="G27" i="3"/>
  <c r="F27" i="3"/>
  <c r="E27" i="3"/>
  <c r="M27" i="3" s="1"/>
  <c r="M26" i="3"/>
  <c r="M25" i="3"/>
  <c r="L24" i="3"/>
  <c r="K24" i="3"/>
  <c r="J24" i="3"/>
  <c r="I24" i="3"/>
  <c r="M24" i="3" s="1"/>
  <c r="H24" i="3"/>
  <c r="G24" i="3"/>
  <c r="F24" i="3"/>
  <c r="E24" i="3"/>
  <c r="M23" i="3"/>
  <c r="M22" i="3"/>
  <c r="L21" i="3"/>
  <c r="K21" i="3"/>
  <c r="J21" i="3"/>
  <c r="I21" i="3"/>
  <c r="H21" i="3"/>
  <c r="G21" i="3"/>
  <c r="F21" i="3"/>
  <c r="E21" i="3"/>
  <c r="M21" i="3" s="1"/>
  <c r="M20" i="3"/>
  <c r="E20" i="1" s="1"/>
  <c r="M19" i="3"/>
  <c r="L16" i="3"/>
  <c r="K16" i="3"/>
  <c r="J16" i="3"/>
  <c r="I16" i="3"/>
  <c r="H16" i="3"/>
  <c r="M16" i="3" s="1"/>
  <c r="G16" i="3"/>
  <c r="F16" i="3"/>
  <c r="E16" i="3"/>
  <c r="M15" i="3"/>
  <c r="M14" i="3"/>
  <c r="P263" i="2"/>
  <c r="E263" i="1" s="1"/>
  <c r="O262" i="2"/>
  <c r="O264" i="2" s="1"/>
  <c r="N262" i="2"/>
  <c r="N264" i="2" s="1"/>
  <c r="M262" i="2"/>
  <c r="M264" i="2" s="1"/>
  <c r="L262" i="2"/>
  <c r="L264" i="2" s="1"/>
  <c r="K262" i="2"/>
  <c r="K264" i="2" s="1"/>
  <c r="J262" i="2"/>
  <c r="J264" i="2" s="1"/>
  <c r="H262" i="2"/>
  <c r="H264" i="2" s="1"/>
  <c r="G262" i="2"/>
  <c r="G264" i="2" s="1"/>
  <c r="P259" i="2"/>
  <c r="O259" i="2"/>
  <c r="N259" i="2"/>
  <c r="M259" i="2"/>
  <c r="L259" i="2"/>
  <c r="K259" i="2"/>
  <c r="J259" i="2"/>
  <c r="I259" i="2"/>
  <c r="H259" i="2"/>
  <c r="G259" i="2"/>
  <c r="F259" i="2"/>
  <c r="E259" i="2"/>
  <c r="P258" i="2"/>
  <c r="P257" i="2"/>
  <c r="P256" i="2"/>
  <c r="P255" i="2"/>
  <c r="P254" i="2"/>
  <c r="P253" i="2"/>
  <c r="P252" i="2"/>
  <c r="P251" i="2"/>
  <c r="P250" i="2"/>
  <c r="P249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P246" i="2"/>
  <c r="P245" i="2"/>
  <c r="P244" i="2"/>
  <c r="P243" i="2"/>
  <c r="P242" i="2"/>
  <c r="P241" i="2"/>
  <c r="P240" i="2"/>
  <c r="P239" i="2"/>
  <c r="P238" i="2"/>
  <c r="P237" i="2"/>
  <c r="P235" i="2"/>
  <c r="O235" i="2"/>
  <c r="N235" i="2"/>
  <c r="M235" i="2"/>
  <c r="L235" i="2"/>
  <c r="K235" i="2"/>
  <c r="J235" i="2"/>
  <c r="I235" i="2"/>
  <c r="H235" i="2"/>
  <c r="G235" i="2"/>
  <c r="F235" i="2"/>
  <c r="E235" i="2"/>
  <c r="P234" i="2"/>
  <c r="P233" i="2"/>
  <c r="P232" i="2"/>
  <c r="P231" i="2"/>
  <c r="P230" i="2"/>
  <c r="P229" i="2"/>
  <c r="P228" i="2"/>
  <c r="P227" i="2"/>
  <c r="P226" i="2"/>
  <c r="P225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P222" i="2"/>
  <c r="P221" i="2"/>
  <c r="P220" i="2"/>
  <c r="P219" i="2"/>
  <c r="P218" i="2"/>
  <c r="P217" i="2"/>
  <c r="P216" i="2"/>
  <c r="P215" i="2"/>
  <c r="P214" i="2"/>
  <c r="P213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P210" i="2"/>
  <c r="P209" i="2"/>
  <c r="P208" i="2"/>
  <c r="P207" i="2"/>
  <c r="P206" i="2"/>
  <c r="P205" i="2"/>
  <c r="P204" i="2"/>
  <c r="P203" i="2"/>
  <c r="P202" i="2"/>
  <c r="P201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P198" i="2"/>
  <c r="P197" i="2"/>
  <c r="P196" i="2"/>
  <c r="P195" i="2"/>
  <c r="P194" i="2"/>
  <c r="P193" i="2"/>
  <c r="P192" i="2"/>
  <c r="P191" i="2"/>
  <c r="P190" i="2"/>
  <c r="P189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P186" i="2"/>
  <c r="P185" i="2"/>
  <c r="P184" i="2"/>
  <c r="P183" i="2"/>
  <c r="P182" i="2"/>
  <c r="P181" i="2"/>
  <c r="P180" i="2"/>
  <c r="E180" i="1" s="1"/>
  <c r="P179" i="2"/>
  <c r="P178" i="2"/>
  <c r="P177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P174" i="2"/>
  <c r="P173" i="2"/>
  <c r="P172" i="2"/>
  <c r="P171" i="2"/>
  <c r="P170" i="2"/>
  <c r="P169" i="2"/>
  <c r="P168" i="2"/>
  <c r="P167" i="2"/>
  <c r="P166" i="2"/>
  <c r="P165" i="2"/>
  <c r="P163" i="2"/>
  <c r="O163" i="2"/>
  <c r="N163" i="2"/>
  <c r="M163" i="2"/>
  <c r="L163" i="2"/>
  <c r="K163" i="2"/>
  <c r="J163" i="2"/>
  <c r="I163" i="2"/>
  <c r="H163" i="2"/>
  <c r="G163" i="2"/>
  <c r="F163" i="2"/>
  <c r="E163" i="2"/>
  <c r="P162" i="2"/>
  <c r="P161" i="2"/>
  <c r="P160" i="2"/>
  <c r="P159" i="2"/>
  <c r="P158" i="2"/>
  <c r="P157" i="2"/>
  <c r="P156" i="2"/>
  <c r="P155" i="2"/>
  <c r="P154" i="2"/>
  <c r="P153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P150" i="2"/>
  <c r="P149" i="2"/>
  <c r="P148" i="2"/>
  <c r="P147" i="2"/>
  <c r="P146" i="2"/>
  <c r="P145" i="2"/>
  <c r="P144" i="2"/>
  <c r="P143" i="2"/>
  <c r="P142" i="2"/>
  <c r="P141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P138" i="2"/>
  <c r="P137" i="2"/>
  <c r="P136" i="2"/>
  <c r="P135" i="2"/>
  <c r="P134" i="2"/>
  <c r="P133" i="2"/>
  <c r="P132" i="2"/>
  <c r="P131" i="2"/>
  <c r="P130" i="2"/>
  <c r="P129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P126" i="2"/>
  <c r="P125" i="2"/>
  <c r="P124" i="2"/>
  <c r="P123" i="2"/>
  <c r="P122" i="2"/>
  <c r="P121" i="2"/>
  <c r="P120" i="2"/>
  <c r="P119" i="2"/>
  <c r="P118" i="2"/>
  <c r="P117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P114" i="2"/>
  <c r="P113" i="2"/>
  <c r="P112" i="2"/>
  <c r="P111" i="2"/>
  <c r="P110" i="2"/>
  <c r="P109" i="2"/>
  <c r="P108" i="2"/>
  <c r="P107" i="2"/>
  <c r="P106" i="2"/>
  <c r="P105" i="2"/>
  <c r="O103" i="2"/>
  <c r="N103" i="2"/>
  <c r="M103" i="2"/>
  <c r="L103" i="2"/>
  <c r="K103" i="2"/>
  <c r="J103" i="2"/>
  <c r="I103" i="2"/>
  <c r="H103" i="2"/>
  <c r="G103" i="2"/>
  <c r="F103" i="2"/>
  <c r="E103" i="2"/>
  <c r="P102" i="2"/>
  <c r="P101" i="2"/>
  <c r="P100" i="2"/>
  <c r="P99" i="2"/>
  <c r="P98" i="2"/>
  <c r="P103" i="2" s="1"/>
  <c r="P97" i="2"/>
  <c r="P96" i="2"/>
  <c r="E96" i="1" s="1"/>
  <c r="P95" i="2"/>
  <c r="P94" i="2"/>
  <c r="P93" i="2"/>
  <c r="P91" i="2"/>
  <c r="O91" i="2"/>
  <c r="N91" i="2"/>
  <c r="M91" i="2"/>
  <c r="L91" i="2"/>
  <c r="K91" i="2"/>
  <c r="J91" i="2"/>
  <c r="I91" i="2"/>
  <c r="H91" i="2"/>
  <c r="G91" i="2"/>
  <c r="F91" i="2"/>
  <c r="E91" i="2"/>
  <c r="P90" i="2"/>
  <c r="P89" i="2"/>
  <c r="P88" i="2"/>
  <c r="P87" i="2"/>
  <c r="P86" i="2"/>
  <c r="P85" i="2"/>
  <c r="P84" i="2"/>
  <c r="P83" i="2"/>
  <c r="P82" i="2"/>
  <c r="P81" i="2"/>
  <c r="P79" i="2"/>
  <c r="O79" i="2"/>
  <c r="N79" i="2"/>
  <c r="M79" i="2"/>
  <c r="L79" i="2"/>
  <c r="K79" i="2"/>
  <c r="J79" i="2"/>
  <c r="I79" i="2"/>
  <c r="H79" i="2"/>
  <c r="G79" i="2"/>
  <c r="F79" i="2"/>
  <c r="E79" i="2"/>
  <c r="P78" i="2"/>
  <c r="P77" i="2"/>
  <c r="P76" i="2"/>
  <c r="P75" i="2"/>
  <c r="P74" i="2"/>
  <c r="P73" i="2"/>
  <c r="P72" i="2"/>
  <c r="P71" i="2"/>
  <c r="P70" i="2"/>
  <c r="P69" i="2"/>
  <c r="P67" i="2"/>
  <c r="O67" i="2"/>
  <c r="N67" i="2"/>
  <c r="M67" i="2"/>
  <c r="L67" i="2"/>
  <c r="K67" i="2"/>
  <c r="J67" i="2"/>
  <c r="I67" i="2"/>
  <c r="H67" i="2"/>
  <c r="G67" i="2"/>
  <c r="F67" i="2"/>
  <c r="E67" i="2"/>
  <c r="P66" i="2"/>
  <c r="P65" i="2"/>
  <c r="P64" i="2"/>
  <c r="P63" i="2"/>
  <c r="P62" i="2"/>
  <c r="P61" i="2"/>
  <c r="P60" i="2"/>
  <c r="P59" i="2"/>
  <c r="P58" i="2"/>
  <c r="P57" i="2"/>
  <c r="P55" i="2"/>
  <c r="O55" i="2"/>
  <c r="N55" i="2"/>
  <c r="M55" i="2"/>
  <c r="L55" i="2"/>
  <c r="K55" i="2"/>
  <c r="J55" i="2"/>
  <c r="I55" i="2"/>
  <c r="I262" i="2" s="1"/>
  <c r="I264" i="2" s="1"/>
  <c r="H55" i="2"/>
  <c r="G55" i="2"/>
  <c r="F55" i="2"/>
  <c r="F262" i="2" s="1"/>
  <c r="F264" i="2" s="1"/>
  <c r="E55" i="2"/>
  <c r="P54" i="2"/>
  <c r="P53" i="2"/>
  <c r="P52" i="2"/>
  <c r="P51" i="2"/>
  <c r="P50" i="2"/>
  <c r="P49" i="2"/>
  <c r="P48" i="2"/>
  <c r="P47" i="2"/>
  <c r="P46" i="2"/>
  <c r="P45" i="2"/>
  <c r="P41" i="2"/>
  <c r="O41" i="2"/>
  <c r="N41" i="2"/>
  <c r="M41" i="2"/>
  <c r="L41" i="2"/>
  <c r="K41" i="2"/>
  <c r="J41" i="2"/>
  <c r="I41" i="2"/>
  <c r="H41" i="2"/>
  <c r="G41" i="2"/>
  <c r="F41" i="2"/>
  <c r="E41" i="2"/>
  <c r="P40" i="2"/>
  <c r="P39" i="2"/>
  <c r="O36" i="2"/>
  <c r="N36" i="2"/>
  <c r="M36" i="2"/>
  <c r="L36" i="2"/>
  <c r="K36" i="2"/>
  <c r="J36" i="2"/>
  <c r="I36" i="2"/>
  <c r="H36" i="2"/>
  <c r="P36" i="2" s="1"/>
  <c r="G36" i="2"/>
  <c r="F36" i="2"/>
  <c r="E36" i="2"/>
  <c r="P35" i="2"/>
  <c r="P34" i="2"/>
  <c r="P33" i="2"/>
  <c r="H30" i="2"/>
  <c r="E30" i="2"/>
  <c r="O29" i="2"/>
  <c r="N29" i="2"/>
  <c r="M29" i="2"/>
  <c r="P29" i="2" s="1"/>
  <c r="L29" i="2"/>
  <c r="K29" i="2"/>
  <c r="J29" i="2"/>
  <c r="I29" i="2"/>
  <c r="H29" i="2"/>
  <c r="G29" i="2"/>
  <c r="F29" i="2"/>
  <c r="E29" i="2"/>
  <c r="O28" i="2"/>
  <c r="O30" i="2" s="1"/>
  <c r="N28" i="2"/>
  <c r="N30" i="2" s="1"/>
  <c r="M28" i="2"/>
  <c r="L28" i="2"/>
  <c r="L30" i="2" s="1"/>
  <c r="K28" i="2"/>
  <c r="K30" i="2" s="1"/>
  <c r="J28" i="2"/>
  <c r="J30" i="2" s="1"/>
  <c r="I28" i="2"/>
  <c r="I30" i="2" s="1"/>
  <c r="H28" i="2"/>
  <c r="G28" i="2"/>
  <c r="G30" i="2" s="1"/>
  <c r="F28" i="2"/>
  <c r="E28" i="2"/>
  <c r="O27" i="2"/>
  <c r="N27" i="2"/>
  <c r="M27" i="2"/>
  <c r="L27" i="2"/>
  <c r="K27" i="2"/>
  <c r="J27" i="2"/>
  <c r="I27" i="2"/>
  <c r="H27" i="2"/>
  <c r="G27" i="2"/>
  <c r="F27" i="2"/>
  <c r="E27" i="2"/>
  <c r="P26" i="2"/>
  <c r="P25" i="2"/>
  <c r="O24" i="2"/>
  <c r="N24" i="2"/>
  <c r="M24" i="2"/>
  <c r="L24" i="2"/>
  <c r="K24" i="2"/>
  <c r="J24" i="2"/>
  <c r="I24" i="2"/>
  <c r="H24" i="2"/>
  <c r="G24" i="2"/>
  <c r="P24" i="2" s="1"/>
  <c r="F24" i="2"/>
  <c r="E24" i="2"/>
  <c r="P23" i="2"/>
  <c r="P22" i="2"/>
  <c r="O21" i="2"/>
  <c r="N21" i="2"/>
  <c r="M21" i="2"/>
  <c r="L21" i="2"/>
  <c r="K21" i="2"/>
  <c r="J21" i="2"/>
  <c r="I21" i="2"/>
  <c r="H21" i="2"/>
  <c r="G21" i="2"/>
  <c r="F21" i="2"/>
  <c r="E21" i="2"/>
  <c r="P21" i="2" s="1"/>
  <c r="P20" i="2"/>
  <c r="P19" i="2"/>
  <c r="O16" i="2"/>
  <c r="N16" i="2"/>
  <c r="M16" i="2"/>
  <c r="P16" i="2" s="1"/>
  <c r="L16" i="2"/>
  <c r="K16" i="2"/>
  <c r="J16" i="2"/>
  <c r="I16" i="2"/>
  <c r="H16" i="2"/>
  <c r="G16" i="2"/>
  <c r="F16" i="2"/>
  <c r="E16" i="2"/>
  <c r="P15" i="2"/>
  <c r="P14" i="2"/>
  <c r="E158" i="1"/>
  <c r="E157" i="1"/>
  <c r="E156" i="1"/>
  <c r="E86" i="1"/>
  <c r="E85" i="1"/>
  <c r="E83" i="1"/>
  <c r="E39" i="1"/>
  <c r="E35" i="1"/>
  <c r="M30" i="4" l="1"/>
  <c r="E22" i="1"/>
  <c r="E207" i="1"/>
  <c r="AH211" i="5"/>
  <c r="E264" i="13"/>
  <c r="E264" i="4"/>
  <c r="E264" i="11"/>
  <c r="E41" i="1"/>
  <c r="E264" i="16"/>
  <c r="U264" i="16" s="1"/>
  <c r="E264" i="7"/>
  <c r="P262" i="10"/>
  <c r="P264" i="10" s="1"/>
  <c r="AH21" i="5"/>
  <c r="I30" i="9"/>
  <c r="T29" i="9"/>
  <c r="I262" i="7"/>
  <c r="I264" i="7" s="1"/>
  <c r="N262" i="11"/>
  <c r="N264" i="11" s="1"/>
  <c r="M235" i="3"/>
  <c r="E225" i="1"/>
  <c r="W262" i="4"/>
  <c r="W264" i="4" s="1"/>
  <c r="AB16" i="7"/>
  <c r="V262" i="11"/>
  <c r="V264" i="11" s="1"/>
  <c r="K262" i="7"/>
  <c r="K264" i="7" s="1"/>
  <c r="E84" i="1"/>
  <c r="Z262" i="5"/>
  <c r="Z264" i="5" s="1"/>
  <c r="K262" i="13"/>
  <c r="K264" i="13" s="1"/>
  <c r="M30" i="2"/>
  <c r="S28" i="6"/>
  <c r="E30" i="6"/>
  <c r="S30" i="6" s="1"/>
  <c r="Y262" i="4"/>
  <c r="Y264" i="4" s="1"/>
  <c r="J262" i="7"/>
  <c r="J264" i="7" s="1"/>
  <c r="Q262" i="13"/>
  <c r="Q264" i="13" s="1"/>
  <c r="Y262" i="5"/>
  <c r="Y264" i="5" s="1"/>
  <c r="H262" i="5"/>
  <c r="H264" i="5" s="1"/>
  <c r="AD27" i="8"/>
  <c r="J262" i="14"/>
  <c r="J264" i="14" s="1"/>
  <c r="R262" i="14"/>
  <c r="R264" i="14" s="1"/>
  <c r="K262" i="8"/>
  <c r="K264" i="8" s="1"/>
  <c r="K262" i="11"/>
  <c r="K264" i="11" s="1"/>
  <c r="J262" i="13"/>
  <c r="J264" i="13" s="1"/>
  <c r="T262" i="13"/>
  <c r="T264" i="13" s="1"/>
  <c r="AA262" i="5"/>
  <c r="AA264" i="5" s="1"/>
  <c r="F262" i="6"/>
  <c r="F264" i="6" s="1"/>
  <c r="L262" i="13"/>
  <c r="L264" i="13" s="1"/>
  <c r="G262" i="6"/>
  <c r="G264" i="6" s="1"/>
  <c r="M262" i="13"/>
  <c r="M264" i="13" s="1"/>
  <c r="I262" i="15"/>
  <c r="I264" i="15" s="1"/>
  <c r="E95" i="1"/>
  <c r="E237" i="1"/>
  <c r="AD262" i="5"/>
  <c r="AD264" i="5" s="1"/>
  <c r="E70" i="1"/>
  <c r="H262" i="6"/>
  <c r="H264" i="6" s="1"/>
  <c r="AB24" i="7"/>
  <c r="O262" i="11"/>
  <c r="O264" i="11" s="1"/>
  <c r="T28" i="12"/>
  <c r="E30" i="12"/>
  <c r="T199" i="12"/>
  <c r="N262" i="13"/>
  <c r="N264" i="13" s="1"/>
  <c r="AE36" i="14"/>
  <c r="E49" i="1"/>
  <c r="K30" i="16"/>
  <c r="AD223" i="19"/>
  <c r="E57" i="1"/>
  <c r="E81" i="1"/>
  <c r="E213" i="1"/>
  <c r="E73" i="1"/>
  <c r="AI41" i="4"/>
  <c r="I262" i="4"/>
  <c r="I264" i="4" s="1"/>
  <c r="AF262" i="4"/>
  <c r="AF264" i="4" s="1"/>
  <c r="AI223" i="4"/>
  <c r="AE262" i="5"/>
  <c r="AE264" i="5" s="1"/>
  <c r="S36" i="6"/>
  <c r="I262" i="6"/>
  <c r="I264" i="6" s="1"/>
  <c r="E226" i="1"/>
  <c r="R175" i="10"/>
  <c r="AE30" i="14"/>
  <c r="Z223" i="17"/>
  <c r="AD199" i="19"/>
  <c r="AI55" i="4"/>
  <c r="E45" i="1"/>
  <c r="E262" i="8"/>
  <c r="AA262" i="4"/>
  <c r="AA264" i="4" s="1"/>
  <c r="E262" i="12"/>
  <c r="AB36" i="15"/>
  <c r="I262" i="8"/>
  <c r="I264" i="8" s="1"/>
  <c r="G262" i="12"/>
  <c r="G264" i="12" s="1"/>
  <c r="AB21" i="7"/>
  <c r="E69" i="1"/>
  <c r="R262" i="13"/>
  <c r="R264" i="13" s="1"/>
  <c r="T262" i="15"/>
  <c r="T264" i="15" s="1"/>
  <c r="E249" i="1"/>
  <c r="E238" i="1"/>
  <c r="J262" i="5"/>
  <c r="J264" i="5" s="1"/>
  <c r="J262" i="6"/>
  <c r="J264" i="6" s="1"/>
  <c r="W262" i="15"/>
  <c r="W264" i="15" s="1"/>
  <c r="E47" i="1"/>
  <c r="E59" i="1"/>
  <c r="E71" i="1"/>
  <c r="E119" i="1"/>
  <c r="E131" i="1"/>
  <c r="E179" i="1"/>
  <c r="E191" i="1"/>
  <c r="E203" i="1"/>
  <c r="E227" i="1"/>
  <c r="E239" i="1"/>
  <c r="E251" i="1"/>
  <c r="E30" i="3"/>
  <c r="K262" i="4"/>
  <c r="K264" i="4" s="1"/>
  <c r="AI139" i="4"/>
  <c r="AH41" i="5"/>
  <c r="K262" i="6"/>
  <c r="K264" i="6" s="1"/>
  <c r="E165" i="1"/>
  <c r="E175" i="1" s="1"/>
  <c r="AB175" i="7"/>
  <c r="L262" i="9"/>
  <c r="L264" i="9" s="1"/>
  <c r="I262" i="12"/>
  <c r="I264" i="12" s="1"/>
  <c r="AB28" i="15"/>
  <c r="E30" i="15"/>
  <c r="M262" i="15"/>
  <c r="M264" i="15" s="1"/>
  <c r="Z139" i="17"/>
  <c r="AD21" i="19"/>
  <c r="F262" i="19"/>
  <c r="F264" i="19" s="1"/>
  <c r="AB262" i="19"/>
  <c r="AB264" i="19" s="1"/>
  <c r="S30" i="17"/>
  <c r="Z30" i="17" s="1"/>
  <c r="E181" i="1"/>
  <c r="M187" i="3"/>
  <c r="U30" i="17"/>
  <c r="F30" i="2"/>
  <c r="P28" i="2"/>
  <c r="F262" i="3"/>
  <c r="F264" i="3" s="1"/>
  <c r="M28" i="3"/>
  <c r="R262" i="16"/>
  <c r="R264" i="16" s="1"/>
  <c r="I262" i="13"/>
  <c r="I264" i="13" s="1"/>
  <c r="X262" i="14"/>
  <c r="X264" i="14" s="1"/>
  <c r="J262" i="3"/>
  <c r="J264" i="3" s="1"/>
  <c r="AB36" i="7"/>
  <c r="E262" i="5"/>
  <c r="M262" i="8"/>
  <c r="M264" i="8" s="1"/>
  <c r="T262" i="11"/>
  <c r="T264" i="11" s="1"/>
  <c r="E60" i="1"/>
  <c r="E72" i="1"/>
  <c r="E132" i="1"/>
  <c r="E192" i="1"/>
  <c r="E204" i="1"/>
  <c r="E216" i="1"/>
  <c r="E240" i="1"/>
  <c r="E252" i="1"/>
  <c r="L262" i="4"/>
  <c r="L264" i="4" s="1"/>
  <c r="AI79" i="4"/>
  <c r="E201" i="1"/>
  <c r="L262" i="6"/>
  <c r="L264" i="6" s="1"/>
  <c r="T67" i="9"/>
  <c r="T55" i="12"/>
  <c r="AB29" i="15"/>
  <c r="AD262" i="4"/>
  <c r="AD264" i="4" s="1"/>
  <c r="F262" i="8"/>
  <c r="F264" i="8" s="1"/>
  <c r="U262" i="11"/>
  <c r="U264" i="11" s="1"/>
  <c r="F262" i="12"/>
  <c r="F264" i="12" s="1"/>
  <c r="J262" i="8"/>
  <c r="J264" i="8" s="1"/>
  <c r="I262" i="3"/>
  <c r="I264" i="3" s="1"/>
  <c r="L262" i="11"/>
  <c r="L264" i="11" s="1"/>
  <c r="N262" i="9"/>
  <c r="N264" i="9" s="1"/>
  <c r="H30" i="10"/>
  <c r="E93" i="1"/>
  <c r="AB41" i="7"/>
  <c r="L262" i="12"/>
  <c r="L264" i="12" s="1"/>
  <c r="U28" i="13"/>
  <c r="R30" i="13"/>
  <c r="L262" i="15"/>
  <c r="L264" i="15" s="1"/>
  <c r="Z36" i="17"/>
  <c r="E141" i="1"/>
  <c r="E151" i="1" s="1"/>
  <c r="E48" i="1"/>
  <c r="E120" i="1"/>
  <c r="E121" i="1"/>
  <c r="M262" i="4"/>
  <c r="M264" i="4" s="1"/>
  <c r="AI67" i="4"/>
  <c r="E58" i="1"/>
  <c r="M262" i="6"/>
  <c r="M264" i="6" s="1"/>
  <c r="AB29" i="7"/>
  <c r="AB151" i="7"/>
  <c r="AB199" i="7"/>
  <c r="AB223" i="7"/>
  <c r="K262" i="9"/>
  <c r="K264" i="9" s="1"/>
  <c r="H262" i="9"/>
  <c r="H264" i="9" s="1"/>
  <c r="K262" i="12"/>
  <c r="K264" i="12" s="1"/>
  <c r="AE28" i="14"/>
  <c r="L262" i="14"/>
  <c r="L264" i="14" s="1"/>
  <c r="O262" i="15"/>
  <c r="O264" i="15" s="1"/>
  <c r="U139" i="16"/>
  <c r="Z55" i="17"/>
  <c r="T262" i="17"/>
  <c r="T264" i="17" s="1"/>
  <c r="E189" i="1"/>
  <c r="E199" i="1" s="1"/>
  <c r="P30" i="2"/>
  <c r="AI30" i="4"/>
  <c r="H262" i="8"/>
  <c r="H264" i="8" s="1"/>
  <c r="G262" i="5"/>
  <c r="G264" i="5" s="1"/>
  <c r="AD36" i="8"/>
  <c r="I262" i="14"/>
  <c r="I264" i="14" s="1"/>
  <c r="U28" i="16"/>
  <c r="E30" i="16"/>
  <c r="U30" i="16" s="1"/>
  <c r="E19" i="1"/>
  <c r="R28" i="10"/>
  <c r="E30" i="10"/>
  <c r="R30" i="10" s="1"/>
  <c r="K262" i="3"/>
  <c r="K264" i="3" s="1"/>
  <c r="E97" i="1"/>
  <c r="E98" i="1"/>
  <c r="E122" i="1"/>
  <c r="E134" i="1"/>
  <c r="E182" i="1"/>
  <c r="E194" i="1"/>
  <c r="E206" i="1"/>
  <c r="E218" i="1"/>
  <c r="N262" i="4"/>
  <c r="N264" i="4" s="1"/>
  <c r="N262" i="6"/>
  <c r="N264" i="6" s="1"/>
  <c r="AB247" i="7"/>
  <c r="T41" i="9"/>
  <c r="AE21" i="14"/>
  <c r="AE29" i="14"/>
  <c r="AE41" i="14"/>
  <c r="M262" i="14"/>
  <c r="M264" i="14" s="1"/>
  <c r="Z41" i="17"/>
  <c r="L187" i="18"/>
  <c r="L247" i="18"/>
  <c r="N262" i="19"/>
  <c r="N264" i="19" s="1"/>
  <c r="T223" i="9"/>
  <c r="F262" i="9"/>
  <c r="F264" i="9" s="1"/>
  <c r="E250" i="1"/>
  <c r="AC262" i="5"/>
  <c r="AC264" i="5" s="1"/>
  <c r="R262" i="11"/>
  <c r="R264" i="11" s="1"/>
  <c r="E153" i="1"/>
  <c r="E62" i="1"/>
  <c r="E63" i="1"/>
  <c r="E99" i="1"/>
  <c r="E123" i="1"/>
  <c r="E135" i="1"/>
  <c r="E183" i="1"/>
  <c r="O262" i="4"/>
  <c r="O264" i="4" s="1"/>
  <c r="AI127" i="4"/>
  <c r="O262" i="6"/>
  <c r="O264" i="6" s="1"/>
  <c r="X262" i="7"/>
  <c r="X264" i="7" s="1"/>
  <c r="AB127" i="7"/>
  <c r="N262" i="10"/>
  <c r="N264" i="10" s="1"/>
  <c r="M262" i="10"/>
  <c r="M264" i="10" s="1"/>
  <c r="V262" i="17"/>
  <c r="V264" i="17" s="1"/>
  <c r="L79" i="18"/>
  <c r="O262" i="19"/>
  <c r="O264" i="19" s="1"/>
  <c r="E30" i="5"/>
  <c r="AH30" i="5" s="1"/>
  <c r="AH28" i="5"/>
  <c r="U259" i="13"/>
  <c r="V30" i="17"/>
  <c r="G262" i="8"/>
  <c r="G264" i="8" s="1"/>
  <c r="W262" i="14"/>
  <c r="W264" i="14" s="1"/>
  <c r="Y30" i="17"/>
  <c r="H262" i="12"/>
  <c r="H264" i="12" s="1"/>
  <c r="K262" i="14"/>
  <c r="K264" i="14" s="1"/>
  <c r="Y262" i="14"/>
  <c r="Y264" i="14" s="1"/>
  <c r="L262" i="8"/>
  <c r="L264" i="8" s="1"/>
  <c r="J262" i="9"/>
  <c r="J264" i="9" s="1"/>
  <c r="Z262" i="14"/>
  <c r="Z264" i="14" s="1"/>
  <c r="M262" i="11"/>
  <c r="M264" i="11" s="1"/>
  <c r="AB24" i="15"/>
  <c r="J30" i="16"/>
  <c r="E82" i="1"/>
  <c r="AF262" i="5"/>
  <c r="AF264" i="5" s="1"/>
  <c r="T127" i="12"/>
  <c r="E50" i="1"/>
  <c r="E74" i="1"/>
  <c r="E154" i="1"/>
  <c r="E51" i="1"/>
  <c r="E87" i="1"/>
  <c r="E159" i="1"/>
  <c r="E195" i="1"/>
  <c r="E243" i="1"/>
  <c r="E262" i="3"/>
  <c r="H262" i="3"/>
  <c r="H264" i="3" s="1"/>
  <c r="L262" i="3"/>
  <c r="L264" i="3" s="1"/>
  <c r="P262" i="4"/>
  <c r="P264" i="4" s="1"/>
  <c r="E61" i="1"/>
  <c r="E190" i="1"/>
  <c r="E205" i="1"/>
  <c r="S21" i="6"/>
  <c r="P262" i="6"/>
  <c r="P264" i="6" s="1"/>
  <c r="E262" i="9"/>
  <c r="L262" i="10"/>
  <c r="L264" i="10" s="1"/>
  <c r="X199" i="11"/>
  <c r="J262" i="12"/>
  <c r="J264" i="12" s="1"/>
  <c r="U211" i="16"/>
  <c r="L67" i="18"/>
  <c r="I30" i="10"/>
  <c r="R262" i="17"/>
  <c r="R264" i="17" s="1"/>
  <c r="S262" i="4"/>
  <c r="S264" i="4" s="1"/>
  <c r="P262" i="13"/>
  <c r="P264" i="13" s="1"/>
  <c r="T262" i="14"/>
  <c r="T264" i="14" s="1"/>
  <c r="L30" i="10"/>
  <c r="U262" i="17"/>
  <c r="U264" i="17" s="1"/>
  <c r="L262" i="19"/>
  <c r="L264" i="19" s="1"/>
  <c r="M127" i="3"/>
  <c r="E117" i="1"/>
  <c r="E133" i="1"/>
  <c r="P30" i="4"/>
  <c r="U262" i="4"/>
  <c r="U264" i="4" s="1"/>
  <c r="H262" i="4"/>
  <c r="H264" i="4" s="1"/>
  <c r="E23" i="1"/>
  <c r="E29" i="1" s="1"/>
  <c r="L262" i="7"/>
  <c r="L264" i="7" s="1"/>
  <c r="V262" i="7"/>
  <c r="V264" i="7" s="1"/>
  <c r="AD16" i="8"/>
  <c r="E262" i="10"/>
  <c r="V30" i="11"/>
  <c r="W262" i="11"/>
  <c r="W264" i="11" s="1"/>
  <c r="AE163" i="14"/>
  <c r="N262" i="16"/>
  <c r="N264" i="16" s="1"/>
  <c r="M262" i="19"/>
  <c r="M264" i="19" s="1"/>
  <c r="S262" i="17"/>
  <c r="S264" i="17" s="1"/>
  <c r="E25" i="1"/>
  <c r="E118" i="1"/>
  <c r="AI36" i="4"/>
  <c r="AH24" i="5"/>
  <c r="V262" i="5"/>
  <c r="V264" i="5" s="1"/>
  <c r="M262" i="7"/>
  <c r="M264" i="7" s="1"/>
  <c r="W262" i="7"/>
  <c r="W264" i="7" s="1"/>
  <c r="AD29" i="8"/>
  <c r="AD41" i="8"/>
  <c r="N262" i="8"/>
  <c r="N264" i="8" s="1"/>
  <c r="T30" i="9"/>
  <c r="T55" i="9"/>
  <c r="F262" i="10"/>
  <c r="F264" i="10" s="1"/>
  <c r="S262" i="13"/>
  <c r="S264" i="13" s="1"/>
  <c r="E262" i="18"/>
  <c r="S262" i="11"/>
  <c r="S264" i="11" s="1"/>
  <c r="S262" i="14"/>
  <c r="S264" i="14" s="1"/>
  <c r="E262" i="2"/>
  <c r="M262" i="16"/>
  <c r="M264" i="16" s="1"/>
  <c r="N262" i="7"/>
  <c r="N264" i="7" s="1"/>
  <c r="O262" i="8"/>
  <c r="O264" i="8" s="1"/>
  <c r="R262" i="9"/>
  <c r="R264" i="9" s="1"/>
  <c r="G262" i="10"/>
  <c r="G264" i="10" s="1"/>
  <c r="R151" i="10"/>
  <c r="P262" i="12"/>
  <c r="P264" i="12" s="1"/>
  <c r="E30" i="13"/>
  <c r="E262" i="15"/>
  <c r="AA262" i="15"/>
  <c r="AA264" i="15" s="1"/>
  <c r="AB247" i="15"/>
  <c r="U16" i="16"/>
  <c r="F262" i="18"/>
  <c r="F264" i="18" s="1"/>
  <c r="E177" i="1"/>
  <c r="O262" i="13"/>
  <c r="O264" i="13" s="1"/>
  <c r="O262" i="7"/>
  <c r="O264" i="7" s="1"/>
  <c r="Y262" i="7"/>
  <c r="Y264" i="7" s="1"/>
  <c r="P262" i="8"/>
  <c r="P264" i="8" s="1"/>
  <c r="T24" i="9"/>
  <c r="Q30" i="9"/>
  <c r="S262" i="9"/>
  <c r="S264" i="9" s="1"/>
  <c r="X115" i="11"/>
  <c r="AE127" i="14"/>
  <c r="F262" i="15"/>
  <c r="F264" i="15" s="1"/>
  <c r="P262" i="15"/>
  <c r="P264" i="15" s="1"/>
  <c r="U29" i="16"/>
  <c r="Q262" i="16"/>
  <c r="Q264" i="16" s="1"/>
  <c r="Z103" i="17"/>
  <c r="G262" i="18"/>
  <c r="G264" i="18" s="1"/>
  <c r="T262" i="7"/>
  <c r="T264" i="7" s="1"/>
  <c r="K262" i="19"/>
  <c r="K264" i="19" s="1"/>
  <c r="U262" i="7"/>
  <c r="U264" i="7" s="1"/>
  <c r="E105" i="1"/>
  <c r="E33" i="1"/>
  <c r="E36" i="1" s="1"/>
  <c r="M115" i="3"/>
  <c r="M259" i="3"/>
  <c r="AI21" i="4"/>
  <c r="AH16" i="5"/>
  <c r="AB27" i="7"/>
  <c r="Z262" i="7"/>
  <c r="Z264" i="7" s="1"/>
  <c r="AD21" i="8"/>
  <c r="Q262" i="8"/>
  <c r="Q264" i="8" s="1"/>
  <c r="Q262" i="9"/>
  <c r="Q264" i="9" s="1"/>
  <c r="I262" i="10"/>
  <c r="I264" i="10" s="1"/>
  <c r="R163" i="10"/>
  <c r="R262" i="12"/>
  <c r="R264" i="12" s="1"/>
  <c r="G30" i="13"/>
  <c r="U67" i="13"/>
  <c r="G262" i="15"/>
  <c r="G264" i="15" s="1"/>
  <c r="AB67" i="15"/>
  <c r="Q262" i="15"/>
  <c r="Q264" i="15" s="1"/>
  <c r="U115" i="16"/>
  <c r="P262" i="17"/>
  <c r="P264" i="17" s="1"/>
  <c r="E30" i="19"/>
  <c r="AA30" i="19"/>
  <c r="E178" i="1"/>
  <c r="M199" i="3"/>
  <c r="AI29" i="4"/>
  <c r="Q30" i="6"/>
  <c r="AB28" i="7"/>
  <c r="J262" i="10"/>
  <c r="J264" i="10" s="1"/>
  <c r="X28" i="11"/>
  <c r="E30" i="11"/>
  <c r="X30" i="11" s="1"/>
  <c r="S262" i="12"/>
  <c r="S264" i="12" s="1"/>
  <c r="O262" i="12"/>
  <c r="O264" i="12" s="1"/>
  <c r="H30" i="13"/>
  <c r="U187" i="13"/>
  <c r="U247" i="13"/>
  <c r="AE91" i="14"/>
  <c r="H262" i="15"/>
  <c r="H264" i="15" s="1"/>
  <c r="R262" i="15"/>
  <c r="R264" i="15" s="1"/>
  <c r="Q262" i="17"/>
  <c r="Q264" i="17" s="1"/>
  <c r="Z247" i="17"/>
  <c r="L259" i="18"/>
  <c r="F30" i="19"/>
  <c r="AB30" i="19"/>
  <c r="U262" i="15"/>
  <c r="U264" i="15" s="1"/>
  <c r="E217" i="1"/>
  <c r="R262" i="4"/>
  <c r="R264" i="4" s="1"/>
  <c r="K262" i="16"/>
  <c r="K264" i="16" s="1"/>
  <c r="J262" i="19"/>
  <c r="J264" i="19" s="1"/>
  <c r="E106" i="1"/>
  <c r="E26" i="1"/>
  <c r="P27" i="2"/>
  <c r="AI27" i="4"/>
  <c r="AH29" i="5"/>
  <c r="E202" i="1"/>
  <c r="AH163" i="5"/>
  <c r="S91" i="6"/>
  <c r="S103" i="6"/>
  <c r="F30" i="7"/>
  <c r="AB30" i="7" s="1"/>
  <c r="S262" i="8"/>
  <c r="S264" i="8" s="1"/>
  <c r="T28" i="9"/>
  <c r="K262" i="10"/>
  <c r="K264" i="10" s="1"/>
  <c r="R187" i="10"/>
  <c r="AE187" i="14"/>
  <c r="S262" i="15"/>
  <c r="S264" i="15" s="1"/>
  <c r="Z163" i="17"/>
  <c r="L139" i="18"/>
  <c r="I262" i="19"/>
  <c r="I264" i="19" s="1"/>
  <c r="T262" i="4"/>
  <c r="T264" i="4" s="1"/>
  <c r="R127" i="10"/>
  <c r="AI163" i="4"/>
  <c r="AI235" i="4"/>
  <c r="W262" i="5"/>
  <c r="W264" i="5" s="1"/>
  <c r="AG262" i="5"/>
  <c r="AG264" i="5" s="1"/>
  <c r="E262" i="6"/>
  <c r="Q30" i="8"/>
  <c r="AD30" i="8" s="1"/>
  <c r="P262" i="9"/>
  <c r="P264" i="9" s="1"/>
  <c r="AE55" i="14"/>
  <c r="U262" i="14"/>
  <c r="U264" i="14" s="1"/>
  <c r="AE151" i="14"/>
  <c r="AB21" i="15"/>
  <c r="J262" i="15"/>
  <c r="J264" i="15" s="1"/>
  <c r="AB115" i="15"/>
  <c r="L199" i="18"/>
  <c r="AD28" i="19"/>
  <c r="T262" i="19"/>
  <c r="T264" i="19" s="1"/>
  <c r="T262" i="8"/>
  <c r="T264" i="8" s="1"/>
  <c r="X24" i="11"/>
  <c r="F30" i="12"/>
  <c r="AA262" i="14"/>
  <c r="AA264" i="14" s="1"/>
  <c r="K262" i="15"/>
  <c r="K264" i="15" s="1"/>
  <c r="R262" i="7"/>
  <c r="R264" i="7" s="1"/>
  <c r="T36" i="9"/>
  <c r="X21" i="11"/>
  <c r="K30" i="11"/>
  <c r="X187" i="11"/>
  <c r="T103" i="12"/>
  <c r="T247" i="12"/>
  <c r="U79" i="16"/>
  <c r="K30" i="18"/>
  <c r="V262" i="19"/>
  <c r="V264" i="19" s="1"/>
  <c r="U127" i="13"/>
  <c r="AI28" i="4"/>
  <c r="E94" i="1"/>
  <c r="S29" i="6"/>
  <c r="X16" i="11"/>
  <c r="K30" i="13"/>
  <c r="E262" i="17"/>
  <c r="Z175" i="17"/>
  <c r="W262" i="19"/>
  <c r="W264" i="19" s="1"/>
  <c r="S24" i="6"/>
  <c r="Y262" i="17"/>
  <c r="Y264" i="17" s="1"/>
  <c r="U262" i="19"/>
  <c r="U264" i="19" s="1"/>
  <c r="S259" i="6"/>
  <c r="W262" i="8"/>
  <c r="W264" i="8" s="1"/>
  <c r="AD79" i="8"/>
  <c r="AD175" i="8"/>
  <c r="P262" i="11"/>
  <c r="P264" i="11" s="1"/>
  <c r="I30" i="12"/>
  <c r="H262" i="14"/>
  <c r="H264" i="14" s="1"/>
  <c r="AD262" i="14"/>
  <c r="AD264" i="14" s="1"/>
  <c r="N262" i="15"/>
  <c r="N264" i="15" s="1"/>
  <c r="F262" i="17"/>
  <c r="F264" i="17" s="1"/>
  <c r="H262" i="18"/>
  <c r="H264" i="18" s="1"/>
  <c r="AD259" i="19"/>
  <c r="E129" i="1"/>
  <c r="E139" i="1" s="1"/>
  <c r="H30" i="4"/>
  <c r="AD30" i="4"/>
  <c r="AH27" i="5"/>
  <c r="T103" i="9"/>
  <c r="R29" i="10"/>
  <c r="N30" i="11"/>
  <c r="X55" i="11"/>
  <c r="Q262" i="11"/>
  <c r="Q264" i="11" s="1"/>
  <c r="J30" i="12"/>
  <c r="M262" i="12"/>
  <c r="M264" i="12" s="1"/>
  <c r="T115" i="12"/>
  <c r="H262" i="16"/>
  <c r="H264" i="16" s="1"/>
  <c r="I262" i="18"/>
  <c r="I264" i="18" s="1"/>
  <c r="AD24" i="19"/>
  <c r="Y262" i="19"/>
  <c r="Y264" i="19" s="1"/>
  <c r="AH55" i="5"/>
  <c r="Q262" i="7"/>
  <c r="Q264" i="7" s="1"/>
  <c r="AD211" i="8"/>
  <c r="E262" i="14"/>
  <c r="J30" i="18"/>
  <c r="L30" i="18" s="1"/>
  <c r="E130" i="1"/>
  <c r="I30" i="4"/>
  <c r="AE30" i="4"/>
  <c r="AH262" i="4"/>
  <c r="AH264" i="4" s="1"/>
  <c r="AH36" i="5"/>
  <c r="S175" i="6"/>
  <c r="AD235" i="8"/>
  <c r="T175" i="9"/>
  <c r="N262" i="12"/>
  <c r="N264" i="12" s="1"/>
  <c r="AE24" i="14"/>
  <c r="AE139" i="14"/>
  <c r="I262" i="16"/>
  <c r="I264" i="16" s="1"/>
  <c r="Z151" i="17"/>
  <c r="L41" i="18"/>
  <c r="J262" i="18"/>
  <c r="J264" i="18" s="1"/>
  <c r="Z262" i="19"/>
  <c r="Z264" i="19" s="1"/>
  <c r="AD235" i="19"/>
  <c r="G30" i="3"/>
  <c r="F262" i="5"/>
  <c r="F264" i="5" s="1"/>
  <c r="AD28" i="8"/>
  <c r="R24" i="10"/>
  <c r="H262" i="10"/>
  <c r="H264" i="10" s="1"/>
  <c r="L30" i="15"/>
  <c r="AB41" i="15"/>
  <c r="J262" i="16"/>
  <c r="J264" i="16" s="1"/>
  <c r="I262" i="17"/>
  <c r="I264" i="17" s="1"/>
  <c r="K262" i="18"/>
  <c r="K264" i="18" s="1"/>
  <c r="E262" i="19"/>
  <c r="AA262" i="19"/>
  <c r="AA264" i="19" s="1"/>
  <c r="E235" i="1" l="1"/>
  <c r="E264" i="12"/>
  <c r="T264" i="12" s="1"/>
  <c r="T262" i="12"/>
  <c r="E264" i="8"/>
  <c r="AD264" i="8" s="1"/>
  <c r="AD262" i="8"/>
  <c r="E211" i="1"/>
  <c r="E55" i="1"/>
  <c r="E115" i="1"/>
  <c r="E127" i="1"/>
  <c r="E264" i="15"/>
  <c r="AB264" i="15" s="1"/>
  <c r="AB262" i="15"/>
  <c r="E264" i="3"/>
  <c r="M264" i="3" s="1"/>
  <c r="M262" i="3"/>
  <c r="E163" i="1"/>
  <c r="T30" i="12"/>
  <c r="E28" i="1"/>
  <c r="E30" i="1" s="1"/>
  <c r="E21" i="1"/>
  <c r="E264" i="17"/>
  <c r="Z264" i="17" s="1"/>
  <c r="Z262" i="17"/>
  <c r="U30" i="13"/>
  <c r="E103" i="1"/>
  <c r="AB262" i="7"/>
  <c r="AB264" i="7"/>
  <c r="AH262" i="5"/>
  <c r="E264" i="5"/>
  <c r="AH264" i="5" s="1"/>
  <c r="E264" i="6"/>
  <c r="S264" i="6" s="1"/>
  <c r="S262" i="6"/>
  <c r="AD30" i="19"/>
  <c r="E67" i="1"/>
  <c r="E187" i="1"/>
  <c r="E264" i="19"/>
  <c r="AD264" i="19" s="1"/>
  <c r="AD262" i="19"/>
  <c r="E27" i="1"/>
  <c r="AB30" i="15"/>
  <c r="U262" i="16"/>
  <c r="E247" i="1"/>
  <c r="E24" i="1"/>
  <c r="X262" i="11"/>
  <c r="X264" i="11"/>
  <c r="AE262" i="14"/>
  <c r="E264" i="14"/>
  <c r="AE264" i="14" s="1"/>
  <c r="E259" i="1"/>
  <c r="E264" i="2"/>
  <c r="P264" i="2" s="1"/>
  <c r="P262" i="2"/>
  <c r="R262" i="10"/>
  <c r="E264" i="10"/>
  <c r="R264" i="10" s="1"/>
  <c r="E79" i="1"/>
  <c r="AI262" i="4"/>
  <c r="E264" i="18"/>
  <c r="L264" i="18" s="1"/>
  <c r="L262" i="18"/>
  <c r="AI264" i="4"/>
  <c r="T262" i="9"/>
  <c r="E264" i="9"/>
  <c r="T264" i="9" s="1"/>
  <c r="E223" i="1"/>
  <c r="U262" i="13"/>
  <c r="M30" i="3"/>
  <c r="E91" i="1"/>
  <c r="U264" i="13"/>
  <c r="E262" i="1" l="1"/>
  <c r="E264" i="1" s="1"/>
</calcChain>
</file>

<file path=xl/sharedStrings.xml><?xml version="1.0" encoding="utf-8"?>
<sst xmlns="http://schemas.openxmlformats.org/spreadsheetml/2006/main" count="5256" uniqueCount="218">
  <si>
    <t>Kecamatan</t>
  </si>
  <si>
    <t>BANYUWANGI</t>
  </si>
  <si>
    <t>Kabupaten</t>
  </si>
  <si>
    <t>Provinsi</t>
  </si>
  <si>
    <t>JAWA TIMUR</t>
  </si>
  <si>
    <t>I</t>
  </si>
  <si>
    <t>DATA PEMILIH DAN PENGGUNAAN HAK PILIH</t>
  </si>
  <si>
    <t>JUMLAH AKHIR</t>
  </si>
  <si>
    <t>A</t>
  </si>
  <si>
    <t xml:space="preserve">DATA PEMILIH  </t>
  </si>
  <si>
    <t>Jumlah Pemilih dalam Daftar Pemilih Tetap (DPT)</t>
  </si>
  <si>
    <t>LK</t>
  </si>
  <si>
    <t>PR</t>
  </si>
  <si>
    <t>JML</t>
  </si>
  <si>
    <t>B</t>
  </si>
  <si>
    <t>PENGGUNA HAK PILIH</t>
  </si>
  <si>
    <t>1.</t>
  </si>
  <si>
    <t>Jumlah pengguna hak pilih dalam Daftar Pemilih Tetap (DPT)</t>
  </si>
  <si>
    <t>2.</t>
  </si>
  <si>
    <t>Jumlah pengguna hak pilih dalam Daftar Pemilih Tambahan (DPTb)</t>
  </si>
  <si>
    <t>3.</t>
  </si>
  <si>
    <t>Jumlah pengguna hak pilih dalam Daftar Pemilih Khusus (DPK)</t>
  </si>
  <si>
    <t>4.</t>
  </si>
  <si>
    <t>Jumlah Pengguna Hak Pilih (B.1+B.2+B.3)</t>
  </si>
  <si>
    <t>II</t>
  </si>
  <si>
    <t>DATA PENGGUNAAN SURAT SUARA</t>
  </si>
  <si>
    <t>Jumlah surat suara yang diterima, termasuk surat suara cadangan 2,5% dari DPT</t>
  </si>
  <si>
    <t>Jumlah surat suara yang digunakan</t>
  </si>
  <si>
    <t>Jumlah surat suara dikembalikan oleh pemilih (karena rusak atau keliru coblos)</t>
  </si>
  <si>
    <t>Jumlah surat suara yang tidak digunakan/tidak terpakai, termasuk sisa surat suara cadangan</t>
  </si>
  <si>
    <t>III</t>
  </si>
  <si>
    <t>DATA PEMILIH DISABILITAS</t>
  </si>
  <si>
    <t>Jumlah seluruh Pemilih disabilitas yang menggunakan hak pilih</t>
  </si>
  <si>
    <t>IV</t>
  </si>
  <si>
    <t>DATA RINCIAN PEROLEHAN SUARA PASANGAN CALON BUPATI DAN WAKIL BUPATI</t>
  </si>
  <si>
    <t>NOMOR DAN NAMA CALON</t>
  </si>
  <si>
    <t>A.1</t>
  </si>
  <si>
    <t>Partai Kebangkitan Bangsa</t>
  </si>
  <si>
    <t>A.2</t>
  </si>
  <si>
    <t>1. ANITA RANI, S.H.</t>
  </si>
  <si>
    <t>2. ANISAH MAHSUNAH, S.E.</t>
  </si>
  <si>
    <t>3. SENARI, S.Sos.</t>
  </si>
  <si>
    <t>4. VERAGAWATI, S.H.</t>
  </si>
  <si>
    <t>5. KURDI EHSAN</t>
  </si>
  <si>
    <t>6. BONDAN ARDYWIJAYA</t>
  </si>
  <si>
    <t>JUMLAH SUARA SAH PARTAI POLITIK DAN CALON (A1 + A2)</t>
  </si>
  <si>
    <t>Partai Gerakan Indonesia Raya</t>
  </si>
  <si>
    <t>1. Ir. H. NAUFAL BADRI</t>
  </si>
  <si>
    <t>2. ALI MUSTAUFIQ, S.Pd.</t>
  </si>
  <si>
    <t>3. Ir. IRA STEPHANI RAWUNG, M.M.</t>
  </si>
  <si>
    <t>4. Hj. LISMIYANA</t>
  </si>
  <si>
    <t>5. RIFKI PRIA HARTAWAN USMAN, S.H.</t>
  </si>
  <si>
    <t>6. KUNTI MAULIDATAS SAFROH, S.Sos.</t>
  </si>
  <si>
    <t>Partai Demokrasi Indonesia Perjuangan</t>
  </si>
  <si>
    <t>1. TRI SOEDARYONO</t>
  </si>
  <si>
    <t>2. HEKSA SOEDARMADI, S.H.</t>
  </si>
  <si>
    <t>3. PRAMUDITA MAHARANI SAPUTRI</t>
  </si>
  <si>
    <t>4. SLAMET UTOMO</t>
  </si>
  <si>
    <t>5. MARCELINUS FLORIANUS GADI GAA</t>
  </si>
  <si>
    <t>6. RACHEL PUSPA ANGELIA</t>
  </si>
  <si>
    <t>Partai Golongan Karya</t>
  </si>
  <si>
    <t>1. EVA HESTIYAWATI, S.E.</t>
  </si>
  <si>
    <t>2. MAS DWI SONY WIDIANTO</t>
  </si>
  <si>
    <t>3. YULIANTO</t>
  </si>
  <si>
    <t>4. MOCH. ZAENI, S.H., M.H.</t>
  </si>
  <si>
    <t>5. MEGA ANASTASIA CRISTANTY</t>
  </si>
  <si>
    <t>6. IMAN SANTOSO, S.E., M.M.H.</t>
  </si>
  <si>
    <t>5.</t>
  </si>
  <si>
    <t>Partai NasDem</t>
  </si>
  <si>
    <t>1. ZAMRONI, S.H.</t>
  </si>
  <si>
    <t>2. AHMAD WIBISONO, S.T.</t>
  </si>
  <si>
    <t>3. Dra. EMY TRIASTUTIK, M.M.</t>
  </si>
  <si>
    <t>4. PEBDI ARISDIAWAN, S.E.</t>
  </si>
  <si>
    <t>5. BERNAT SIPAHUTAR, S.E.</t>
  </si>
  <si>
    <t>6. INDAH CATUR CAHYANINGTYAS</t>
  </si>
  <si>
    <t>6.</t>
  </si>
  <si>
    <t>Partai Buruh</t>
  </si>
  <si>
    <t>1. SULASTRI, S.H.</t>
  </si>
  <si>
    <t>7.</t>
  </si>
  <si>
    <t>Partai Gelombang Rakyat Indonesia</t>
  </si>
  <si>
    <t>1. H. SUGIARTO, S.E., M.Si.</t>
  </si>
  <si>
    <t>2. MUHTAR</t>
  </si>
  <si>
    <t>3. UNISSIAWATY</t>
  </si>
  <si>
    <t>4. DWI WAHYUDI</t>
  </si>
  <si>
    <t>5. ADINA MUTIARA KURNIAWAN, S.T.</t>
  </si>
  <si>
    <t>6. FIRMAN ISADI</t>
  </si>
  <si>
    <t>8.</t>
  </si>
  <si>
    <t>Partai Keadilan Sejahtera</t>
  </si>
  <si>
    <t>1. NENI VIANTIN DIYAH MARTIVA, S.Pd.</t>
  </si>
  <si>
    <t>2. RINO AHMAD MURAD</t>
  </si>
  <si>
    <t>3. ASROR FAHRUDIN</t>
  </si>
  <si>
    <t>4. ABDUL KARIM</t>
  </si>
  <si>
    <t>5. ZIA UL HAK, S.H., M.Kn.</t>
  </si>
  <si>
    <t>6. MUNA AZ ZAHRA</t>
  </si>
  <si>
    <t>9.</t>
  </si>
  <si>
    <t>Partai Kebangkitan Nusantara</t>
  </si>
  <si>
    <t>1. LILIS SURYANI</t>
  </si>
  <si>
    <t>10.</t>
  </si>
  <si>
    <t>Partai Hati Nurani Rakyat</t>
  </si>
  <si>
    <t>1. Ir. BASUKI RACHMAD</t>
  </si>
  <si>
    <t>2. H. VERDIYANTO WELLYA</t>
  </si>
  <si>
    <t>3. Hj. LILIK YULIATI, S.A.P.</t>
  </si>
  <si>
    <t>4. H. ABDUL HADI, S.Pd.I., M.Pd.</t>
  </si>
  <si>
    <t>5. SUGENG PRAMONO</t>
  </si>
  <si>
    <t>6. ERVIN YUNITASARI</t>
  </si>
  <si>
    <t>11.</t>
  </si>
  <si>
    <t>Partai Garda Republik Indonesia</t>
  </si>
  <si>
    <t>12.</t>
  </si>
  <si>
    <t>Partai Amanat Nasional</t>
  </si>
  <si>
    <t>1. H. JUWAINI, S.E.</t>
  </si>
  <si>
    <t>2. KURAISIEN MILAPUSPA DEWI, S.E.</t>
  </si>
  <si>
    <t>3. ILZAM LUTFI</t>
  </si>
  <si>
    <t>4. AFIRDA AINIYA</t>
  </si>
  <si>
    <t>5. ABDUL WAHID</t>
  </si>
  <si>
    <t>6. MABRUR RAMADHANI</t>
  </si>
  <si>
    <t>13.</t>
  </si>
  <si>
    <t>Partai Bulan Bintang</t>
  </si>
  <si>
    <t>1. NUR HOLIS</t>
  </si>
  <si>
    <t>2. MOCHAMMAD SOFIYANDI</t>
  </si>
  <si>
    <t>3. DEWI CITRA FEBRIYANTI</t>
  </si>
  <si>
    <t>4. FAHMUL HUDA, S.Pd.</t>
  </si>
  <si>
    <t>5. ENDANG RETNOWATI</t>
  </si>
  <si>
    <t>6. DEDY ARY WYDIANTO</t>
  </si>
  <si>
    <t>14.</t>
  </si>
  <si>
    <t>Partai Demokrat</t>
  </si>
  <si>
    <t>1. YUNIETA NURCAHYANI INDRASARI, S.T.</t>
  </si>
  <si>
    <t>2. ANDI MULJO, S.Si., Apt.</t>
  </si>
  <si>
    <t>3. RICCO ANTAR BUDAYA, S.H., M.Kn.</t>
  </si>
  <si>
    <t>4. INTAN MAULIDIA ISLAMI</t>
  </si>
  <si>
    <t>5. AHMAD RISKI SAPUTRA</t>
  </si>
  <si>
    <t>6. ZAM ZAMI, S.E.</t>
  </si>
  <si>
    <t>15.</t>
  </si>
  <si>
    <t>Partai Solidaritas Indonesia</t>
  </si>
  <si>
    <t>1. RAGIL GALIH PERSADA</t>
  </si>
  <si>
    <t>2. AL IMAM ISATULIBAT, S.T.</t>
  </si>
  <si>
    <t>3. HERIBERTA ANDRI PURWANINGSIH</t>
  </si>
  <si>
    <t>4. IMAM MAHMUDI</t>
  </si>
  <si>
    <t>5. NETY MUFFIDAH</t>
  </si>
  <si>
    <t>16.</t>
  </si>
  <si>
    <t>PARTAI PERINDO</t>
  </si>
  <si>
    <t>1. KHAIRUL FALAH, S.Sos.</t>
  </si>
  <si>
    <t>2. Drs. SURYADI</t>
  </si>
  <si>
    <t>3. NUNGKY CHUKS MINANGSARY</t>
  </si>
  <si>
    <t>4. DYAH AYU SETIYOWATI</t>
  </si>
  <si>
    <t>5. Dr. SETYO UTOMO, S.H., M.Si.</t>
  </si>
  <si>
    <t>6. KAISAR AL HADI HAGGY AL HADDAR</t>
  </si>
  <si>
    <t>17.</t>
  </si>
  <si>
    <t>Partai Persatuan Pembangunan</t>
  </si>
  <si>
    <t>1. FUAD AHMAD</t>
  </si>
  <si>
    <t>2. JAWAHIRUL KAWAKIB, M.Pd.</t>
  </si>
  <si>
    <t>3. AMIRAH BELQIS RANA SHIBA A.</t>
  </si>
  <si>
    <t>4. HERY PURNOMO, S.H.</t>
  </si>
  <si>
    <t>5. ZAINULLAH</t>
  </si>
  <si>
    <t>6. ISTIN NURUL MARDIANA</t>
  </si>
  <si>
    <t>18.</t>
  </si>
  <si>
    <t>Partai Ummat</t>
  </si>
  <si>
    <t>1. HAWI SUYOSO, S.E.</t>
  </si>
  <si>
    <t>2. MAKHMUD ALI MURDOKO, S.Pd., M.Pd.</t>
  </si>
  <si>
    <t>3. MAYA ARDIANA SARI</t>
  </si>
  <si>
    <t>4. HOIRRUDIN MUSTOFA</t>
  </si>
  <si>
    <t>V</t>
  </si>
  <si>
    <t>DATA SUARA SAH DAN TIDAK SAH</t>
  </si>
  <si>
    <t>A.</t>
  </si>
  <si>
    <t>JUMLAH SELURUH SUARA SAH</t>
  </si>
  <si>
    <t>B.</t>
  </si>
  <si>
    <t>JUMLAH SUARA TIDAK SAH</t>
  </si>
  <si>
    <t>C.</t>
  </si>
  <si>
    <t>JUMLAH SELURUH SUARA SAH DAN SUARA TIDAK SAH (V.A + V.B)</t>
  </si>
  <si>
    <t>Kelurahan</t>
  </si>
  <si>
    <t>KAMPUNGMANDAR</t>
  </si>
  <si>
    <t>TPS 001</t>
  </si>
  <si>
    <t>TPS 002</t>
  </si>
  <si>
    <t>TPS 003</t>
  </si>
  <si>
    <t>TPS 004</t>
  </si>
  <si>
    <t>TPS 005</t>
  </si>
  <si>
    <t>TPS 006</t>
  </si>
  <si>
    <t>TPS 007</t>
  </si>
  <si>
    <t>TPS 008</t>
  </si>
  <si>
    <t>TPS 009</t>
  </si>
  <si>
    <t>TPS 010</t>
  </si>
  <si>
    <t>TPS 011</t>
  </si>
  <si>
    <t>KAMPUNGMELAYU</t>
  </si>
  <si>
    <t>KARANGREJO</t>
  </si>
  <si>
    <t>TPS 012</t>
  </si>
  <si>
    <t>TPS 013</t>
  </si>
  <si>
    <t>TPS 014</t>
  </si>
  <si>
    <t>TPS 015</t>
  </si>
  <si>
    <t>TPS 016</t>
  </si>
  <si>
    <t>TPS 017</t>
  </si>
  <si>
    <t>TPS 018</t>
  </si>
  <si>
    <t>TPS 019</t>
  </si>
  <si>
    <t>TPS 020</t>
  </si>
  <si>
    <t>TPS 021</t>
  </si>
  <si>
    <t>TPS 022</t>
  </si>
  <si>
    <t>TPS 023</t>
  </si>
  <si>
    <t>TPS 024</t>
  </si>
  <si>
    <t>TPS 025</t>
  </si>
  <si>
    <t>TPS 026</t>
  </si>
  <si>
    <t>TPS 027</t>
  </si>
  <si>
    <t>TPS 028</t>
  </si>
  <si>
    <t>TPS 029</t>
  </si>
  <si>
    <t>TPS 030</t>
  </si>
  <si>
    <t>KEBALENAN</t>
  </si>
  <si>
    <t>KEPATIHAN</t>
  </si>
  <si>
    <t>KERTOSARI</t>
  </si>
  <si>
    <t>LATENG</t>
  </si>
  <si>
    <t>PAKIS</t>
  </si>
  <si>
    <t>PANDEREJO</t>
  </si>
  <si>
    <t>PENGANTIGAN</t>
  </si>
  <si>
    <t>s</t>
  </si>
  <si>
    <t>PENGANJURAN</t>
  </si>
  <si>
    <t>SINGONEGARAN</t>
  </si>
  <si>
    <t>SINGOTRUNAN</t>
  </si>
  <si>
    <t>SOBO</t>
  </si>
  <si>
    <t>SUMBERREJO</t>
  </si>
  <si>
    <t>TAMANBARU</t>
  </si>
  <si>
    <t>TEMENGGUNGAN</t>
  </si>
  <si>
    <t>TUKANGKAYU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</si>
</sst>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Calibri"/>
      <scheme val="minor"/>
    </font>
    <font>
      <b/>
      <sz val="10"/>
      <color theme="1"/>
      <name val="Bookman Old Style"/>
    </font>
    <font>
      <sz val="10"/>
      <color theme="1"/>
      <name val="Arial"/>
    </font>
    <font>
      <sz val="10"/>
      <color theme="1"/>
      <name val="Bookman Old Style"/>
    </font>
    <font>
      <sz val="10"/>
      <color rgb="FF000000"/>
      <name val="Bookman Old Style"/>
    </font>
    <font>
      <sz val="10"/>
      <name val="Calibri"/>
    </font>
    <font>
      <sz val="10"/>
      <color theme="1"/>
      <name val="Cambria"/>
    </font>
    <font>
      <b/>
      <sz val="10"/>
      <color rgb="FF000000"/>
      <name val="Bookman Old Style"/>
    </font>
    <font>
      <sz val="10"/>
      <color rgb="FF000000"/>
      <name val="Calibri"/>
    </font>
    <font>
      <sz val="10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3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3" fontId="2" fillId="0" borderId="0" xfId="0" applyNumberFormat="1" applyFont="1"/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3" fontId="2" fillId="2" borderId="17" xfId="0" applyNumberFormat="1" applyFont="1" applyFill="1" applyBorder="1"/>
    <xf numFmtId="0" fontId="2" fillId="2" borderId="17" xfId="0" applyFont="1" applyFill="1" applyBorder="1"/>
    <xf numFmtId="0" fontId="3" fillId="3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vertical="center" wrapText="1"/>
    </xf>
    <xf numFmtId="0" fontId="3" fillId="3" borderId="21" xfId="0" applyFont="1" applyFill="1" applyBorder="1" applyAlignment="1">
      <alignment vertical="center" wrapText="1"/>
    </xf>
    <xf numFmtId="0" fontId="2" fillId="3" borderId="21" xfId="0" applyFont="1" applyFill="1" applyBorder="1"/>
    <xf numFmtId="0" fontId="2" fillId="0" borderId="4" xfId="0" applyFont="1" applyBorder="1"/>
    <xf numFmtId="0" fontId="3" fillId="3" borderId="20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left" vertical="top" wrapText="1"/>
    </xf>
    <xf numFmtId="0" fontId="6" fillId="3" borderId="22" xfId="0" applyFont="1" applyFill="1" applyBorder="1" applyAlignment="1">
      <alignment horizontal="left" vertical="top" wrapText="1"/>
    </xf>
    <xf numFmtId="0" fontId="1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/>
    </xf>
    <xf numFmtId="0" fontId="8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9" fillId="0" borderId="0" xfId="0" applyFont="1"/>
    <xf numFmtId="0" fontId="1" fillId="0" borderId="2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 wrapText="1"/>
    </xf>
    <xf numFmtId="0" fontId="1" fillId="0" borderId="14" xfId="0" applyFont="1" applyBorder="1" applyAlignment="1">
      <alignment vertical="center" wrapText="1"/>
    </xf>
    <xf numFmtId="0" fontId="5" fillId="0" borderId="8" xfId="0" applyFont="1" applyBorder="1"/>
    <xf numFmtId="0" fontId="1" fillId="0" borderId="7" xfId="0" applyFont="1" applyBorder="1" applyAlignment="1">
      <alignment horizontal="center" vertical="center" wrapText="1"/>
    </xf>
    <xf numFmtId="0" fontId="5" fillId="0" borderId="15" xfId="0" applyFont="1" applyBorder="1"/>
    <xf numFmtId="0" fontId="5" fillId="0" borderId="10" xfId="0" applyFont="1" applyBorder="1"/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7" xfId="0" applyFont="1" applyBorder="1"/>
    <xf numFmtId="0" fontId="3" fillId="0" borderId="2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5" fillId="0" borderId="6" xfId="0" applyFont="1" applyBorder="1"/>
    <xf numFmtId="0" fontId="5" fillId="0" borderId="9" xfId="0" applyFont="1" applyBorder="1"/>
    <xf numFmtId="0" fontId="3" fillId="0" borderId="11" xfId="0" applyFont="1" applyBorder="1" applyAlignment="1">
      <alignment vertical="center" wrapText="1"/>
    </xf>
    <xf numFmtId="0" fontId="5" fillId="0" borderId="12" xfId="0" applyFont="1" applyBorder="1"/>
    <xf numFmtId="0" fontId="5" fillId="0" borderId="13" xfId="0" applyFont="1" applyBorder="1"/>
    <xf numFmtId="0" fontId="3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 wrapText="1"/>
    </xf>
    <xf numFmtId="0" fontId="0" fillId="0" borderId="0" xfId="0"/>
    <xf numFmtId="0" fontId="3" fillId="0" borderId="7" xfId="0" applyFont="1" applyBorder="1" applyAlignment="1">
      <alignment horizontal="center" vertical="center"/>
    </xf>
    <xf numFmtId="0" fontId="5" fillId="0" borderId="14" xfId="0" applyFont="1" applyBorder="1"/>
    <xf numFmtId="0" fontId="3" fillId="3" borderId="19" xfId="0" applyFont="1" applyFill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wrapText="1"/>
    </xf>
  </cellXfs>
  <cellStyles count="1">
    <cellStyle name="Normal" xfId="0" builtinId="0"/>
  </cellStyles>
  <dxfs count="523"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5:Z1000"/>
  <sheetViews>
    <sheetView workbookViewId="0"/>
  </sheetViews>
  <sheetFormatPr defaultColWidth="14.42578125" defaultRowHeight="15" customHeight="1" x14ac:dyDescent="0.4"/>
  <cols>
    <col min="1" max="1" width="3.5703125" customWidth="1"/>
    <col min="2" max="2" width="4" customWidth="1"/>
    <col min="3" max="3" width="64.5703125" customWidth="1"/>
    <col min="4" max="4" width="6.5703125" customWidth="1"/>
    <col min="5" max="5" width="18.85546875" customWidth="1"/>
    <col min="6" max="7" width="10.140625" customWidth="1"/>
    <col min="8" max="16" width="10.140625" hidden="1" customWidth="1"/>
    <col min="17" max="25" width="8.7109375" hidden="1" customWidth="1"/>
    <col min="26" max="26" width="8.7109375" customWidth="1"/>
  </cols>
  <sheetData>
    <row r="5" spans="1:26" ht="15.75" customHeight="1" x14ac:dyDescent="0.4">
      <c r="F5" s="1"/>
      <c r="G5" s="1"/>
      <c r="H5" s="1"/>
      <c r="I5" s="1"/>
      <c r="J5" s="1"/>
      <c r="K5" s="1"/>
      <c r="L5" s="1"/>
      <c r="M5" s="1"/>
      <c r="N5" s="1"/>
      <c r="O5" s="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4">
      <c r="F6" s="1"/>
      <c r="G6" s="1"/>
      <c r="H6" s="1"/>
      <c r="I6" s="1"/>
      <c r="J6" s="1"/>
      <c r="K6" s="1"/>
      <c r="L6" s="1"/>
      <c r="M6" s="1"/>
      <c r="N6" s="1"/>
      <c r="O6" s="1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4">
      <c r="F7" s="5"/>
      <c r="G7" s="5"/>
      <c r="H7" s="5"/>
      <c r="I7" s="5"/>
      <c r="J7" s="5"/>
      <c r="K7" s="5"/>
      <c r="L7" s="5"/>
      <c r="M7" s="5"/>
      <c r="N7" s="5"/>
      <c r="O7" s="5"/>
      <c r="P7" s="6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C8" s="8" t="s">
        <v>0</v>
      </c>
      <c r="D8" s="8" t="s">
        <v>1</v>
      </c>
      <c r="F8" s="5"/>
      <c r="G8" s="5"/>
      <c r="H8" s="5"/>
      <c r="I8" s="5"/>
      <c r="J8" s="5"/>
      <c r="K8" s="5"/>
      <c r="L8" s="5"/>
      <c r="M8" s="5"/>
      <c r="N8" s="5"/>
      <c r="O8" s="5"/>
      <c r="P8" s="6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C9" s="8" t="s">
        <v>2</v>
      </c>
      <c r="D9" s="8" t="s">
        <v>1</v>
      </c>
      <c r="F9" s="1"/>
      <c r="G9" s="1"/>
      <c r="H9" s="1"/>
      <c r="I9" s="1"/>
      <c r="J9" s="1"/>
      <c r="K9" s="1"/>
      <c r="L9" s="1"/>
      <c r="M9" s="1"/>
      <c r="N9" s="1"/>
      <c r="O9" s="1"/>
      <c r="P9" s="9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4">
      <c r="C10" s="8" t="s">
        <v>3</v>
      </c>
      <c r="D10" s="8" t="s">
        <v>4</v>
      </c>
      <c r="F10" s="5"/>
      <c r="G10" s="5"/>
      <c r="H10" s="5"/>
      <c r="I10" s="5"/>
      <c r="J10" s="5"/>
      <c r="K10" s="5"/>
      <c r="L10" s="5"/>
      <c r="M10" s="5"/>
      <c r="N10" s="5"/>
      <c r="O10" s="10"/>
      <c r="P10" s="11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4">
      <c r="A11" s="1"/>
      <c r="B11" s="12"/>
      <c r="C11" s="12"/>
      <c r="D11" s="12"/>
      <c r="E11" s="1"/>
      <c r="F11" s="5"/>
      <c r="G11" s="5"/>
      <c r="H11" s="5"/>
      <c r="I11" s="5"/>
      <c r="J11" s="5"/>
      <c r="K11" s="5"/>
      <c r="L11" s="5"/>
      <c r="M11" s="5"/>
      <c r="N11" s="5"/>
      <c r="O11" s="10"/>
      <c r="P11" s="11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4">
      <c r="A12" s="13" t="s">
        <v>5</v>
      </c>
      <c r="B12" s="70" t="s">
        <v>6</v>
      </c>
      <c r="C12" s="61"/>
      <c r="D12" s="62"/>
      <c r="E12" s="72" t="s">
        <v>7</v>
      </c>
      <c r="F12" s="15"/>
      <c r="G12" s="5"/>
      <c r="H12" s="5"/>
      <c r="I12" s="5"/>
      <c r="J12" s="5"/>
      <c r="K12" s="5"/>
      <c r="L12" s="5"/>
      <c r="M12" s="5"/>
      <c r="N12" s="5"/>
      <c r="O12" s="5"/>
      <c r="P12" s="6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4">
      <c r="A13" s="16" t="s">
        <v>8</v>
      </c>
      <c r="B13" s="74" t="s">
        <v>9</v>
      </c>
      <c r="C13" s="61"/>
      <c r="D13" s="62"/>
      <c r="E13" s="73"/>
      <c r="F13" s="15"/>
      <c r="G13" s="5"/>
      <c r="H13" s="5"/>
      <c r="I13" s="5"/>
      <c r="J13" s="5"/>
      <c r="K13" s="5"/>
      <c r="L13" s="5"/>
      <c r="M13" s="5"/>
      <c r="N13" s="5"/>
      <c r="O13" s="5"/>
      <c r="P13" s="6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4">
      <c r="A14" s="15"/>
      <c r="B14" s="75" t="s">
        <v>10</v>
      </c>
      <c r="C14" s="66"/>
      <c r="D14" s="16" t="s">
        <v>11</v>
      </c>
      <c r="E14" s="17">
        <f>KAMPUNGMANDAR!P14+KAMPUNGMELAYU!M14+KARANGREJO!AI14+KEBALENAN!AH14+KEPATIHAN!S14+KERTOSARI!AB14+LATENG!AD14+PAKIS!T14+PANDEREJO!R14+PENGANJURAN!T14+PENGANTIGAN!X14+SINGONEGARAN!U14+SINGOTRUNAN!AE14+SOBO!AB14+SUMBERREJO!U14+TAMANBARU!Z14+TEMENGGUNGAN!L14+TUKANGKAYU!AD14</f>
        <v>43129</v>
      </c>
      <c r="F14" s="18"/>
      <c r="G14" s="1"/>
      <c r="H14" s="1"/>
      <c r="I14" s="1"/>
      <c r="J14" s="1"/>
      <c r="K14" s="1"/>
      <c r="L14" s="1"/>
      <c r="M14" s="1"/>
      <c r="N14" s="1"/>
      <c r="O14" s="1"/>
      <c r="P14" s="9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4">
      <c r="A15" s="15"/>
      <c r="B15" s="76"/>
      <c r="C15" s="77"/>
      <c r="D15" s="16" t="s">
        <v>12</v>
      </c>
      <c r="E15" s="17">
        <f>KAMPUNGMANDAR!P15+KAMPUNGMELAYU!M15+KARANGREJO!AI15+KEBALENAN!AH15+KEPATIHAN!S15+KERTOSARI!AB15+LATENG!AD15+PAKIS!T15+PANDEREJO!R15+PENGANJURAN!T15+PENGANTIGAN!X15+SINGONEGARAN!U15+SINGOTRUNAN!AE15+SOBO!AB15+SUMBERREJO!U15+TAMANBARU!Z15+TEMENGGUNGAN!L15+TUKANGKAYU!AD15</f>
        <v>45897</v>
      </c>
      <c r="F15" s="15"/>
      <c r="G15" s="5"/>
      <c r="H15" s="5"/>
      <c r="I15" s="5"/>
      <c r="J15" s="5"/>
      <c r="K15" s="5"/>
      <c r="L15" s="5"/>
      <c r="M15" s="5"/>
      <c r="N15" s="5"/>
      <c r="O15" s="5"/>
      <c r="P15" s="6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18"/>
      <c r="B16" s="73"/>
      <c r="C16" s="69"/>
      <c r="D16" s="13" t="s">
        <v>13</v>
      </c>
      <c r="E16" s="19">
        <f>SUM(E14:E15)</f>
        <v>89026</v>
      </c>
      <c r="F16" s="15"/>
      <c r="G16" s="5"/>
      <c r="H16" s="5"/>
      <c r="I16" s="5"/>
      <c r="J16" s="5"/>
      <c r="K16" s="5"/>
      <c r="L16" s="5"/>
      <c r="M16" s="5"/>
      <c r="N16" s="5"/>
      <c r="O16" s="5"/>
      <c r="P16" s="6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63"/>
      <c r="B17" s="61"/>
      <c r="C17" s="61"/>
      <c r="D17" s="62"/>
      <c r="E17" s="17"/>
      <c r="F17" s="18"/>
      <c r="G17" s="1"/>
      <c r="H17" s="1"/>
      <c r="I17" s="1"/>
      <c r="J17" s="1"/>
      <c r="K17" s="1"/>
      <c r="L17" s="1"/>
      <c r="M17" s="1"/>
      <c r="N17" s="1"/>
      <c r="O17" s="1"/>
      <c r="P17" s="9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4">
      <c r="A18" s="20" t="s">
        <v>14</v>
      </c>
      <c r="B18" s="74" t="s">
        <v>15</v>
      </c>
      <c r="C18" s="61"/>
      <c r="D18" s="62"/>
      <c r="E18" s="17"/>
      <c r="F18" s="15"/>
      <c r="G18" s="5"/>
      <c r="H18" s="5"/>
      <c r="I18" s="5"/>
      <c r="J18" s="5"/>
      <c r="K18" s="5"/>
      <c r="L18" s="5"/>
      <c r="M18" s="5"/>
      <c r="N18" s="5"/>
      <c r="O18" s="5"/>
      <c r="P18" s="6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20"/>
      <c r="B19" s="81" t="s">
        <v>16</v>
      </c>
      <c r="C19" s="78" t="s">
        <v>17</v>
      </c>
      <c r="D19" s="16" t="s">
        <v>11</v>
      </c>
      <c r="E19" s="17">
        <f>KAMPUNGMANDAR!P19+KAMPUNGMELAYU!M19+KARANGREJO!AI19+KEBALENAN!AH19+KEPATIHAN!S19+KERTOSARI!AB19+LATENG!AD19+PAKIS!T19+PANDEREJO!R19+PENGANJURAN!T19+PENGANTIGAN!X19+SINGONEGARAN!U19+SINGOTRUNAN!AE19+SOBO!AB19+SUMBERREJO!U19+TAMANBARU!Z19+TEMENGGUNGAN!L19+TUKANGKAYU!AD19</f>
        <v>31082</v>
      </c>
      <c r="F19" s="15"/>
      <c r="G19" s="5"/>
      <c r="H19" s="5"/>
      <c r="I19" s="5"/>
      <c r="J19" s="5"/>
      <c r="K19" s="5"/>
      <c r="L19" s="5"/>
      <c r="M19" s="5"/>
      <c r="N19" s="5"/>
      <c r="O19" s="5"/>
      <c r="P19" s="6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21"/>
      <c r="B20" s="77"/>
      <c r="C20" s="79"/>
      <c r="D20" s="16" t="s">
        <v>12</v>
      </c>
      <c r="E20" s="17">
        <f>KAMPUNGMANDAR!P20+KAMPUNGMELAYU!M20+KARANGREJO!AI20+KEBALENAN!AH20+KEPATIHAN!S20+KERTOSARI!AB20+LATENG!AD20+PAKIS!T20+PANDEREJO!R20+PENGANJURAN!T20+PENGANTIGAN!X20+SINGONEGARAN!U20+SINGOTRUNAN!AE20+SOBO!AB20+SUMBERREJO!U20+TAMANBARU!Z20+TEMENGGUNGAN!L20+TUKANGKAYU!AD20</f>
        <v>36199</v>
      </c>
      <c r="F20" s="18"/>
      <c r="G20" s="1"/>
      <c r="H20" s="1"/>
      <c r="I20" s="1"/>
      <c r="J20" s="1"/>
      <c r="K20" s="1"/>
      <c r="L20" s="1"/>
      <c r="M20" s="1"/>
      <c r="N20" s="1"/>
      <c r="O20" s="1"/>
      <c r="P20" s="9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4">
      <c r="A21" s="22"/>
      <c r="B21" s="69"/>
      <c r="C21" s="80"/>
      <c r="D21" s="13" t="s">
        <v>13</v>
      </c>
      <c r="E21" s="19">
        <f>SUM(E19:E20)</f>
        <v>67281</v>
      </c>
      <c r="F21" s="18"/>
      <c r="G21" s="1"/>
      <c r="H21" s="1"/>
      <c r="I21" s="1"/>
      <c r="J21" s="1"/>
      <c r="K21" s="1"/>
      <c r="L21" s="1"/>
      <c r="M21" s="1"/>
      <c r="N21" s="1"/>
      <c r="O21" s="1"/>
      <c r="P21" s="9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4">
      <c r="A22" s="21"/>
      <c r="B22" s="81" t="s">
        <v>18</v>
      </c>
      <c r="C22" s="78" t="s">
        <v>19</v>
      </c>
      <c r="D22" s="16" t="s">
        <v>11</v>
      </c>
      <c r="E22" s="17">
        <f>KAMPUNGMANDAR!P22+KAMPUNGMELAYU!M22+KARANGREJO!AI22+KEBALENAN!AH22+KEPATIHAN!S22+KERTOSARI!AB22+LATENG!AD22+PAKIS!T22+PANDEREJO!R22+PENGANJURAN!T22+PENGANTIGAN!X22+SINGONEGARAN!U22+SINGOTRUNAN!AE22+SOBO!AB22+SUMBERREJO!U22+TAMANBARU!Z22+TEMENGGUNGAN!L22+TUKANGKAYU!AD22</f>
        <v>50</v>
      </c>
      <c r="F22" s="18"/>
      <c r="G22" s="1"/>
      <c r="H22" s="1"/>
      <c r="I22" s="1"/>
      <c r="J22" s="1"/>
      <c r="K22" s="1"/>
      <c r="L22" s="1"/>
      <c r="M22" s="1"/>
      <c r="N22" s="1"/>
      <c r="O22" s="1"/>
      <c r="P22" s="9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4">
      <c r="A23" s="21"/>
      <c r="B23" s="77"/>
      <c r="C23" s="79"/>
      <c r="D23" s="16" t="s">
        <v>12</v>
      </c>
      <c r="E23" s="17">
        <f>KAMPUNGMANDAR!P23+KAMPUNGMELAYU!M23+KARANGREJO!AI23+KEBALENAN!AH23+KEPATIHAN!S23+KERTOSARI!AB23+LATENG!AD23+PAKIS!T23+PANDEREJO!R23+PENGANJURAN!T23+PENGANTIGAN!X23+SINGONEGARAN!U23+SINGOTRUNAN!AE23+SOBO!AB23+SUMBERREJO!U23+TAMANBARU!Z23+TEMENGGUNGAN!L23+TUKANGKAYU!AD23</f>
        <v>64</v>
      </c>
      <c r="F23" s="18"/>
      <c r="G23" s="1"/>
      <c r="H23" s="1"/>
      <c r="I23" s="1"/>
      <c r="J23" s="1"/>
      <c r="K23" s="1"/>
      <c r="L23" s="1"/>
      <c r="M23" s="1"/>
      <c r="N23" s="1"/>
      <c r="O23" s="1"/>
      <c r="P23" s="9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4">
      <c r="A24" s="22"/>
      <c r="B24" s="69"/>
      <c r="C24" s="80"/>
      <c r="D24" s="13" t="s">
        <v>13</v>
      </c>
      <c r="E24" s="19">
        <f>SUM(E22:E23)</f>
        <v>114</v>
      </c>
      <c r="F24" s="15"/>
      <c r="G24" s="5"/>
      <c r="H24" s="5"/>
      <c r="I24" s="5"/>
      <c r="J24" s="5"/>
      <c r="K24" s="5"/>
      <c r="L24" s="5"/>
      <c r="M24" s="5"/>
      <c r="N24" s="5"/>
      <c r="O24" s="10"/>
      <c r="P24" s="11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4">
      <c r="A25" s="21"/>
      <c r="B25" s="81" t="s">
        <v>20</v>
      </c>
      <c r="C25" s="78" t="s">
        <v>21</v>
      </c>
      <c r="D25" s="16" t="s">
        <v>11</v>
      </c>
      <c r="E25" s="17">
        <f>KAMPUNGMANDAR!P25+KAMPUNGMELAYU!M25+KARANGREJO!AI25+KEBALENAN!AH25+KEPATIHAN!S25+KERTOSARI!AB25+LATENG!AD25+PAKIS!T25+PANDEREJO!R25+PENGANJURAN!T25+PENGANTIGAN!X25+SINGONEGARAN!U25+SINGOTRUNAN!AE25+SOBO!AB25+SUMBERREJO!U25+TAMANBARU!Z25+TEMENGGUNGAN!L25+TUKANGKAYU!AD25</f>
        <v>532</v>
      </c>
      <c r="F25" s="18"/>
      <c r="G25" s="1"/>
      <c r="H25" s="1"/>
      <c r="I25" s="1"/>
      <c r="J25" s="1"/>
      <c r="K25" s="1"/>
      <c r="L25" s="1"/>
      <c r="M25" s="1"/>
      <c r="N25" s="1"/>
      <c r="O25" s="2"/>
      <c r="P25" s="11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4">
      <c r="A26" s="21"/>
      <c r="B26" s="77"/>
      <c r="C26" s="79"/>
      <c r="D26" s="16" t="s">
        <v>12</v>
      </c>
      <c r="E26" s="17">
        <f>KAMPUNGMANDAR!P26+KAMPUNGMELAYU!M26+KARANGREJO!AI26+KEBALENAN!AH26+KEPATIHAN!S26+KERTOSARI!AB26+LATENG!AD26+PAKIS!T26+PANDEREJO!R26+PENGANJURAN!T26+PENGANTIGAN!X26+SINGONEGARAN!U26+SINGOTRUNAN!AE26+SOBO!AB26+SUMBERREJO!U26+TAMANBARU!Z26+TEMENGGUNGAN!L26+TUKANGKAYU!AD26</f>
        <v>693</v>
      </c>
      <c r="F26" s="15"/>
      <c r="G26" s="5"/>
      <c r="H26" s="5"/>
      <c r="I26" s="5"/>
      <c r="J26" s="5"/>
      <c r="K26" s="5"/>
      <c r="L26" s="5"/>
      <c r="M26" s="5"/>
      <c r="N26" s="5"/>
      <c r="O26" s="5"/>
      <c r="P26" s="6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22"/>
      <c r="B27" s="69"/>
      <c r="C27" s="80"/>
      <c r="D27" s="13" t="s">
        <v>13</v>
      </c>
      <c r="E27" s="19">
        <f>SUM(E25:E26)</f>
        <v>1225</v>
      </c>
      <c r="F27" s="18"/>
      <c r="G27" s="1"/>
      <c r="H27" s="1"/>
      <c r="I27" s="1"/>
      <c r="J27" s="1"/>
      <c r="K27" s="1"/>
      <c r="L27" s="1"/>
      <c r="M27" s="1"/>
      <c r="N27" s="1"/>
      <c r="O27" s="1"/>
      <c r="P27" s="9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4">
      <c r="A28" s="22"/>
      <c r="B28" s="82" t="s">
        <v>22</v>
      </c>
      <c r="C28" s="83" t="s">
        <v>23</v>
      </c>
      <c r="D28" s="13" t="s">
        <v>11</v>
      </c>
      <c r="E28" s="19">
        <f t="shared" ref="E28:E29" si="0">E19+E22+E25</f>
        <v>31664</v>
      </c>
      <c r="F28" s="15"/>
      <c r="G28" s="5"/>
      <c r="H28" s="5"/>
      <c r="I28" s="5"/>
      <c r="J28" s="5"/>
      <c r="K28" s="5"/>
      <c r="L28" s="5"/>
      <c r="M28" s="5"/>
      <c r="N28" s="5"/>
      <c r="O28" s="5"/>
      <c r="P28" s="6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A29" s="22"/>
      <c r="B29" s="77"/>
      <c r="C29" s="79"/>
      <c r="D29" s="13" t="s">
        <v>12</v>
      </c>
      <c r="E29" s="19">
        <f t="shared" si="0"/>
        <v>36956</v>
      </c>
      <c r="F29" s="18"/>
      <c r="G29" s="1"/>
      <c r="H29" s="1"/>
      <c r="I29" s="1"/>
      <c r="J29" s="1"/>
      <c r="K29" s="1"/>
      <c r="L29" s="1"/>
      <c r="M29" s="1"/>
      <c r="N29" s="1"/>
      <c r="O29" s="1"/>
      <c r="P29" s="9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4">
      <c r="A30" s="22"/>
      <c r="B30" s="69"/>
      <c r="C30" s="80"/>
      <c r="D30" s="13" t="s">
        <v>13</v>
      </c>
      <c r="E30" s="19">
        <f>SUM(E28:E29)</f>
        <v>68620</v>
      </c>
      <c r="F30" s="23"/>
      <c r="G30" s="3"/>
      <c r="H30" s="3"/>
      <c r="I30" s="3"/>
      <c r="J30" s="3"/>
      <c r="K30" s="5"/>
      <c r="L30" s="5"/>
      <c r="M30" s="5"/>
      <c r="N30" s="5"/>
      <c r="O30" s="10"/>
      <c r="P30" s="11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4">
      <c r="A31" s="63"/>
      <c r="B31" s="61"/>
      <c r="C31" s="61"/>
      <c r="D31" s="62"/>
      <c r="E31" s="24"/>
      <c r="F31" s="18"/>
      <c r="G31" s="1"/>
      <c r="H31" s="1"/>
      <c r="I31" s="1"/>
      <c r="J31" s="1"/>
      <c r="K31" s="1"/>
      <c r="L31" s="1"/>
      <c r="M31" s="1"/>
      <c r="N31" s="1"/>
      <c r="O31" s="2"/>
      <c r="P31" s="11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4">
      <c r="A32" s="25" t="s">
        <v>24</v>
      </c>
      <c r="B32" s="70" t="s">
        <v>25</v>
      </c>
      <c r="C32" s="61"/>
      <c r="D32" s="62"/>
      <c r="E32" s="19"/>
      <c r="F32" s="15"/>
      <c r="G32" s="5"/>
      <c r="H32" s="5"/>
      <c r="I32" s="5"/>
      <c r="J32" s="5"/>
      <c r="K32" s="5"/>
      <c r="L32" s="5"/>
      <c r="M32" s="5"/>
      <c r="N32" s="5"/>
      <c r="O32" s="5"/>
      <c r="P32" s="6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16">
        <v>1</v>
      </c>
      <c r="B33" s="74" t="s">
        <v>26</v>
      </c>
      <c r="C33" s="61"/>
      <c r="D33" s="62"/>
      <c r="E33" s="17">
        <f>KAMPUNGMANDAR!P33+KAMPUNGMELAYU!M33+KARANGREJO!AI33+KEBALENAN!AH33+KEPATIHAN!S33+KERTOSARI!AB33+LATENG!AD33+PAKIS!T33+PANDEREJO!R33+PENGANJURAN!T33+PENGANTIGAN!X33+SINGONEGARAN!U33+SINGOTRUNAN!AE33+SOBO!AB33+SUMBERREJO!U33+TAMANBARU!Z33+TEMENGGUNGAN!L33+TUKANGKAYU!AD33</f>
        <v>90672</v>
      </c>
      <c r="F33" s="15"/>
      <c r="G33" s="5"/>
      <c r="H33" s="5"/>
      <c r="I33" s="5"/>
      <c r="J33" s="5"/>
      <c r="K33" s="5"/>
      <c r="L33" s="5"/>
      <c r="M33" s="5"/>
      <c r="N33" s="5"/>
      <c r="O33" s="5"/>
      <c r="P33" s="6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4">
      <c r="A34" s="16">
        <v>2</v>
      </c>
      <c r="B34" s="74" t="s">
        <v>27</v>
      </c>
      <c r="C34" s="61"/>
      <c r="D34" s="62"/>
      <c r="E34" s="17">
        <f>KAMPUNGMANDAR!P34+KAMPUNGMELAYU!M34+KARANGREJO!AI34+KEBALENAN!AH34+KEPATIHAN!S34+KERTOSARI!AB34+LATENG!AD34+PAKIS!T34+PANDEREJO!R34+PENGANJURAN!T34+PENGANTIGAN!X34+SINGONEGARAN!U34+SINGOTRUNAN!AE34+SOBO!AB34+SUMBERREJO!U34+TAMANBARU!Z34+TEMENGGUNGAN!L34+TUKANGKAYU!AD34</f>
        <v>68620</v>
      </c>
      <c r="F34" s="18"/>
      <c r="G34" s="1"/>
      <c r="H34" s="1"/>
      <c r="I34" s="1"/>
      <c r="J34" s="1"/>
      <c r="K34" s="1"/>
      <c r="L34" s="1"/>
      <c r="M34" s="1"/>
      <c r="N34" s="1"/>
      <c r="O34" s="1"/>
      <c r="P34" s="9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4">
      <c r="A35" s="16">
        <v>3</v>
      </c>
      <c r="B35" s="74" t="s">
        <v>28</v>
      </c>
      <c r="C35" s="61"/>
      <c r="D35" s="62"/>
      <c r="E35" s="17">
        <f>KAMPUNGMANDAR!P35+KAMPUNGMELAYU!M35+KARANGREJO!AI35+KEBALENAN!AH35+KEPATIHAN!S35+KERTOSARI!AB35+LATENG!AD35+PAKIS!T35+PANDEREJO!R35+PENGANJURAN!T35+PENGANTIGAN!X35+SINGONEGARAN!U35+SINGOTRUNAN!AE35+SOBO!AB35+SUMBERREJO!U35+TAMANBARU!Z35+TEMENGGUNGAN!L35+TUKANGKAYU!AD35</f>
        <v>166</v>
      </c>
      <c r="F35" s="23"/>
      <c r="G35" s="3"/>
      <c r="H35" s="3"/>
      <c r="I35" s="3"/>
      <c r="J35" s="3"/>
      <c r="K35" s="5"/>
      <c r="L35" s="5"/>
      <c r="M35" s="5"/>
      <c r="N35" s="5"/>
      <c r="O35" s="10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4">
      <c r="A36" s="16">
        <v>4</v>
      </c>
      <c r="B36" s="74" t="s">
        <v>29</v>
      </c>
      <c r="C36" s="61"/>
      <c r="D36" s="62"/>
      <c r="E36" s="19">
        <f>E33-(E34+E35)</f>
        <v>21886</v>
      </c>
      <c r="F36" s="18"/>
      <c r="G36" s="1"/>
      <c r="H36" s="1"/>
      <c r="I36" s="1"/>
      <c r="J36" s="1"/>
      <c r="K36" s="1"/>
      <c r="L36" s="1"/>
      <c r="M36" s="1"/>
      <c r="N36" s="1"/>
      <c r="O36" s="2"/>
      <c r="P36" s="11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4">
      <c r="A37" s="63"/>
      <c r="B37" s="61"/>
      <c r="C37" s="61"/>
      <c r="D37" s="61"/>
      <c r="E37" s="61"/>
      <c r="F37" s="15"/>
      <c r="G37" s="5"/>
      <c r="H37" s="5"/>
      <c r="I37" s="5"/>
      <c r="J37" s="5"/>
      <c r="K37" s="5"/>
      <c r="L37" s="5"/>
      <c r="M37" s="5"/>
      <c r="N37" s="5"/>
      <c r="O37" s="10"/>
      <c r="P37" s="11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4">
      <c r="A38" s="26" t="s">
        <v>30</v>
      </c>
      <c r="B38" s="70" t="s">
        <v>31</v>
      </c>
      <c r="C38" s="61"/>
      <c r="D38" s="62"/>
      <c r="E38" s="19"/>
      <c r="F38" s="15"/>
      <c r="G38" s="5"/>
      <c r="H38" s="5"/>
      <c r="I38" s="5"/>
      <c r="J38" s="5"/>
      <c r="K38" s="5"/>
      <c r="L38" s="5"/>
      <c r="M38" s="5"/>
      <c r="N38" s="5"/>
      <c r="O38" s="5"/>
      <c r="P38" s="6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20"/>
      <c r="B39" s="84" t="s">
        <v>32</v>
      </c>
      <c r="C39" s="66"/>
      <c r="D39" s="16" t="s">
        <v>11</v>
      </c>
      <c r="E39" s="17">
        <f>KAMPUNGMANDAR!P39+KAMPUNGMELAYU!M39+KARANGREJO!AI39+KEBALENAN!AH39+KEPATIHAN!S39+KERTOSARI!AB39+LATENG!AD39+PAKIS!T39+PANDEREJO!R39+PENGANJURAN!T39+PENGANTIGAN!X39+SINGONEGARAN!U39+SINGOTRUNAN!AE39+SOBO!AB39+SUMBERREJO!U39+TAMANBARU!Z39+TEMENGGUNGAN!L39+TUKANGKAYU!AD39</f>
        <v>90</v>
      </c>
      <c r="F39" s="15"/>
      <c r="G39" s="5"/>
      <c r="H39" s="5"/>
      <c r="I39" s="5"/>
      <c r="J39" s="5"/>
      <c r="K39" s="5"/>
      <c r="L39" s="5"/>
      <c r="M39" s="5"/>
      <c r="N39" s="5"/>
      <c r="O39" s="5"/>
      <c r="P39" s="6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21"/>
      <c r="B40" s="85"/>
      <c r="C40" s="77"/>
      <c r="D40" s="16" t="s">
        <v>12</v>
      </c>
      <c r="E40" s="17">
        <f>KAMPUNGMANDAR!P40+KAMPUNGMELAYU!M40+KARANGREJO!AI40+KEBALENAN!AH40+KEPATIHAN!S40+KERTOSARI!AB40+LATENG!AD40+PAKIS!T40+PANDEREJO!R40+PENGANJURAN!T40+PENGANTIGAN!X40+SINGONEGARAN!U40+SINGOTRUNAN!AE40+SOBO!AB40+SUMBERREJO!U40+TAMANBARU!Z40+TEMENGGUNGAN!L40+TUKANGKAYU!AD40</f>
        <v>78</v>
      </c>
      <c r="F40" s="15"/>
      <c r="G40" s="5"/>
      <c r="H40" s="5"/>
      <c r="I40" s="5"/>
      <c r="J40" s="5"/>
      <c r="K40" s="5"/>
      <c r="L40" s="5"/>
      <c r="M40" s="5"/>
      <c r="N40" s="5"/>
      <c r="O40" s="5"/>
      <c r="P40" s="6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25"/>
      <c r="B41" s="68"/>
      <c r="C41" s="69"/>
      <c r="D41" s="13" t="s">
        <v>13</v>
      </c>
      <c r="E41" s="19">
        <f>SUM(E39:E40)</f>
        <v>168</v>
      </c>
      <c r="F41" s="15"/>
      <c r="G41" s="5"/>
      <c r="H41" s="5"/>
      <c r="I41" s="5"/>
      <c r="J41" s="5"/>
      <c r="K41" s="5"/>
      <c r="L41" s="5"/>
      <c r="M41" s="5"/>
      <c r="N41" s="5"/>
      <c r="O41" s="5"/>
      <c r="P41" s="6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A42" s="86"/>
      <c r="B42" s="68"/>
      <c r="C42" s="68"/>
      <c r="D42" s="69"/>
      <c r="E42" s="17"/>
      <c r="F42" s="15"/>
      <c r="G42" s="5"/>
      <c r="H42" s="5"/>
      <c r="I42" s="5"/>
      <c r="J42" s="5"/>
      <c r="K42" s="5"/>
      <c r="L42" s="5"/>
      <c r="M42" s="5"/>
      <c r="N42" s="5"/>
      <c r="O42" s="5"/>
      <c r="P42" s="6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26" t="s">
        <v>33</v>
      </c>
      <c r="B43" s="70" t="s">
        <v>34</v>
      </c>
      <c r="C43" s="61"/>
      <c r="D43" s="62"/>
      <c r="E43" s="19"/>
      <c r="F43" s="15"/>
      <c r="G43" s="5"/>
      <c r="H43" s="5"/>
      <c r="I43" s="5"/>
      <c r="J43" s="5"/>
      <c r="K43" s="5"/>
      <c r="L43" s="5"/>
      <c r="M43" s="5"/>
      <c r="N43" s="5"/>
      <c r="O43" s="5"/>
      <c r="P43" s="6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A44" s="84" t="s">
        <v>35</v>
      </c>
      <c r="B44" s="87"/>
      <c r="C44" s="87"/>
      <c r="D44" s="66"/>
      <c r="E44" s="17"/>
      <c r="F44" s="15"/>
      <c r="G44" s="5"/>
      <c r="H44" s="5"/>
      <c r="I44" s="5"/>
      <c r="J44" s="5"/>
      <c r="K44" s="5"/>
      <c r="L44" s="5"/>
      <c r="M44" s="5"/>
      <c r="N44" s="5"/>
      <c r="O44" s="5"/>
      <c r="P44" s="6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20" t="s">
        <v>36</v>
      </c>
      <c r="B45" s="27" t="s">
        <v>16</v>
      </c>
      <c r="C45" s="64" t="s">
        <v>37</v>
      </c>
      <c r="D45" s="62"/>
      <c r="E45" s="17">
        <f>KAMPUNGMANDAR!P45+KAMPUNGMELAYU!M45+KARANGREJO!AI45+KEBALENAN!AH45+KEPATIHAN!S45+KERTOSARI!AB45+LATENG!AD45+PAKIS!T45+PANDEREJO!R45+PENGANJURAN!T45+PENGANTIGAN!X45+SINGONEGARAN!U45+SINGOTRUNAN!AE45+SOBO!AB45+SUMBERREJO!U45+TAMANBARU!Z45+TEMENGGUNGAN!L45+TUKANGKAYU!AD45</f>
        <v>1460</v>
      </c>
      <c r="F45" s="18"/>
      <c r="G45" s="1"/>
      <c r="H45" s="1"/>
      <c r="I45" s="1"/>
      <c r="J45" s="1"/>
      <c r="K45" s="1"/>
      <c r="L45" s="1"/>
      <c r="M45" s="1"/>
      <c r="N45" s="1"/>
      <c r="O45" s="1"/>
      <c r="P45" s="9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4">
      <c r="A46" s="20" t="s">
        <v>38</v>
      </c>
      <c r="B46" s="28"/>
      <c r="C46" s="29" t="s">
        <v>39</v>
      </c>
      <c r="D46" s="30"/>
      <c r="E46" s="17">
        <f>KAMPUNGMANDAR!P46+KAMPUNGMELAYU!M46+KARANGREJO!AI46+KEBALENAN!AH46+KEPATIHAN!S46+KERTOSARI!AB46+LATENG!AD46+PAKIS!T46+PANDEREJO!R46+PENGANJURAN!T46+PENGANTIGAN!X46+SINGONEGARAN!U46+SINGOTRUNAN!AE46+SOBO!AB46+SUMBERREJO!U46+TAMANBARU!Z46+TEMENGGUNGAN!L46+TUKANGKAYU!AD46</f>
        <v>1399</v>
      </c>
      <c r="F46" s="31"/>
      <c r="G46" s="32"/>
      <c r="H46" s="32"/>
      <c r="I46" s="32"/>
      <c r="J46" s="32"/>
      <c r="K46" s="32"/>
      <c r="L46" s="32"/>
      <c r="M46" s="32"/>
      <c r="N46" s="32"/>
      <c r="O46" s="32"/>
      <c r="P46" s="33"/>
      <c r="Q46" s="3"/>
      <c r="R46" s="3"/>
      <c r="S46" s="3"/>
      <c r="T46" s="3"/>
      <c r="U46" s="3"/>
      <c r="V46" s="3"/>
      <c r="W46" s="34"/>
      <c r="X46" s="3"/>
      <c r="Y46" s="3"/>
      <c r="Z46" s="3"/>
    </row>
    <row r="47" spans="1:26" ht="15.75" customHeight="1" x14ac:dyDescent="0.4">
      <c r="A47" s="15"/>
      <c r="B47" s="28"/>
      <c r="C47" s="29" t="s">
        <v>40</v>
      </c>
      <c r="D47" s="30"/>
      <c r="E47" s="17">
        <f>KAMPUNGMANDAR!P47+KAMPUNGMELAYU!M47+KARANGREJO!AI47+KEBALENAN!AH47+KEPATIHAN!S47+KERTOSARI!AB47+LATENG!AD47+PAKIS!T47+PANDEREJO!R47+PENGANJURAN!T47+PENGANTIGAN!X47+SINGONEGARAN!U47+SINGOTRUNAN!AE47+SOBO!AB47+SUMBERREJO!U47+TAMANBARU!Z47+TEMENGGUNGAN!L47+TUKANGKAYU!AD47</f>
        <v>1310</v>
      </c>
      <c r="F47" s="15"/>
      <c r="G47" s="5"/>
      <c r="H47" s="5"/>
      <c r="I47" s="5"/>
      <c r="J47" s="5"/>
      <c r="K47" s="5"/>
      <c r="L47" s="5"/>
      <c r="M47" s="5"/>
      <c r="N47" s="5"/>
      <c r="O47" s="5"/>
      <c r="P47" s="6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15"/>
      <c r="B48" s="28"/>
      <c r="C48" s="29" t="s">
        <v>41</v>
      </c>
      <c r="D48" s="30"/>
      <c r="E48" s="17">
        <f>KAMPUNGMANDAR!P48+KAMPUNGMELAYU!M48+KARANGREJO!AI48+KEBALENAN!AH48+KEPATIHAN!S48+KERTOSARI!AB48+LATENG!AD48+PAKIS!T48+PANDEREJO!R48+PENGANJURAN!T48+PENGANTIGAN!X48+SINGONEGARAN!U48+SINGOTRUNAN!AE48+SOBO!AB48+SUMBERREJO!U48+TAMANBARU!Z48+TEMENGGUNGAN!L48+TUKANGKAYU!AD48</f>
        <v>128</v>
      </c>
      <c r="F48" s="15"/>
      <c r="G48" s="5"/>
      <c r="H48" s="5"/>
      <c r="I48" s="5"/>
      <c r="J48" s="5"/>
      <c r="K48" s="5"/>
      <c r="L48" s="5"/>
      <c r="M48" s="5"/>
      <c r="N48" s="5"/>
      <c r="O48" s="5"/>
      <c r="P48" s="6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15"/>
      <c r="B49" s="28"/>
      <c r="C49" s="29" t="s">
        <v>42</v>
      </c>
      <c r="D49" s="30"/>
      <c r="E49" s="17">
        <f>KAMPUNGMANDAR!P49+KAMPUNGMELAYU!M49+KARANGREJO!AI49+KEBALENAN!AH49+KEPATIHAN!S49+KERTOSARI!AB49+LATENG!AD49+PAKIS!T49+PANDEREJO!R49+PENGANJURAN!T49+PENGANTIGAN!X49+SINGONEGARAN!U49+SINGOTRUNAN!AE49+SOBO!AB49+SUMBERREJO!U49+TAMANBARU!Z49+TEMENGGUNGAN!L49+TUKANGKAYU!AD49</f>
        <v>46</v>
      </c>
      <c r="F49" s="15"/>
      <c r="G49" s="5"/>
      <c r="H49" s="5"/>
      <c r="I49" s="5"/>
      <c r="J49" s="5"/>
      <c r="K49" s="5"/>
      <c r="L49" s="5"/>
      <c r="M49" s="5"/>
      <c r="N49" s="5"/>
      <c r="O49" s="5"/>
      <c r="P49" s="6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15"/>
      <c r="B50" s="28"/>
      <c r="C50" s="29" t="s">
        <v>43</v>
      </c>
      <c r="D50" s="30"/>
      <c r="E50" s="17">
        <f>KAMPUNGMANDAR!P50+KAMPUNGMELAYU!M50+KARANGREJO!AI50+KEBALENAN!AH50+KEPATIHAN!S50+KERTOSARI!AB50+LATENG!AD50+PAKIS!T50+PANDEREJO!R50+PENGANJURAN!T50+PENGANTIGAN!X50+SINGONEGARAN!U50+SINGOTRUNAN!AE50+SOBO!AB50+SUMBERREJO!U50+TAMANBARU!Z50+TEMENGGUNGAN!L50+TUKANGKAYU!AD50</f>
        <v>52</v>
      </c>
      <c r="F50" s="15"/>
      <c r="G50" s="5"/>
      <c r="H50" s="5"/>
      <c r="I50" s="5"/>
      <c r="J50" s="5"/>
      <c r="K50" s="5"/>
      <c r="L50" s="5"/>
      <c r="M50" s="5"/>
      <c r="N50" s="5"/>
      <c r="O50" s="5"/>
      <c r="P50" s="6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15"/>
      <c r="B51" s="28"/>
      <c r="C51" s="29" t="s">
        <v>44</v>
      </c>
      <c r="D51" s="30"/>
      <c r="E51" s="17">
        <f>KAMPUNGMANDAR!P51+KAMPUNGMELAYU!M51+KARANGREJO!AI51+KEBALENAN!AH51+KEPATIHAN!S51+KERTOSARI!AB51+LATENG!AD51+PAKIS!T51+PANDEREJO!R51+PENGANJURAN!T51+PENGANTIGAN!X51+SINGONEGARAN!U51+SINGOTRUNAN!AE51+SOBO!AB51+SUMBERREJO!U51+TAMANBARU!Z51+TEMENGGUNGAN!L51+TUKANGKAYU!AD51</f>
        <v>197</v>
      </c>
      <c r="F51" s="15"/>
      <c r="G51" s="5"/>
      <c r="H51" s="5"/>
      <c r="I51" s="5"/>
      <c r="J51" s="5"/>
      <c r="K51" s="5"/>
      <c r="L51" s="5"/>
      <c r="M51" s="5"/>
      <c r="N51" s="5"/>
      <c r="O51" s="5"/>
      <c r="P51" s="6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15"/>
      <c r="B52" s="35"/>
      <c r="C52" s="88"/>
      <c r="D52" s="62"/>
      <c r="E52" s="36"/>
      <c r="F52" s="15"/>
      <c r="G52" s="5"/>
      <c r="H52" s="5"/>
      <c r="I52" s="5"/>
      <c r="J52" s="5"/>
      <c r="K52" s="5"/>
      <c r="L52" s="5"/>
      <c r="M52" s="5"/>
      <c r="N52" s="5"/>
      <c r="O52" s="5"/>
      <c r="P52" s="6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15"/>
      <c r="B53" s="35"/>
      <c r="C53" s="37"/>
      <c r="D53" s="38"/>
      <c r="E53" s="36"/>
      <c r="F53" s="15"/>
      <c r="G53" s="5"/>
      <c r="H53" s="5"/>
      <c r="I53" s="5"/>
      <c r="J53" s="5"/>
      <c r="K53" s="5"/>
      <c r="L53" s="5"/>
      <c r="M53" s="5"/>
      <c r="N53" s="5"/>
      <c r="O53" s="5"/>
      <c r="P53" s="6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15"/>
      <c r="B54" s="35"/>
      <c r="C54" s="37"/>
      <c r="D54" s="38"/>
      <c r="E54" s="36"/>
      <c r="F54" s="15"/>
      <c r="G54" s="5"/>
      <c r="H54" s="5"/>
      <c r="I54" s="5"/>
      <c r="J54" s="5"/>
      <c r="K54" s="5"/>
      <c r="L54" s="5"/>
      <c r="M54" s="5"/>
      <c r="N54" s="5"/>
      <c r="O54" s="5"/>
      <c r="P54" s="6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16" t="s">
        <v>14</v>
      </c>
      <c r="B55" s="60" t="s">
        <v>45</v>
      </c>
      <c r="C55" s="61"/>
      <c r="D55" s="62"/>
      <c r="E55" s="13">
        <f>SUM(E45:E54)</f>
        <v>4592</v>
      </c>
      <c r="F55" s="15"/>
      <c r="G55" s="5"/>
      <c r="H55" s="5"/>
      <c r="I55" s="5"/>
      <c r="J55" s="5"/>
      <c r="K55" s="5"/>
      <c r="L55" s="5"/>
      <c r="M55" s="5"/>
      <c r="N55" s="5"/>
      <c r="O55" s="5"/>
      <c r="P55" s="6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86"/>
      <c r="B56" s="68"/>
      <c r="C56" s="68"/>
      <c r="D56" s="68"/>
      <c r="E56" s="68"/>
      <c r="F56" s="15"/>
      <c r="G56" s="5"/>
      <c r="H56" s="5"/>
      <c r="I56" s="5"/>
      <c r="J56" s="5"/>
      <c r="K56" s="5"/>
      <c r="L56" s="5"/>
      <c r="M56" s="5"/>
      <c r="N56" s="5"/>
      <c r="O56" s="5"/>
      <c r="P56" s="6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20" t="s">
        <v>36</v>
      </c>
      <c r="B57" s="27" t="s">
        <v>18</v>
      </c>
      <c r="C57" s="64" t="s">
        <v>46</v>
      </c>
      <c r="D57" s="62"/>
      <c r="E57" s="17">
        <f>KAMPUNGMANDAR!P57+KAMPUNGMELAYU!M57+KARANGREJO!AI57+KEBALENAN!AH57+KEPATIHAN!S57+KERTOSARI!AB57+LATENG!AD57+PAKIS!T57+PANDEREJO!R57+PENGANJURAN!T57+PENGANTIGAN!X57+SINGONEGARAN!U57+SINGOTRUNAN!AE57+SOBO!AB57+SUMBERREJO!U57+TAMANBARU!Z57+TEMENGGUNGAN!L57+TUKANGKAYU!AD57</f>
        <v>2248</v>
      </c>
      <c r="F57" s="18"/>
      <c r="G57" s="1"/>
      <c r="H57" s="1"/>
      <c r="I57" s="1"/>
      <c r="J57" s="1"/>
      <c r="K57" s="1"/>
      <c r="L57" s="1"/>
      <c r="M57" s="1"/>
      <c r="N57" s="1"/>
      <c r="O57" s="1"/>
      <c r="P57" s="9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4">
      <c r="A58" s="20" t="s">
        <v>38</v>
      </c>
      <c r="B58" s="28"/>
      <c r="C58" s="29" t="s">
        <v>47</v>
      </c>
      <c r="D58" s="30"/>
      <c r="E58" s="17">
        <f>KAMPUNGMANDAR!P58+KAMPUNGMELAYU!M58+KARANGREJO!AI58+KEBALENAN!AH58+KEPATIHAN!S58+KERTOSARI!AB58+LATENG!AD58+PAKIS!T58+PANDEREJO!R58+PENGANJURAN!T58+PENGANTIGAN!X58+SINGONEGARAN!U58+SINGOTRUNAN!AE58+SOBO!AB58+SUMBERREJO!U58+TAMANBARU!Z58+TEMENGGUNGAN!L58+TUKANGKAYU!AD58</f>
        <v>2067</v>
      </c>
      <c r="F58" s="31"/>
      <c r="G58" s="32"/>
      <c r="H58" s="32"/>
      <c r="I58" s="32"/>
      <c r="J58" s="32"/>
      <c r="K58" s="32"/>
      <c r="L58" s="32"/>
      <c r="M58" s="32"/>
      <c r="N58" s="32"/>
      <c r="O58" s="32"/>
      <c r="P58" s="33"/>
      <c r="Q58" s="3"/>
      <c r="R58" s="3"/>
      <c r="S58" s="3"/>
      <c r="T58" s="3"/>
      <c r="U58" s="3"/>
      <c r="V58" s="3"/>
      <c r="W58" s="34"/>
      <c r="X58" s="3"/>
      <c r="Y58" s="3"/>
      <c r="Z58" s="3"/>
    </row>
    <row r="59" spans="1:26" ht="15.75" customHeight="1" x14ac:dyDescent="0.4">
      <c r="A59" s="15"/>
      <c r="B59" s="28"/>
      <c r="C59" s="29" t="s">
        <v>48</v>
      </c>
      <c r="D59" s="30"/>
      <c r="E59" s="17">
        <f>KAMPUNGMANDAR!P59+KAMPUNGMELAYU!M59+KARANGREJO!AI59+KEBALENAN!AH59+KEPATIHAN!S59+KERTOSARI!AB59+LATENG!AD59+PAKIS!T59+PANDEREJO!R59+PENGANJURAN!T59+PENGANTIGAN!X59+SINGONEGARAN!U59+SINGOTRUNAN!AE59+SOBO!AB59+SUMBERREJO!U59+TAMANBARU!Z59+TEMENGGUNGAN!L59+TUKANGKAYU!AD59</f>
        <v>525</v>
      </c>
      <c r="F59" s="15"/>
      <c r="G59" s="5"/>
      <c r="H59" s="5"/>
      <c r="I59" s="5"/>
      <c r="J59" s="5"/>
      <c r="K59" s="5"/>
      <c r="L59" s="5"/>
      <c r="M59" s="5"/>
      <c r="N59" s="5"/>
      <c r="O59" s="5"/>
      <c r="P59" s="6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15"/>
      <c r="B60" s="28"/>
      <c r="C60" s="29" t="s">
        <v>49</v>
      </c>
      <c r="D60" s="30"/>
      <c r="E60" s="17">
        <f>KAMPUNGMANDAR!P60+KAMPUNGMELAYU!M60+KARANGREJO!AI60+KEBALENAN!AH60+KEPATIHAN!S60+KERTOSARI!AB60+LATENG!AD60+PAKIS!T60+PANDEREJO!R60+PENGANJURAN!T60+PENGANTIGAN!X60+SINGONEGARAN!U60+SINGOTRUNAN!AE60+SOBO!AB60+SUMBERREJO!U60+TAMANBARU!Z60+TEMENGGUNGAN!L60+TUKANGKAYU!AD60</f>
        <v>513</v>
      </c>
      <c r="F60" s="15"/>
      <c r="G60" s="5"/>
      <c r="H60" s="5"/>
      <c r="I60" s="5"/>
      <c r="J60" s="5"/>
      <c r="K60" s="5"/>
      <c r="L60" s="5"/>
      <c r="M60" s="5"/>
      <c r="N60" s="5"/>
      <c r="O60" s="5"/>
      <c r="P60" s="6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15"/>
      <c r="B61" s="28"/>
      <c r="C61" s="29" t="s">
        <v>50</v>
      </c>
      <c r="D61" s="30"/>
      <c r="E61" s="17">
        <f>KAMPUNGMANDAR!P61+KAMPUNGMELAYU!M61+KARANGREJO!AI61+KEBALENAN!AH61+KEPATIHAN!S61+KERTOSARI!AB61+LATENG!AD61+PAKIS!T61+PANDEREJO!R61+PENGANJURAN!T61+PENGANTIGAN!X61+SINGONEGARAN!U61+SINGOTRUNAN!AE61+SOBO!AB61+SUMBERREJO!U61+TAMANBARU!Z61+TEMENGGUNGAN!L61+TUKANGKAYU!AD61</f>
        <v>341</v>
      </c>
      <c r="F61" s="15"/>
      <c r="G61" s="5"/>
      <c r="H61" s="5"/>
      <c r="I61" s="5"/>
      <c r="J61" s="5"/>
      <c r="K61" s="5"/>
      <c r="L61" s="5"/>
      <c r="M61" s="5"/>
      <c r="N61" s="5"/>
      <c r="O61" s="5"/>
      <c r="P61" s="6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15"/>
      <c r="B62" s="28"/>
      <c r="C62" s="29" t="s">
        <v>51</v>
      </c>
      <c r="D62" s="30"/>
      <c r="E62" s="17">
        <f>KAMPUNGMANDAR!P62+KAMPUNGMELAYU!M62+KARANGREJO!AI62+KEBALENAN!AH62+KEPATIHAN!S62+KERTOSARI!AB62+LATENG!AD62+PAKIS!T62+PANDEREJO!R62+PENGANJURAN!T62+PENGANTIGAN!X62+SINGONEGARAN!U62+SINGOTRUNAN!AE62+SOBO!AB62+SUMBERREJO!U62+TAMANBARU!Z62+TEMENGGUNGAN!L62+TUKANGKAYU!AD62</f>
        <v>520</v>
      </c>
      <c r="F62" s="15"/>
      <c r="G62" s="5"/>
      <c r="H62" s="5"/>
      <c r="I62" s="5"/>
      <c r="J62" s="5"/>
      <c r="K62" s="5"/>
      <c r="L62" s="5"/>
      <c r="M62" s="5"/>
      <c r="N62" s="5"/>
      <c r="O62" s="5"/>
      <c r="P62" s="6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15"/>
      <c r="B63" s="28"/>
      <c r="C63" s="29" t="s">
        <v>52</v>
      </c>
      <c r="D63" s="30"/>
      <c r="E63" s="17">
        <f>KAMPUNGMANDAR!P63+KAMPUNGMELAYU!M63+KARANGREJO!AI63+KEBALENAN!AH63+KEPATIHAN!S63+KERTOSARI!AB63+LATENG!AD63+PAKIS!T63+PANDEREJO!R63+PENGANJURAN!T63+PENGANTIGAN!X63+SINGONEGARAN!U63+SINGOTRUNAN!AE63+SOBO!AB63+SUMBERREJO!U63+TAMANBARU!Z63+TEMENGGUNGAN!L63+TUKANGKAYU!AD63</f>
        <v>110</v>
      </c>
      <c r="F63" s="15"/>
      <c r="G63" s="5"/>
      <c r="H63" s="5"/>
      <c r="I63" s="5"/>
      <c r="J63" s="5"/>
      <c r="K63" s="5"/>
      <c r="L63" s="5"/>
      <c r="M63" s="5"/>
      <c r="N63" s="5"/>
      <c r="O63" s="5"/>
      <c r="P63" s="6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15"/>
      <c r="B64" s="35"/>
      <c r="C64" s="37"/>
      <c r="D64" s="38"/>
      <c r="E64" s="36"/>
      <c r="F64" s="15"/>
      <c r="G64" s="5"/>
      <c r="H64" s="5"/>
      <c r="I64" s="5"/>
      <c r="J64" s="5"/>
      <c r="K64" s="5"/>
      <c r="L64" s="5"/>
      <c r="M64" s="5"/>
      <c r="N64" s="5"/>
      <c r="O64" s="5"/>
      <c r="P64" s="6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15"/>
      <c r="B65" s="35"/>
      <c r="C65" s="37"/>
      <c r="D65" s="38"/>
      <c r="E65" s="36"/>
      <c r="F65" s="15"/>
      <c r="G65" s="5"/>
      <c r="H65" s="5"/>
      <c r="I65" s="5"/>
      <c r="J65" s="5"/>
      <c r="K65" s="5"/>
      <c r="L65" s="5"/>
      <c r="M65" s="5"/>
      <c r="N65" s="5"/>
      <c r="O65" s="5"/>
      <c r="P65" s="6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15"/>
      <c r="B66" s="35"/>
      <c r="C66" s="37"/>
      <c r="D66" s="38"/>
      <c r="E66" s="36"/>
      <c r="F66" s="15"/>
      <c r="G66" s="5"/>
      <c r="H66" s="5"/>
      <c r="I66" s="5"/>
      <c r="J66" s="5"/>
      <c r="K66" s="5"/>
      <c r="L66" s="5"/>
      <c r="M66" s="5"/>
      <c r="N66" s="5"/>
      <c r="O66" s="5"/>
      <c r="P66" s="6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16" t="s">
        <v>14</v>
      </c>
      <c r="B67" s="60" t="s">
        <v>45</v>
      </c>
      <c r="C67" s="61"/>
      <c r="D67" s="62"/>
      <c r="E67" s="13">
        <f>SUM(E57:E66)</f>
        <v>6324</v>
      </c>
      <c r="F67" s="15"/>
      <c r="G67" s="5"/>
      <c r="H67" s="5"/>
      <c r="I67" s="5"/>
      <c r="J67" s="5"/>
      <c r="K67" s="5"/>
      <c r="L67" s="5"/>
      <c r="M67" s="5"/>
      <c r="N67" s="5"/>
      <c r="O67" s="5"/>
      <c r="P67" s="6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86"/>
      <c r="B68" s="68"/>
      <c r="C68" s="68"/>
      <c r="D68" s="68"/>
      <c r="E68" s="68"/>
      <c r="F68" s="15"/>
      <c r="G68" s="5"/>
      <c r="H68" s="5"/>
      <c r="I68" s="5"/>
      <c r="J68" s="5"/>
      <c r="K68" s="5"/>
      <c r="L68" s="5"/>
      <c r="M68" s="5"/>
      <c r="N68" s="5"/>
      <c r="O68" s="5"/>
      <c r="P68" s="6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20" t="s">
        <v>36</v>
      </c>
      <c r="B69" s="27" t="s">
        <v>20</v>
      </c>
      <c r="C69" s="64" t="s">
        <v>53</v>
      </c>
      <c r="D69" s="62"/>
      <c r="E69" s="17">
        <f>KAMPUNGMANDAR!P69+KAMPUNGMELAYU!M69+KARANGREJO!AI69+KEBALENAN!AH69+KEPATIHAN!S69+KERTOSARI!AB69+LATENG!AD69+PAKIS!T69+PANDEREJO!R69+PENGANJURAN!T69+PENGANTIGAN!X69+SINGONEGARAN!U69+SINGOTRUNAN!AE69+SOBO!AB69+SUMBERREJO!U69+TAMANBARU!Z69+TEMENGGUNGAN!L69+TUKANGKAYU!AD69</f>
        <v>2395</v>
      </c>
      <c r="F69" s="18"/>
      <c r="G69" s="1"/>
      <c r="H69" s="1"/>
      <c r="I69" s="1"/>
      <c r="J69" s="1"/>
      <c r="K69" s="1"/>
      <c r="L69" s="1"/>
      <c r="M69" s="1"/>
      <c r="N69" s="1"/>
      <c r="O69" s="1"/>
      <c r="P69" s="9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4">
      <c r="A70" s="20" t="s">
        <v>38</v>
      </c>
      <c r="B70" s="28"/>
      <c r="C70" s="29" t="s">
        <v>54</v>
      </c>
      <c r="D70" s="30"/>
      <c r="E70" s="17">
        <f>KAMPUNGMANDAR!P70+KAMPUNGMELAYU!M70+KARANGREJO!AI70+KEBALENAN!AH70+KEPATIHAN!S70+KERTOSARI!AB70+LATENG!AD70+PAKIS!T70+PANDEREJO!R70+PENGANJURAN!T70+PENGANTIGAN!X70+SINGONEGARAN!U70+SINGOTRUNAN!AE70+SOBO!AB70+SUMBERREJO!U70+TAMANBARU!Z70+TEMENGGUNGAN!L70+TUKANGKAYU!AD70</f>
        <v>1479</v>
      </c>
      <c r="F70" s="31"/>
      <c r="G70" s="32"/>
      <c r="H70" s="32"/>
      <c r="I70" s="32"/>
      <c r="J70" s="32"/>
      <c r="K70" s="32"/>
      <c r="L70" s="32"/>
      <c r="M70" s="32"/>
      <c r="N70" s="32"/>
      <c r="O70" s="32"/>
      <c r="P70" s="33"/>
      <c r="Q70" s="3"/>
      <c r="R70" s="3"/>
      <c r="S70" s="3"/>
      <c r="T70" s="3"/>
      <c r="U70" s="3"/>
      <c r="V70" s="3"/>
      <c r="W70" s="34"/>
      <c r="X70" s="3"/>
      <c r="Y70" s="3"/>
      <c r="Z70" s="3"/>
    </row>
    <row r="71" spans="1:26" ht="15.75" customHeight="1" x14ac:dyDescent="0.4">
      <c r="A71" s="15"/>
      <c r="B71" s="28"/>
      <c r="C71" s="29" t="s">
        <v>55</v>
      </c>
      <c r="D71" s="30"/>
      <c r="E71" s="17">
        <f>KAMPUNGMANDAR!P71+KAMPUNGMELAYU!M71+KARANGREJO!AI71+KEBALENAN!AH71+KEPATIHAN!S71+KERTOSARI!AB71+LATENG!AD71+PAKIS!T71+PANDEREJO!R71+PENGANJURAN!T71+PENGANTIGAN!X71+SINGONEGARAN!U71+SINGOTRUNAN!AE71+SOBO!AB71+SUMBERREJO!U71+TAMANBARU!Z71+TEMENGGUNGAN!L71+TUKANGKAYU!AD71</f>
        <v>2461</v>
      </c>
      <c r="F71" s="15"/>
      <c r="G71" s="5"/>
      <c r="H71" s="5"/>
      <c r="I71" s="5"/>
      <c r="J71" s="5"/>
      <c r="K71" s="5"/>
      <c r="L71" s="5"/>
      <c r="M71" s="5"/>
      <c r="N71" s="5"/>
      <c r="O71" s="5"/>
      <c r="P71" s="6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15"/>
      <c r="B72" s="28"/>
      <c r="C72" s="29" t="s">
        <v>56</v>
      </c>
      <c r="D72" s="30"/>
      <c r="E72" s="17">
        <f>KAMPUNGMANDAR!P72+KAMPUNGMELAYU!M72+KARANGREJO!AI72+KEBALENAN!AH72+KEPATIHAN!S72+KERTOSARI!AB72+LATENG!AD72+PAKIS!T72+PANDEREJO!R72+PENGANJURAN!T72+PENGANTIGAN!X72+SINGONEGARAN!U72+SINGOTRUNAN!AE72+SOBO!AB72+SUMBERREJO!U72+TAMANBARU!Z72+TEMENGGUNGAN!L72+TUKANGKAYU!AD72</f>
        <v>4476</v>
      </c>
      <c r="F72" s="15"/>
      <c r="G72" s="5"/>
      <c r="H72" s="5"/>
      <c r="I72" s="5"/>
      <c r="J72" s="5"/>
      <c r="K72" s="5"/>
      <c r="L72" s="5"/>
      <c r="M72" s="5"/>
      <c r="N72" s="5"/>
      <c r="O72" s="5"/>
      <c r="P72" s="6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15"/>
      <c r="B73" s="28"/>
      <c r="C73" s="29" t="s">
        <v>57</v>
      </c>
      <c r="D73" s="30"/>
      <c r="E73" s="17">
        <f>KAMPUNGMANDAR!P73+KAMPUNGMELAYU!M73+KARANGREJO!AI73+KEBALENAN!AH73+KEPATIHAN!S73+KERTOSARI!AB73+LATENG!AD73+PAKIS!T73+PANDEREJO!R73+PENGANJURAN!T73+PENGANTIGAN!X73+SINGONEGARAN!U73+SINGOTRUNAN!AE73+SOBO!AB73+SUMBERREJO!U73+TAMANBARU!Z73+TEMENGGUNGAN!L73+TUKANGKAYU!AD73</f>
        <v>503</v>
      </c>
      <c r="F73" s="15"/>
      <c r="G73" s="5"/>
      <c r="H73" s="5"/>
      <c r="I73" s="5"/>
      <c r="J73" s="5"/>
      <c r="K73" s="5"/>
      <c r="L73" s="5"/>
      <c r="M73" s="5"/>
      <c r="N73" s="5"/>
      <c r="O73" s="5"/>
      <c r="P73" s="6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15"/>
      <c r="B74" s="28"/>
      <c r="C74" s="29" t="s">
        <v>58</v>
      </c>
      <c r="D74" s="30"/>
      <c r="E74" s="17">
        <f>KAMPUNGMANDAR!P74+KAMPUNGMELAYU!M74+KARANGREJO!AI74+KEBALENAN!AH74+KEPATIHAN!S74+KERTOSARI!AB74+LATENG!AD74+PAKIS!T74+PANDEREJO!R74+PENGANJURAN!T74+PENGANTIGAN!X74+SINGONEGARAN!U74+SINGOTRUNAN!AE74+SOBO!AB74+SUMBERREJO!U74+TAMANBARU!Z74+TEMENGGUNGAN!L74+TUKANGKAYU!AD74</f>
        <v>2193</v>
      </c>
      <c r="F74" s="15"/>
      <c r="G74" s="5"/>
      <c r="H74" s="5"/>
      <c r="I74" s="5"/>
      <c r="J74" s="5"/>
      <c r="K74" s="5"/>
      <c r="L74" s="5"/>
      <c r="M74" s="5"/>
      <c r="N74" s="5"/>
      <c r="O74" s="5"/>
      <c r="P74" s="6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15"/>
      <c r="B75" s="28"/>
      <c r="C75" s="29" t="s">
        <v>59</v>
      </c>
      <c r="D75" s="30"/>
      <c r="E75" s="17">
        <f>KAMPUNGMANDAR!P75+KAMPUNGMELAYU!M75+KARANGREJO!AI75+KEBALENAN!AH75+KEPATIHAN!S75+KERTOSARI!AB75+LATENG!AD75+PAKIS!T75+PANDEREJO!R75+PENGANJURAN!T75+PENGANTIGAN!X75+SINGONEGARAN!U75+SINGOTRUNAN!AE75+SOBO!AB75+SUMBERREJO!U75+TAMANBARU!Z75+TEMENGGUNGAN!L75+TUKANGKAYU!AD75</f>
        <v>675</v>
      </c>
      <c r="F75" s="15"/>
      <c r="G75" s="5"/>
      <c r="H75" s="5"/>
      <c r="I75" s="5"/>
      <c r="J75" s="5"/>
      <c r="K75" s="5"/>
      <c r="L75" s="5"/>
      <c r="M75" s="5"/>
      <c r="N75" s="5"/>
      <c r="O75" s="5"/>
      <c r="P75" s="6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15"/>
      <c r="B76" s="35"/>
      <c r="C76" s="37"/>
      <c r="D76" s="39"/>
      <c r="E76" s="36"/>
      <c r="F76" s="15"/>
      <c r="G76" s="5"/>
      <c r="H76" s="5"/>
      <c r="I76" s="5"/>
      <c r="J76" s="5"/>
      <c r="K76" s="5"/>
      <c r="L76" s="5"/>
      <c r="M76" s="5"/>
      <c r="N76" s="5"/>
      <c r="O76" s="5"/>
      <c r="P76" s="6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15"/>
      <c r="B77" s="35"/>
      <c r="C77" s="37"/>
      <c r="D77" s="39"/>
      <c r="E77" s="36"/>
      <c r="F77" s="15"/>
      <c r="G77" s="5"/>
      <c r="H77" s="5"/>
      <c r="I77" s="5"/>
      <c r="J77" s="5"/>
      <c r="K77" s="5"/>
      <c r="L77" s="5"/>
      <c r="M77" s="5"/>
      <c r="N77" s="5"/>
      <c r="O77" s="5"/>
      <c r="P77" s="6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15"/>
      <c r="B78" s="35"/>
      <c r="C78" s="37"/>
      <c r="D78" s="39"/>
      <c r="E78" s="36"/>
      <c r="F78" s="15"/>
      <c r="G78" s="5"/>
      <c r="H78" s="5"/>
      <c r="I78" s="5"/>
      <c r="J78" s="5"/>
      <c r="K78" s="5"/>
      <c r="L78" s="5"/>
      <c r="M78" s="5"/>
      <c r="N78" s="5"/>
      <c r="O78" s="5"/>
      <c r="P78" s="6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16" t="s">
        <v>14</v>
      </c>
      <c r="B79" s="60" t="s">
        <v>45</v>
      </c>
      <c r="C79" s="61"/>
      <c r="D79" s="62"/>
      <c r="E79" s="13">
        <f>SUM(E69:E78)</f>
        <v>14182</v>
      </c>
      <c r="F79" s="15"/>
      <c r="G79" s="5"/>
      <c r="H79" s="5"/>
      <c r="I79" s="5"/>
      <c r="J79" s="5"/>
      <c r="K79" s="5"/>
      <c r="L79" s="5"/>
      <c r="M79" s="5"/>
      <c r="N79" s="5"/>
      <c r="O79" s="5"/>
      <c r="P79" s="6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86"/>
      <c r="B80" s="68"/>
      <c r="C80" s="68"/>
      <c r="D80" s="68"/>
      <c r="E80" s="68"/>
      <c r="F80" s="15"/>
      <c r="G80" s="5"/>
      <c r="H80" s="5"/>
      <c r="I80" s="5"/>
      <c r="J80" s="5"/>
      <c r="K80" s="5"/>
      <c r="L80" s="5"/>
      <c r="M80" s="5"/>
      <c r="N80" s="5"/>
      <c r="O80" s="5"/>
      <c r="P80" s="6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20" t="s">
        <v>36</v>
      </c>
      <c r="B81" s="27" t="s">
        <v>22</v>
      </c>
      <c r="C81" s="64" t="s">
        <v>60</v>
      </c>
      <c r="D81" s="62"/>
      <c r="E81" s="17">
        <f>KAMPUNGMANDAR!P81+KAMPUNGMELAYU!M81+KARANGREJO!AI81+KEBALENAN!AH81+KEPATIHAN!S81+KERTOSARI!AB81+LATENG!AD81+PAKIS!T81+PANDEREJO!R81+PENGANJURAN!T81+PENGANTIGAN!X81+SINGONEGARAN!U81+SINGOTRUNAN!AE81+SOBO!AB81+SUMBERREJO!U81+TAMANBARU!Z81+TEMENGGUNGAN!L81+TUKANGKAYU!AD81</f>
        <v>852</v>
      </c>
      <c r="F81" s="18"/>
      <c r="G81" s="1"/>
      <c r="H81" s="1"/>
      <c r="I81" s="1"/>
      <c r="J81" s="1"/>
      <c r="K81" s="1"/>
      <c r="L81" s="1"/>
      <c r="M81" s="1"/>
      <c r="N81" s="1"/>
      <c r="O81" s="1"/>
      <c r="P81" s="9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4">
      <c r="A82" s="20" t="s">
        <v>38</v>
      </c>
      <c r="B82" s="28"/>
      <c r="C82" s="29" t="s">
        <v>61</v>
      </c>
      <c r="D82" s="30"/>
      <c r="E82" s="17">
        <f>KAMPUNGMANDAR!P82+KAMPUNGMELAYU!M82+KARANGREJO!AI82+KEBALENAN!AH82+KEPATIHAN!S82+KERTOSARI!AB82+LATENG!AD82+PAKIS!T82+PANDEREJO!R82+PENGANJURAN!T82+PENGANTIGAN!X82+SINGONEGARAN!U82+SINGOTRUNAN!AE82+SOBO!AB82+SUMBERREJO!U82+TAMANBARU!Z82+TEMENGGUNGAN!L82+TUKANGKAYU!AD82</f>
        <v>1905</v>
      </c>
      <c r="F82" s="31"/>
      <c r="G82" s="32"/>
      <c r="H82" s="32"/>
      <c r="I82" s="32"/>
      <c r="J82" s="32"/>
      <c r="K82" s="32"/>
      <c r="L82" s="32"/>
      <c r="M82" s="32"/>
      <c r="N82" s="32"/>
      <c r="O82" s="32"/>
      <c r="P82" s="33"/>
      <c r="Q82" s="3"/>
      <c r="R82" s="3"/>
      <c r="S82" s="3"/>
      <c r="T82" s="3"/>
      <c r="U82" s="3"/>
      <c r="V82" s="3"/>
      <c r="W82" s="34"/>
      <c r="X82" s="3"/>
      <c r="Y82" s="3"/>
      <c r="Z82" s="3"/>
    </row>
    <row r="83" spans="1:26" ht="15.75" customHeight="1" x14ac:dyDescent="0.4">
      <c r="A83" s="15"/>
      <c r="B83" s="28"/>
      <c r="C83" s="29" t="s">
        <v>62</v>
      </c>
      <c r="D83" s="30"/>
      <c r="E83" s="17">
        <f>KAMPUNGMANDAR!P83+KAMPUNGMELAYU!M83+KARANGREJO!AI83+KEBALENAN!AH83+KEPATIHAN!S83+KERTOSARI!AB83+LATENG!AD83+PAKIS!T83+PANDEREJO!R83+PENGANJURAN!T83+PENGANTIGAN!X83+SINGONEGARAN!U83+SINGOTRUNAN!AE83+SOBO!AB83+SUMBERREJO!U83+TAMANBARU!Z83+TEMENGGUNGAN!L83+TUKANGKAYU!AD83</f>
        <v>218</v>
      </c>
      <c r="F83" s="15"/>
      <c r="G83" s="5"/>
      <c r="H83" s="5"/>
      <c r="I83" s="5"/>
      <c r="J83" s="5"/>
      <c r="K83" s="5"/>
      <c r="L83" s="5"/>
      <c r="M83" s="5"/>
      <c r="N83" s="5"/>
      <c r="O83" s="5"/>
      <c r="P83" s="6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15"/>
      <c r="B84" s="28"/>
      <c r="C84" s="29" t="s">
        <v>63</v>
      </c>
      <c r="D84" s="30"/>
      <c r="E84" s="17">
        <f>KAMPUNGMANDAR!P84+KAMPUNGMELAYU!M84+KARANGREJO!AI84+KEBALENAN!AH84+KEPATIHAN!S84+KERTOSARI!AB84+LATENG!AD84+PAKIS!T84+PANDEREJO!R84+PENGANJURAN!T84+PENGANTIGAN!X84+SINGONEGARAN!U84+SINGOTRUNAN!AE84+SOBO!AB84+SUMBERREJO!U84+TAMANBARU!Z84+TEMENGGUNGAN!L84+TUKANGKAYU!AD84</f>
        <v>260</v>
      </c>
      <c r="F84" s="15"/>
      <c r="G84" s="5"/>
      <c r="H84" s="5"/>
      <c r="I84" s="5"/>
      <c r="J84" s="5"/>
      <c r="K84" s="5"/>
      <c r="L84" s="5"/>
      <c r="M84" s="5"/>
      <c r="N84" s="5"/>
      <c r="O84" s="5"/>
      <c r="P84" s="6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15"/>
      <c r="B85" s="28"/>
      <c r="C85" s="29" t="s">
        <v>64</v>
      </c>
      <c r="D85" s="30"/>
      <c r="E85" s="17">
        <f>KAMPUNGMANDAR!P85+KAMPUNGMELAYU!M85+KARANGREJO!AI85+KEBALENAN!AH85+KEPATIHAN!S85+KERTOSARI!AB85+LATENG!AD85+PAKIS!T85+PANDEREJO!R85+PENGANJURAN!T85+PENGANTIGAN!X85+SINGONEGARAN!U85+SINGOTRUNAN!AE85+SOBO!AB85+SUMBERREJO!U85+TAMANBARU!Z85+TEMENGGUNGAN!L85+TUKANGKAYU!AD85</f>
        <v>1824</v>
      </c>
      <c r="F85" s="15"/>
      <c r="G85" s="5"/>
      <c r="H85" s="5"/>
      <c r="I85" s="5"/>
      <c r="J85" s="5"/>
      <c r="K85" s="5"/>
      <c r="L85" s="5"/>
      <c r="M85" s="5"/>
      <c r="N85" s="5"/>
      <c r="O85" s="5"/>
      <c r="P85" s="6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15"/>
      <c r="B86" s="28"/>
      <c r="C86" s="29" t="s">
        <v>65</v>
      </c>
      <c r="D86" s="30"/>
      <c r="E86" s="17">
        <f>KAMPUNGMANDAR!P86+KAMPUNGMELAYU!M86+KARANGREJO!AI86+KEBALENAN!AH86+KEPATIHAN!S86+KERTOSARI!AB86+LATENG!AD86+PAKIS!T86+PANDEREJO!R86+PENGANJURAN!T86+PENGANTIGAN!X86+SINGONEGARAN!U86+SINGOTRUNAN!AE86+SOBO!AB86+SUMBERREJO!U86+TAMANBARU!Z86+TEMENGGUNGAN!L86+TUKANGKAYU!AD86</f>
        <v>77</v>
      </c>
      <c r="F86" s="15"/>
      <c r="G86" s="5"/>
      <c r="H86" s="5"/>
      <c r="I86" s="5"/>
      <c r="J86" s="5"/>
      <c r="K86" s="5"/>
      <c r="L86" s="5"/>
      <c r="M86" s="5"/>
      <c r="N86" s="5"/>
      <c r="O86" s="5"/>
      <c r="P86" s="6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15"/>
      <c r="B87" s="28"/>
      <c r="C87" s="29" t="s">
        <v>66</v>
      </c>
      <c r="D87" s="30"/>
      <c r="E87" s="17">
        <f>KAMPUNGMANDAR!P87+KAMPUNGMELAYU!M87+KARANGREJO!AI87+KEBALENAN!AH87+KEPATIHAN!S87+KERTOSARI!AB87+LATENG!AD87+PAKIS!T87+PANDEREJO!R87+PENGANJURAN!T87+PENGANTIGAN!X87+SINGONEGARAN!U87+SINGOTRUNAN!AE87+SOBO!AB87+SUMBERREJO!U87+TAMANBARU!Z87+TEMENGGUNGAN!L87+TUKANGKAYU!AD87</f>
        <v>406</v>
      </c>
      <c r="F87" s="15"/>
      <c r="G87" s="5"/>
      <c r="H87" s="5"/>
      <c r="I87" s="5"/>
      <c r="J87" s="5"/>
      <c r="K87" s="5"/>
      <c r="L87" s="5"/>
      <c r="M87" s="5"/>
      <c r="N87" s="5"/>
      <c r="O87" s="5"/>
      <c r="P87" s="6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15"/>
      <c r="B88" s="35"/>
      <c r="C88" s="37"/>
      <c r="D88" s="39"/>
      <c r="E88" s="36"/>
      <c r="F88" s="15"/>
      <c r="G88" s="5"/>
      <c r="H88" s="5"/>
      <c r="I88" s="5"/>
      <c r="J88" s="5"/>
      <c r="K88" s="5"/>
      <c r="L88" s="5"/>
      <c r="M88" s="5"/>
      <c r="N88" s="5"/>
      <c r="O88" s="5"/>
      <c r="P88" s="6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15"/>
      <c r="B89" s="35"/>
      <c r="C89" s="37"/>
      <c r="D89" s="39"/>
      <c r="E89" s="36"/>
      <c r="F89" s="15"/>
      <c r="G89" s="5"/>
      <c r="H89" s="5"/>
      <c r="I89" s="5"/>
      <c r="J89" s="5"/>
      <c r="K89" s="5"/>
      <c r="L89" s="5"/>
      <c r="M89" s="5"/>
      <c r="N89" s="5"/>
      <c r="O89" s="5"/>
      <c r="P89" s="6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15"/>
      <c r="B90" s="35"/>
      <c r="C90" s="37"/>
      <c r="D90" s="39"/>
      <c r="E90" s="36"/>
      <c r="F90" s="15"/>
      <c r="G90" s="5"/>
      <c r="H90" s="5"/>
      <c r="I90" s="5"/>
      <c r="J90" s="5"/>
      <c r="K90" s="5"/>
      <c r="L90" s="5"/>
      <c r="M90" s="5"/>
      <c r="N90" s="5"/>
      <c r="O90" s="5"/>
      <c r="P90" s="6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16" t="s">
        <v>14</v>
      </c>
      <c r="B91" s="60" t="s">
        <v>45</v>
      </c>
      <c r="C91" s="61"/>
      <c r="D91" s="62"/>
      <c r="E91" s="13">
        <f>SUM(E81:E90)</f>
        <v>5542</v>
      </c>
      <c r="F91" s="15"/>
      <c r="G91" s="5"/>
      <c r="H91" s="5"/>
      <c r="I91" s="5"/>
      <c r="J91" s="5"/>
      <c r="K91" s="5"/>
      <c r="L91" s="5"/>
      <c r="M91" s="5"/>
      <c r="N91" s="5"/>
      <c r="O91" s="5"/>
      <c r="P91" s="6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86"/>
      <c r="B92" s="68"/>
      <c r="C92" s="68"/>
      <c r="D92" s="68"/>
      <c r="E92" s="68"/>
      <c r="F92" s="15"/>
      <c r="G92" s="5"/>
      <c r="H92" s="5"/>
      <c r="I92" s="5"/>
      <c r="J92" s="5"/>
      <c r="K92" s="5"/>
      <c r="L92" s="5"/>
      <c r="M92" s="5"/>
      <c r="N92" s="5"/>
      <c r="O92" s="5"/>
      <c r="P92" s="6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20" t="s">
        <v>36</v>
      </c>
      <c r="B93" s="27" t="s">
        <v>67</v>
      </c>
      <c r="C93" s="64" t="s">
        <v>68</v>
      </c>
      <c r="D93" s="62"/>
      <c r="E93" s="17">
        <f>KAMPUNGMANDAR!P93+KAMPUNGMELAYU!M93+KARANGREJO!AI93+KEBALENAN!AH93+KEPATIHAN!S93+KERTOSARI!AB93+LATENG!AD93+PAKIS!T93+PANDEREJO!R93+PENGANJURAN!T93+PENGANTIGAN!X93+SINGONEGARAN!U93+SINGOTRUNAN!AE93+SOBO!AB93+SUMBERREJO!U93+TAMANBARU!Z93+TEMENGGUNGAN!L93+TUKANGKAYU!AD93</f>
        <v>507</v>
      </c>
      <c r="F93" s="18"/>
      <c r="G93" s="1"/>
      <c r="H93" s="1"/>
      <c r="I93" s="1"/>
      <c r="J93" s="1"/>
      <c r="K93" s="1"/>
      <c r="L93" s="1"/>
      <c r="M93" s="1"/>
      <c r="N93" s="1"/>
      <c r="O93" s="1"/>
      <c r="P93" s="9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4">
      <c r="A94" s="20" t="s">
        <v>38</v>
      </c>
      <c r="B94" s="28"/>
      <c r="C94" s="29" t="s">
        <v>69</v>
      </c>
      <c r="D94" s="30"/>
      <c r="E94" s="17">
        <f>KAMPUNGMANDAR!P94+KAMPUNGMELAYU!M94+KARANGREJO!AI94+KEBALENAN!AH94+KEPATIHAN!S94+KERTOSARI!AB94+LATENG!AD94+PAKIS!T94+PANDEREJO!R94+PENGANJURAN!T94+PENGANTIGAN!X94+SINGONEGARAN!U94+SINGOTRUNAN!AE94+SOBO!AB94+SUMBERREJO!U94+TAMANBARU!Z94+TEMENGGUNGAN!L94+TUKANGKAYU!AD94</f>
        <v>1035</v>
      </c>
      <c r="F94" s="31"/>
      <c r="G94" s="32"/>
      <c r="H94" s="32"/>
      <c r="I94" s="32"/>
      <c r="J94" s="32"/>
      <c r="K94" s="32"/>
      <c r="L94" s="32"/>
      <c r="M94" s="32"/>
      <c r="N94" s="32"/>
      <c r="O94" s="32"/>
      <c r="P94" s="33"/>
      <c r="Q94" s="3"/>
      <c r="R94" s="3"/>
      <c r="S94" s="3"/>
      <c r="T94" s="3"/>
      <c r="U94" s="3"/>
      <c r="V94" s="3"/>
      <c r="W94" s="34"/>
      <c r="X94" s="3"/>
      <c r="Y94" s="3"/>
      <c r="Z94" s="3"/>
    </row>
    <row r="95" spans="1:26" ht="15.75" customHeight="1" x14ac:dyDescent="0.4">
      <c r="A95" s="15"/>
      <c r="B95" s="28"/>
      <c r="C95" s="29" t="s">
        <v>70</v>
      </c>
      <c r="D95" s="30"/>
      <c r="E95" s="17">
        <f>KAMPUNGMANDAR!P95+KAMPUNGMELAYU!M95+KARANGREJO!AI95+KEBALENAN!AH95+KEPATIHAN!S95+KERTOSARI!AB95+LATENG!AD95+PAKIS!T95+PANDEREJO!R95+PENGANJURAN!T95+PENGANTIGAN!X95+SINGONEGARAN!U95+SINGOTRUNAN!AE95+SOBO!AB95+SUMBERREJO!U95+TAMANBARU!Z95+TEMENGGUNGAN!L95+TUKANGKAYU!AD95</f>
        <v>282</v>
      </c>
      <c r="F95" s="15"/>
      <c r="G95" s="5"/>
      <c r="H95" s="5"/>
      <c r="I95" s="5"/>
      <c r="J95" s="5"/>
      <c r="K95" s="5"/>
      <c r="L95" s="5"/>
      <c r="M95" s="5"/>
      <c r="N95" s="5"/>
      <c r="O95" s="5"/>
      <c r="P95" s="6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15"/>
      <c r="B96" s="28"/>
      <c r="C96" s="29" t="s">
        <v>71</v>
      </c>
      <c r="D96" s="30"/>
      <c r="E96" s="17">
        <f>KAMPUNGMANDAR!P96+KAMPUNGMELAYU!M96+KARANGREJO!AI96+KEBALENAN!AH96+KEPATIHAN!S96+KERTOSARI!AB96+LATENG!AD96+PAKIS!T96+PANDEREJO!R96+PENGANJURAN!T96+PENGANTIGAN!X96+SINGONEGARAN!U96+SINGOTRUNAN!AE96+SOBO!AB96+SUMBERREJO!U96+TAMANBARU!Z96+TEMENGGUNGAN!L96+TUKANGKAYU!AD96</f>
        <v>450</v>
      </c>
      <c r="F96" s="15"/>
      <c r="G96" s="5"/>
      <c r="H96" s="5"/>
      <c r="I96" s="5"/>
      <c r="J96" s="5"/>
      <c r="K96" s="5"/>
      <c r="L96" s="5"/>
      <c r="M96" s="5"/>
      <c r="N96" s="5"/>
      <c r="O96" s="5"/>
      <c r="P96" s="6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15"/>
      <c r="B97" s="28"/>
      <c r="C97" s="29" t="s">
        <v>72</v>
      </c>
      <c r="D97" s="30"/>
      <c r="E97" s="17">
        <f>KAMPUNGMANDAR!P97+KAMPUNGMELAYU!M97+KARANGREJO!AI97+KEBALENAN!AH97+KEPATIHAN!S97+KERTOSARI!AB97+LATENG!AD97+PAKIS!T97+PANDEREJO!R97+PENGANJURAN!T97+PENGANTIGAN!X97+SINGONEGARAN!U97+SINGOTRUNAN!AE97+SOBO!AB97+SUMBERREJO!U97+TAMANBARU!Z97+TEMENGGUNGAN!L97+TUKANGKAYU!AD97</f>
        <v>574</v>
      </c>
      <c r="F97" s="15"/>
      <c r="G97" s="5"/>
      <c r="H97" s="5"/>
      <c r="I97" s="5"/>
      <c r="J97" s="5"/>
      <c r="K97" s="5"/>
      <c r="L97" s="5"/>
      <c r="M97" s="5"/>
      <c r="N97" s="5"/>
      <c r="O97" s="5"/>
      <c r="P97" s="6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15"/>
      <c r="B98" s="28"/>
      <c r="C98" s="29" t="s">
        <v>73</v>
      </c>
      <c r="D98" s="30"/>
      <c r="E98" s="17">
        <f>KAMPUNGMANDAR!P98+KAMPUNGMELAYU!M98+KARANGREJO!AI98+KEBALENAN!AH98+KEPATIHAN!S98+KERTOSARI!AB98+LATENG!AD98+PAKIS!T98+PANDEREJO!R98+PENGANJURAN!T98+PENGANTIGAN!X98+SINGONEGARAN!U98+SINGOTRUNAN!AE98+SOBO!AB98+SUMBERREJO!U98+TAMANBARU!Z98+TEMENGGUNGAN!L98+TUKANGKAYU!AD98</f>
        <v>914</v>
      </c>
      <c r="F98" s="15"/>
      <c r="G98" s="5"/>
      <c r="H98" s="5"/>
      <c r="I98" s="5"/>
      <c r="J98" s="5"/>
      <c r="K98" s="5"/>
      <c r="L98" s="5"/>
      <c r="M98" s="5"/>
      <c r="N98" s="5"/>
      <c r="O98" s="5"/>
      <c r="P98" s="6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15"/>
      <c r="B99" s="28"/>
      <c r="C99" s="29" t="s">
        <v>74</v>
      </c>
      <c r="D99" s="30"/>
      <c r="E99" s="17">
        <f>KAMPUNGMANDAR!P99+KAMPUNGMELAYU!M99+KARANGREJO!AI99+KEBALENAN!AH99+KEPATIHAN!S99+KERTOSARI!AB99+LATENG!AD99+PAKIS!T99+PANDEREJO!R99+PENGANJURAN!T99+PENGANTIGAN!X99+SINGONEGARAN!U99+SINGOTRUNAN!AE99+SOBO!AB99+SUMBERREJO!U99+TAMANBARU!Z99+TEMENGGUNGAN!L99+TUKANGKAYU!AD99</f>
        <v>131</v>
      </c>
      <c r="F99" s="15"/>
      <c r="G99" s="5"/>
      <c r="H99" s="5"/>
      <c r="I99" s="5"/>
      <c r="J99" s="5"/>
      <c r="K99" s="5"/>
      <c r="L99" s="5"/>
      <c r="M99" s="5"/>
      <c r="N99" s="5"/>
      <c r="O99" s="5"/>
      <c r="P99" s="6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15"/>
      <c r="B100" s="35"/>
      <c r="C100" s="37"/>
      <c r="D100" s="39"/>
      <c r="E100" s="36"/>
      <c r="F100" s="15"/>
      <c r="G100" s="5"/>
      <c r="H100" s="5"/>
      <c r="I100" s="5"/>
      <c r="J100" s="5"/>
      <c r="K100" s="5"/>
      <c r="L100" s="5"/>
      <c r="M100" s="5"/>
      <c r="N100" s="5"/>
      <c r="O100" s="5"/>
      <c r="P100" s="6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15"/>
      <c r="B101" s="35"/>
      <c r="C101" s="37"/>
      <c r="D101" s="39"/>
      <c r="E101" s="36"/>
      <c r="F101" s="15"/>
      <c r="G101" s="5"/>
      <c r="H101" s="5"/>
      <c r="I101" s="5"/>
      <c r="J101" s="5"/>
      <c r="K101" s="5"/>
      <c r="L101" s="5"/>
      <c r="M101" s="5"/>
      <c r="N101" s="5"/>
      <c r="O101" s="5"/>
      <c r="P101" s="6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15"/>
      <c r="B102" s="35"/>
      <c r="C102" s="37"/>
      <c r="D102" s="39"/>
      <c r="E102" s="36"/>
      <c r="F102" s="15"/>
      <c r="G102" s="5"/>
      <c r="H102" s="5"/>
      <c r="I102" s="5"/>
      <c r="J102" s="5"/>
      <c r="K102" s="5"/>
      <c r="L102" s="5"/>
      <c r="M102" s="5"/>
      <c r="N102" s="5"/>
      <c r="O102" s="5"/>
      <c r="P102" s="6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16" t="s">
        <v>14</v>
      </c>
      <c r="B103" s="60" t="s">
        <v>45</v>
      </c>
      <c r="C103" s="61"/>
      <c r="D103" s="62"/>
      <c r="E103" s="13">
        <f>SUM(E93:E102)</f>
        <v>3893</v>
      </c>
      <c r="F103" s="15"/>
      <c r="G103" s="5"/>
      <c r="H103" s="5"/>
      <c r="I103" s="5"/>
      <c r="J103" s="5"/>
      <c r="K103" s="5"/>
      <c r="L103" s="5"/>
      <c r="M103" s="5"/>
      <c r="N103" s="5"/>
      <c r="O103" s="5"/>
      <c r="P103" s="6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86"/>
      <c r="B104" s="68"/>
      <c r="C104" s="68"/>
      <c r="D104" s="68"/>
      <c r="E104" s="68"/>
      <c r="F104" s="15"/>
      <c r="G104" s="5"/>
      <c r="H104" s="5"/>
      <c r="I104" s="5"/>
      <c r="J104" s="5"/>
      <c r="K104" s="5"/>
      <c r="L104" s="5"/>
      <c r="M104" s="5"/>
      <c r="N104" s="5"/>
      <c r="O104" s="5"/>
      <c r="P104" s="6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20" t="s">
        <v>36</v>
      </c>
      <c r="B105" s="27" t="s">
        <v>75</v>
      </c>
      <c r="C105" s="64" t="s">
        <v>76</v>
      </c>
      <c r="D105" s="62"/>
      <c r="E105" s="17">
        <f>KAMPUNGMANDAR!P105+KAMPUNGMELAYU!M105+KARANGREJO!AI105+KEBALENAN!AH105+KEPATIHAN!S105+KERTOSARI!AB105+LATENG!AD105+PAKIS!T105+PANDEREJO!R105+PENGANJURAN!T105+PENGANTIGAN!X105+SINGONEGARAN!U105+SINGOTRUNAN!AE105+SOBO!AB105+SUMBERREJO!U105+TAMANBARU!Z105+TEMENGGUNGAN!L105+TUKANGKAYU!AD105</f>
        <v>130</v>
      </c>
      <c r="F105" s="18"/>
      <c r="G105" s="1"/>
      <c r="H105" s="1"/>
      <c r="I105" s="1"/>
      <c r="J105" s="1"/>
      <c r="K105" s="1"/>
      <c r="L105" s="1"/>
      <c r="M105" s="1"/>
      <c r="N105" s="1"/>
      <c r="O105" s="1"/>
      <c r="P105" s="9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4">
      <c r="A106" s="20" t="s">
        <v>38</v>
      </c>
      <c r="B106" s="28"/>
      <c r="C106" s="29" t="s">
        <v>77</v>
      </c>
      <c r="D106" s="40"/>
      <c r="E106" s="17">
        <f>KAMPUNGMANDAR!P106+KAMPUNGMELAYU!M106+KARANGREJO!AI106+KEBALENAN!AH106+KEPATIHAN!S106+KERTOSARI!AB106+LATENG!AD106+PAKIS!T106+PANDEREJO!R106+PENGANJURAN!T106+PENGANTIGAN!X106+SINGONEGARAN!U106+SINGOTRUNAN!AE106+SOBO!AB106+SUMBERREJO!U106+TAMANBARU!Z106+TEMENGGUNGAN!L106+TUKANGKAYU!AD106</f>
        <v>159</v>
      </c>
      <c r="F106" s="31"/>
      <c r="G106" s="32"/>
      <c r="H106" s="32"/>
      <c r="I106" s="32"/>
      <c r="J106" s="32"/>
      <c r="K106" s="32"/>
      <c r="L106" s="32"/>
      <c r="M106" s="32"/>
      <c r="N106" s="32"/>
      <c r="O106" s="32"/>
      <c r="P106" s="33"/>
      <c r="Q106" s="3"/>
      <c r="R106" s="3"/>
      <c r="S106" s="3"/>
      <c r="T106" s="3"/>
      <c r="U106" s="3"/>
      <c r="V106" s="3"/>
      <c r="W106" s="34"/>
      <c r="X106" s="3"/>
      <c r="Y106" s="3"/>
      <c r="Z106" s="3"/>
    </row>
    <row r="107" spans="1:26" ht="15.75" customHeight="1" x14ac:dyDescent="0.4">
      <c r="A107" s="15"/>
      <c r="B107" s="35"/>
      <c r="C107" s="37"/>
      <c r="D107" s="39"/>
      <c r="E107" s="36"/>
      <c r="F107" s="15"/>
      <c r="G107" s="5"/>
      <c r="H107" s="5"/>
      <c r="I107" s="5"/>
      <c r="J107" s="5"/>
      <c r="K107" s="5"/>
      <c r="L107" s="5"/>
      <c r="M107" s="5"/>
      <c r="N107" s="5"/>
      <c r="O107" s="5"/>
      <c r="P107" s="6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15"/>
      <c r="B108" s="35"/>
      <c r="C108" s="37"/>
      <c r="D108" s="39"/>
      <c r="E108" s="36"/>
      <c r="F108" s="15"/>
      <c r="G108" s="5"/>
      <c r="H108" s="5"/>
      <c r="I108" s="5"/>
      <c r="J108" s="5"/>
      <c r="K108" s="5"/>
      <c r="L108" s="5"/>
      <c r="M108" s="5"/>
      <c r="N108" s="5"/>
      <c r="O108" s="5"/>
      <c r="P108" s="6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15"/>
      <c r="B109" s="35"/>
      <c r="C109" s="37"/>
      <c r="D109" s="39"/>
      <c r="E109" s="36"/>
      <c r="F109" s="15"/>
      <c r="G109" s="5"/>
      <c r="H109" s="5"/>
      <c r="I109" s="5"/>
      <c r="J109" s="5"/>
      <c r="K109" s="5"/>
      <c r="L109" s="5"/>
      <c r="M109" s="5"/>
      <c r="N109" s="5"/>
      <c r="O109" s="5"/>
      <c r="P109" s="6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15"/>
      <c r="B110" s="35"/>
      <c r="C110" s="37"/>
      <c r="D110" s="39"/>
      <c r="E110" s="36"/>
      <c r="F110" s="15"/>
      <c r="G110" s="5"/>
      <c r="H110" s="5"/>
      <c r="I110" s="5"/>
      <c r="J110" s="5"/>
      <c r="K110" s="5"/>
      <c r="L110" s="5"/>
      <c r="M110" s="5"/>
      <c r="N110" s="5"/>
      <c r="O110" s="5"/>
      <c r="P110" s="6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15"/>
      <c r="B111" s="35"/>
      <c r="C111" s="37"/>
      <c r="D111" s="39"/>
      <c r="E111" s="36"/>
      <c r="F111" s="15"/>
      <c r="G111" s="5"/>
      <c r="H111" s="5"/>
      <c r="I111" s="5"/>
      <c r="J111" s="5"/>
      <c r="K111" s="5"/>
      <c r="L111" s="5"/>
      <c r="M111" s="5"/>
      <c r="N111" s="5"/>
      <c r="O111" s="5"/>
      <c r="P111" s="6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15"/>
      <c r="B112" s="35"/>
      <c r="C112" s="37"/>
      <c r="D112" s="39"/>
      <c r="E112" s="36"/>
      <c r="F112" s="18"/>
      <c r="G112" s="1"/>
      <c r="H112" s="1"/>
      <c r="I112" s="1"/>
      <c r="J112" s="1"/>
      <c r="K112" s="1"/>
      <c r="L112" s="1"/>
      <c r="M112" s="1"/>
      <c r="N112" s="1"/>
      <c r="O112" s="1"/>
      <c r="P112" s="9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4">
      <c r="A113" s="15"/>
      <c r="B113" s="35"/>
      <c r="C113" s="37"/>
      <c r="D113" s="39"/>
      <c r="E113" s="36"/>
      <c r="F113" s="18"/>
      <c r="G113" s="1"/>
      <c r="H113" s="1"/>
      <c r="I113" s="1"/>
      <c r="J113" s="1"/>
      <c r="K113" s="1"/>
      <c r="L113" s="1"/>
      <c r="M113" s="1"/>
      <c r="N113" s="1"/>
      <c r="O113" s="1"/>
      <c r="P113" s="9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4">
      <c r="A114" s="15"/>
      <c r="B114" s="35"/>
      <c r="C114" s="37"/>
      <c r="D114" s="39"/>
      <c r="E114" s="36"/>
      <c r="F114" s="18"/>
      <c r="G114" s="1"/>
      <c r="H114" s="1"/>
      <c r="I114" s="1"/>
      <c r="J114" s="1"/>
      <c r="K114" s="1"/>
      <c r="L114" s="1"/>
      <c r="M114" s="1"/>
      <c r="N114" s="1"/>
      <c r="O114" s="1"/>
      <c r="P114" s="9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4">
      <c r="A115" s="16" t="s">
        <v>14</v>
      </c>
      <c r="B115" s="60" t="s">
        <v>45</v>
      </c>
      <c r="C115" s="61"/>
      <c r="D115" s="62"/>
      <c r="E115" s="13">
        <f>SUM(E105:E114)</f>
        <v>289</v>
      </c>
      <c r="F115" s="31"/>
      <c r="G115" s="32"/>
      <c r="H115" s="32"/>
      <c r="I115" s="32"/>
      <c r="J115" s="32"/>
      <c r="K115" s="32"/>
      <c r="L115" s="32"/>
      <c r="M115" s="32"/>
      <c r="N115" s="32"/>
      <c r="O115" s="32"/>
      <c r="P115" s="33"/>
      <c r="Q115" s="3"/>
      <c r="R115" s="3"/>
      <c r="S115" s="3"/>
      <c r="T115" s="3"/>
      <c r="U115" s="3"/>
      <c r="V115" s="3"/>
      <c r="W115" s="34"/>
      <c r="X115" s="3"/>
      <c r="Y115" s="3"/>
      <c r="Z115" s="3"/>
    </row>
    <row r="116" spans="1:26" ht="15.75" customHeight="1" x14ac:dyDescent="0.4">
      <c r="A116" s="63"/>
      <c r="B116" s="61"/>
      <c r="C116" s="61"/>
      <c r="D116" s="61"/>
      <c r="E116" s="62"/>
      <c r="F116" s="15"/>
      <c r="G116" s="5"/>
      <c r="H116" s="5"/>
      <c r="I116" s="5"/>
      <c r="J116" s="5"/>
      <c r="K116" s="5"/>
      <c r="L116" s="5"/>
      <c r="M116" s="5"/>
      <c r="N116" s="5"/>
      <c r="O116" s="5"/>
      <c r="P116" s="6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20" t="s">
        <v>36</v>
      </c>
      <c r="B117" s="27" t="s">
        <v>78</v>
      </c>
      <c r="C117" s="64" t="s">
        <v>79</v>
      </c>
      <c r="D117" s="62"/>
      <c r="E117" s="17">
        <f>KAMPUNGMANDAR!P117+KAMPUNGMELAYU!M117+KARANGREJO!AI117+KEBALENAN!AH117+KEPATIHAN!S117+KERTOSARI!AB117+LATENG!AD117+PAKIS!T117+PANDEREJO!R117+PENGANJURAN!T117+PENGANTIGAN!X117+SINGONEGARAN!U117+SINGOTRUNAN!AE117+SOBO!AB117+SUMBERREJO!U117+TAMANBARU!Z117+TEMENGGUNGAN!L117+TUKANGKAYU!AD117</f>
        <v>218</v>
      </c>
      <c r="F117" s="15"/>
      <c r="G117" s="5"/>
      <c r="H117" s="5"/>
      <c r="I117" s="5"/>
      <c r="J117" s="5"/>
      <c r="K117" s="5"/>
      <c r="L117" s="5"/>
      <c r="M117" s="5"/>
      <c r="N117" s="5"/>
      <c r="O117" s="5"/>
      <c r="P117" s="6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20" t="s">
        <v>38</v>
      </c>
      <c r="B118" s="28"/>
      <c r="C118" s="29" t="s">
        <v>80</v>
      </c>
      <c r="D118" s="30"/>
      <c r="E118" s="17">
        <f>KAMPUNGMANDAR!P118+KAMPUNGMELAYU!M118+KARANGREJO!AI118+KEBALENAN!AH118+KEPATIHAN!S118+KERTOSARI!AB118+LATENG!AD118+PAKIS!T118+PANDEREJO!R118+PENGANJURAN!T118+PENGANTIGAN!X118+SINGONEGARAN!U118+SINGOTRUNAN!AE118+SOBO!AB118+SUMBERREJO!U118+TAMANBARU!Z118+TEMENGGUNGAN!L118+TUKANGKAYU!AD118</f>
        <v>1002</v>
      </c>
      <c r="F118" s="15"/>
      <c r="G118" s="5"/>
      <c r="H118" s="5"/>
      <c r="I118" s="5"/>
      <c r="J118" s="5"/>
      <c r="K118" s="5"/>
      <c r="L118" s="5"/>
      <c r="M118" s="5"/>
      <c r="N118" s="5"/>
      <c r="O118" s="5"/>
      <c r="P118" s="6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15"/>
      <c r="B119" s="28"/>
      <c r="C119" s="29" t="s">
        <v>81</v>
      </c>
      <c r="D119" s="30"/>
      <c r="E119" s="17">
        <f>KAMPUNGMANDAR!P119+KAMPUNGMELAYU!M119+KARANGREJO!AI119+KEBALENAN!AH119+KEPATIHAN!S119+KERTOSARI!AB119+LATENG!AD119+PAKIS!T119+PANDEREJO!R119+PENGANJURAN!T119+PENGANTIGAN!X119+SINGONEGARAN!U119+SINGOTRUNAN!AE119+SOBO!AB119+SUMBERREJO!U119+TAMANBARU!Z119+TEMENGGUNGAN!L119+TUKANGKAYU!AD119</f>
        <v>123</v>
      </c>
      <c r="F119" s="15"/>
      <c r="G119" s="5"/>
      <c r="H119" s="5"/>
      <c r="I119" s="5"/>
      <c r="J119" s="5"/>
      <c r="K119" s="5"/>
      <c r="L119" s="5"/>
      <c r="M119" s="5"/>
      <c r="N119" s="5"/>
      <c r="O119" s="5"/>
      <c r="P119" s="6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15"/>
      <c r="B120" s="28"/>
      <c r="C120" s="29" t="s">
        <v>82</v>
      </c>
      <c r="D120" s="30"/>
      <c r="E120" s="17">
        <f>KAMPUNGMANDAR!P120+KAMPUNGMELAYU!M120+KARANGREJO!AI120+KEBALENAN!AH120+KEPATIHAN!S120+KERTOSARI!AB120+LATENG!AD120+PAKIS!T120+PANDEREJO!R120+PENGANJURAN!T120+PENGANTIGAN!X120+SINGONEGARAN!U120+SINGOTRUNAN!AE120+SOBO!AB120+SUMBERREJO!U120+TAMANBARU!Z120+TEMENGGUNGAN!L120+TUKANGKAYU!AD120</f>
        <v>48</v>
      </c>
      <c r="F120" s="15"/>
      <c r="G120" s="5"/>
      <c r="H120" s="5"/>
      <c r="I120" s="5"/>
      <c r="J120" s="5"/>
      <c r="K120" s="5"/>
      <c r="L120" s="5"/>
      <c r="M120" s="5"/>
      <c r="N120" s="5"/>
      <c r="O120" s="5"/>
      <c r="P120" s="6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15"/>
      <c r="B121" s="28"/>
      <c r="C121" s="29" t="s">
        <v>83</v>
      </c>
      <c r="D121" s="30"/>
      <c r="E121" s="17">
        <f>KAMPUNGMANDAR!P121+KAMPUNGMELAYU!M121+KARANGREJO!AI121+KEBALENAN!AH121+KEPATIHAN!S121+KERTOSARI!AB121+LATENG!AD121+PAKIS!T121+PANDEREJO!R121+PENGANJURAN!T121+PENGANTIGAN!X121+SINGONEGARAN!U121+SINGOTRUNAN!AE121+SOBO!AB121+SUMBERREJO!U121+TAMANBARU!Z121+TEMENGGUNGAN!L121+TUKANGKAYU!AD121</f>
        <v>26</v>
      </c>
      <c r="F121" s="15"/>
      <c r="G121" s="5"/>
      <c r="H121" s="5"/>
      <c r="I121" s="5"/>
      <c r="J121" s="5"/>
      <c r="K121" s="5"/>
      <c r="L121" s="5"/>
      <c r="M121" s="5"/>
      <c r="N121" s="5"/>
      <c r="O121" s="5"/>
      <c r="P121" s="6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15"/>
      <c r="B122" s="28"/>
      <c r="C122" s="29" t="s">
        <v>84</v>
      </c>
      <c r="D122" s="30"/>
      <c r="E122" s="17">
        <f>KAMPUNGMANDAR!P122+KAMPUNGMELAYU!M122+KARANGREJO!AI122+KEBALENAN!AH122+KEPATIHAN!S122+KERTOSARI!AB122+LATENG!AD122+PAKIS!T122+PANDEREJO!R122+PENGANJURAN!T122+PENGANTIGAN!X122+SINGONEGARAN!U122+SINGOTRUNAN!AE122+SOBO!AB122+SUMBERREJO!U122+TAMANBARU!Z122+TEMENGGUNGAN!L122+TUKANGKAYU!AD122</f>
        <v>247</v>
      </c>
      <c r="F122" s="15"/>
      <c r="G122" s="5"/>
      <c r="H122" s="5"/>
      <c r="I122" s="5"/>
      <c r="J122" s="5"/>
      <c r="K122" s="5"/>
      <c r="L122" s="5"/>
      <c r="M122" s="5"/>
      <c r="N122" s="5"/>
      <c r="O122" s="5"/>
      <c r="P122" s="6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15"/>
      <c r="B123" s="28"/>
      <c r="C123" s="29" t="s">
        <v>85</v>
      </c>
      <c r="D123" s="30"/>
      <c r="E123" s="17">
        <f>KAMPUNGMANDAR!P123+KAMPUNGMELAYU!M123+KARANGREJO!AI123+KEBALENAN!AH123+KEPATIHAN!S123+KERTOSARI!AB123+LATENG!AD123+PAKIS!T123+PANDEREJO!R123+PENGANJURAN!T123+PENGANTIGAN!X123+SINGONEGARAN!U123+SINGOTRUNAN!AE123+SOBO!AB123+SUMBERREJO!U123+TAMANBARU!Z123+TEMENGGUNGAN!L123+TUKANGKAYU!AD123</f>
        <v>39</v>
      </c>
      <c r="F123" s="15"/>
      <c r="G123" s="5"/>
      <c r="H123" s="5"/>
      <c r="I123" s="5"/>
      <c r="J123" s="5"/>
      <c r="K123" s="5"/>
      <c r="L123" s="5"/>
      <c r="M123" s="5"/>
      <c r="N123" s="5"/>
      <c r="O123" s="5"/>
      <c r="P123" s="6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15"/>
      <c r="B124" s="35"/>
      <c r="C124" s="37"/>
      <c r="D124" s="39"/>
      <c r="E124" s="41"/>
      <c r="F124" s="15"/>
      <c r="G124" s="5"/>
      <c r="H124" s="5"/>
      <c r="I124" s="5"/>
      <c r="J124" s="5"/>
      <c r="K124" s="5"/>
      <c r="L124" s="5"/>
      <c r="M124" s="5"/>
      <c r="N124" s="5"/>
      <c r="O124" s="5"/>
      <c r="P124" s="6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15"/>
      <c r="B125" s="35"/>
      <c r="C125" s="37"/>
      <c r="D125" s="39"/>
      <c r="E125" s="41"/>
      <c r="F125" s="15"/>
      <c r="G125" s="5"/>
      <c r="H125" s="5"/>
      <c r="I125" s="5"/>
      <c r="J125" s="5"/>
      <c r="K125" s="5"/>
      <c r="L125" s="5"/>
      <c r="M125" s="5"/>
      <c r="N125" s="5"/>
      <c r="O125" s="5"/>
      <c r="P125" s="6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15"/>
      <c r="B126" s="35"/>
      <c r="C126" s="37"/>
      <c r="D126" s="39"/>
      <c r="E126" s="41"/>
      <c r="F126" s="15"/>
      <c r="G126" s="5"/>
      <c r="H126" s="5"/>
      <c r="I126" s="5"/>
      <c r="J126" s="5"/>
      <c r="K126" s="5"/>
      <c r="L126" s="5"/>
      <c r="M126" s="5"/>
      <c r="N126" s="5"/>
      <c r="O126" s="5"/>
      <c r="P126" s="6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16" t="s">
        <v>14</v>
      </c>
      <c r="B127" s="60" t="s">
        <v>45</v>
      </c>
      <c r="C127" s="61"/>
      <c r="D127" s="62"/>
      <c r="E127" s="13">
        <f>SUM(E117:E126)</f>
        <v>1703</v>
      </c>
      <c r="F127" s="15"/>
      <c r="G127" s="5"/>
      <c r="H127" s="5"/>
      <c r="I127" s="5"/>
      <c r="J127" s="5"/>
      <c r="K127" s="5"/>
      <c r="L127" s="5"/>
      <c r="M127" s="5"/>
      <c r="N127" s="5"/>
      <c r="O127" s="5"/>
      <c r="P127" s="6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63"/>
      <c r="B128" s="61"/>
      <c r="C128" s="61"/>
      <c r="D128" s="61"/>
      <c r="E128" s="62"/>
      <c r="F128" s="15"/>
      <c r="G128" s="5"/>
      <c r="H128" s="5"/>
      <c r="I128" s="5"/>
      <c r="J128" s="5"/>
      <c r="K128" s="5"/>
      <c r="L128" s="5"/>
      <c r="M128" s="5"/>
      <c r="N128" s="5"/>
      <c r="O128" s="5"/>
      <c r="P128" s="6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20" t="s">
        <v>36</v>
      </c>
      <c r="B129" s="27" t="s">
        <v>86</v>
      </c>
      <c r="C129" s="64" t="s">
        <v>87</v>
      </c>
      <c r="D129" s="62"/>
      <c r="E129" s="17">
        <f>KAMPUNGMANDAR!P129+KAMPUNGMELAYU!M129+KARANGREJO!AI129+KEBALENAN!AH129+KEPATIHAN!S129+KERTOSARI!AB129+LATENG!AD129+PAKIS!T129+PANDEREJO!R129+PENGANJURAN!T129+PENGANTIGAN!X129+SINGONEGARAN!U129+SINGOTRUNAN!AE129+SOBO!AB129+SUMBERREJO!U129+TAMANBARU!Z129+TEMENGGUNGAN!L129+TUKANGKAYU!AD129</f>
        <v>954</v>
      </c>
      <c r="F129" s="18"/>
      <c r="G129" s="1"/>
      <c r="H129" s="1"/>
      <c r="I129" s="1"/>
      <c r="J129" s="1"/>
      <c r="K129" s="1"/>
      <c r="L129" s="1"/>
      <c r="M129" s="1"/>
      <c r="N129" s="1"/>
      <c r="O129" s="1"/>
      <c r="P129" s="9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4">
      <c r="A130" s="20" t="s">
        <v>38</v>
      </c>
      <c r="B130" s="28"/>
      <c r="C130" s="29" t="s">
        <v>88</v>
      </c>
      <c r="D130" s="30"/>
      <c r="E130" s="17">
        <f>KAMPUNGMANDAR!P130+KAMPUNGMELAYU!M130+KARANGREJO!AI130+KEBALENAN!AH130+KEPATIHAN!S130+KERTOSARI!AB130+LATENG!AD130+PAKIS!T130+PANDEREJO!R130+PENGANJURAN!T130+PENGANTIGAN!X130+SINGONEGARAN!U130+SINGOTRUNAN!AE130+SOBO!AB130+SUMBERREJO!U130+TAMANBARU!Z130+TEMENGGUNGAN!L130+TUKANGKAYU!AD130</f>
        <v>4464</v>
      </c>
      <c r="F130" s="31"/>
      <c r="G130" s="32"/>
      <c r="H130" s="32"/>
      <c r="I130" s="32"/>
      <c r="J130" s="32"/>
      <c r="K130" s="32"/>
      <c r="L130" s="32"/>
      <c r="M130" s="32"/>
      <c r="N130" s="32"/>
      <c r="O130" s="32"/>
      <c r="P130" s="33"/>
      <c r="Q130" s="3"/>
      <c r="R130" s="3"/>
      <c r="S130" s="3"/>
      <c r="T130" s="3"/>
      <c r="U130" s="3"/>
      <c r="V130" s="3"/>
      <c r="W130" s="34"/>
      <c r="X130" s="3"/>
      <c r="Y130" s="3"/>
      <c r="Z130" s="3"/>
    </row>
    <row r="131" spans="1:26" ht="15.75" customHeight="1" x14ac:dyDescent="0.4">
      <c r="A131" s="15"/>
      <c r="B131" s="28"/>
      <c r="C131" s="29" t="s">
        <v>89</v>
      </c>
      <c r="D131" s="30"/>
      <c r="E131" s="17">
        <f>KAMPUNGMANDAR!P131+KAMPUNGMELAYU!M131+KARANGREJO!AI131+KEBALENAN!AH131+KEPATIHAN!S131+KERTOSARI!AB131+LATENG!AD131+PAKIS!T131+PANDEREJO!R131+PENGANJURAN!T131+PENGANTIGAN!X131+SINGONEGARAN!U131+SINGOTRUNAN!AE131+SOBO!AB131+SUMBERREJO!U131+TAMANBARU!Z131+TEMENGGUNGAN!L131+TUKANGKAYU!AD131</f>
        <v>399</v>
      </c>
      <c r="F131" s="15"/>
      <c r="G131" s="5"/>
      <c r="H131" s="5"/>
      <c r="I131" s="5"/>
      <c r="J131" s="5"/>
      <c r="K131" s="5"/>
      <c r="L131" s="5"/>
      <c r="M131" s="5"/>
      <c r="N131" s="5"/>
      <c r="O131" s="5"/>
      <c r="P131" s="6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15"/>
      <c r="B132" s="28"/>
      <c r="C132" s="29" t="s">
        <v>90</v>
      </c>
      <c r="D132" s="30"/>
      <c r="E132" s="17">
        <f>KAMPUNGMANDAR!P132+KAMPUNGMELAYU!M132+KARANGREJO!AI132+KEBALENAN!AH132+KEPATIHAN!S132+KERTOSARI!AB132+LATENG!AD132+PAKIS!T132+PANDEREJO!R132+PENGANJURAN!T132+PENGANTIGAN!X132+SINGONEGARAN!U132+SINGOTRUNAN!AE132+SOBO!AB132+SUMBERREJO!U132+TAMANBARU!Z132+TEMENGGUNGAN!L132+TUKANGKAYU!AD132</f>
        <v>173</v>
      </c>
      <c r="F132" s="15"/>
      <c r="G132" s="5"/>
      <c r="H132" s="5"/>
      <c r="I132" s="5"/>
      <c r="J132" s="5"/>
      <c r="K132" s="5"/>
      <c r="L132" s="5"/>
      <c r="M132" s="5"/>
      <c r="N132" s="5"/>
      <c r="O132" s="5"/>
      <c r="P132" s="6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15"/>
      <c r="B133" s="28"/>
      <c r="C133" s="29" t="s">
        <v>91</v>
      </c>
      <c r="D133" s="30"/>
      <c r="E133" s="17">
        <f>KAMPUNGMANDAR!P133+KAMPUNGMELAYU!M133+KARANGREJO!AI133+KEBALENAN!AH133+KEPATIHAN!S133+KERTOSARI!AB133+LATENG!AD133+PAKIS!T133+PANDEREJO!R133+PENGANJURAN!T133+PENGANTIGAN!X133+SINGONEGARAN!U133+SINGOTRUNAN!AE133+SOBO!AB133+SUMBERREJO!U133+TAMANBARU!Z133+TEMENGGUNGAN!L133+TUKANGKAYU!AD133</f>
        <v>131</v>
      </c>
      <c r="F133" s="15"/>
      <c r="G133" s="5"/>
      <c r="H133" s="5"/>
      <c r="I133" s="5"/>
      <c r="J133" s="5"/>
      <c r="K133" s="5"/>
      <c r="L133" s="5"/>
      <c r="M133" s="5"/>
      <c r="N133" s="5"/>
      <c r="O133" s="5"/>
      <c r="P133" s="6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15"/>
      <c r="B134" s="28"/>
      <c r="C134" s="29" t="s">
        <v>92</v>
      </c>
      <c r="D134" s="30"/>
      <c r="E134" s="17">
        <f>KAMPUNGMANDAR!P134+KAMPUNGMELAYU!M134+KARANGREJO!AI134+KEBALENAN!AH134+KEPATIHAN!S134+KERTOSARI!AB134+LATENG!AD134+PAKIS!T134+PANDEREJO!R134+PENGANJURAN!T134+PENGANTIGAN!X134+SINGONEGARAN!U134+SINGOTRUNAN!AE134+SOBO!AB134+SUMBERREJO!U134+TAMANBARU!Z134+TEMENGGUNGAN!L134+TUKANGKAYU!AD134</f>
        <v>747</v>
      </c>
      <c r="F134" s="15"/>
      <c r="G134" s="5"/>
      <c r="H134" s="5"/>
      <c r="I134" s="5"/>
      <c r="J134" s="5"/>
      <c r="K134" s="5"/>
      <c r="L134" s="5"/>
      <c r="M134" s="5"/>
      <c r="N134" s="5"/>
      <c r="O134" s="5"/>
      <c r="P134" s="6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15"/>
      <c r="B135" s="28"/>
      <c r="C135" s="29" t="s">
        <v>93</v>
      </c>
      <c r="D135" s="30"/>
      <c r="E135" s="17">
        <f>KAMPUNGMANDAR!P135+KAMPUNGMELAYU!M135+KARANGREJO!AI135+KEBALENAN!AH135+KEPATIHAN!S135+KERTOSARI!AB135+LATENG!AD135+PAKIS!T135+PANDEREJO!R135+PENGANJURAN!T135+PENGANTIGAN!X135+SINGONEGARAN!U135+SINGOTRUNAN!AE135+SOBO!AB135+SUMBERREJO!U135+TAMANBARU!Z135+TEMENGGUNGAN!L135+TUKANGKAYU!AD135</f>
        <v>248</v>
      </c>
      <c r="F135" s="15"/>
      <c r="G135" s="5"/>
      <c r="H135" s="5"/>
      <c r="I135" s="5"/>
      <c r="J135" s="5"/>
      <c r="K135" s="5"/>
      <c r="L135" s="5"/>
      <c r="M135" s="5"/>
      <c r="N135" s="5"/>
      <c r="O135" s="5"/>
      <c r="P135" s="6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15"/>
      <c r="B136" s="35"/>
      <c r="C136" s="37"/>
      <c r="D136" s="38"/>
      <c r="E136" s="36"/>
      <c r="F136" s="15"/>
      <c r="G136" s="5"/>
      <c r="H136" s="5"/>
      <c r="I136" s="5"/>
      <c r="J136" s="5"/>
      <c r="K136" s="5"/>
      <c r="L136" s="5"/>
      <c r="M136" s="5"/>
      <c r="N136" s="5"/>
      <c r="O136" s="5"/>
      <c r="P136" s="6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15"/>
      <c r="B137" s="35"/>
      <c r="C137" s="37"/>
      <c r="D137" s="38"/>
      <c r="E137" s="36"/>
      <c r="F137" s="15"/>
      <c r="G137" s="5"/>
      <c r="H137" s="5"/>
      <c r="I137" s="5"/>
      <c r="J137" s="5"/>
      <c r="K137" s="5"/>
      <c r="L137" s="5"/>
      <c r="M137" s="5"/>
      <c r="N137" s="5"/>
      <c r="O137" s="5"/>
      <c r="P137" s="6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15"/>
      <c r="B138" s="35"/>
      <c r="C138" s="37"/>
      <c r="D138" s="38"/>
      <c r="E138" s="36"/>
      <c r="F138" s="15"/>
      <c r="G138" s="5"/>
      <c r="H138" s="5"/>
      <c r="I138" s="5"/>
      <c r="J138" s="5"/>
      <c r="K138" s="5"/>
      <c r="L138" s="5"/>
      <c r="M138" s="5"/>
      <c r="N138" s="5"/>
      <c r="O138" s="5"/>
      <c r="P138" s="6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16" t="s">
        <v>14</v>
      </c>
      <c r="B139" s="60" t="s">
        <v>45</v>
      </c>
      <c r="C139" s="61"/>
      <c r="D139" s="62"/>
      <c r="E139" s="13">
        <f>SUM(E129:E138)</f>
        <v>7116</v>
      </c>
      <c r="F139" s="15"/>
      <c r="G139" s="5"/>
      <c r="H139" s="5"/>
      <c r="I139" s="5"/>
      <c r="J139" s="5"/>
      <c r="K139" s="5"/>
      <c r="L139" s="5"/>
      <c r="M139" s="5"/>
      <c r="N139" s="5"/>
      <c r="O139" s="5"/>
      <c r="P139" s="6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63"/>
      <c r="B140" s="61"/>
      <c r="C140" s="61"/>
      <c r="D140" s="61"/>
      <c r="E140" s="62"/>
      <c r="F140" s="15"/>
      <c r="G140" s="5"/>
      <c r="H140" s="5"/>
      <c r="I140" s="5"/>
      <c r="J140" s="5"/>
      <c r="K140" s="5"/>
      <c r="L140" s="5"/>
      <c r="M140" s="5"/>
      <c r="N140" s="5"/>
      <c r="O140" s="5"/>
      <c r="P140" s="6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20" t="s">
        <v>36</v>
      </c>
      <c r="B141" s="27" t="s">
        <v>94</v>
      </c>
      <c r="C141" s="64" t="s">
        <v>95</v>
      </c>
      <c r="D141" s="62"/>
      <c r="E141" s="17">
        <f>KAMPUNGMANDAR!P141+KAMPUNGMELAYU!M141+KARANGREJO!AI141+KEBALENAN!AH141+KEPATIHAN!S141+KERTOSARI!AB141+LATENG!AD141+PAKIS!T141+PANDEREJO!R141+PENGANJURAN!T141+PENGANTIGAN!X141+SINGONEGARAN!U141+SINGOTRUNAN!AE141+SOBO!AB141+SUMBERREJO!U141+TAMANBARU!Z141+TEMENGGUNGAN!L141+TUKANGKAYU!AD141</f>
        <v>16</v>
      </c>
      <c r="F141" s="18"/>
      <c r="G141" s="1"/>
      <c r="H141" s="1"/>
      <c r="I141" s="1"/>
      <c r="J141" s="1"/>
      <c r="K141" s="1"/>
      <c r="L141" s="1"/>
      <c r="M141" s="1"/>
      <c r="N141" s="1"/>
      <c r="O141" s="1"/>
      <c r="P141" s="9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4">
      <c r="A142" s="20" t="s">
        <v>38</v>
      </c>
      <c r="B142" s="27"/>
      <c r="C142" s="29" t="s">
        <v>96</v>
      </c>
      <c r="D142" s="40"/>
      <c r="E142" s="17">
        <f>KAMPUNGMANDAR!P142+KAMPUNGMELAYU!M142+KARANGREJO!AI142+KEBALENAN!AH142+KEPATIHAN!S142+KERTOSARI!AB142+LATENG!AD142+PAKIS!T142+PANDEREJO!R142+PENGANJURAN!T142+PENGANTIGAN!X142+SINGONEGARAN!U142+SINGOTRUNAN!AE142+SOBO!AB142+SUMBERREJO!U142+TAMANBARU!Z142+TEMENGGUNGAN!L142+TUKANGKAYU!AD142</f>
        <v>29</v>
      </c>
      <c r="F142" s="31"/>
      <c r="G142" s="32"/>
      <c r="H142" s="32"/>
      <c r="I142" s="32"/>
      <c r="J142" s="32"/>
      <c r="K142" s="32"/>
      <c r="L142" s="32"/>
      <c r="M142" s="32"/>
      <c r="N142" s="32"/>
      <c r="O142" s="32"/>
      <c r="P142" s="33"/>
      <c r="Q142" s="3"/>
      <c r="R142" s="3"/>
      <c r="S142" s="3"/>
      <c r="T142" s="3"/>
      <c r="U142" s="3"/>
      <c r="V142" s="3"/>
      <c r="W142" s="34"/>
      <c r="X142" s="3"/>
      <c r="Y142" s="3"/>
      <c r="Z142" s="3"/>
    </row>
    <row r="143" spans="1:26" ht="15.75" customHeight="1" x14ac:dyDescent="0.4">
      <c r="A143" s="15"/>
      <c r="B143" s="35"/>
      <c r="C143" s="37"/>
      <c r="D143" s="39"/>
      <c r="E143" s="36"/>
      <c r="F143" s="15"/>
      <c r="G143" s="5"/>
      <c r="H143" s="5"/>
      <c r="I143" s="5"/>
      <c r="J143" s="5"/>
      <c r="K143" s="5"/>
      <c r="L143" s="5"/>
      <c r="M143" s="5"/>
      <c r="N143" s="5"/>
      <c r="O143" s="5"/>
      <c r="P143" s="6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15"/>
      <c r="B144" s="35"/>
      <c r="C144" s="37"/>
      <c r="D144" s="39"/>
      <c r="E144" s="36"/>
      <c r="F144" s="15"/>
      <c r="G144" s="5"/>
      <c r="H144" s="5"/>
      <c r="I144" s="5"/>
      <c r="J144" s="5"/>
      <c r="K144" s="5"/>
      <c r="L144" s="5"/>
      <c r="M144" s="5"/>
      <c r="N144" s="5"/>
      <c r="O144" s="5"/>
      <c r="P144" s="6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15"/>
      <c r="B145" s="35"/>
      <c r="C145" s="37"/>
      <c r="D145" s="39"/>
      <c r="E145" s="36"/>
      <c r="F145" s="15"/>
      <c r="G145" s="5"/>
      <c r="H145" s="5"/>
      <c r="I145" s="5"/>
      <c r="J145" s="5"/>
      <c r="K145" s="5"/>
      <c r="L145" s="5"/>
      <c r="M145" s="5"/>
      <c r="N145" s="5"/>
      <c r="O145" s="5"/>
      <c r="P145" s="6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15"/>
      <c r="B146" s="35"/>
      <c r="C146" s="37"/>
      <c r="D146" s="39"/>
      <c r="E146" s="36"/>
      <c r="F146" s="15"/>
      <c r="G146" s="5"/>
      <c r="H146" s="5"/>
      <c r="I146" s="5"/>
      <c r="J146" s="5"/>
      <c r="K146" s="5"/>
      <c r="L146" s="5"/>
      <c r="M146" s="5"/>
      <c r="N146" s="5"/>
      <c r="O146" s="5"/>
      <c r="P146" s="6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15"/>
      <c r="B147" s="35"/>
      <c r="C147" s="37"/>
      <c r="D147" s="39"/>
      <c r="E147" s="36"/>
      <c r="F147" s="15"/>
      <c r="G147" s="5"/>
      <c r="H147" s="5"/>
      <c r="I147" s="5"/>
      <c r="J147" s="5"/>
      <c r="K147" s="5"/>
      <c r="L147" s="5"/>
      <c r="M147" s="5"/>
      <c r="N147" s="5"/>
      <c r="O147" s="5"/>
      <c r="P147" s="6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15"/>
      <c r="B148" s="35"/>
      <c r="C148" s="37"/>
      <c r="D148" s="39"/>
      <c r="E148" s="36"/>
      <c r="F148" s="15"/>
      <c r="G148" s="5"/>
      <c r="H148" s="5"/>
      <c r="I148" s="5"/>
      <c r="J148" s="5"/>
      <c r="K148" s="5"/>
      <c r="L148" s="5"/>
      <c r="M148" s="5"/>
      <c r="N148" s="5"/>
      <c r="O148" s="5"/>
      <c r="P148" s="6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15"/>
      <c r="B149" s="35"/>
      <c r="C149" s="37"/>
      <c r="D149" s="39"/>
      <c r="E149" s="36"/>
      <c r="F149" s="15"/>
      <c r="G149" s="5"/>
      <c r="H149" s="5"/>
      <c r="I149" s="5"/>
      <c r="J149" s="5"/>
      <c r="K149" s="5"/>
      <c r="L149" s="5"/>
      <c r="M149" s="5"/>
      <c r="N149" s="5"/>
      <c r="O149" s="5"/>
      <c r="P149" s="6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15"/>
      <c r="B150" s="35"/>
      <c r="C150" s="37"/>
      <c r="D150" s="39"/>
      <c r="E150" s="36"/>
      <c r="F150" s="15"/>
      <c r="G150" s="5"/>
      <c r="H150" s="5"/>
      <c r="I150" s="5"/>
      <c r="J150" s="5"/>
      <c r="K150" s="5"/>
      <c r="L150" s="5"/>
      <c r="M150" s="5"/>
      <c r="N150" s="5"/>
      <c r="O150" s="5"/>
      <c r="P150" s="6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16" t="s">
        <v>14</v>
      </c>
      <c r="B151" s="60" t="s">
        <v>45</v>
      </c>
      <c r="C151" s="61"/>
      <c r="D151" s="62"/>
      <c r="E151" s="13">
        <f>SUM(E141:E150)</f>
        <v>45</v>
      </c>
      <c r="F151" s="15"/>
      <c r="G151" s="5"/>
      <c r="H151" s="5"/>
      <c r="I151" s="5"/>
      <c r="J151" s="5"/>
      <c r="K151" s="5"/>
      <c r="L151" s="5"/>
      <c r="M151" s="5"/>
      <c r="N151" s="5"/>
      <c r="O151" s="5"/>
      <c r="P151" s="6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63"/>
      <c r="B152" s="61"/>
      <c r="C152" s="61"/>
      <c r="D152" s="61"/>
      <c r="E152" s="62"/>
      <c r="F152" s="18"/>
      <c r="G152" s="1"/>
      <c r="H152" s="1"/>
      <c r="I152" s="1"/>
      <c r="J152" s="1"/>
      <c r="K152" s="1"/>
      <c r="L152" s="1"/>
      <c r="M152" s="1"/>
      <c r="N152" s="1"/>
      <c r="O152" s="1"/>
      <c r="P152" s="9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4">
      <c r="A153" s="20" t="s">
        <v>36</v>
      </c>
      <c r="B153" s="14" t="s">
        <v>97</v>
      </c>
      <c r="C153" s="65" t="s">
        <v>98</v>
      </c>
      <c r="D153" s="66"/>
      <c r="E153" s="17">
        <f>KAMPUNGMANDAR!P153+KAMPUNGMELAYU!M153+KARANGREJO!AI153+KEBALENAN!AH153+KEPATIHAN!S153+KERTOSARI!AB153+LATENG!AD153+PAKIS!T153+PANDEREJO!R153+PENGANJURAN!T153+PENGANTIGAN!X153+SINGONEGARAN!U153+SINGOTRUNAN!AE153+SOBO!AB153+SUMBERREJO!U153+TAMANBARU!Z153+TEMENGGUNGAN!L153+TUKANGKAYU!AD153</f>
        <v>343</v>
      </c>
      <c r="F153" s="31"/>
      <c r="G153" s="32"/>
      <c r="H153" s="32"/>
      <c r="I153" s="32"/>
      <c r="J153" s="32"/>
      <c r="K153" s="32"/>
      <c r="L153" s="32"/>
      <c r="M153" s="32"/>
      <c r="N153" s="32"/>
      <c r="O153" s="32"/>
      <c r="P153" s="33"/>
      <c r="Q153" s="3"/>
      <c r="R153" s="3"/>
      <c r="S153" s="3"/>
      <c r="T153" s="3"/>
      <c r="U153" s="3"/>
      <c r="V153" s="3"/>
      <c r="W153" s="34"/>
      <c r="X153" s="3"/>
      <c r="Y153" s="3"/>
      <c r="Z153" s="3"/>
    </row>
    <row r="154" spans="1:26" ht="15.75" customHeight="1" x14ac:dyDescent="0.4">
      <c r="A154" s="42" t="s">
        <v>38</v>
      </c>
      <c r="B154" s="28"/>
      <c r="C154" s="29" t="s">
        <v>99</v>
      </c>
      <c r="D154" s="30"/>
      <c r="E154" s="17">
        <f>KAMPUNGMANDAR!P154+KAMPUNGMELAYU!M154+KARANGREJO!AI154+KEBALENAN!AH154+KEPATIHAN!S154+KERTOSARI!AB154+LATENG!AD154+PAKIS!T154+PANDEREJO!R154+PENGANJURAN!T154+PENGANTIGAN!X154+SINGONEGARAN!U154+SINGOTRUNAN!AE154+SOBO!AB154+SUMBERREJO!U154+TAMANBARU!Z154+TEMENGGUNGAN!L154+TUKANGKAYU!AD154</f>
        <v>2560</v>
      </c>
      <c r="F154" s="15"/>
      <c r="G154" s="5"/>
      <c r="H154" s="5"/>
      <c r="I154" s="5"/>
      <c r="J154" s="5"/>
      <c r="K154" s="5"/>
      <c r="L154" s="5"/>
      <c r="M154" s="5"/>
      <c r="N154" s="5"/>
      <c r="O154" s="5"/>
      <c r="P154" s="6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15"/>
      <c r="B155" s="28"/>
      <c r="C155" s="29" t="s">
        <v>100</v>
      </c>
      <c r="D155" s="30"/>
      <c r="E155" s="17">
        <f>KAMPUNGMANDAR!P155+KAMPUNGMELAYU!M155+KARANGREJO!AI155+KEBALENAN!AH155+KEPATIHAN!S155+KERTOSARI!AB155+LATENG!AD155+PAKIS!T155+PANDEREJO!R155+PENGANJURAN!T155+PENGANTIGAN!X155+SINGONEGARAN!U155+SINGOTRUNAN!AE155+SOBO!AB155+SUMBERREJO!U155+TAMANBARU!Z155+TEMENGGUNGAN!L155+TUKANGKAYU!AD155</f>
        <v>41</v>
      </c>
      <c r="F155" s="15"/>
      <c r="G155" s="5"/>
      <c r="H155" s="5"/>
      <c r="I155" s="5"/>
      <c r="J155" s="5"/>
      <c r="K155" s="5"/>
      <c r="L155" s="5"/>
      <c r="M155" s="5"/>
      <c r="N155" s="5"/>
      <c r="O155" s="5"/>
      <c r="P155" s="6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15"/>
      <c r="B156" s="28"/>
      <c r="C156" s="29" t="s">
        <v>101</v>
      </c>
      <c r="D156" s="30"/>
      <c r="E156" s="17">
        <f>KAMPUNGMANDAR!P156+KAMPUNGMELAYU!M156+KARANGREJO!AI156+KEBALENAN!AH156+KEPATIHAN!S156+KERTOSARI!AB156+LATENG!AD156+PAKIS!T156+PANDEREJO!R156+PENGANJURAN!T156+PENGANTIGAN!X156+SINGONEGARAN!U156+SINGOTRUNAN!AE156+SOBO!AB156+SUMBERREJO!U156+TAMANBARU!Z156+TEMENGGUNGAN!L156+TUKANGKAYU!AD156</f>
        <v>91</v>
      </c>
      <c r="F156" s="15"/>
      <c r="G156" s="5"/>
      <c r="H156" s="5"/>
      <c r="I156" s="5"/>
      <c r="J156" s="5"/>
      <c r="K156" s="5"/>
      <c r="L156" s="5"/>
      <c r="M156" s="5"/>
      <c r="N156" s="5"/>
      <c r="O156" s="5"/>
      <c r="P156" s="6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15"/>
      <c r="B157" s="28"/>
      <c r="C157" s="29" t="s">
        <v>102</v>
      </c>
      <c r="D157" s="30"/>
      <c r="E157" s="17">
        <f>KAMPUNGMANDAR!P157+KAMPUNGMELAYU!M157+KARANGREJO!AI157+KEBALENAN!AH157+KEPATIHAN!S157+KERTOSARI!AB157+LATENG!AD157+PAKIS!T157+PANDEREJO!R157+PENGANJURAN!T157+PENGANTIGAN!X157+SINGONEGARAN!U157+SINGOTRUNAN!AE157+SOBO!AB157+SUMBERREJO!U157+TAMANBARU!Z157+TEMENGGUNGAN!L157+TUKANGKAYU!AD157</f>
        <v>62</v>
      </c>
      <c r="F157" s="15"/>
      <c r="G157" s="5"/>
      <c r="H157" s="5"/>
      <c r="I157" s="5"/>
      <c r="J157" s="5"/>
      <c r="K157" s="5"/>
      <c r="L157" s="5"/>
      <c r="M157" s="5"/>
      <c r="N157" s="5"/>
      <c r="O157" s="5"/>
      <c r="P157" s="6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15"/>
      <c r="B158" s="28"/>
      <c r="C158" s="29" t="s">
        <v>103</v>
      </c>
      <c r="D158" s="30"/>
      <c r="E158" s="17">
        <f>KAMPUNGMANDAR!P158+KAMPUNGMELAYU!M158+KARANGREJO!AI158+KEBALENAN!AH158+KEPATIHAN!S158+KERTOSARI!AB158+LATENG!AD158+PAKIS!T158+PANDEREJO!R158+PENGANJURAN!T158+PENGANTIGAN!X158+SINGONEGARAN!U158+SINGOTRUNAN!AE158+SOBO!AB158+SUMBERREJO!U158+TAMANBARU!Z158+TEMENGGUNGAN!L158+TUKANGKAYU!AD158</f>
        <v>434</v>
      </c>
      <c r="F158" s="15"/>
      <c r="G158" s="5"/>
      <c r="H158" s="5"/>
      <c r="I158" s="5"/>
      <c r="J158" s="5"/>
      <c r="K158" s="5"/>
      <c r="L158" s="5"/>
      <c r="M158" s="5"/>
      <c r="N158" s="5"/>
      <c r="O158" s="5"/>
      <c r="P158" s="6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15"/>
      <c r="B159" s="28"/>
      <c r="C159" s="29" t="s">
        <v>104</v>
      </c>
      <c r="D159" s="30"/>
      <c r="E159" s="17">
        <f>KAMPUNGMANDAR!P159+KAMPUNGMELAYU!M159+KARANGREJO!AI159+KEBALENAN!AH159+KEPATIHAN!S159+KERTOSARI!AB159+LATENG!AD159+PAKIS!T159+PANDEREJO!R159+PENGANJURAN!T159+PENGANTIGAN!X159+SINGONEGARAN!U159+SINGOTRUNAN!AE159+SOBO!AB159+SUMBERREJO!U159+TAMANBARU!Z159+TEMENGGUNGAN!L159+TUKANGKAYU!AD159</f>
        <v>82</v>
      </c>
      <c r="F159" s="15"/>
      <c r="G159" s="5"/>
      <c r="H159" s="5"/>
      <c r="I159" s="5"/>
      <c r="J159" s="5"/>
      <c r="K159" s="5"/>
      <c r="L159" s="5"/>
      <c r="M159" s="5"/>
      <c r="N159" s="5"/>
      <c r="O159" s="5"/>
      <c r="P159" s="6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15"/>
      <c r="B160" s="35"/>
      <c r="C160" s="43"/>
      <c r="D160" s="39"/>
      <c r="E160" s="36"/>
      <c r="F160" s="15"/>
      <c r="G160" s="5"/>
      <c r="H160" s="5"/>
      <c r="I160" s="5"/>
      <c r="J160" s="5"/>
      <c r="K160" s="5"/>
      <c r="L160" s="5"/>
      <c r="M160" s="5"/>
      <c r="N160" s="5"/>
      <c r="O160" s="5"/>
      <c r="P160" s="6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15"/>
      <c r="B161" s="35"/>
      <c r="C161" s="43"/>
      <c r="D161" s="39"/>
      <c r="E161" s="41"/>
      <c r="F161" s="15"/>
      <c r="G161" s="5"/>
      <c r="H161" s="5"/>
      <c r="I161" s="5"/>
      <c r="J161" s="5"/>
      <c r="K161" s="5"/>
      <c r="L161" s="5"/>
      <c r="M161" s="5"/>
      <c r="N161" s="5"/>
      <c r="O161" s="5"/>
      <c r="P161" s="6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15"/>
      <c r="B162" s="35"/>
      <c r="C162" s="43"/>
      <c r="D162" s="39"/>
      <c r="E162" s="41"/>
      <c r="F162" s="15"/>
      <c r="G162" s="5"/>
      <c r="H162" s="5"/>
      <c r="I162" s="5"/>
      <c r="J162" s="5"/>
      <c r="K162" s="5"/>
      <c r="L162" s="5"/>
      <c r="M162" s="5"/>
      <c r="N162" s="5"/>
      <c r="O162" s="5"/>
      <c r="P162" s="6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16" t="s">
        <v>14</v>
      </c>
      <c r="B163" s="67" t="s">
        <v>45</v>
      </c>
      <c r="C163" s="68"/>
      <c r="D163" s="69"/>
      <c r="E163" s="13">
        <f>SUM(E153:E162)</f>
        <v>3613</v>
      </c>
      <c r="F163" s="15"/>
      <c r="G163" s="5"/>
      <c r="H163" s="5"/>
      <c r="I163" s="5"/>
      <c r="J163" s="5"/>
      <c r="K163" s="5"/>
      <c r="L163" s="5"/>
      <c r="M163" s="5"/>
      <c r="N163" s="5"/>
      <c r="O163" s="5"/>
      <c r="P163" s="6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63"/>
      <c r="B164" s="61"/>
      <c r="C164" s="61"/>
      <c r="D164" s="61"/>
      <c r="E164" s="62"/>
      <c r="F164" s="15"/>
      <c r="G164" s="5"/>
      <c r="H164" s="5"/>
      <c r="I164" s="5"/>
      <c r="J164" s="5"/>
      <c r="K164" s="5"/>
      <c r="L164" s="5"/>
      <c r="M164" s="5"/>
      <c r="N164" s="5"/>
      <c r="O164" s="5"/>
      <c r="P164" s="6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20" t="s">
        <v>36</v>
      </c>
      <c r="B165" s="27" t="s">
        <v>105</v>
      </c>
      <c r="C165" s="64" t="s">
        <v>106</v>
      </c>
      <c r="D165" s="62"/>
      <c r="E165" s="17">
        <f>KAMPUNGMANDAR!P165+KAMPUNGMELAYU!M165+KARANGREJO!AI165+KEBALENAN!AH165+KEPATIHAN!S165+KERTOSARI!AB165+LATENG!AD165+PAKIS!T165+PANDEREJO!R165+PENGANJURAN!T165+PENGANTIGAN!X165+SINGONEGARAN!U165+SINGOTRUNAN!AE165+SOBO!AB165+SUMBERREJO!U165+TAMANBARU!Z165+TEMENGGUNGAN!L165+TUKANGKAYU!AD165</f>
        <v>118</v>
      </c>
      <c r="F165" s="18"/>
      <c r="G165" s="1"/>
      <c r="H165" s="1"/>
      <c r="I165" s="1"/>
      <c r="J165" s="1"/>
      <c r="K165" s="1"/>
      <c r="L165" s="1"/>
      <c r="M165" s="1"/>
      <c r="N165" s="1"/>
      <c r="O165" s="1"/>
      <c r="P165" s="9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4">
      <c r="A166" s="20" t="s">
        <v>38</v>
      </c>
      <c r="B166" s="35"/>
      <c r="C166" s="37"/>
      <c r="D166" s="39"/>
      <c r="E166" s="36"/>
      <c r="F166" s="31"/>
      <c r="G166" s="32"/>
      <c r="H166" s="32"/>
      <c r="I166" s="32"/>
      <c r="J166" s="32"/>
      <c r="K166" s="32"/>
      <c r="L166" s="32"/>
      <c r="M166" s="32"/>
      <c r="N166" s="32"/>
      <c r="O166" s="32"/>
      <c r="P166" s="33"/>
      <c r="Q166" s="3"/>
      <c r="R166" s="3"/>
      <c r="S166" s="3"/>
      <c r="T166" s="3"/>
      <c r="U166" s="3"/>
      <c r="V166" s="3"/>
      <c r="W166" s="34"/>
      <c r="X166" s="3"/>
      <c r="Y166" s="3"/>
      <c r="Z166" s="3"/>
    </row>
    <row r="167" spans="1:26" ht="15.75" customHeight="1" x14ac:dyDescent="0.4">
      <c r="A167" s="15"/>
      <c r="B167" s="35"/>
      <c r="C167" s="37"/>
      <c r="D167" s="39"/>
      <c r="E167" s="36"/>
      <c r="F167" s="15"/>
      <c r="G167" s="5"/>
      <c r="H167" s="5"/>
      <c r="I167" s="5"/>
      <c r="J167" s="5"/>
      <c r="K167" s="5"/>
      <c r="L167" s="5"/>
      <c r="M167" s="5"/>
      <c r="N167" s="5"/>
      <c r="O167" s="5"/>
      <c r="P167" s="6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15"/>
      <c r="B168" s="35"/>
      <c r="C168" s="37"/>
      <c r="D168" s="39"/>
      <c r="E168" s="36"/>
      <c r="F168" s="15"/>
      <c r="G168" s="5"/>
      <c r="H168" s="5"/>
      <c r="I168" s="5"/>
      <c r="J168" s="5"/>
      <c r="K168" s="5"/>
      <c r="L168" s="5"/>
      <c r="M168" s="5"/>
      <c r="N168" s="5"/>
      <c r="O168" s="5"/>
      <c r="P168" s="6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15"/>
      <c r="B169" s="35"/>
      <c r="C169" s="37"/>
      <c r="D169" s="39"/>
      <c r="E169" s="36"/>
      <c r="F169" s="15"/>
      <c r="G169" s="5"/>
      <c r="H169" s="5"/>
      <c r="I169" s="5"/>
      <c r="J169" s="5"/>
      <c r="K169" s="5"/>
      <c r="L169" s="5"/>
      <c r="M169" s="5"/>
      <c r="N169" s="5"/>
      <c r="O169" s="5"/>
      <c r="P169" s="6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15"/>
      <c r="B170" s="35"/>
      <c r="C170" s="37"/>
      <c r="D170" s="39"/>
      <c r="E170" s="36"/>
      <c r="F170" s="15"/>
      <c r="G170" s="5"/>
      <c r="H170" s="5"/>
      <c r="I170" s="5"/>
      <c r="J170" s="5"/>
      <c r="K170" s="5"/>
      <c r="L170" s="5"/>
      <c r="M170" s="5"/>
      <c r="N170" s="5"/>
      <c r="O170" s="5"/>
      <c r="P170" s="6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15"/>
      <c r="B171" s="35"/>
      <c r="C171" s="37"/>
      <c r="D171" s="39"/>
      <c r="E171" s="36"/>
      <c r="F171" s="15"/>
      <c r="G171" s="5"/>
      <c r="H171" s="5"/>
      <c r="I171" s="5"/>
      <c r="J171" s="5"/>
      <c r="K171" s="5"/>
      <c r="L171" s="5"/>
      <c r="M171" s="5"/>
      <c r="N171" s="5"/>
      <c r="O171" s="5"/>
      <c r="P171" s="6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15"/>
      <c r="B172" s="35"/>
      <c r="C172" s="37"/>
      <c r="D172" s="39"/>
      <c r="E172" s="36"/>
      <c r="F172" s="15"/>
      <c r="G172" s="5"/>
      <c r="H172" s="5"/>
      <c r="I172" s="5"/>
      <c r="J172" s="5"/>
      <c r="K172" s="5"/>
      <c r="L172" s="5"/>
      <c r="M172" s="5"/>
      <c r="N172" s="5"/>
      <c r="O172" s="5"/>
      <c r="P172" s="6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15"/>
      <c r="B173" s="35"/>
      <c r="C173" s="37"/>
      <c r="D173" s="39"/>
      <c r="E173" s="36"/>
      <c r="F173" s="15"/>
      <c r="G173" s="5"/>
      <c r="H173" s="5"/>
      <c r="I173" s="5"/>
      <c r="J173" s="5"/>
      <c r="K173" s="5"/>
      <c r="L173" s="5"/>
      <c r="M173" s="5"/>
      <c r="N173" s="5"/>
      <c r="O173" s="5"/>
      <c r="P173" s="6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15"/>
      <c r="B174" s="35"/>
      <c r="C174" s="37"/>
      <c r="D174" s="39"/>
      <c r="E174" s="36"/>
      <c r="F174" s="15"/>
      <c r="G174" s="5"/>
      <c r="H174" s="5"/>
      <c r="I174" s="5"/>
      <c r="J174" s="5"/>
      <c r="K174" s="5"/>
      <c r="L174" s="5"/>
      <c r="M174" s="5"/>
      <c r="N174" s="5"/>
      <c r="O174" s="5"/>
      <c r="P174" s="6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16" t="s">
        <v>14</v>
      </c>
      <c r="B175" s="60" t="s">
        <v>45</v>
      </c>
      <c r="C175" s="61"/>
      <c r="D175" s="62"/>
      <c r="E175" s="13">
        <f>SUM(E165:E174)</f>
        <v>118</v>
      </c>
      <c r="F175" s="15"/>
      <c r="G175" s="5"/>
      <c r="H175" s="5"/>
      <c r="I175" s="5"/>
      <c r="J175" s="5"/>
      <c r="K175" s="5"/>
      <c r="L175" s="5"/>
      <c r="M175" s="5"/>
      <c r="N175" s="5"/>
      <c r="O175" s="5"/>
      <c r="P175" s="6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63"/>
      <c r="B176" s="61"/>
      <c r="C176" s="61"/>
      <c r="D176" s="61"/>
      <c r="E176" s="62"/>
      <c r="F176" s="15"/>
      <c r="G176" s="5"/>
      <c r="H176" s="5"/>
      <c r="I176" s="5"/>
      <c r="J176" s="5"/>
      <c r="K176" s="5"/>
      <c r="L176" s="5"/>
      <c r="M176" s="5"/>
      <c r="N176" s="5"/>
      <c r="O176" s="5"/>
      <c r="P176" s="6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20" t="s">
        <v>36</v>
      </c>
      <c r="B177" s="27" t="s">
        <v>107</v>
      </c>
      <c r="C177" s="64" t="s">
        <v>108</v>
      </c>
      <c r="D177" s="62"/>
      <c r="E177" s="17">
        <f>KAMPUNGMANDAR!P177+KAMPUNGMELAYU!M177+KARANGREJO!AI177+KEBALENAN!AH177+KEPATIHAN!S177+KERTOSARI!AB177+LATENG!AD177+PAKIS!T177+PANDEREJO!R177+PENGANJURAN!T177+PENGANTIGAN!X177+SINGONEGARAN!U177+SINGOTRUNAN!AE177+SOBO!AB177+SUMBERREJO!U177+TAMANBARU!Z177+TEMENGGUNGAN!L177+TUKANGKAYU!AD177</f>
        <v>233</v>
      </c>
      <c r="F177" s="18"/>
      <c r="G177" s="1"/>
      <c r="H177" s="1"/>
      <c r="I177" s="1"/>
      <c r="J177" s="1"/>
      <c r="K177" s="1"/>
      <c r="L177" s="1"/>
      <c r="M177" s="1"/>
      <c r="N177" s="1"/>
      <c r="O177" s="1"/>
      <c r="P177" s="9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4">
      <c r="A178" s="20" t="s">
        <v>38</v>
      </c>
      <c r="B178" s="28"/>
      <c r="C178" s="29" t="s">
        <v>109</v>
      </c>
      <c r="D178" s="30"/>
      <c r="E178" s="17">
        <f>KAMPUNGMANDAR!P178+KAMPUNGMELAYU!M178+KARANGREJO!AI178+KEBALENAN!AH178+KEPATIHAN!S178+KERTOSARI!AB178+LATENG!AD178+PAKIS!T178+PANDEREJO!R178+PENGANJURAN!T178+PENGANTIGAN!X178+SINGONEGARAN!U178+SINGOTRUNAN!AE178+SOBO!AB178+SUMBERREJO!U178+TAMANBARU!Z178+TEMENGGUNGAN!L178+TUKANGKAYU!AD178</f>
        <v>268</v>
      </c>
      <c r="F178" s="31"/>
      <c r="G178" s="32"/>
      <c r="H178" s="32"/>
      <c r="I178" s="32"/>
      <c r="J178" s="32"/>
      <c r="K178" s="32"/>
      <c r="L178" s="32"/>
      <c r="M178" s="32"/>
      <c r="N178" s="32"/>
      <c r="O178" s="32"/>
      <c r="P178" s="33"/>
      <c r="Q178" s="3"/>
      <c r="R178" s="3"/>
      <c r="S178" s="3"/>
      <c r="T178" s="3"/>
      <c r="U178" s="3"/>
      <c r="V178" s="3"/>
      <c r="W178" s="34"/>
      <c r="X178" s="3"/>
      <c r="Y178" s="3"/>
      <c r="Z178" s="3"/>
    </row>
    <row r="179" spans="1:26" ht="15.75" customHeight="1" x14ac:dyDescent="0.4">
      <c r="A179" s="15"/>
      <c r="B179" s="28"/>
      <c r="C179" s="29" t="s">
        <v>110</v>
      </c>
      <c r="D179" s="30"/>
      <c r="E179" s="17">
        <f>KAMPUNGMANDAR!P179+KAMPUNGMELAYU!M179+KARANGREJO!AI179+KEBALENAN!AH179+KEPATIHAN!S179+KERTOSARI!AB179+LATENG!AD179+PAKIS!T179+PANDEREJO!R179+PENGANJURAN!T179+PENGANTIGAN!X179+SINGONEGARAN!U179+SINGOTRUNAN!AE179+SOBO!AB179+SUMBERREJO!U179+TAMANBARU!Z179+TEMENGGUNGAN!L179+TUKANGKAYU!AD179</f>
        <v>193</v>
      </c>
      <c r="F179" s="15"/>
      <c r="G179" s="5"/>
      <c r="H179" s="5"/>
      <c r="I179" s="5"/>
      <c r="J179" s="5"/>
      <c r="K179" s="5"/>
      <c r="L179" s="5"/>
      <c r="M179" s="5"/>
      <c r="N179" s="5"/>
      <c r="O179" s="5"/>
      <c r="P179" s="6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15"/>
      <c r="B180" s="28"/>
      <c r="C180" s="29" t="s">
        <v>111</v>
      </c>
      <c r="D180" s="30"/>
      <c r="E180" s="17">
        <f>KAMPUNGMANDAR!P180+KAMPUNGMELAYU!M180+KARANGREJO!AI180+KEBALENAN!AH180+KEPATIHAN!S180+KERTOSARI!AB180+LATENG!AD180+PAKIS!T180+PANDEREJO!R180+PENGANJURAN!T180+PENGANTIGAN!X180+SINGONEGARAN!U180+SINGOTRUNAN!AE180+SOBO!AB180+SUMBERREJO!U180+TAMANBARU!Z180+TEMENGGUNGAN!L180+TUKANGKAYU!AD180</f>
        <v>103</v>
      </c>
      <c r="F180" s="15"/>
      <c r="G180" s="5"/>
      <c r="H180" s="5"/>
      <c r="I180" s="5"/>
      <c r="J180" s="5"/>
      <c r="K180" s="5"/>
      <c r="L180" s="5"/>
      <c r="M180" s="5"/>
      <c r="N180" s="5"/>
      <c r="O180" s="5"/>
      <c r="P180" s="6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15"/>
      <c r="B181" s="28"/>
      <c r="C181" s="29" t="s">
        <v>112</v>
      </c>
      <c r="D181" s="30"/>
      <c r="E181" s="17">
        <f>KAMPUNGMANDAR!P181+KAMPUNGMELAYU!M181+KARANGREJO!AI181+KEBALENAN!AH181+KEPATIHAN!S181+KERTOSARI!AB181+LATENG!AD181+PAKIS!T181+PANDEREJO!R181+PENGANJURAN!T181+PENGANTIGAN!X181+SINGONEGARAN!U181+SINGOTRUNAN!AE181+SOBO!AB181+SUMBERREJO!U181+TAMANBARU!Z181+TEMENGGUNGAN!L181+TUKANGKAYU!AD181</f>
        <v>41</v>
      </c>
      <c r="F181" s="15"/>
      <c r="G181" s="5"/>
      <c r="H181" s="5"/>
      <c r="I181" s="5"/>
      <c r="J181" s="5"/>
      <c r="K181" s="5"/>
      <c r="L181" s="5"/>
      <c r="M181" s="5"/>
      <c r="N181" s="5"/>
      <c r="O181" s="5"/>
      <c r="P181" s="6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15"/>
      <c r="B182" s="28"/>
      <c r="C182" s="29" t="s">
        <v>113</v>
      </c>
      <c r="D182" s="30"/>
      <c r="E182" s="17">
        <f>KAMPUNGMANDAR!P182+KAMPUNGMELAYU!M182+KARANGREJO!AI182+KEBALENAN!AH182+KEPATIHAN!S182+KERTOSARI!AB182+LATENG!AD182+PAKIS!T182+PANDEREJO!R182+PENGANJURAN!T182+PENGANTIGAN!X182+SINGONEGARAN!U182+SINGOTRUNAN!AE182+SOBO!AB182+SUMBERREJO!U182+TAMANBARU!Z182+TEMENGGUNGAN!L182+TUKANGKAYU!AD182</f>
        <v>85</v>
      </c>
      <c r="F182" s="15"/>
      <c r="G182" s="5"/>
      <c r="H182" s="5"/>
      <c r="I182" s="5"/>
      <c r="J182" s="5"/>
      <c r="K182" s="5"/>
      <c r="L182" s="5"/>
      <c r="M182" s="5"/>
      <c r="N182" s="5"/>
      <c r="O182" s="5"/>
      <c r="P182" s="6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15"/>
      <c r="B183" s="28"/>
      <c r="C183" s="29" t="s">
        <v>114</v>
      </c>
      <c r="D183" s="30"/>
      <c r="E183" s="17">
        <f>KAMPUNGMANDAR!P183+KAMPUNGMELAYU!M183+KARANGREJO!AI183+KEBALENAN!AH183+KEPATIHAN!S183+KERTOSARI!AB183+LATENG!AD183+PAKIS!T183+PANDEREJO!R183+PENGANJURAN!T183+PENGANTIGAN!X183+SINGONEGARAN!U183+SINGOTRUNAN!AE183+SOBO!AB183+SUMBERREJO!U183+TAMANBARU!Z183+TEMENGGUNGAN!L183+TUKANGKAYU!AD183</f>
        <v>8</v>
      </c>
      <c r="F183" s="15"/>
      <c r="G183" s="5"/>
      <c r="H183" s="5"/>
      <c r="I183" s="5"/>
      <c r="J183" s="5"/>
      <c r="K183" s="5"/>
      <c r="L183" s="5"/>
      <c r="M183" s="5"/>
      <c r="N183" s="5"/>
      <c r="O183" s="5"/>
      <c r="P183" s="6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15"/>
      <c r="B184" s="35"/>
      <c r="C184" s="37"/>
      <c r="D184" s="39"/>
      <c r="E184" s="36"/>
      <c r="F184" s="15"/>
      <c r="G184" s="5"/>
      <c r="H184" s="5"/>
      <c r="I184" s="5"/>
      <c r="J184" s="5"/>
      <c r="K184" s="5"/>
      <c r="L184" s="5"/>
      <c r="M184" s="5"/>
      <c r="N184" s="5"/>
      <c r="O184" s="5"/>
      <c r="P184" s="6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15"/>
      <c r="B185" s="35"/>
      <c r="C185" s="37"/>
      <c r="D185" s="39"/>
      <c r="E185" s="36"/>
      <c r="F185" s="15"/>
      <c r="G185" s="5"/>
      <c r="H185" s="5"/>
      <c r="I185" s="5"/>
      <c r="J185" s="5"/>
      <c r="K185" s="5"/>
      <c r="L185" s="5"/>
      <c r="M185" s="5"/>
      <c r="N185" s="5"/>
      <c r="O185" s="5"/>
      <c r="P185" s="6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15"/>
      <c r="B186" s="35"/>
      <c r="C186" s="37"/>
      <c r="D186" s="39"/>
      <c r="E186" s="36"/>
      <c r="F186" s="15"/>
      <c r="G186" s="5"/>
      <c r="H186" s="5"/>
      <c r="I186" s="5"/>
      <c r="J186" s="5"/>
      <c r="K186" s="5"/>
      <c r="L186" s="5"/>
      <c r="M186" s="5"/>
      <c r="N186" s="5"/>
      <c r="O186" s="5"/>
      <c r="P186" s="6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16" t="s">
        <v>14</v>
      </c>
      <c r="B187" s="60" t="s">
        <v>45</v>
      </c>
      <c r="C187" s="61"/>
      <c r="D187" s="62"/>
      <c r="E187" s="13">
        <f>SUM(E177:E186)</f>
        <v>931</v>
      </c>
      <c r="F187" s="15"/>
      <c r="G187" s="5"/>
      <c r="H187" s="5"/>
      <c r="I187" s="5"/>
      <c r="J187" s="5"/>
      <c r="K187" s="5"/>
      <c r="L187" s="5"/>
      <c r="M187" s="5"/>
      <c r="N187" s="5"/>
      <c r="O187" s="5"/>
      <c r="P187" s="6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63"/>
      <c r="B188" s="61"/>
      <c r="C188" s="61"/>
      <c r="D188" s="61"/>
      <c r="E188" s="62"/>
      <c r="F188" s="15"/>
      <c r="G188" s="5"/>
      <c r="H188" s="5"/>
      <c r="I188" s="5"/>
      <c r="J188" s="5"/>
      <c r="K188" s="5"/>
      <c r="L188" s="5"/>
      <c r="M188" s="5"/>
      <c r="N188" s="5"/>
      <c r="O188" s="5"/>
      <c r="P188" s="6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20" t="s">
        <v>36</v>
      </c>
      <c r="B189" s="27" t="s">
        <v>115</v>
      </c>
      <c r="C189" s="64" t="s">
        <v>116</v>
      </c>
      <c r="D189" s="62"/>
      <c r="E189" s="17">
        <f>KAMPUNGMANDAR!P189+KAMPUNGMELAYU!M189+KARANGREJO!AI189+KEBALENAN!AH189+KEPATIHAN!S189+KERTOSARI!AB189+LATENG!AD189+PAKIS!T189+PANDEREJO!R189+PENGANJURAN!T189+PENGANTIGAN!X189+SINGONEGARAN!U189+SINGOTRUNAN!AE189+SOBO!AB189+SUMBERREJO!U189+TAMANBARU!Z189+TEMENGGUNGAN!L189+TUKANGKAYU!AD189</f>
        <v>75</v>
      </c>
      <c r="F189" s="18"/>
      <c r="G189" s="1"/>
      <c r="H189" s="1"/>
      <c r="I189" s="1"/>
      <c r="J189" s="1"/>
      <c r="K189" s="1"/>
      <c r="L189" s="1"/>
      <c r="M189" s="1"/>
      <c r="N189" s="1"/>
      <c r="O189" s="1"/>
      <c r="P189" s="9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4">
      <c r="A190" s="20" t="s">
        <v>38</v>
      </c>
      <c r="B190" s="28"/>
      <c r="C190" s="29" t="s">
        <v>117</v>
      </c>
      <c r="D190" s="30"/>
      <c r="E190" s="17">
        <f>KAMPUNGMANDAR!P190+KAMPUNGMELAYU!M190+KARANGREJO!AI190+KEBALENAN!AH190+KEPATIHAN!S190+KERTOSARI!AB190+LATENG!AD190+PAKIS!T190+PANDEREJO!R190+PENGANJURAN!T190+PENGANTIGAN!X190+SINGONEGARAN!U190+SINGOTRUNAN!AE190+SOBO!AB190+SUMBERREJO!U190+TAMANBARU!Z190+TEMENGGUNGAN!L190+TUKANGKAYU!AD190</f>
        <v>59</v>
      </c>
      <c r="F190" s="31"/>
      <c r="G190" s="32"/>
      <c r="H190" s="32"/>
      <c r="I190" s="32"/>
      <c r="J190" s="32"/>
      <c r="K190" s="32"/>
      <c r="L190" s="32"/>
      <c r="M190" s="32"/>
      <c r="N190" s="32"/>
      <c r="O190" s="32"/>
      <c r="P190" s="33"/>
      <c r="Q190" s="3"/>
      <c r="R190" s="3"/>
      <c r="S190" s="3"/>
      <c r="T190" s="3"/>
      <c r="U190" s="3"/>
      <c r="V190" s="3"/>
      <c r="W190" s="34"/>
      <c r="X190" s="3"/>
      <c r="Y190" s="3"/>
      <c r="Z190" s="3"/>
    </row>
    <row r="191" spans="1:26" ht="15.75" customHeight="1" x14ac:dyDescent="0.4">
      <c r="A191" s="15"/>
      <c r="B191" s="28"/>
      <c r="C191" s="29" t="s">
        <v>118</v>
      </c>
      <c r="D191" s="30"/>
      <c r="E191" s="17">
        <f>KAMPUNGMANDAR!P191+KAMPUNGMELAYU!M191+KARANGREJO!AI191+KEBALENAN!AH191+KEPATIHAN!S191+KERTOSARI!AB191+LATENG!AD191+PAKIS!T191+PANDEREJO!R191+PENGANJURAN!T191+PENGANTIGAN!X191+SINGONEGARAN!U191+SINGOTRUNAN!AE191+SOBO!AB191+SUMBERREJO!U191+TAMANBARU!Z191+TEMENGGUNGAN!L191+TUKANGKAYU!AD191</f>
        <v>30</v>
      </c>
      <c r="F191" s="15"/>
      <c r="G191" s="5"/>
      <c r="H191" s="5"/>
      <c r="I191" s="5"/>
      <c r="J191" s="5"/>
      <c r="K191" s="5"/>
      <c r="L191" s="5"/>
      <c r="M191" s="5"/>
      <c r="N191" s="5"/>
      <c r="O191" s="5"/>
      <c r="P191" s="6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15"/>
      <c r="B192" s="28"/>
      <c r="C192" s="29" t="s">
        <v>119</v>
      </c>
      <c r="D192" s="30"/>
      <c r="E192" s="17">
        <f>KAMPUNGMANDAR!P192+KAMPUNGMELAYU!M192+KARANGREJO!AI192+KEBALENAN!AH192+KEPATIHAN!S192+KERTOSARI!AB192+LATENG!AD192+PAKIS!T192+PANDEREJO!R192+PENGANJURAN!T192+PENGANTIGAN!X192+SINGONEGARAN!U192+SINGOTRUNAN!AE192+SOBO!AB192+SUMBERREJO!U192+TAMANBARU!Z192+TEMENGGUNGAN!L192+TUKANGKAYU!AD192</f>
        <v>85</v>
      </c>
      <c r="F192" s="15"/>
      <c r="G192" s="5"/>
      <c r="H192" s="5"/>
      <c r="I192" s="5"/>
      <c r="J192" s="5"/>
      <c r="K192" s="5"/>
      <c r="L192" s="5"/>
      <c r="M192" s="5"/>
      <c r="N192" s="5"/>
      <c r="O192" s="5"/>
      <c r="P192" s="6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15"/>
      <c r="B193" s="28"/>
      <c r="C193" s="29" t="s">
        <v>120</v>
      </c>
      <c r="D193" s="30"/>
      <c r="E193" s="17">
        <f>KAMPUNGMANDAR!P193+KAMPUNGMELAYU!M193+KARANGREJO!AI193+KEBALENAN!AH193+KEPATIHAN!S193+KERTOSARI!AB193+LATENG!AD193+PAKIS!T193+PANDEREJO!R193+PENGANJURAN!T193+PENGANTIGAN!X193+SINGONEGARAN!U193+SINGOTRUNAN!AE193+SOBO!AB193+SUMBERREJO!U193+TAMANBARU!Z193+TEMENGGUNGAN!L193+TUKANGKAYU!AD193</f>
        <v>6</v>
      </c>
      <c r="F193" s="15"/>
      <c r="G193" s="5"/>
      <c r="H193" s="5"/>
      <c r="I193" s="5"/>
      <c r="J193" s="5"/>
      <c r="K193" s="5"/>
      <c r="L193" s="5"/>
      <c r="M193" s="5"/>
      <c r="N193" s="5"/>
      <c r="O193" s="5"/>
      <c r="P193" s="6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15"/>
      <c r="B194" s="28"/>
      <c r="C194" s="29" t="s">
        <v>121</v>
      </c>
      <c r="D194" s="30"/>
      <c r="E194" s="17">
        <f>KAMPUNGMANDAR!P194+KAMPUNGMELAYU!M194+KARANGREJO!AI194+KEBALENAN!AH194+KEPATIHAN!S194+KERTOSARI!AB194+LATENG!AD194+PAKIS!T194+PANDEREJO!R194+PENGANJURAN!T194+PENGANTIGAN!X194+SINGONEGARAN!U194+SINGOTRUNAN!AE194+SOBO!AB194+SUMBERREJO!U194+TAMANBARU!Z194+TEMENGGUNGAN!L194+TUKANGKAYU!AD194</f>
        <v>45</v>
      </c>
      <c r="F194" s="15"/>
      <c r="G194" s="5"/>
      <c r="H194" s="5"/>
      <c r="I194" s="5"/>
      <c r="J194" s="5"/>
      <c r="K194" s="5"/>
      <c r="L194" s="5"/>
      <c r="M194" s="5"/>
      <c r="N194" s="5"/>
      <c r="O194" s="5"/>
      <c r="P194" s="6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15"/>
      <c r="B195" s="28"/>
      <c r="C195" s="29" t="s">
        <v>122</v>
      </c>
      <c r="D195" s="30"/>
      <c r="E195" s="17">
        <f>KAMPUNGMANDAR!P195+KAMPUNGMELAYU!M195+KARANGREJO!AI195+KEBALENAN!AH195+KEPATIHAN!S195+KERTOSARI!AB195+LATENG!AD195+PAKIS!T195+PANDEREJO!R195+PENGANJURAN!T195+PENGANTIGAN!X195+SINGONEGARAN!U195+SINGOTRUNAN!AE195+SOBO!AB195+SUMBERREJO!U195+TAMANBARU!Z195+TEMENGGUNGAN!L195+TUKANGKAYU!AD195</f>
        <v>457</v>
      </c>
      <c r="F195" s="15"/>
      <c r="G195" s="5"/>
      <c r="H195" s="5"/>
      <c r="I195" s="5"/>
      <c r="J195" s="5"/>
      <c r="K195" s="5"/>
      <c r="L195" s="5"/>
      <c r="M195" s="5"/>
      <c r="N195" s="5"/>
      <c r="O195" s="5"/>
      <c r="P195" s="6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15"/>
      <c r="B196" s="35"/>
      <c r="C196" s="37"/>
      <c r="D196" s="39"/>
      <c r="E196" s="36"/>
      <c r="F196" s="15"/>
      <c r="G196" s="5"/>
      <c r="H196" s="5"/>
      <c r="I196" s="5"/>
      <c r="J196" s="5"/>
      <c r="K196" s="5"/>
      <c r="L196" s="5"/>
      <c r="M196" s="5"/>
      <c r="N196" s="5"/>
      <c r="O196" s="5"/>
      <c r="P196" s="6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15"/>
      <c r="B197" s="35"/>
      <c r="C197" s="37"/>
      <c r="D197" s="39"/>
      <c r="E197" s="36"/>
      <c r="F197" s="15"/>
      <c r="G197" s="5"/>
      <c r="H197" s="5"/>
      <c r="I197" s="5"/>
      <c r="J197" s="5"/>
      <c r="K197" s="5"/>
      <c r="L197" s="5"/>
      <c r="M197" s="5"/>
      <c r="N197" s="5"/>
      <c r="O197" s="5"/>
      <c r="P197" s="6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15"/>
      <c r="B198" s="35"/>
      <c r="C198" s="37"/>
      <c r="D198" s="39"/>
      <c r="E198" s="36"/>
      <c r="F198" s="15"/>
      <c r="G198" s="5"/>
      <c r="H198" s="5"/>
      <c r="I198" s="5"/>
      <c r="J198" s="5"/>
      <c r="K198" s="5"/>
      <c r="L198" s="5"/>
      <c r="M198" s="5"/>
      <c r="N198" s="5"/>
      <c r="O198" s="5"/>
      <c r="P198" s="6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16" t="s">
        <v>14</v>
      </c>
      <c r="B199" s="60" t="s">
        <v>45</v>
      </c>
      <c r="C199" s="61"/>
      <c r="D199" s="62"/>
      <c r="E199" s="13">
        <f>SUM(E189:E198)</f>
        <v>757</v>
      </c>
      <c r="F199" s="15"/>
      <c r="G199" s="5"/>
      <c r="H199" s="5"/>
      <c r="I199" s="5"/>
      <c r="J199" s="5"/>
      <c r="K199" s="5"/>
      <c r="L199" s="5"/>
      <c r="M199" s="5"/>
      <c r="N199" s="5"/>
      <c r="O199" s="5"/>
      <c r="P199" s="6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63"/>
      <c r="B200" s="61"/>
      <c r="C200" s="61"/>
      <c r="D200" s="61"/>
      <c r="E200" s="62"/>
      <c r="F200" s="15"/>
      <c r="G200" s="5"/>
      <c r="H200" s="5"/>
      <c r="I200" s="5"/>
      <c r="J200" s="5"/>
      <c r="K200" s="5"/>
      <c r="L200" s="5"/>
      <c r="M200" s="5"/>
      <c r="N200" s="5"/>
      <c r="O200" s="5"/>
      <c r="P200" s="6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20" t="s">
        <v>36</v>
      </c>
      <c r="B201" s="27" t="s">
        <v>123</v>
      </c>
      <c r="C201" s="64" t="s">
        <v>124</v>
      </c>
      <c r="D201" s="62"/>
      <c r="E201" s="17">
        <f>KAMPUNGMANDAR!P201+KAMPUNGMELAYU!M201+KARANGREJO!AI201+KEBALENAN!AH201+KEPATIHAN!S201+KERTOSARI!AB201+LATENG!AD201+PAKIS!T201+PANDEREJO!R201+PENGANJURAN!T201+PENGANTIGAN!X201+SINGONEGARAN!U201+SINGOTRUNAN!AE201+SOBO!AB201+SUMBERREJO!U201+TAMANBARU!Z201+TEMENGGUNGAN!L201+TUKANGKAYU!AD201</f>
        <v>1017</v>
      </c>
      <c r="F201" s="18"/>
      <c r="G201" s="1"/>
      <c r="H201" s="1"/>
      <c r="I201" s="1"/>
      <c r="J201" s="1"/>
      <c r="K201" s="1"/>
      <c r="L201" s="1"/>
      <c r="M201" s="1"/>
      <c r="N201" s="1"/>
      <c r="O201" s="1"/>
      <c r="P201" s="9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4">
      <c r="A202" s="20" t="s">
        <v>38</v>
      </c>
      <c r="B202" s="28"/>
      <c r="C202" s="29" t="s">
        <v>125</v>
      </c>
      <c r="D202" s="30"/>
      <c r="E202" s="17">
        <f>KAMPUNGMANDAR!P202+KAMPUNGMELAYU!M202+KARANGREJO!AI202+KEBALENAN!AH202+KEPATIHAN!S202+KERTOSARI!AB202+LATENG!AD202+PAKIS!T202+PANDEREJO!R202+PENGANJURAN!T202+PENGANTIGAN!X202+SINGONEGARAN!U202+SINGOTRUNAN!AE202+SOBO!AB202+SUMBERREJO!U202+TAMANBARU!Z202+TEMENGGUNGAN!L202+TUKANGKAYU!AD202</f>
        <v>3279</v>
      </c>
      <c r="F202" s="31"/>
      <c r="G202" s="32"/>
      <c r="H202" s="32"/>
      <c r="I202" s="32"/>
      <c r="J202" s="32"/>
      <c r="K202" s="32"/>
      <c r="L202" s="32"/>
      <c r="M202" s="32"/>
      <c r="N202" s="32"/>
      <c r="O202" s="32"/>
      <c r="P202" s="33"/>
      <c r="Q202" s="3"/>
      <c r="R202" s="3"/>
      <c r="S202" s="3"/>
      <c r="T202" s="3"/>
      <c r="U202" s="3"/>
      <c r="V202" s="3"/>
      <c r="W202" s="34"/>
      <c r="X202" s="3"/>
      <c r="Y202" s="3"/>
      <c r="Z202" s="3"/>
    </row>
    <row r="203" spans="1:26" ht="15.75" customHeight="1" x14ac:dyDescent="0.4">
      <c r="A203" s="15"/>
      <c r="B203" s="28"/>
      <c r="C203" s="29" t="s">
        <v>126</v>
      </c>
      <c r="D203" s="30"/>
      <c r="E203" s="17">
        <f>KAMPUNGMANDAR!P203+KAMPUNGMELAYU!M203+KARANGREJO!AI203+KEBALENAN!AH203+KEPATIHAN!S203+KERTOSARI!AB203+LATENG!AD203+PAKIS!T203+PANDEREJO!R203+PENGANJURAN!T203+PENGANTIGAN!X203+SINGONEGARAN!U203+SINGOTRUNAN!AE203+SOBO!AB203+SUMBERREJO!U203+TAMANBARU!Z203+TEMENGGUNGAN!L203+TUKANGKAYU!AD203</f>
        <v>1221</v>
      </c>
      <c r="F203" s="15"/>
      <c r="G203" s="5"/>
      <c r="H203" s="5"/>
      <c r="I203" s="5"/>
      <c r="J203" s="5"/>
      <c r="K203" s="5"/>
      <c r="L203" s="5"/>
      <c r="M203" s="5"/>
      <c r="N203" s="5"/>
      <c r="O203" s="5"/>
      <c r="P203" s="6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15"/>
      <c r="B204" s="28"/>
      <c r="C204" s="29" t="s">
        <v>127</v>
      </c>
      <c r="D204" s="30"/>
      <c r="E204" s="17">
        <f>KAMPUNGMANDAR!P204+KAMPUNGMELAYU!M204+KARANGREJO!AI204+KEBALENAN!AH204+KEPATIHAN!S204+KERTOSARI!AB204+LATENG!AD204+PAKIS!T204+PANDEREJO!R204+PENGANJURAN!T204+PENGANTIGAN!X204+SINGONEGARAN!U204+SINGOTRUNAN!AE204+SOBO!AB204+SUMBERREJO!U204+TAMANBARU!Z204+TEMENGGUNGAN!L204+TUKANGKAYU!AD204</f>
        <v>2422</v>
      </c>
      <c r="F204" s="15"/>
      <c r="G204" s="5"/>
      <c r="H204" s="5"/>
      <c r="I204" s="5"/>
      <c r="J204" s="5"/>
      <c r="K204" s="5"/>
      <c r="L204" s="5"/>
      <c r="M204" s="5"/>
      <c r="N204" s="5"/>
      <c r="O204" s="5"/>
      <c r="P204" s="6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15"/>
      <c r="B205" s="28"/>
      <c r="C205" s="29" t="s">
        <v>128</v>
      </c>
      <c r="D205" s="30"/>
      <c r="E205" s="17">
        <f>KAMPUNGMANDAR!P205+KAMPUNGMELAYU!M205+KARANGREJO!AI205+KEBALENAN!AH205+KEPATIHAN!S205+KERTOSARI!AB205+LATENG!AD205+PAKIS!T205+PANDEREJO!R205+PENGANJURAN!T205+PENGANTIGAN!X205+SINGONEGARAN!U205+SINGOTRUNAN!AE205+SOBO!AB205+SUMBERREJO!U205+TAMANBARU!Z205+TEMENGGUNGAN!L205+TUKANGKAYU!AD205</f>
        <v>112</v>
      </c>
      <c r="F205" s="15"/>
      <c r="G205" s="5"/>
      <c r="H205" s="5"/>
      <c r="I205" s="5"/>
      <c r="J205" s="5"/>
      <c r="K205" s="5"/>
      <c r="L205" s="5"/>
      <c r="M205" s="5"/>
      <c r="N205" s="5"/>
      <c r="O205" s="5"/>
      <c r="P205" s="6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15"/>
      <c r="B206" s="28"/>
      <c r="C206" s="29" t="s">
        <v>129</v>
      </c>
      <c r="D206" s="30"/>
      <c r="E206" s="17">
        <f>KAMPUNGMANDAR!P206+KAMPUNGMELAYU!M206+KARANGREJO!AI206+KEBALENAN!AH206+KEPATIHAN!S206+KERTOSARI!AB206+LATENG!AD206+PAKIS!T206+PANDEREJO!R206+PENGANJURAN!T206+PENGANTIGAN!X206+SINGONEGARAN!U206+SINGOTRUNAN!AE206+SOBO!AB206+SUMBERREJO!U206+TAMANBARU!Z206+TEMENGGUNGAN!L206+TUKANGKAYU!AD206</f>
        <v>55</v>
      </c>
      <c r="F206" s="15"/>
      <c r="G206" s="5"/>
      <c r="H206" s="5"/>
      <c r="I206" s="5"/>
      <c r="J206" s="5"/>
      <c r="K206" s="5"/>
      <c r="L206" s="5"/>
      <c r="M206" s="5"/>
      <c r="N206" s="5"/>
      <c r="O206" s="5"/>
      <c r="P206" s="6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15"/>
      <c r="B207" s="28"/>
      <c r="C207" s="29" t="s">
        <v>130</v>
      </c>
      <c r="D207" s="30"/>
      <c r="E207" s="17">
        <f>KAMPUNGMANDAR!P207+KAMPUNGMELAYU!M207+KARANGREJO!AI207+KEBALENAN!AH207+KEPATIHAN!S207+KERTOSARI!AB207+LATENG!AD207+PAKIS!T207+PANDEREJO!R207+PENGANJURAN!T207+PENGANTIGAN!X207+SINGONEGARAN!U207+SINGOTRUNAN!AE207+SOBO!AB207+SUMBERREJO!U207+TAMANBARU!Z207+TEMENGGUNGAN!L207+TUKANGKAYU!AD207</f>
        <v>279</v>
      </c>
      <c r="F207" s="15"/>
      <c r="G207" s="5"/>
      <c r="H207" s="5"/>
      <c r="I207" s="5"/>
      <c r="J207" s="5"/>
      <c r="K207" s="5"/>
      <c r="L207" s="5"/>
      <c r="M207" s="5"/>
      <c r="N207" s="5"/>
      <c r="O207" s="5"/>
      <c r="P207" s="6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15"/>
      <c r="B208" s="35"/>
      <c r="C208" s="37"/>
      <c r="D208" s="39"/>
      <c r="E208" s="36"/>
      <c r="F208" s="15"/>
      <c r="G208" s="5"/>
      <c r="H208" s="5"/>
      <c r="I208" s="5"/>
      <c r="J208" s="5"/>
      <c r="K208" s="5"/>
      <c r="L208" s="5"/>
      <c r="M208" s="5"/>
      <c r="N208" s="5"/>
      <c r="O208" s="5"/>
      <c r="P208" s="6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15"/>
      <c r="B209" s="35"/>
      <c r="C209" s="37"/>
      <c r="D209" s="39"/>
      <c r="E209" s="36"/>
      <c r="F209" s="15"/>
      <c r="G209" s="5"/>
      <c r="H209" s="5"/>
      <c r="I209" s="5"/>
      <c r="J209" s="5"/>
      <c r="K209" s="5"/>
      <c r="L209" s="5"/>
      <c r="M209" s="5"/>
      <c r="N209" s="5"/>
      <c r="O209" s="5"/>
      <c r="P209" s="6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15"/>
      <c r="B210" s="35"/>
      <c r="C210" s="37"/>
      <c r="D210" s="39"/>
      <c r="E210" s="36"/>
      <c r="F210" s="15"/>
      <c r="G210" s="5"/>
      <c r="H210" s="5"/>
      <c r="I210" s="5"/>
      <c r="J210" s="5"/>
      <c r="K210" s="5"/>
      <c r="L210" s="5"/>
      <c r="M210" s="5"/>
      <c r="N210" s="5"/>
      <c r="O210" s="5"/>
      <c r="P210" s="6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16" t="s">
        <v>14</v>
      </c>
      <c r="B211" s="60" t="s">
        <v>45</v>
      </c>
      <c r="C211" s="61"/>
      <c r="D211" s="62"/>
      <c r="E211" s="13">
        <f>SUM(E201:E210)</f>
        <v>8385</v>
      </c>
      <c r="F211" s="15"/>
      <c r="G211" s="5"/>
      <c r="H211" s="5"/>
      <c r="I211" s="5"/>
      <c r="J211" s="5"/>
      <c r="K211" s="5"/>
      <c r="L211" s="5"/>
      <c r="M211" s="5"/>
      <c r="N211" s="5"/>
      <c r="O211" s="5"/>
      <c r="P211" s="6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63"/>
      <c r="B212" s="61"/>
      <c r="C212" s="61"/>
      <c r="D212" s="61"/>
      <c r="E212" s="62"/>
      <c r="F212" s="15"/>
      <c r="G212" s="5"/>
      <c r="H212" s="5"/>
      <c r="I212" s="5"/>
      <c r="J212" s="5"/>
      <c r="K212" s="5"/>
      <c r="L212" s="5"/>
      <c r="M212" s="5"/>
      <c r="N212" s="5"/>
      <c r="O212" s="5"/>
      <c r="P212" s="6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20" t="s">
        <v>36</v>
      </c>
      <c r="B213" s="27" t="s">
        <v>131</v>
      </c>
      <c r="C213" s="64" t="s">
        <v>132</v>
      </c>
      <c r="D213" s="62"/>
      <c r="E213" s="17">
        <f>KAMPUNGMANDAR!P213+KAMPUNGMELAYU!M213+KARANGREJO!AI213+KEBALENAN!AH213+KEPATIHAN!S213+KERTOSARI!AB213+LATENG!AD213+PAKIS!T213+PANDEREJO!R213+PENGANJURAN!T213+PENGANTIGAN!X213+SINGONEGARAN!U213+SINGOTRUNAN!AE213+SOBO!AB213+SUMBERREJO!U213+TAMANBARU!Z213+TEMENGGUNGAN!L213+TUKANGKAYU!AD213</f>
        <v>627</v>
      </c>
      <c r="F213" s="18"/>
      <c r="G213" s="1"/>
      <c r="H213" s="1"/>
      <c r="I213" s="1"/>
      <c r="J213" s="1"/>
      <c r="K213" s="1"/>
      <c r="L213" s="1"/>
      <c r="M213" s="1"/>
      <c r="N213" s="1"/>
      <c r="O213" s="1"/>
      <c r="P213" s="9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4">
      <c r="A214" s="20" t="s">
        <v>38</v>
      </c>
      <c r="B214" s="27"/>
      <c r="C214" s="29" t="s">
        <v>133</v>
      </c>
      <c r="D214" s="40"/>
      <c r="E214" s="17">
        <f>KAMPUNGMANDAR!P214+KAMPUNGMELAYU!M214+KARANGREJO!AI214+KEBALENAN!AH214+KEPATIHAN!S214+KERTOSARI!AB214+LATENG!AD214+PAKIS!T214+PANDEREJO!R214+PENGANJURAN!T214+PENGANTIGAN!X214+SINGONEGARAN!U214+SINGOTRUNAN!AE214+SOBO!AB214+SUMBERREJO!U214+TAMANBARU!Z214+TEMENGGUNGAN!L214+TUKANGKAYU!AD214</f>
        <v>332</v>
      </c>
      <c r="F214" s="31"/>
      <c r="G214" s="32"/>
      <c r="H214" s="32"/>
      <c r="I214" s="32"/>
      <c r="J214" s="32"/>
      <c r="K214" s="32"/>
      <c r="L214" s="32"/>
      <c r="M214" s="32"/>
      <c r="N214" s="32"/>
      <c r="O214" s="32"/>
      <c r="P214" s="33"/>
      <c r="Q214" s="3"/>
      <c r="R214" s="3"/>
      <c r="S214" s="3"/>
      <c r="T214" s="3"/>
      <c r="U214" s="3"/>
      <c r="V214" s="3"/>
      <c r="W214" s="34"/>
      <c r="X214" s="3"/>
      <c r="Y214" s="3"/>
      <c r="Z214" s="3"/>
    </row>
    <row r="215" spans="1:26" ht="15.75" customHeight="1" x14ac:dyDescent="0.4">
      <c r="A215" s="15"/>
      <c r="B215" s="27"/>
      <c r="C215" s="29" t="s">
        <v>134</v>
      </c>
      <c r="D215" s="40"/>
      <c r="E215" s="17">
        <f>KAMPUNGMANDAR!P215+KAMPUNGMELAYU!M215+KARANGREJO!AI215+KEBALENAN!AH215+KEPATIHAN!S215+KERTOSARI!AB215+LATENG!AD215+PAKIS!T215+PANDEREJO!R215+PENGANJURAN!T215+PENGANTIGAN!X215+SINGONEGARAN!U215+SINGOTRUNAN!AE215+SOBO!AB215+SUMBERREJO!U215+TAMANBARU!Z215+TEMENGGUNGAN!L215+TUKANGKAYU!AD215</f>
        <v>150</v>
      </c>
      <c r="F215" s="15"/>
      <c r="G215" s="5"/>
      <c r="H215" s="5"/>
      <c r="I215" s="5"/>
      <c r="J215" s="5"/>
      <c r="K215" s="5"/>
      <c r="L215" s="5"/>
      <c r="M215" s="5"/>
      <c r="N215" s="5"/>
      <c r="O215" s="5"/>
      <c r="P215" s="6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15"/>
      <c r="B216" s="27"/>
      <c r="C216" s="29" t="s">
        <v>135</v>
      </c>
      <c r="D216" s="40"/>
      <c r="E216" s="17">
        <f>KAMPUNGMANDAR!P216+KAMPUNGMELAYU!M216+KARANGREJO!AI216+KEBALENAN!AH216+KEPATIHAN!S216+KERTOSARI!AB216+LATENG!AD216+PAKIS!T216+PANDEREJO!R216+PENGANJURAN!T216+PENGANTIGAN!X216+SINGONEGARAN!U216+SINGOTRUNAN!AE216+SOBO!AB216+SUMBERREJO!U216+TAMANBARU!Z216+TEMENGGUNGAN!L216+TUKANGKAYU!AD216</f>
        <v>112</v>
      </c>
      <c r="F216" s="15"/>
      <c r="G216" s="5"/>
      <c r="H216" s="5"/>
      <c r="I216" s="5"/>
      <c r="J216" s="5"/>
      <c r="K216" s="5"/>
      <c r="L216" s="5"/>
      <c r="M216" s="5"/>
      <c r="N216" s="5"/>
      <c r="O216" s="5"/>
      <c r="P216" s="6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15"/>
      <c r="B217" s="28"/>
      <c r="C217" s="29" t="s">
        <v>136</v>
      </c>
      <c r="D217" s="30"/>
      <c r="E217" s="17">
        <f>KAMPUNGMANDAR!P217+KAMPUNGMELAYU!M217+KARANGREJO!AI217+KEBALENAN!AH217+KEPATIHAN!S217+KERTOSARI!AB217+LATENG!AD217+PAKIS!T217+PANDEREJO!R217+PENGANJURAN!T217+PENGANTIGAN!X217+SINGONEGARAN!U217+SINGOTRUNAN!AE217+SOBO!AB217+SUMBERREJO!U217+TAMANBARU!Z217+TEMENGGUNGAN!L217+TUKANGKAYU!AD217</f>
        <v>53</v>
      </c>
      <c r="F217" s="15"/>
      <c r="G217" s="5"/>
      <c r="H217" s="5"/>
      <c r="I217" s="5"/>
      <c r="J217" s="5"/>
      <c r="K217" s="5"/>
      <c r="L217" s="5"/>
      <c r="M217" s="5"/>
      <c r="N217" s="5"/>
      <c r="O217" s="5"/>
      <c r="P217" s="6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15"/>
      <c r="B218" s="28"/>
      <c r="C218" s="29" t="s">
        <v>137</v>
      </c>
      <c r="D218" s="30"/>
      <c r="E218" s="17">
        <f>KAMPUNGMANDAR!P218+KAMPUNGMELAYU!M218+KARANGREJO!AI218+KEBALENAN!AH218+KEPATIHAN!S218+KERTOSARI!AB218+LATENG!AD218+PAKIS!T218+PANDEREJO!R218+PENGANJURAN!T218+PENGANTIGAN!X218+SINGONEGARAN!U218+SINGOTRUNAN!AE218+SOBO!AB218+SUMBERREJO!U218+TAMANBARU!Z218+TEMENGGUNGAN!L218+TUKANGKAYU!AD218</f>
        <v>117</v>
      </c>
      <c r="F218" s="15"/>
      <c r="G218" s="5"/>
      <c r="H218" s="5"/>
      <c r="I218" s="5"/>
      <c r="J218" s="5"/>
      <c r="K218" s="5"/>
      <c r="L218" s="5"/>
      <c r="M218" s="5"/>
      <c r="N218" s="5"/>
      <c r="O218" s="5"/>
      <c r="P218" s="6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15"/>
      <c r="B219" s="35"/>
      <c r="C219" s="37"/>
      <c r="D219" s="38"/>
      <c r="E219" s="36"/>
      <c r="F219" s="15"/>
      <c r="G219" s="5"/>
      <c r="H219" s="5"/>
      <c r="I219" s="5"/>
      <c r="J219" s="5"/>
      <c r="K219" s="5"/>
      <c r="L219" s="5"/>
      <c r="M219" s="5"/>
      <c r="N219" s="5"/>
      <c r="O219" s="5"/>
      <c r="P219" s="6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15"/>
      <c r="B220" s="35"/>
      <c r="C220" s="37"/>
      <c r="D220" s="38"/>
      <c r="E220" s="36"/>
      <c r="F220" s="15"/>
      <c r="G220" s="5"/>
      <c r="H220" s="5"/>
      <c r="I220" s="5"/>
      <c r="J220" s="5"/>
      <c r="K220" s="5"/>
      <c r="L220" s="5"/>
      <c r="M220" s="5"/>
      <c r="N220" s="5"/>
      <c r="O220" s="5"/>
      <c r="P220" s="6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15"/>
      <c r="B221" s="35"/>
      <c r="C221" s="37"/>
      <c r="D221" s="38"/>
      <c r="E221" s="36"/>
      <c r="F221" s="15"/>
      <c r="G221" s="5"/>
      <c r="H221" s="5"/>
      <c r="I221" s="5"/>
      <c r="J221" s="5"/>
      <c r="K221" s="5"/>
      <c r="L221" s="5"/>
      <c r="M221" s="5"/>
      <c r="N221" s="5"/>
      <c r="O221" s="5"/>
      <c r="P221" s="6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15"/>
      <c r="B222" s="35"/>
      <c r="C222" s="37"/>
      <c r="D222" s="38"/>
      <c r="E222" s="36"/>
      <c r="F222" s="15"/>
      <c r="G222" s="5"/>
      <c r="H222" s="5"/>
      <c r="I222" s="5"/>
      <c r="J222" s="5"/>
      <c r="K222" s="5"/>
      <c r="L222" s="5"/>
      <c r="M222" s="5"/>
      <c r="N222" s="5"/>
      <c r="O222" s="5"/>
      <c r="P222" s="6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16" t="s">
        <v>14</v>
      </c>
      <c r="B223" s="60" t="s">
        <v>45</v>
      </c>
      <c r="C223" s="61"/>
      <c r="D223" s="62"/>
      <c r="E223" s="13">
        <f>SUM(E213:E222)</f>
        <v>1391</v>
      </c>
      <c r="F223" s="15"/>
      <c r="G223" s="5"/>
      <c r="H223" s="5"/>
      <c r="I223" s="5"/>
      <c r="J223" s="5"/>
      <c r="K223" s="5"/>
      <c r="L223" s="5"/>
      <c r="M223" s="5"/>
      <c r="N223" s="5"/>
      <c r="O223" s="5"/>
      <c r="P223" s="6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63"/>
      <c r="B224" s="61"/>
      <c r="C224" s="61"/>
      <c r="D224" s="61"/>
      <c r="E224" s="62"/>
      <c r="F224" s="15"/>
      <c r="G224" s="5"/>
      <c r="H224" s="5"/>
      <c r="I224" s="5"/>
      <c r="J224" s="5"/>
      <c r="K224" s="5"/>
      <c r="L224" s="5"/>
      <c r="M224" s="5"/>
      <c r="N224" s="5"/>
      <c r="O224" s="5"/>
      <c r="P224" s="6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20" t="s">
        <v>36</v>
      </c>
      <c r="B225" s="27" t="s">
        <v>138</v>
      </c>
      <c r="C225" s="64" t="s">
        <v>139</v>
      </c>
      <c r="D225" s="62"/>
      <c r="E225" s="17">
        <f>KAMPUNGMANDAR!P225+KAMPUNGMELAYU!M225+KARANGREJO!AI225+KEBALENAN!AH225+KEPATIHAN!S225+KERTOSARI!AB225+LATENG!AD225+PAKIS!T225+PANDEREJO!R225+PENGANJURAN!T225+PENGANTIGAN!X225+SINGONEGARAN!U225+SINGOTRUNAN!AE225+SOBO!AB225+SUMBERREJO!U225+TAMANBARU!Z225+TEMENGGUNGAN!L225+TUKANGKAYU!AD225</f>
        <v>103</v>
      </c>
      <c r="F225" s="18"/>
      <c r="G225" s="1"/>
      <c r="H225" s="1"/>
      <c r="I225" s="1"/>
      <c r="J225" s="1"/>
      <c r="K225" s="1"/>
      <c r="L225" s="1"/>
      <c r="M225" s="1"/>
      <c r="N225" s="1"/>
      <c r="O225" s="1"/>
      <c r="P225" s="9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4">
      <c r="A226" s="20" t="s">
        <v>38</v>
      </c>
      <c r="B226" s="27"/>
      <c r="C226" s="29" t="s">
        <v>140</v>
      </c>
      <c r="D226" s="40"/>
      <c r="E226" s="17">
        <f>KAMPUNGMANDAR!P226+KAMPUNGMELAYU!M226+KARANGREJO!AI226+KEBALENAN!AH226+KEPATIHAN!S226+KERTOSARI!AB226+LATENG!AD226+PAKIS!T226+PANDEREJO!R226+PENGANJURAN!T226+PENGANTIGAN!X226+SINGONEGARAN!U226+SINGOTRUNAN!AE226+SOBO!AB226+SUMBERREJO!U226+TAMANBARU!Z226+TEMENGGUNGAN!L226+TUKANGKAYU!AD226</f>
        <v>65</v>
      </c>
      <c r="F226" s="31"/>
      <c r="G226" s="32"/>
      <c r="H226" s="32"/>
      <c r="I226" s="32"/>
      <c r="J226" s="32"/>
      <c r="K226" s="32"/>
      <c r="L226" s="32"/>
      <c r="M226" s="32"/>
      <c r="N226" s="32"/>
      <c r="O226" s="32"/>
      <c r="P226" s="33"/>
      <c r="Q226" s="3"/>
      <c r="R226" s="3"/>
      <c r="S226" s="3"/>
      <c r="T226" s="3"/>
      <c r="U226" s="3"/>
      <c r="V226" s="3"/>
      <c r="W226" s="34"/>
      <c r="X226" s="3"/>
      <c r="Y226" s="3"/>
      <c r="Z226" s="3"/>
    </row>
    <row r="227" spans="1:26" ht="15.75" customHeight="1" x14ac:dyDescent="0.4">
      <c r="A227" s="15"/>
      <c r="B227" s="27"/>
      <c r="C227" s="29" t="s">
        <v>141</v>
      </c>
      <c r="D227" s="40"/>
      <c r="E227" s="17">
        <f>KAMPUNGMANDAR!P227+KAMPUNGMELAYU!M227+KARANGREJO!AI227+KEBALENAN!AH227+KEPATIHAN!S227+KERTOSARI!AB227+LATENG!AD227+PAKIS!T227+PANDEREJO!R227+PENGANJURAN!T227+PENGANTIGAN!X227+SINGONEGARAN!U227+SINGOTRUNAN!AE227+SOBO!AB227+SUMBERREJO!U227+TAMANBARU!Z227+TEMENGGUNGAN!L227+TUKANGKAYU!AD227</f>
        <v>139</v>
      </c>
      <c r="F227" s="15"/>
      <c r="G227" s="5"/>
      <c r="H227" s="5"/>
      <c r="I227" s="5"/>
      <c r="J227" s="5"/>
      <c r="K227" s="5"/>
      <c r="L227" s="5"/>
      <c r="M227" s="5"/>
      <c r="N227" s="5"/>
      <c r="O227" s="5"/>
      <c r="P227" s="6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15"/>
      <c r="B228" s="27"/>
      <c r="C228" s="29" t="s">
        <v>142</v>
      </c>
      <c r="D228" s="40"/>
      <c r="E228" s="17">
        <f>KAMPUNGMANDAR!P228+KAMPUNGMELAYU!M228+KARANGREJO!AI228+KEBALENAN!AH228+KEPATIHAN!S228+KERTOSARI!AB228+LATENG!AD228+PAKIS!T228+PANDEREJO!R228+PENGANJURAN!T228+PENGANTIGAN!X228+SINGONEGARAN!U228+SINGOTRUNAN!AE228+SOBO!AB228+SUMBERREJO!U228+TAMANBARU!Z228+TEMENGGUNGAN!L228+TUKANGKAYU!AD228</f>
        <v>21</v>
      </c>
      <c r="F228" s="15"/>
      <c r="G228" s="5"/>
      <c r="H228" s="5"/>
      <c r="I228" s="5"/>
      <c r="J228" s="5"/>
      <c r="K228" s="5"/>
      <c r="L228" s="5"/>
      <c r="M228" s="5"/>
      <c r="N228" s="5"/>
      <c r="O228" s="5"/>
      <c r="P228" s="6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15"/>
      <c r="B229" s="28"/>
      <c r="C229" s="29" t="s">
        <v>143</v>
      </c>
      <c r="D229" s="30"/>
      <c r="E229" s="17">
        <f>KAMPUNGMANDAR!P229+KAMPUNGMELAYU!M229+KARANGREJO!AI229+KEBALENAN!AH229+KEPATIHAN!S229+KERTOSARI!AB229+LATENG!AD229+PAKIS!T229+PANDEREJO!R229+PENGANJURAN!T229+PENGANTIGAN!X229+SINGONEGARAN!U229+SINGOTRUNAN!AE229+SOBO!AB229+SUMBERREJO!U229+TAMANBARU!Z229+TEMENGGUNGAN!L229+TUKANGKAYU!AD229</f>
        <v>46</v>
      </c>
      <c r="F229" s="15"/>
      <c r="G229" s="5"/>
      <c r="H229" s="5"/>
      <c r="I229" s="5"/>
      <c r="J229" s="5"/>
      <c r="K229" s="5"/>
      <c r="L229" s="5"/>
      <c r="M229" s="5"/>
      <c r="N229" s="5"/>
      <c r="O229" s="5"/>
      <c r="P229" s="6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15"/>
      <c r="B230" s="28"/>
      <c r="C230" s="29" t="s">
        <v>144</v>
      </c>
      <c r="D230" s="30"/>
      <c r="E230" s="17">
        <f>KAMPUNGMANDAR!P230+KAMPUNGMELAYU!M230+KARANGREJO!AI230+KEBALENAN!AH230+KEPATIHAN!S230+KERTOSARI!AB230+LATENG!AD230+PAKIS!T230+PANDEREJO!R230+PENGANJURAN!T230+PENGANTIGAN!X230+SINGONEGARAN!U230+SINGOTRUNAN!AE230+SOBO!AB230+SUMBERREJO!U230+TAMANBARU!Z230+TEMENGGUNGAN!L230+TUKANGKAYU!AD230</f>
        <v>154</v>
      </c>
      <c r="F230" s="15"/>
      <c r="G230" s="5"/>
      <c r="H230" s="5"/>
      <c r="I230" s="5"/>
      <c r="J230" s="5"/>
      <c r="K230" s="5"/>
      <c r="L230" s="5"/>
      <c r="M230" s="5"/>
      <c r="N230" s="5"/>
      <c r="O230" s="5"/>
      <c r="P230" s="6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15"/>
      <c r="B231" s="28"/>
      <c r="C231" s="29" t="s">
        <v>145</v>
      </c>
      <c r="D231" s="30"/>
      <c r="E231" s="17">
        <f>KAMPUNGMANDAR!P231+KAMPUNGMELAYU!M231+KARANGREJO!AI231+KEBALENAN!AH231+KEPATIHAN!S231+KERTOSARI!AB231+LATENG!AD231+PAKIS!T231+PANDEREJO!R231+PENGANJURAN!T231+PENGANTIGAN!X231+SINGONEGARAN!U231+SINGOTRUNAN!AE231+SOBO!AB231+SUMBERREJO!U231+TAMANBARU!Z231+TEMENGGUNGAN!L231+TUKANGKAYU!AD231</f>
        <v>107</v>
      </c>
      <c r="F231" s="15"/>
      <c r="G231" s="5"/>
      <c r="H231" s="5"/>
      <c r="I231" s="5"/>
      <c r="J231" s="5"/>
      <c r="K231" s="5"/>
      <c r="L231" s="5"/>
      <c r="M231" s="5"/>
      <c r="N231" s="5"/>
      <c r="O231" s="5"/>
      <c r="P231" s="6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15"/>
      <c r="B232" s="35"/>
      <c r="C232" s="37"/>
      <c r="D232" s="39"/>
      <c r="E232" s="36"/>
      <c r="F232" s="15"/>
      <c r="G232" s="5"/>
      <c r="H232" s="5"/>
      <c r="I232" s="5"/>
      <c r="J232" s="5"/>
      <c r="K232" s="5"/>
      <c r="L232" s="5"/>
      <c r="M232" s="5"/>
      <c r="N232" s="5"/>
      <c r="O232" s="5"/>
      <c r="P232" s="6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15"/>
      <c r="B233" s="35"/>
      <c r="C233" s="37"/>
      <c r="D233" s="39"/>
      <c r="E233" s="36"/>
      <c r="F233" s="15"/>
      <c r="G233" s="5"/>
      <c r="H233" s="5"/>
      <c r="I233" s="5"/>
      <c r="J233" s="5"/>
      <c r="K233" s="5"/>
      <c r="L233" s="5"/>
      <c r="M233" s="5"/>
      <c r="N233" s="5"/>
      <c r="O233" s="5"/>
      <c r="P233" s="6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15"/>
      <c r="B234" s="35"/>
      <c r="C234" s="37"/>
      <c r="D234" s="39"/>
      <c r="E234" s="36"/>
      <c r="F234" s="15"/>
      <c r="G234" s="5"/>
      <c r="H234" s="5"/>
      <c r="I234" s="5"/>
      <c r="J234" s="5"/>
      <c r="K234" s="5"/>
      <c r="L234" s="5"/>
      <c r="M234" s="5"/>
      <c r="N234" s="5"/>
      <c r="O234" s="5"/>
      <c r="P234" s="6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16" t="s">
        <v>14</v>
      </c>
      <c r="B235" s="60" t="s">
        <v>45</v>
      </c>
      <c r="C235" s="61"/>
      <c r="D235" s="62"/>
      <c r="E235" s="13">
        <f>SUM(E225:E234)</f>
        <v>635</v>
      </c>
      <c r="F235" s="15"/>
      <c r="G235" s="5"/>
      <c r="H235" s="5"/>
      <c r="I235" s="5"/>
      <c r="J235" s="5"/>
      <c r="K235" s="5"/>
      <c r="L235" s="5"/>
      <c r="M235" s="5"/>
      <c r="N235" s="5"/>
      <c r="O235" s="5"/>
      <c r="P235" s="6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63"/>
      <c r="B236" s="61"/>
      <c r="C236" s="61"/>
      <c r="D236" s="61"/>
      <c r="E236" s="62"/>
      <c r="F236" s="15"/>
      <c r="G236" s="5"/>
      <c r="H236" s="5"/>
      <c r="I236" s="5"/>
      <c r="J236" s="5"/>
      <c r="K236" s="5"/>
      <c r="L236" s="5"/>
      <c r="M236" s="5"/>
      <c r="N236" s="5"/>
      <c r="O236" s="5"/>
      <c r="P236" s="6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20" t="s">
        <v>36</v>
      </c>
      <c r="B237" s="27" t="s">
        <v>146</v>
      </c>
      <c r="C237" s="64" t="s">
        <v>147</v>
      </c>
      <c r="D237" s="62"/>
      <c r="E237" s="17">
        <f>KAMPUNGMANDAR!P237+KAMPUNGMELAYU!M237+KARANGREJO!AI237+KEBALENAN!AH237+KEPATIHAN!S237+KERTOSARI!AB237+LATENG!AD237+PAKIS!T237+PANDEREJO!R237+PENGANJURAN!T237+PENGANTIGAN!X237+SINGONEGARAN!U237+SINGOTRUNAN!AE237+SOBO!AB237+SUMBERREJO!U237+TAMANBARU!Z237+TEMENGGUNGAN!L237+TUKANGKAYU!AD237</f>
        <v>233</v>
      </c>
      <c r="F237" s="18"/>
      <c r="G237" s="1"/>
      <c r="H237" s="1"/>
      <c r="I237" s="1"/>
      <c r="J237" s="1"/>
      <c r="K237" s="1"/>
      <c r="L237" s="1"/>
      <c r="M237" s="1"/>
      <c r="N237" s="1"/>
      <c r="O237" s="1"/>
      <c r="P237" s="9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4">
      <c r="A238" s="20" t="s">
        <v>38</v>
      </c>
      <c r="B238" s="28"/>
      <c r="C238" s="29" t="s">
        <v>148</v>
      </c>
      <c r="D238" s="30"/>
      <c r="E238" s="17">
        <f>KAMPUNGMANDAR!P238+KAMPUNGMELAYU!M238+KARANGREJO!AI238+KEBALENAN!AH238+KEPATIHAN!S238+KERTOSARI!AB238+LATENG!AD238+PAKIS!T238+PANDEREJO!R238+PENGANJURAN!T238+PENGANTIGAN!X238+SINGONEGARAN!U238+SINGOTRUNAN!AE238+SOBO!AB238+SUMBERREJO!U238+TAMANBARU!Z238+TEMENGGUNGAN!L238+TUKANGKAYU!AD238</f>
        <v>117</v>
      </c>
      <c r="F238" s="31"/>
      <c r="G238" s="32"/>
      <c r="H238" s="32"/>
      <c r="I238" s="32"/>
      <c r="J238" s="32"/>
      <c r="K238" s="32"/>
      <c r="L238" s="32"/>
      <c r="M238" s="32"/>
      <c r="N238" s="32"/>
      <c r="O238" s="32"/>
      <c r="P238" s="33"/>
      <c r="Q238" s="3"/>
      <c r="R238" s="3"/>
      <c r="S238" s="3"/>
      <c r="T238" s="3"/>
      <c r="U238" s="3"/>
      <c r="V238" s="3"/>
      <c r="W238" s="34"/>
      <c r="X238" s="3"/>
      <c r="Y238" s="3"/>
      <c r="Z238" s="3"/>
    </row>
    <row r="239" spans="1:26" ht="15.75" customHeight="1" x14ac:dyDescent="0.4">
      <c r="A239" s="15"/>
      <c r="B239" s="28"/>
      <c r="C239" s="29" t="s">
        <v>149</v>
      </c>
      <c r="D239" s="30"/>
      <c r="E239" s="17">
        <f>KAMPUNGMANDAR!P239+KAMPUNGMELAYU!M239+KARANGREJO!AI239+KEBALENAN!AH239+KEPATIHAN!S239+KERTOSARI!AB239+LATENG!AD239+PAKIS!T239+PANDEREJO!R239+PENGANJURAN!T239+PENGANTIGAN!X239+SINGONEGARAN!U239+SINGOTRUNAN!AE239+SOBO!AB239+SUMBERREJO!U239+TAMANBARU!Z239+TEMENGGUNGAN!L239+TUKANGKAYU!AD239</f>
        <v>493</v>
      </c>
      <c r="F239" s="15"/>
      <c r="G239" s="5"/>
      <c r="H239" s="5"/>
      <c r="I239" s="5"/>
      <c r="J239" s="5"/>
      <c r="K239" s="5"/>
      <c r="L239" s="5"/>
      <c r="M239" s="5"/>
      <c r="N239" s="5"/>
      <c r="O239" s="5"/>
      <c r="P239" s="6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15"/>
      <c r="B240" s="28"/>
      <c r="C240" s="29" t="s">
        <v>150</v>
      </c>
      <c r="D240" s="30"/>
      <c r="E240" s="17">
        <f>KAMPUNGMANDAR!P240+KAMPUNGMELAYU!M240+KARANGREJO!AI240+KEBALENAN!AH240+KEPATIHAN!S240+KERTOSARI!AB240+LATENG!AD240+PAKIS!T240+PANDEREJO!R240+PENGANJURAN!T240+PENGANTIGAN!X240+SINGONEGARAN!U240+SINGOTRUNAN!AE240+SOBO!AB240+SUMBERREJO!U240+TAMANBARU!Z240+TEMENGGUNGAN!L240+TUKANGKAYU!AD240</f>
        <v>1487</v>
      </c>
      <c r="F240" s="15"/>
      <c r="G240" s="5"/>
      <c r="H240" s="5"/>
      <c r="I240" s="5"/>
      <c r="J240" s="5"/>
      <c r="K240" s="5"/>
      <c r="L240" s="5"/>
      <c r="M240" s="5"/>
      <c r="N240" s="5"/>
      <c r="O240" s="5"/>
      <c r="P240" s="6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15"/>
      <c r="B241" s="28"/>
      <c r="C241" s="29" t="s">
        <v>151</v>
      </c>
      <c r="D241" s="30"/>
      <c r="E241" s="17">
        <f>KAMPUNGMANDAR!P241+KAMPUNGMELAYU!M241+KARANGREJO!AI241+KEBALENAN!AH241+KEPATIHAN!S241+KERTOSARI!AB241+LATENG!AD241+PAKIS!T241+PANDEREJO!R241+PENGANJURAN!T241+PENGANTIGAN!X241+SINGONEGARAN!U241+SINGOTRUNAN!AE241+SOBO!AB241+SUMBERREJO!U241+TAMANBARU!Z241+TEMENGGUNGAN!L241+TUKANGKAYU!AD241</f>
        <v>71</v>
      </c>
      <c r="F241" s="15"/>
      <c r="G241" s="5"/>
      <c r="H241" s="5"/>
      <c r="I241" s="5"/>
      <c r="J241" s="5"/>
      <c r="K241" s="5"/>
      <c r="L241" s="5"/>
      <c r="M241" s="5"/>
      <c r="N241" s="5"/>
      <c r="O241" s="5"/>
      <c r="P241" s="6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15"/>
      <c r="B242" s="28"/>
      <c r="C242" s="29" t="s">
        <v>152</v>
      </c>
      <c r="D242" s="30"/>
      <c r="E242" s="17">
        <f>KAMPUNGMANDAR!P242+KAMPUNGMELAYU!M242+KARANGREJO!AI242+KEBALENAN!AH242+KEPATIHAN!S242+KERTOSARI!AB242+LATENG!AD242+PAKIS!T242+PANDEREJO!R242+PENGANJURAN!T242+PENGANTIGAN!X242+SINGONEGARAN!U242+SINGOTRUNAN!AE242+SOBO!AB242+SUMBERREJO!U242+TAMANBARU!Z242+TEMENGGUNGAN!L242+TUKANGKAYU!AD242</f>
        <v>29</v>
      </c>
      <c r="F242" s="15"/>
      <c r="G242" s="5"/>
      <c r="H242" s="5"/>
      <c r="I242" s="5"/>
      <c r="J242" s="5"/>
      <c r="K242" s="5"/>
      <c r="L242" s="5"/>
      <c r="M242" s="5"/>
      <c r="N242" s="5"/>
      <c r="O242" s="5"/>
      <c r="P242" s="6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15"/>
      <c r="B243" s="28"/>
      <c r="C243" s="29" t="s">
        <v>153</v>
      </c>
      <c r="D243" s="30"/>
      <c r="E243" s="17">
        <f>KAMPUNGMANDAR!P243+KAMPUNGMELAYU!M243+KARANGREJO!AI243+KEBALENAN!AH243+KEPATIHAN!S243+KERTOSARI!AB243+LATENG!AD243+PAKIS!T243+PANDEREJO!R243+PENGANJURAN!T243+PENGANTIGAN!X243+SINGONEGARAN!U243+SINGOTRUNAN!AE243+SOBO!AB243+SUMBERREJO!U243+TAMANBARU!Z243+TEMENGGUNGAN!L243+TUKANGKAYU!AD243</f>
        <v>34</v>
      </c>
      <c r="F243" s="15"/>
      <c r="G243" s="5"/>
      <c r="H243" s="5"/>
      <c r="I243" s="5"/>
      <c r="J243" s="5"/>
      <c r="K243" s="5"/>
      <c r="L243" s="5"/>
      <c r="M243" s="5"/>
      <c r="N243" s="5"/>
      <c r="O243" s="5"/>
      <c r="P243" s="6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15"/>
      <c r="B244" s="35"/>
      <c r="C244" s="37"/>
      <c r="D244" s="39"/>
      <c r="E244" s="36"/>
      <c r="F244" s="15"/>
      <c r="G244" s="5"/>
      <c r="H244" s="5"/>
      <c r="I244" s="5"/>
      <c r="J244" s="5"/>
      <c r="K244" s="5"/>
      <c r="L244" s="5"/>
      <c r="M244" s="5"/>
      <c r="N244" s="5"/>
      <c r="O244" s="5"/>
      <c r="P244" s="6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15"/>
      <c r="B245" s="35"/>
      <c r="C245" s="37"/>
      <c r="D245" s="39"/>
      <c r="E245" s="36"/>
      <c r="F245" s="15"/>
      <c r="G245" s="5"/>
      <c r="H245" s="5"/>
      <c r="I245" s="5"/>
      <c r="J245" s="5"/>
      <c r="K245" s="5"/>
      <c r="L245" s="5"/>
      <c r="M245" s="5"/>
      <c r="N245" s="5"/>
      <c r="O245" s="5"/>
      <c r="P245" s="6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15"/>
      <c r="B246" s="35"/>
      <c r="C246" s="37"/>
      <c r="D246" s="39"/>
      <c r="E246" s="36"/>
      <c r="F246" s="15"/>
      <c r="G246" s="5"/>
      <c r="H246" s="5"/>
      <c r="I246" s="5"/>
      <c r="J246" s="5"/>
      <c r="K246" s="5"/>
      <c r="L246" s="5"/>
      <c r="M246" s="5"/>
      <c r="N246" s="5"/>
      <c r="O246" s="5"/>
      <c r="P246" s="6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16" t="s">
        <v>14</v>
      </c>
      <c r="B247" s="60" t="s">
        <v>45</v>
      </c>
      <c r="C247" s="61"/>
      <c r="D247" s="62"/>
      <c r="E247" s="13">
        <f>SUM(E237:E246)</f>
        <v>2464</v>
      </c>
      <c r="F247" s="15"/>
      <c r="G247" s="5"/>
      <c r="H247" s="5"/>
      <c r="I247" s="5"/>
      <c r="J247" s="5"/>
      <c r="K247" s="5"/>
      <c r="L247" s="5"/>
      <c r="M247" s="5"/>
      <c r="N247" s="5"/>
      <c r="O247" s="5"/>
      <c r="P247" s="6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63"/>
      <c r="B248" s="61"/>
      <c r="C248" s="61"/>
      <c r="D248" s="61"/>
      <c r="E248" s="62"/>
      <c r="F248" s="15"/>
      <c r="G248" s="5"/>
      <c r="H248" s="5"/>
      <c r="I248" s="5"/>
      <c r="J248" s="5"/>
      <c r="K248" s="5"/>
      <c r="L248" s="5"/>
      <c r="M248" s="5"/>
      <c r="N248" s="5"/>
      <c r="O248" s="5"/>
      <c r="P248" s="6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20" t="s">
        <v>36</v>
      </c>
      <c r="B249" s="27" t="s">
        <v>154</v>
      </c>
      <c r="C249" s="64" t="s">
        <v>155</v>
      </c>
      <c r="D249" s="62"/>
      <c r="E249" s="17">
        <f>KAMPUNGMANDAR!P249+KAMPUNGMELAYU!M249+KARANGREJO!AI249+KEBALENAN!AH249+KEPATIHAN!S249+KERTOSARI!AB249+LATENG!AD249+PAKIS!T249+PANDEREJO!R249+PENGANJURAN!T249+PENGANTIGAN!X249+SINGONEGARAN!U249+SINGOTRUNAN!AE249+SOBO!AB249+SUMBERREJO!U249+TAMANBARU!Z249+TEMENGGUNGAN!L249+TUKANGKAYU!AD249</f>
        <v>146</v>
      </c>
      <c r="F249" s="18"/>
      <c r="G249" s="1"/>
      <c r="H249" s="1"/>
      <c r="I249" s="1"/>
      <c r="J249" s="1"/>
      <c r="K249" s="1"/>
      <c r="L249" s="1"/>
      <c r="M249" s="1"/>
      <c r="N249" s="1"/>
      <c r="O249" s="1"/>
      <c r="P249" s="9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4">
      <c r="A250" s="20" t="s">
        <v>38</v>
      </c>
      <c r="B250" s="27"/>
      <c r="C250" s="29" t="s">
        <v>156</v>
      </c>
      <c r="D250" s="40"/>
      <c r="E250" s="17">
        <f>KAMPUNGMANDAR!P250+KAMPUNGMELAYU!M250+KARANGREJO!AI250+KEBALENAN!AH250+KEPATIHAN!S250+KERTOSARI!AB250+LATENG!AD250+PAKIS!T250+PANDEREJO!R250+PENGANJURAN!T250+PENGANTIGAN!X250+SINGONEGARAN!U250+SINGOTRUNAN!AE250+SOBO!AB250+SUMBERREJO!U250+TAMANBARU!Z250+TEMENGGUNGAN!L250+TUKANGKAYU!AD250</f>
        <v>691</v>
      </c>
      <c r="F250" s="15"/>
      <c r="G250" s="5"/>
      <c r="H250" s="5"/>
      <c r="I250" s="5"/>
      <c r="J250" s="5"/>
      <c r="K250" s="5"/>
      <c r="L250" s="5"/>
      <c r="M250" s="5"/>
      <c r="N250" s="5"/>
      <c r="O250" s="10"/>
      <c r="P250" s="11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4">
      <c r="A251" s="15"/>
      <c r="B251" s="27"/>
      <c r="C251" s="29" t="s">
        <v>157</v>
      </c>
      <c r="D251" s="40"/>
      <c r="E251" s="17">
        <f>KAMPUNGMANDAR!P251+KAMPUNGMELAYU!M251+KARANGREJO!AI251+KEBALENAN!AH251+KEPATIHAN!S251+KERTOSARI!AB251+LATENG!AD251+PAKIS!T251+PANDEREJO!R251+PENGANJURAN!T251+PENGANTIGAN!X251+SINGONEGARAN!U251+SINGOTRUNAN!AE251+SOBO!AB251+SUMBERREJO!U251+TAMANBARU!Z251+TEMENGGUNGAN!L251+TUKANGKAYU!AD251</f>
        <v>42</v>
      </c>
      <c r="F251" s="18"/>
      <c r="G251" s="1"/>
      <c r="H251" s="1"/>
      <c r="I251" s="1"/>
      <c r="J251" s="1"/>
      <c r="K251" s="1"/>
      <c r="L251" s="1"/>
      <c r="M251" s="1"/>
      <c r="N251" s="1"/>
      <c r="O251" s="2"/>
      <c r="P251" s="11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4">
      <c r="A252" s="15"/>
      <c r="B252" s="27"/>
      <c r="C252" s="29" t="s">
        <v>158</v>
      </c>
      <c r="D252" s="40"/>
      <c r="E252" s="17">
        <f>KAMPUNGMANDAR!P252+KAMPUNGMELAYU!M252+KARANGREJO!AI252+KEBALENAN!AH252+KEPATIHAN!S252+KERTOSARI!AB252+LATENG!AD252+PAKIS!T252+PANDEREJO!R252+PENGANJURAN!T252+PENGANTIGAN!X252+SINGONEGARAN!U252+SINGOTRUNAN!AE252+SOBO!AB252+SUMBERREJO!U252+TAMANBARU!Z252+TEMENGGUNGAN!L252+TUKANGKAYU!AD252</f>
        <v>12</v>
      </c>
      <c r="F252" s="18"/>
      <c r="G252" s="1"/>
      <c r="H252" s="1"/>
      <c r="I252" s="1"/>
      <c r="J252" s="1"/>
      <c r="K252" s="1"/>
      <c r="L252" s="1"/>
      <c r="M252" s="1"/>
      <c r="N252" s="1"/>
      <c r="O252" s="1"/>
      <c r="P252" s="9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4">
      <c r="A253" s="15"/>
      <c r="B253" s="28"/>
      <c r="C253" s="29" t="s">
        <v>159</v>
      </c>
      <c r="D253" s="30"/>
      <c r="E253" s="17">
        <f>KAMPUNGMANDAR!P253+KAMPUNGMELAYU!M253+KARANGREJO!AI253+KEBALENAN!AH253+KEPATIHAN!S253+KERTOSARI!AB253+LATENG!AD253+PAKIS!T253+PANDEREJO!R253+PENGANJURAN!T253+PENGANTIGAN!X253+SINGONEGARAN!U253+SINGOTRUNAN!AE253+SOBO!AB253+SUMBERREJO!U253+TAMANBARU!Z253+TEMENGGUNGAN!L253+TUKANGKAYU!AD253</f>
        <v>24</v>
      </c>
      <c r="F253" s="15"/>
      <c r="G253" s="5"/>
      <c r="H253" s="5"/>
      <c r="I253" s="5"/>
      <c r="J253" s="5"/>
      <c r="K253" s="5"/>
      <c r="L253" s="5"/>
      <c r="M253" s="5"/>
      <c r="N253" s="5"/>
      <c r="O253" s="5"/>
      <c r="P253" s="6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15"/>
      <c r="B254" s="35"/>
      <c r="C254" s="44"/>
      <c r="D254" s="39"/>
      <c r="E254" s="36"/>
      <c r="F254" s="18"/>
      <c r="G254" s="1"/>
      <c r="H254" s="1"/>
      <c r="I254" s="1"/>
      <c r="J254" s="1"/>
      <c r="K254" s="1"/>
      <c r="L254" s="1"/>
      <c r="M254" s="1"/>
      <c r="N254" s="1"/>
      <c r="O254" s="1"/>
      <c r="P254" s="9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4">
      <c r="A255" s="15"/>
      <c r="B255" s="35"/>
      <c r="C255" s="44"/>
      <c r="D255" s="39"/>
      <c r="E255" s="36"/>
      <c r="F255" s="15"/>
      <c r="G255" s="5"/>
      <c r="H255" s="5"/>
      <c r="I255" s="5"/>
      <c r="J255" s="5"/>
      <c r="K255" s="5"/>
      <c r="L255" s="5"/>
      <c r="M255" s="5"/>
      <c r="N255" s="5"/>
      <c r="O255" s="10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4">
      <c r="A256" s="15"/>
      <c r="B256" s="35"/>
      <c r="C256" s="43"/>
      <c r="D256" s="39"/>
      <c r="E256" s="36"/>
      <c r="F256" s="15"/>
      <c r="G256" s="5"/>
      <c r="H256" s="5"/>
      <c r="I256" s="5"/>
      <c r="J256" s="5"/>
      <c r="K256" s="5"/>
      <c r="L256" s="5"/>
      <c r="M256" s="5"/>
      <c r="N256" s="5"/>
      <c r="O256" s="10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4">
      <c r="A257" s="15"/>
      <c r="B257" s="35"/>
      <c r="C257" s="43"/>
      <c r="D257" s="39"/>
      <c r="E257" s="36"/>
      <c r="F257" s="15"/>
      <c r="G257" s="5"/>
      <c r="H257" s="5"/>
      <c r="I257" s="5"/>
      <c r="J257" s="5"/>
      <c r="K257" s="5"/>
      <c r="L257" s="5"/>
      <c r="M257" s="5"/>
      <c r="N257" s="5"/>
      <c r="O257" s="10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4">
      <c r="A258" s="15"/>
      <c r="B258" s="35"/>
      <c r="C258" s="43"/>
      <c r="D258" s="39"/>
      <c r="E258" s="36"/>
      <c r="F258" s="15"/>
      <c r="G258" s="5"/>
      <c r="H258" s="5"/>
      <c r="I258" s="5"/>
      <c r="J258" s="5"/>
      <c r="K258" s="5"/>
      <c r="L258" s="5"/>
      <c r="M258" s="5"/>
      <c r="N258" s="5"/>
      <c r="O258" s="10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4">
      <c r="A259" s="16" t="s">
        <v>14</v>
      </c>
      <c r="B259" s="60" t="s">
        <v>45</v>
      </c>
      <c r="C259" s="61"/>
      <c r="D259" s="62"/>
      <c r="E259" s="13">
        <f>SUM(E249:E258)</f>
        <v>915</v>
      </c>
      <c r="F259" s="15"/>
      <c r="G259" s="5"/>
      <c r="H259" s="5"/>
      <c r="I259" s="5"/>
      <c r="J259" s="5"/>
      <c r="K259" s="5"/>
      <c r="L259" s="5"/>
      <c r="M259" s="5"/>
      <c r="N259" s="5"/>
      <c r="O259" s="5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4">
      <c r="F260" s="15"/>
      <c r="G260" s="5"/>
      <c r="H260" s="5"/>
      <c r="I260" s="5"/>
      <c r="J260" s="5"/>
      <c r="K260" s="5"/>
      <c r="L260" s="5"/>
      <c r="M260" s="5"/>
      <c r="N260" s="5"/>
      <c r="O260" s="5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4">
      <c r="A261" s="26" t="s">
        <v>160</v>
      </c>
      <c r="B261" s="70" t="s">
        <v>161</v>
      </c>
      <c r="C261" s="61"/>
      <c r="D261" s="62"/>
      <c r="E261" s="13"/>
      <c r="F261" s="15"/>
      <c r="G261" s="5"/>
      <c r="H261" s="5"/>
      <c r="I261" s="5"/>
      <c r="J261" s="5"/>
      <c r="K261" s="5"/>
      <c r="L261" s="5"/>
      <c r="M261" s="5"/>
      <c r="N261" s="5"/>
      <c r="O261" s="5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4">
      <c r="A262" s="26"/>
      <c r="B262" s="45" t="s">
        <v>162</v>
      </c>
      <c r="C262" s="71" t="s">
        <v>163</v>
      </c>
      <c r="D262" s="62"/>
      <c r="E262" s="17">
        <f>KAMPUNGMANDAR!P262+KAMPUNGMELAYU!M262+KARANGREJO!AI262+KEBALENAN!AH262+KEPATIHAN!S262+KERTOSARI!AB262+LATENG!AD262+PAKIS!T262+PANDEREJO!R262+PENGANJURAN!T262+PENGANTIGAN!X262+SINGONEGARAN!U262+SINGOTRUNAN!AE262+SOBO!AB262+SUMBERREJO!U262+TAMANBARU!Z262+TEMENGGUNGAN!L262+TUKANGKAYU!AD262</f>
        <v>62895</v>
      </c>
      <c r="F262" s="15"/>
      <c r="G262" s="5"/>
      <c r="H262" s="5"/>
      <c r="I262" s="5"/>
      <c r="J262" s="5"/>
      <c r="K262" s="5"/>
      <c r="L262" s="5"/>
      <c r="M262" s="5"/>
      <c r="N262" s="5"/>
      <c r="O262" s="10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4">
      <c r="A263" s="22"/>
      <c r="B263" s="45" t="s">
        <v>164</v>
      </c>
      <c r="C263" s="71" t="s">
        <v>165</v>
      </c>
      <c r="D263" s="62"/>
      <c r="E263" s="17">
        <f>KAMPUNGMANDAR!P263+KAMPUNGMELAYU!M263+KARANGREJO!AI263+KEBALENAN!AH263+KEPATIHAN!S263+KERTOSARI!AB263+LATENG!AD263+PAKIS!T263+PANDEREJO!R263+PENGANJURAN!T263+PENGANTIGAN!X263+SINGONEGARAN!U263+SINGOTRUNAN!AE263+SOBO!AB263+SUMBERREJO!U263+TAMANBARU!Z263+TEMENGGUNGAN!L263+TUKANGKAYU!AD263</f>
        <v>5725</v>
      </c>
      <c r="F263" s="15"/>
      <c r="G263" s="5"/>
      <c r="H263" s="5"/>
      <c r="I263" s="5"/>
      <c r="J263" s="5"/>
      <c r="K263" s="5"/>
      <c r="L263" s="5"/>
      <c r="M263" s="5"/>
      <c r="N263" s="5"/>
      <c r="O263" s="10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4">
      <c r="A264" s="25"/>
      <c r="B264" s="45" t="s">
        <v>166</v>
      </c>
      <c r="C264" s="71" t="s">
        <v>167</v>
      </c>
      <c r="D264" s="62"/>
      <c r="E264" s="13">
        <f>SUM(E262:E263)</f>
        <v>68620</v>
      </c>
      <c r="F264" s="15"/>
      <c r="G264" s="5"/>
      <c r="H264" s="5"/>
      <c r="I264" s="5"/>
      <c r="J264" s="5"/>
      <c r="K264" s="5"/>
      <c r="L264" s="5"/>
      <c r="M264" s="5"/>
      <c r="N264" s="5"/>
      <c r="O264" s="10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4">
      <c r="A265" s="5"/>
      <c r="B265" s="46"/>
      <c r="C265" s="4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10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4">
      <c r="A266" s="5"/>
      <c r="B266" s="46"/>
      <c r="C266" s="4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10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4">
      <c r="A267" s="5"/>
      <c r="B267" s="46"/>
      <c r="C267" s="4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10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hidden="1" customHeight="1" x14ac:dyDescent="0.4">
      <c r="A268" s="5"/>
      <c r="B268" s="46"/>
      <c r="C268" s="4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10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hidden="1" customHeight="1" x14ac:dyDescent="0.4">
      <c r="A269" s="5"/>
      <c r="B269" s="46"/>
      <c r="C269" s="4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10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hidden="1" customHeight="1" x14ac:dyDescent="0.4">
      <c r="A270" s="5"/>
      <c r="B270" s="46"/>
      <c r="C270" s="4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10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hidden="1" customHeight="1" x14ac:dyDescent="0.4">
      <c r="A271" s="5"/>
      <c r="B271" s="46"/>
      <c r="C271" s="4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10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hidden="1" customHeight="1" x14ac:dyDescent="0.4">
      <c r="A272" s="5"/>
      <c r="B272" s="46"/>
      <c r="C272" s="4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10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hidden="1" customHeight="1" x14ac:dyDescent="0.4">
      <c r="A273" s="5"/>
      <c r="B273" s="46"/>
      <c r="C273" s="4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10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hidden="1" customHeight="1" x14ac:dyDescent="0.4">
      <c r="A274" s="5"/>
      <c r="B274" s="46"/>
      <c r="C274" s="4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10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hidden="1" customHeight="1" x14ac:dyDescent="0.4">
      <c r="A275" s="5"/>
      <c r="B275" s="46"/>
      <c r="C275" s="4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10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hidden="1" customHeight="1" x14ac:dyDescent="0.4">
      <c r="A276" s="5"/>
      <c r="B276" s="46"/>
      <c r="C276" s="4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10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hidden="1" customHeight="1" x14ac:dyDescent="0.4">
      <c r="A277" s="5"/>
      <c r="B277" s="46"/>
      <c r="C277" s="4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10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hidden="1" customHeight="1" x14ac:dyDescent="0.4">
      <c r="A278" s="5"/>
      <c r="B278" s="46"/>
      <c r="C278" s="4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10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hidden="1" customHeight="1" x14ac:dyDescent="0.4">
      <c r="A279" s="5"/>
      <c r="B279" s="46"/>
      <c r="C279" s="4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10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hidden="1" customHeight="1" x14ac:dyDescent="0.4">
      <c r="A280" s="5"/>
      <c r="B280" s="46"/>
      <c r="C280" s="4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10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hidden="1" customHeight="1" x14ac:dyDescent="0.4">
      <c r="A281" s="5"/>
      <c r="B281" s="46"/>
      <c r="C281" s="4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10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hidden="1" customHeight="1" x14ac:dyDescent="0.4">
      <c r="A282" s="5"/>
      <c r="B282" s="46"/>
      <c r="C282" s="4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10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hidden="1" customHeight="1" x14ac:dyDescent="0.4">
      <c r="A283" s="5"/>
      <c r="B283" s="46"/>
      <c r="C283" s="4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10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hidden="1" customHeight="1" x14ac:dyDescent="0.4">
      <c r="A284" s="5"/>
      <c r="B284" s="46"/>
      <c r="C284" s="4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10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hidden="1" customHeight="1" x14ac:dyDescent="0.4">
      <c r="A285" s="5"/>
      <c r="B285" s="46"/>
      <c r="C285" s="4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10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hidden="1" customHeight="1" x14ac:dyDescent="0.4">
      <c r="A286" s="5"/>
      <c r="B286" s="46"/>
      <c r="C286" s="4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10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hidden="1" customHeight="1" x14ac:dyDescent="0.4">
      <c r="A287" s="5"/>
      <c r="B287" s="46"/>
      <c r="C287" s="4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10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hidden="1" customHeight="1" x14ac:dyDescent="0.4">
      <c r="A288" s="5"/>
      <c r="B288" s="46"/>
      <c r="C288" s="4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10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hidden="1" customHeight="1" x14ac:dyDescent="0.4">
      <c r="A289" s="5"/>
      <c r="B289" s="46"/>
      <c r="C289" s="4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10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hidden="1" customHeight="1" x14ac:dyDescent="0.4">
      <c r="A290" s="5"/>
      <c r="B290" s="46"/>
      <c r="C290" s="4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10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hidden="1" customHeight="1" x14ac:dyDescent="0.4">
      <c r="A291" s="5"/>
      <c r="B291" s="46"/>
      <c r="C291" s="4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10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hidden="1" customHeight="1" x14ac:dyDescent="0.4">
      <c r="A292" s="5"/>
      <c r="B292" s="46"/>
      <c r="C292" s="4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10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hidden="1" customHeight="1" x14ac:dyDescent="0.4">
      <c r="A293" s="5"/>
      <c r="B293" s="46"/>
      <c r="C293" s="4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10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hidden="1" customHeight="1" x14ac:dyDescent="0.4">
      <c r="A294" s="5"/>
      <c r="B294" s="46"/>
      <c r="C294" s="4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10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hidden="1" customHeight="1" x14ac:dyDescent="0.4">
      <c r="A295" s="5"/>
      <c r="B295" s="46"/>
      <c r="C295" s="4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10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hidden="1" customHeight="1" x14ac:dyDescent="0.4">
      <c r="A296" s="5"/>
      <c r="B296" s="46"/>
      <c r="C296" s="4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10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hidden="1" customHeight="1" x14ac:dyDescent="0.4">
      <c r="A297" s="5"/>
      <c r="B297" s="46"/>
      <c r="C297" s="4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10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hidden="1" customHeight="1" x14ac:dyDescent="0.4">
      <c r="A298" s="5"/>
      <c r="B298" s="46"/>
      <c r="C298" s="4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10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hidden="1" customHeight="1" x14ac:dyDescent="0.4">
      <c r="A299" s="5"/>
      <c r="B299" s="46"/>
      <c r="C299" s="4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10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hidden="1" customHeight="1" x14ac:dyDescent="0.4">
      <c r="A300" s="5"/>
      <c r="B300" s="46"/>
      <c r="C300" s="4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10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hidden="1" customHeight="1" x14ac:dyDescent="0.4">
      <c r="A301" s="5"/>
      <c r="B301" s="46"/>
      <c r="C301" s="4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10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hidden="1" customHeight="1" x14ac:dyDescent="0.4">
      <c r="A302" s="5"/>
      <c r="B302" s="46"/>
      <c r="C302" s="4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10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hidden="1" customHeight="1" x14ac:dyDescent="0.4">
      <c r="A303" s="5"/>
      <c r="B303" s="46"/>
      <c r="C303" s="4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10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hidden="1" customHeight="1" x14ac:dyDescent="0.4">
      <c r="A304" s="5"/>
      <c r="B304" s="46"/>
      <c r="C304" s="4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10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hidden="1" customHeight="1" x14ac:dyDescent="0.4">
      <c r="A305" s="5"/>
      <c r="B305" s="46"/>
      <c r="C305" s="4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10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hidden="1" customHeight="1" x14ac:dyDescent="0.4">
      <c r="A306" s="5"/>
      <c r="B306" s="46"/>
      <c r="C306" s="4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10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hidden="1" customHeight="1" x14ac:dyDescent="0.4">
      <c r="A307" s="5"/>
      <c r="B307" s="46"/>
      <c r="C307" s="4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10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hidden="1" customHeight="1" x14ac:dyDescent="0.4">
      <c r="A308" s="5"/>
      <c r="B308" s="46"/>
      <c r="C308" s="4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10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hidden="1" customHeight="1" x14ac:dyDescent="0.4">
      <c r="A309" s="5"/>
      <c r="B309" s="46"/>
      <c r="C309" s="4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10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hidden="1" customHeight="1" x14ac:dyDescent="0.4">
      <c r="A310" s="5"/>
      <c r="B310" s="46"/>
      <c r="C310" s="4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10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hidden="1" customHeight="1" x14ac:dyDescent="0.4">
      <c r="A311" s="5"/>
      <c r="B311" s="46"/>
      <c r="C311" s="4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10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hidden="1" customHeight="1" x14ac:dyDescent="0.4">
      <c r="A312" s="5"/>
      <c r="B312" s="46"/>
      <c r="C312" s="4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10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hidden="1" customHeight="1" x14ac:dyDescent="0.4">
      <c r="A313" s="5"/>
      <c r="B313" s="46"/>
      <c r="C313" s="4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10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hidden="1" customHeight="1" x14ac:dyDescent="0.4">
      <c r="A314" s="5"/>
      <c r="B314" s="46"/>
      <c r="C314" s="4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10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hidden="1" customHeight="1" x14ac:dyDescent="0.4">
      <c r="A315" s="5"/>
      <c r="B315" s="46"/>
      <c r="C315" s="4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10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hidden="1" customHeight="1" x14ac:dyDescent="0.4">
      <c r="A316" s="5"/>
      <c r="B316" s="46"/>
      <c r="C316" s="4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10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hidden="1" customHeight="1" x14ac:dyDescent="0.4">
      <c r="A317" s="5"/>
      <c r="B317" s="46"/>
      <c r="C317" s="4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10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hidden="1" customHeight="1" x14ac:dyDescent="0.4">
      <c r="A318" s="5"/>
      <c r="B318" s="46"/>
      <c r="C318" s="4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10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hidden="1" customHeight="1" x14ac:dyDescent="0.4">
      <c r="A319" s="5"/>
      <c r="B319" s="46"/>
      <c r="C319" s="4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10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hidden="1" customHeight="1" x14ac:dyDescent="0.4">
      <c r="A320" s="5"/>
      <c r="B320" s="46"/>
      <c r="C320" s="4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10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hidden="1" customHeight="1" x14ac:dyDescent="0.4">
      <c r="A321" s="5"/>
      <c r="B321" s="46"/>
      <c r="C321" s="4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10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hidden="1" customHeight="1" x14ac:dyDescent="0.4">
      <c r="A322" s="5"/>
      <c r="B322" s="46"/>
      <c r="C322" s="4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10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hidden="1" customHeight="1" x14ac:dyDescent="0.4">
      <c r="A323" s="5"/>
      <c r="B323" s="46"/>
      <c r="C323" s="4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10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hidden="1" customHeight="1" x14ac:dyDescent="0.4">
      <c r="A324" s="5"/>
      <c r="B324" s="46"/>
      <c r="C324" s="4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10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hidden="1" customHeight="1" x14ac:dyDescent="0.4">
      <c r="A325" s="5"/>
      <c r="B325" s="46"/>
      <c r="C325" s="4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10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hidden="1" customHeight="1" x14ac:dyDescent="0.4">
      <c r="A326" s="5"/>
      <c r="B326" s="46"/>
      <c r="C326" s="4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10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hidden="1" customHeight="1" x14ac:dyDescent="0.4">
      <c r="A327" s="5"/>
      <c r="B327" s="46"/>
      <c r="C327" s="4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10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hidden="1" customHeight="1" x14ac:dyDescent="0.4">
      <c r="A328" s="5"/>
      <c r="B328" s="46"/>
      <c r="C328" s="4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10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hidden="1" customHeight="1" x14ac:dyDescent="0.4">
      <c r="A329" s="5"/>
      <c r="B329" s="46"/>
      <c r="C329" s="4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10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hidden="1" customHeight="1" x14ac:dyDescent="0.4">
      <c r="A330" s="5"/>
      <c r="B330" s="46"/>
      <c r="C330" s="4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10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hidden="1" customHeight="1" x14ac:dyDescent="0.4">
      <c r="A331" s="5"/>
      <c r="B331" s="46"/>
      <c r="C331" s="4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10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hidden="1" customHeight="1" x14ac:dyDescent="0.4">
      <c r="A332" s="5"/>
      <c r="B332" s="46"/>
      <c r="C332" s="4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10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hidden="1" customHeight="1" x14ac:dyDescent="0.4">
      <c r="A333" s="5"/>
      <c r="B333" s="46"/>
      <c r="C333" s="4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10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hidden="1" customHeight="1" x14ac:dyDescent="0.4">
      <c r="A334" s="5"/>
      <c r="B334" s="46"/>
      <c r="C334" s="4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10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hidden="1" customHeight="1" x14ac:dyDescent="0.4">
      <c r="A335" s="5"/>
      <c r="B335" s="46"/>
      <c r="C335" s="4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10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hidden="1" customHeight="1" x14ac:dyDescent="0.4">
      <c r="A336" s="5"/>
      <c r="B336" s="46"/>
      <c r="C336" s="4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10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hidden="1" customHeight="1" x14ac:dyDescent="0.4">
      <c r="A337" s="5"/>
      <c r="B337" s="46"/>
      <c r="C337" s="4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10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hidden="1" customHeight="1" x14ac:dyDescent="0.4">
      <c r="A338" s="5"/>
      <c r="B338" s="46"/>
      <c r="C338" s="4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10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hidden="1" customHeight="1" x14ac:dyDescent="0.4">
      <c r="A339" s="5"/>
      <c r="B339" s="46"/>
      <c r="C339" s="4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10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hidden="1" customHeight="1" x14ac:dyDescent="0.4">
      <c r="A340" s="5"/>
      <c r="B340" s="46"/>
      <c r="C340" s="4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10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hidden="1" customHeight="1" x14ac:dyDescent="0.4">
      <c r="A341" s="5"/>
      <c r="B341" s="46"/>
      <c r="C341" s="4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10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hidden="1" customHeight="1" x14ac:dyDescent="0.4">
      <c r="A342" s="5"/>
      <c r="B342" s="46"/>
      <c r="C342" s="4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10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hidden="1" customHeight="1" x14ac:dyDescent="0.4">
      <c r="A343" s="5"/>
      <c r="B343" s="46"/>
      <c r="C343" s="4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10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hidden="1" customHeight="1" x14ac:dyDescent="0.4">
      <c r="A344" s="5"/>
      <c r="B344" s="46"/>
      <c r="C344" s="4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10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hidden="1" customHeight="1" x14ac:dyDescent="0.4">
      <c r="A345" s="5"/>
      <c r="B345" s="46"/>
      <c r="C345" s="4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10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hidden="1" customHeight="1" x14ac:dyDescent="0.4">
      <c r="A346" s="5"/>
      <c r="B346" s="46"/>
      <c r="C346" s="4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10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hidden="1" customHeight="1" x14ac:dyDescent="0.4">
      <c r="A347" s="5"/>
      <c r="B347" s="46"/>
      <c r="C347" s="4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10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hidden="1" customHeight="1" x14ac:dyDescent="0.4">
      <c r="A348" s="5"/>
      <c r="B348" s="46"/>
      <c r="C348" s="4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10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hidden="1" customHeight="1" x14ac:dyDescent="0.4">
      <c r="A349" s="5"/>
      <c r="B349" s="46"/>
      <c r="C349" s="4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10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hidden="1" customHeight="1" x14ac:dyDescent="0.4">
      <c r="A350" s="5"/>
      <c r="B350" s="46"/>
      <c r="C350" s="4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10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hidden="1" customHeight="1" x14ac:dyDescent="0.4">
      <c r="A351" s="5"/>
      <c r="B351" s="46"/>
      <c r="C351" s="4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10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hidden="1" customHeight="1" x14ac:dyDescent="0.4">
      <c r="A352" s="5"/>
      <c r="B352" s="46"/>
      <c r="C352" s="4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10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hidden="1" customHeight="1" x14ac:dyDescent="0.4">
      <c r="A353" s="5"/>
      <c r="B353" s="46"/>
      <c r="C353" s="4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10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hidden="1" customHeight="1" x14ac:dyDescent="0.4">
      <c r="A354" s="5"/>
      <c r="B354" s="46"/>
      <c r="C354" s="4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10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hidden="1" customHeight="1" x14ac:dyDescent="0.4">
      <c r="A355" s="5"/>
      <c r="B355" s="46"/>
      <c r="C355" s="4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10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hidden="1" customHeight="1" x14ac:dyDescent="0.4">
      <c r="A356" s="5"/>
      <c r="B356" s="46"/>
      <c r="C356" s="4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10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hidden="1" customHeight="1" x14ac:dyDescent="0.4">
      <c r="A357" s="5"/>
      <c r="B357" s="46"/>
      <c r="C357" s="4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10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hidden="1" customHeight="1" x14ac:dyDescent="0.4">
      <c r="A358" s="5"/>
      <c r="B358" s="46"/>
      <c r="C358" s="4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10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hidden="1" customHeight="1" x14ac:dyDescent="0.4">
      <c r="A359" s="5"/>
      <c r="B359" s="46"/>
      <c r="C359" s="4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10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hidden="1" customHeight="1" x14ac:dyDescent="0.4">
      <c r="A360" s="5"/>
      <c r="B360" s="46"/>
      <c r="C360" s="4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10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hidden="1" customHeight="1" x14ac:dyDescent="0.4">
      <c r="A361" s="5"/>
      <c r="B361" s="46"/>
      <c r="C361" s="4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10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hidden="1" customHeight="1" x14ac:dyDescent="0.4">
      <c r="A362" s="5"/>
      <c r="B362" s="46"/>
      <c r="C362" s="4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10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hidden="1" customHeight="1" x14ac:dyDescent="0.4">
      <c r="A363" s="5"/>
      <c r="B363" s="46"/>
      <c r="C363" s="4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10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hidden="1" customHeight="1" x14ac:dyDescent="0.4">
      <c r="A364" s="5"/>
      <c r="B364" s="46"/>
      <c r="C364" s="4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10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hidden="1" customHeight="1" x14ac:dyDescent="0.4">
      <c r="A365" s="5"/>
      <c r="B365" s="46"/>
      <c r="C365" s="4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10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hidden="1" customHeight="1" x14ac:dyDescent="0.4">
      <c r="A366" s="5"/>
      <c r="B366" s="46"/>
      <c r="C366" s="4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10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hidden="1" customHeight="1" x14ac:dyDescent="0.4">
      <c r="A367" s="5"/>
      <c r="B367" s="46"/>
      <c r="C367" s="4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10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hidden="1" customHeight="1" x14ac:dyDescent="0.4">
      <c r="A368" s="5"/>
      <c r="B368" s="46"/>
      <c r="C368" s="4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10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hidden="1" customHeight="1" x14ac:dyDescent="0.4">
      <c r="A369" s="5"/>
      <c r="B369" s="46"/>
      <c r="C369" s="4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10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hidden="1" customHeight="1" x14ac:dyDescent="0.4">
      <c r="A370" s="5"/>
      <c r="B370" s="46"/>
      <c r="C370" s="4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10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hidden="1" customHeight="1" x14ac:dyDescent="0.4">
      <c r="A371" s="5"/>
      <c r="B371" s="46"/>
      <c r="C371" s="4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10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hidden="1" customHeight="1" x14ac:dyDescent="0.4">
      <c r="A372" s="5"/>
      <c r="B372" s="46"/>
      <c r="C372" s="4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10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hidden="1" customHeight="1" x14ac:dyDescent="0.4">
      <c r="A373" s="5"/>
      <c r="B373" s="46"/>
      <c r="C373" s="4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10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hidden="1" customHeight="1" x14ac:dyDescent="0.4">
      <c r="A374" s="5"/>
      <c r="B374" s="46"/>
      <c r="C374" s="4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10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hidden="1" customHeight="1" x14ac:dyDescent="0.4">
      <c r="A375" s="5"/>
      <c r="B375" s="46"/>
      <c r="C375" s="4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10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hidden="1" customHeight="1" x14ac:dyDescent="0.4">
      <c r="A376" s="5"/>
      <c r="B376" s="46"/>
      <c r="C376" s="4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10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hidden="1" customHeight="1" x14ac:dyDescent="0.4">
      <c r="A377" s="5"/>
      <c r="B377" s="46"/>
      <c r="C377" s="4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10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hidden="1" customHeight="1" x14ac:dyDescent="0.4">
      <c r="A378" s="5"/>
      <c r="B378" s="46"/>
      <c r="C378" s="4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10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hidden="1" customHeight="1" x14ac:dyDescent="0.4">
      <c r="A379" s="5"/>
      <c r="B379" s="46"/>
      <c r="C379" s="4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10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hidden="1" customHeight="1" x14ac:dyDescent="0.4">
      <c r="A380" s="5"/>
      <c r="B380" s="46"/>
      <c r="C380" s="4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10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hidden="1" customHeight="1" x14ac:dyDescent="0.4">
      <c r="A381" s="5"/>
      <c r="B381" s="46"/>
      <c r="C381" s="4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10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hidden="1" customHeight="1" x14ac:dyDescent="0.4">
      <c r="A382" s="5"/>
      <c r="B382" s="46"/>
      <c r="C382" s="4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10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hidden="1" customHeight="1" x14ac:dyDescent="0.4">
      <c r="A383" s="5"/>
      <c r="B383" s="46"/>
      <c r="C383" s="4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10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hidden="1" customHeight="1" x14ac:dyDescent="0.4">
      <c r="A384" s="5"/>
      <c r="B384" s="46"/>
      <c r="C384" s="4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10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hidden="1" customHeight="1" x14ac:dyDescent="0.4">
      <c r="A385" s="5"/>
      <c r="B385" s="46"/>
      <c r="C385" s="4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10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hidden="1" customHeight="1" x14ac:dyDescent="0.4">
      <c r="A386" s="5"/>
      <c r="B386" s="46"/>
      <c r="C386" s="4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10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hidden="1" customHeight="1" x14ac:dyDescent="0.4">
      <c r="A387" s="5"/>
      <c r="B387" s="46"/>
      <c r="C387" s="4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10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hidden="1" customHeight="1" x14ac:dyDescent="0.4">
      <c r="A388" s="5"/>
      <c r="B388" s="46"/>
      <c r="C388" s="4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10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hidden="1" customHeight="1" x14ac:dyDescent="0.4">
      <c r="A389" s="5"/>
      <c r="B389" s="46"/>
      <c r="C389" s="4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10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hidden="1" customHeight="1" x14ac:dyDescent="0.4">
      <c r="A390" s="5"/>
      <c r="B390" s="46"/>
      <c r="C390" s="4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10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hidden="1" customHeight="1" x14ac:dyDescent="0.4">
      <c r="A391" s="5"/>
      <c r="B391" s="46"/>
      <c r="C391" s="4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10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hidden="1" customHeight="1" x14ac:dyDescent="0.4">
      <c r="A392" s="5"/>
      <c r="B392" s="46"/>
      <c r="C392" s="4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10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hidden="1" customHeight="1" x14ac:dyDescent="0.4">
      <c r="A393" s="5"/>
      <c r="B393" s="46"/>
      <c r="C393" s="4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10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hidden="1" customHeight="1" x14ac:dyDescent="0.4">
      <c r="A394" s="5"/>
      <c r="B394" s="46"/>
      <c r="C394" s="4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10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hidden="1" customHeight="1" x14ac:dyDescent="0.4">
      <c r="A395" s="5"/>
      <c r="B395" s="46"/>
      <c r="C395" s="4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10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hidden="1" customHeight="1" x14ac:dyDescent="0.4">
      <c r="A396" s="5"/>
      <c r="B396" s="46"/>
      <c r="C396" s="4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10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hidden="1" customHeight="1" x14ac:dyDescent="0.4">
      <c r="A397" s="5"/>
      <c r="B397" s="46"/>
      <c r="C397" s="4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10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hidden="1" customHeight="1" x14ac:dyDescent="0.4">
      <c r="A398" s="5"/>
      <c r="B398" s="46"/>
      <c r="C398" s="4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10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hidden="1" customHeight="1" x14ac:dyDescent="0.4">
      <c r="A399" s="5"/>
      <c r="B399" s="46"/>
      <c r="C399" s="4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10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hidden="1" customHeight="1" x14ac:dyDescent="0.4">
      <c r="A400" s="5"/>
      <c r="B400" s="46"/>
      <c r="C400" s="4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10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hidden="1" customHeight="1" x14ac:dyDescent="0.4">
      <c r="A401" s="5"/>
      <c r="B401" s="46"/>
      <c r="C401" s="4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10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hidden="1" customHeight="1" x14ac:dyDescent="0.4">
      <c r="A402" s="5"/>
      <c r="B402" s="46"/>
      <c r="C402" s="4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10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hidden="1" customHeight="1" x14ac:dyDescent="0.4">
      <c r="A403" s="5"/>
      <c r="B403" s="46"/>
      <c r="C403" s="4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10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hidden="1" customHeight="1" x14ac:dyDescent="0.4">
      <c r="A404" s="5"/>
      <c r="B404" s="46"/>
      <c r="C404" s="4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10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hidden="1" customHeight="1" x14ac:dyDescent="0.4">
      <c r="A405" s="5"/>
      <c r="B405" s="46"/>
      <c r="C405" s="4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10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hidden="1" customHeight="1" x14ac:dyDescent="0.4">
      <c r="A406" s="5"/>
      <c r="B406" s="46"/>
      <c r="C406" s="4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10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hidden="1" customHeight="1" x14ac:dyDescent="0.4">
      <c r="A407" s="5"/>
      <c r="B407" s="46"/>
      <c r="C407" s="4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10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hidden="1" customHeight="1" x14ac:dyDescent="0.4">
      <c r="A408" s="5"/>
      <c r="B408" s="46"/>
      <c r="C408" s="4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10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hidden="1" customHeight="1" x14ac:dyDescent="0.4">
      <c r="A409" s="5"/>
      <c r="B409" s="46"/>
      <c r="C409" s="4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10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hidden="1" customHeight="1" x14ac:dyDescent="0.4">
      <c r="A410" s="5"/>
      <c r="B410" s="46"/>
      <c r="C410" s="4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10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hidden="1" customHeight="1" x14ac:dyDescent="0.4">
      <c r="A411" s="5"/>
      <c r="B411" s="46"/>
      <c r="C411" s="4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10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hidden="1" customHeight="1" x14ac:dyDescent="0.4">
      <c r="A412" s="5"/>
      <c r="B412" s="46"/>
      <c r="C412" s="4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10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hidden="1" customHeight="1" x14ac:dyDescent="0.4">
      <c r="A413" s="5"/>
      <c r="B413" s="46"/>
      <c r="C413" s="4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10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hidden="1" customHeight="1" x14ac:dyDescent="0.4">
      <c r="A414" s="5"/>
      <c r="B414" s="46"/>
      <c r="C414" s="4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10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hidden="1" customHeight="1" x14ac:dyDescent="0.4">
      <c r="A415" s="5"/>
      <c r="B415" s="46"/>
      <c r="C415" s="4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10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hidden="1" customHeight="1" x14ac:dyDescent="0.4">
      <c r="A416" s="5"/>
      <c r="B416" s="46"/>
      <c r="C416" s="4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10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hidden="1" customHeight="1" x14ac:dyDescent="0.4">
      <c r="A417" s="5"/>
      <c r="B417" s="46"/>
      <c r="C417" s="4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10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hidden="1" customHeight="1" x14ac:dyDescent="0.4">
      <c r="A418" s="5"/>
      <c r="B418" s="46"/>
      <c r="C418" s="4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10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hidden="1" customHeight="1" x14ac:dyDescent="0.4">
      <c r="A419" s="5"/>
      <c r="B419" s="46"/>
      <c r="C419" s="4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10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hidden="1" customHeight="1" x14ac:dyDescent="0.4">
      <c r="A420" s="5"/>
      <c r="B420" s="46"/>
      <c r="C420" s="4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10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hidden="1" customHeight="1" x14ac:dyDescent="0.4">
      <c r="A421" s="5"/>
      <c r="B421" s="46"/>
      <c r="C421" s="4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10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hidden="1" customHeight="1" x14ac:dyDescent="0.4">
      <c r="A422" s="5"/>
      <c r="B422" s="46"/>
      <c r="C422" s="4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10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hidden="1" customHeight="1" x14ac:dyDescent="0.4">
      <c r="A423" s="5"/>
      <c r="B423" s="46"/>
      <c r="C423" s="4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10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hidden="1" customHeight="1" x14ac:dyDescent="0.4">
      <c r="A424" s="5"/>
      <c r="B424" s="46"/>
      <c r="C424" s="4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10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hidden="1" customHeight="1" x14ac:dyDescent="0.4">
      <c r="A425" s="5"/>
      <c r="B425" s="46"/>
      <c r="C425" s="4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10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hidden="1" customHeight="1" x14ac:dyDescent="0.4">
      <c r="A426" s="5"/>
      <c r="B426" s="46"/>
      <c r="C426" s="4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10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hidden="1" customHeight="1" x14ac:dyDescent="0.4">
      <c r="A427" s="5"/>
      <c r="B427" s="46"/>
      <c r="C427" s="4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10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hidden="1" customHeight="1" x14ac:dyDescent="0.4">
      <c r="A428" s="5"/>
      <c r="B428" s="46"/>
      <c r="C428" s="4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10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hidden="1" customHeight="1" x14ac:dyDescent="0.4">
      <c r="A429" s="5"/>
      <c r="B429" s="46"/>
      <c r="C429" s="4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10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hidden="1" customHeight="1" x14ac:dyDescent="0.4">
      <c r="A430" s="5"/>
      <c r="B430" s="46"/>
      <c r="C430" s="4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10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hidden="1" customHeight="1" x14ac:dyDescent="0.4">
      <c r="A431" s="5"/>
      <c r="B431" s="46"/>
      <c r="C431" s="4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10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hidden="1" customHeight="1" x14ac:dyDescent="0.4">
      <c r="A432" s="5"/>
      <c r="B432" s="46"/>
      <c r="C432" s="4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10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hidden="1" customHeight="1" x14ac:dyDescent="0.4">
      <c r="A433" s="5"/>
      <c r="B433" s="46"/>
      <c r="C433" s="4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10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hidden="1" customHeight="1" x14ac:dyDescent="0.4">
      <c r="A434" s="5"/>
      <c r="B434" s="46"/>
      <c r="C434" s="4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10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hidden="1" customHeight="1" x14ac:dyDescent="0.4">
      <c r="A435" s="5"/>
      <c r="B435" s="46"/>
      <c r="C435" s="4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10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hidden="1" customHeight="1" x14ac:dyDescent="0.4">
      <c r="A436" s="5"/>
      <c r="B436" s="46"/>
      <c r="C436" s="4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10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hidden="1" customHeight="1" x14ac:dyDescent="0.4">
      <c r="A437" s="5"/>
      <c r="B437" s="46"/>
      <c r="C437" s="4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10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hidden="1" customHeight="1" x14ac:dyDescent="0.4">
      <c r="A438" s="5"/>
      <c r="B438" s="46"/>
      <c r="C438" s="4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10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hidden="1" customHeight="1" x14ac:dyDescent="0.4">
      <c r="A439" s="5"/>
      <c r="B439" s="46"/>
      <c r="C439" s="4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10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hidden="1" customHeight="1" x14ac:dyDescent="0.4">
      <c r="A440" s="5"/>
      <c r="B440" s="46"/>
      <c r="C440" s="4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10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hidden="1" customHeight="1" x14ac:dyDescent="0.4">
      <c r="A441" s="5"/>
      <c r="B441" s="46"/>
      <c r="C441" s="4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10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hidden="1" customHeight="1" x14ac:dyDescent="0.4">
      <c r="A442" s="5"/>
      <c r="B442" s="46"/>
      <c r="C442" s="4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10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hidden="1" customHeight="1" x14ac:dyDescent="0.4">
      <c r="A443" s="5"/>
      <c r="B443" s="46"/>
      <c r="C443" s="4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10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hidden="1" customHeight="1" x14ac:dyDescent="0.4">
      <c r="A444" s="5"/>
      <c r="B444" s="46"/>
      <c r="C444" s="4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10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hidden="1" customHeight="1" x14ac:dyDescent="0.4">
      <c r="A445" s="5"/>
      <c r="B445" s="46"/>
      <c r="C445" s="4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10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hidden="1" customHeight="1" x14ac:dyDescent="0.4">
      <c r="A446" s="5"/>
      <c r="B446" s="46"/>
      <c r="C446" s="4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10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hidden="1" customHeight="1" x14ac:dyDescent="0.4">
      <c r="A447" s="5"/>
      <c r="B447" s="46"/>
      <c r="C447" s="4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10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hidden="1" customHeight="1" x14ac:dyDescent="0.4">
      <c r="A448" s="5"/>
      <c r="B448" s="46"/>
      <c r="C448" s="4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10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hidden="1" customHeight="1" x14ac:dyDescent="0.4">
      <c r="A449" s="5"/>
      <c r="B449" s="46"/>
      <c r="C449" s="4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10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hidden="1" customHeight="1" x14ac:dyDescent="0.4">
      <c r="A450" s="5"/>
      <c r="B450" s="46"/>
      <c r="C450" s="4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10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hidden="1" customHeight="1" x14ac:dyDescent="0.4">
      <c r="A451" s="5"/>
      <c r="B451" s="46"/>
      <c r="C451" s="4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10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hidden="1" customHeight="1" x14ac:dyDescent="0.4">
      <c r="A452" s="5"/>
      <c r="B452" s="46"/>
      <c r="C452" s="4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10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hidden="1" customHeight="1" x14ac:dyDescent="0.4">
      <c r="A453" s="5"/>
      <c r="B453" s="46"/>
      <c r="C453" s="4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10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hidden="1" customHeight="1" x14ac:dyDescent="0.4">
      <c r="A454" s="5"/>
      <c r="B454" s="46"/>
      <c r="C454" s="4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10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hidden="1" customHeight="1" x14ac:dyDescent="0.4">
      <c r="A455" s="5"/>
      <c r="B455" s="46"/>
      <c r="C455" s="4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10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hidden="1" customHeight="1" x14ac:dyDescent="0.4">
      <c r="A456" s="5"/>
      <c r="B456" s="46"/>
      <c r="C456" s="4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10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hidden="1" customHeight="1" x14ac:dyDescent="0.4">
      <c r="A457" s="5"/>
      <c r="B457" s="46"/>
      <c r="C457" s="4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10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hidden="1" customHeight="1" x14ac:dyDescent="0.4">
      <c r="A458" s="5"/>
      <c r="B458" s="46"/>
      <c r="C458" s="4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10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hidden="1" customHeight="1" x14ac:dyDescent="0.4">
      <c r="A459" s="5"/>
      <c r="B459" s="46"/>
      <c r="C459" s="4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10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hidden="1" customHeight="1" x14ac:dyDescent="0.4">
      <c r="A460" s="5"/>
      <c r="B460" s="46"/>
      <c r="C460" s="4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10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hidden="1" customHeight="1" x14ac:dyDescent="0.4">
      <c r="A461" s="5"/>
      <c r="B461" s="46"/>
      <c r="C461" s="4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10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hidden="1" customHeight="1" x14ac:dyDescent="0.4">
      <c r="A462" s="5"/>
      <c r="B462" s="46"/>
      <c r="C462" s="47"/>
      <c r="D462" s="5"/>
      <c r="E462" s="5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hidden="1" customHeight="1" x14ac:dyDescent="0.4">
      <c r="A463" s="5"/>
      <c r="B463" s="46"/>
      <c r="C463" s="47"/>
      <c r="D463" s="5"/>
      <c r="E463" s="5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hidden="1" customHeight="1" x14ac:dyDescent="0.4">
      <c r="A464" s="5"/>
      <c r="B464" s="46"/>
      <c r="C464" s="47"/>
      <c r="D464" s="5"/>
      <c r="E464" s="5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  <row r="999" ht="15.75" customHeight="1" x14ac:dyDescent="0.4"/>
    <row r="1000" ht="15.75" customHeight="1" x14ac:dyDescent="0.4"/>
  </sheetData>
  <mergeCells count="84">
    <mergeCell ref="C117:D117"/>
    <mergeCell ref="B127:D127"/>
    <mergeCell ref="A128:E128"/>
    <mergeCell ref="C129:D129"/>
    <mergeCell ref="B103:D103"/>
    <mergeCell ref="A104:E104"/>
    <mergeCell ref="C105:D105"/>
    <mergeCell ref="B115:D115"/>
    <mergeCell ref="A116:E116"/>
    <mergeCell ref="A80:E80"/>
    <mergeCell ref="C81:D81"/>
    <mergeCell ref="B91:D91"/>
    <mergeCell ref="A92:E92"/>
    <mergeCell ref="C93:D93"/>
    <mergeCell ref="C57:D57"/>
    <mergeCell ref="B67:D67"/>
    <mergeCell ref="A68:E68"/>
    <mergeCell ref="C69:D69"/>
    <mergeCell ref="B79:D79"/>
    <mergeCell ref="A44:D44"/>
    <mergeCell ref="C45:D45"/>
    <mergeCell ref="C52:D52"/>
    <mergeCell ref="B55:D55"/>
    <mergeCell ref="A56:E56"/>
    <mergeCell ref="A37:E37"/>
    <mergeCell ref="B38:D38"/>
    <mergeCell ref="B39:C41"/>
    <mergeCell ref="A42:D42"/>
    <mergeCell ref="B43:D43"/>
    <mergeCell ref="B32:D32"/>
    <mergeCell ref="B33:D33"/>
    <mergeCell ref="B34:D34"/>
    <mergeCell ref="B35:D35"/>
    <mergeCell ref="B36:D36"/>
    <mergeCell ref="B25:B27"/>
    <mergeCell ref="C25:C27"/>
    <mergeCell ref="B28:B30"/>
    <mergeCell ref="C28:C30"/>
    <mergeCell ref="A31:D31"/>
    <mergeCell ref="B18:D18"/>
    <mergeCell ref="C19:C21"/>
    <mergeCell ref="B19:B21"/>
    <mergeCell ref="B22:B24"/>
    <mergeCell ref="C22:C24"/>
    <mergeCell ref="B12:D12"/>
    <mergeCell ref="E12:E13"/>
    <mergeCell ref="B13:D13"/>
    <mergeCell ref="B14:C16"/>
    <mergeCell ref="A17:D17"/>
    <mergeCell ref="C262:D262"/>
    <mergeCell ref="C263:D263"/>
    <mergeCell ref="C264:D264"/>
    <mergeCell ref="B223:D223"/>
    <mergeCell ref="A224:E224"/>
    <mergeCell ref="C225:D225"/>
    <mergeCell ref="B235:D235"/>
    <mergeCell ref="A236:E236"/>
    <mergeCell ref="C237:D237"/>
    <mergeCell ref="B247:D247"/>
    <mergeCell ref="C213:D213"/>
    <mergeCell ref="A248:E248"/>
    <mergeCell ref="C249:D249"/>
    <mergeCell ref="B259:D259"/>
    <mergeCell ref="B261:D261"/>
    <mergeCell ref="B199:D199"/>
    <mergeCell ref="A200:E200"/>
    <mergeCell ref="C201:D201"/>
    <mergeCell ref="B211:D211"/>
    <mergeCell ref="A212:E212"/>
    <mergeCell ref="A176:E176"/>
    <mergeCell ref="C177:D177"/>
    <mergeCell ref="B187:D187"/>
    <mergeCell ref="A188:E188"/>
    <mergeCell ref="C189:D189"/>
    <mergeCell ref="C153:D153"/>
    <mergeCell ref="B163:D163"/>
    <mergeCell ref="A164:E164"/>
    <mergeCell ref="C165:D165"/>
    <mergeCell ref="B175:D175"/>
    <mergeCell ref="B139:D139"/>
    <mergeCell ref="A140:E140"/>
    <mergeCell ref="C141:D141"/>
    <mergeCell ref="B151:D151"/>
    <mergeCell ref="A152:E152"/>
  </mergeCells>
  <conditionalFormatting sqref="E30">
    <cfRule type="expression" dxfId="522" priority="1">
      <formula>E30&lt;&gt;E264</formula>
    </cfRule>
    <cfRule type="expression" dxfId="521" priority="2">
      <formula>E30&lt;&gt;E34</formula>
    </cfRule>
  </conditionalFormatting>
  <conditionalFormatting sqref="F259:O261">
    <cfRule type="cellIs" dxfId="520" priority="3" operator="equal">
      <formula>"FALSE"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00"/>
  </sheetPr>
  <dimension ref="A1:P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15" width="8.7109375" customWidth="1"/>
    <col min="16" max="16" width="13.28515625" customWidth="1"/>
    <col min="17" max="26" width="8.7109375" customWidth="1"/>
  </cols>
  <sheetData>
    <row r="1" spans="1:16" ht="12.75" customHeight="1" x14ac:dyDescent="0.4"/>
    <row r="2" spans="1:16" ht="12.75" customHeight="1" x14ac:dyDescent="0.4">
      <c r="C2" s="8" t="s">
        <v>0</v>
      </c>
      <c r="D2" s="8" t="s">
        <v>1</v>
      </c>
    </row>
    <row r="3" spans="1:16" ht="12.75" customHeight="1" x14ac:dyDescent="0.4">
      <c r="C3" s="8" t="s">
        <v>2</v>
      </c>
      <c r="D3" s="8" t="s">
        <v>1</v>
      </c>
    </row>
    <row r="4" spans="1:16" ht="12.75" customHeight="1" x14ac:dyDescent="0.4">
      <c r="C4" s="8" t="s">
        <v>3</v>
      </c>
      <c r="D4" s="8" t="s">
        <v>4</v>
      </c>
    </row>
    <row r="5" spans="1:16" ht="12.75" customHeight="1" x14ac:dyDescent="0.4">
      <c r="C5" s="8"/>
      <c r="D5" s="8"/>
    </row>
    <row r="6" spans="1:16" ht="12.75" customHeight="1" x14ac:dyDescent="0.4">
      <c r="C6" s="8"/>
      <c r="D6" s="8"/>
    </row>
    <row r="7" spans="1:16" ht="12.75" customHeight="1" x14ac:dyDescent="0.4">
      <c r="C7" s="8"/>
      <c r="D7" s="8"/>
    </row>
    <row r="8" spans="1:16" ht="12.75" customHeight="1" x14ac:dyDescent="0.4">
      <c r="C8" s="8"/>
      <c r="D8" s="8"/>
    </row>
    <row r="9" spans="1:16" ht="12.75" customHeight="1" x14ac:dyDescent="0.4">
      <c r="C9" s="8" t="s">
        <v>168</v>
      </c>
      <c r="D9" s="8" t="s">
        <v>169</v>
      </c>
    </row>
    <row r="10" spans="1:16" ht="12.75" customHeight="1" x14ac:dyDescent="0.4"/>
    <row r="11" spans="1:16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16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90" t="s">
        <v>7</v>
      </c>
    </row>
    <row r="13" spans="1:16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80"/>
    </row>
    <row r="14" spans="1:16" ht="12.75" customHeight="1" x14ac:dyDescent="0.4">
      <c r="A14" s="15"/>
      <c r="B14" s="75" t="s">
        <v>10</v>
      </c>
      <c r="C14" s="66"/>
      <c r="D14" s="16" t="s">
        <v>11</v>
      </c>
      <c r="E14" s="16">
        <v>136</v>
      </c>
      <c r="F14" s="16">
        <v>117</v>
      </c>
      <c r="G14" s="16">
        <v>134</v>
      </c>
      <c r="H14" s="16">
        <v>137</v>
      </c>
      <c r="I14" s="16">
        <v>136</v>
      </c>
      <c r="J14" s="16">
        <v>103</v>
      </c>
      <c r="K14" s="16">
        <v>131</v>
      </c>
      <c r="L14" s="16">
        <v>126</v>
      </c>
      <c r="M14" s="16">
        <v>100</v>
      </c>
      <c r="N14" s="16">
        <v>130</v>
      </c>
      <c r="O14" s="16">
        <v>146</v>
      </c>
      <c r="P14" s="13">
        <f t="shared" ref="P14:P16" si="0">SUM(E14:O14)</f>
        <v>1396</v>
      </c>
    </row>
    <row r="15" spans="1:16" ht="12.75" customHeight="1" x14ac:dyDescent="0.4">
      <c r="A15" s="15"/>
      <c r="B15" s="76"/>
      <c r="C15" s="77"/>
      <c r="D15" s="16" t="s">
        <v>12</v>
      </c>
      <c r="E15" s="16">
        <v>136</v>
      </c>
      <c r="F15" s="16">
        <v>131</v>
      </c>
      <c r="G15" s="16">
        <v>135</v>
      </c>
      <c r="H15" s="16">
        <v>131</v>
      </c>
      <c r="I15" s="16">
        <v>142</v>
      </c>
      <c r="J15" s="16">
        <v>98</v>
      </c>
      <c r="K15" s="16">
        <v>148</v>
      </c>
      <c r="L15" s="16">
        <v>98</v>
      </c>
      <c r="M15" s="16">
        <v>122</v>
      </c>
      <c r="N15" s="16">
        <v>151</v>
      </c>
      <c r="O15" s="16">
        <v>142</v>
      </c>
      <c r="P15" s="13">
        <f t="shared" si="0"/>
        <v>1434</v>
      </c>
    </row>
    <row r="16" spans="1:16" ht="12.75" customHeight="1" x14ac:dyDescent="0.4">
      <c r="A16" s="18"/>
      <c r="B16" s="73"/>
      <c r="C16" s="69"/>
      <c r="D16" s="13" t="s">
        <v>13</v>
      </c>
      <c r="E16" s="13">
        <f t="shared" ref="E16:O16" si="1">SUM(E14:E15)</f>
        <v>272</v>
      </c>
      <c r="F16" s="13">
        <f t="shared" si="1"/>
        <v>248</v>
      </c>
      <c r="G16" s="13">
        <f t="shared" si="1"/>
        <v>269</v>
      </c>
      <c r="H16" s="13">
        <f t="shared" si="1"/>
        <v>268</v>
      </c>
      <c r="I16" s="13">
        <f t="shared" si="1"/>
        <v>278</v>
      </c>
      <c r="J16" s="13">
        <f t="shared" si="1"/>
        <v>201</v>
      </c>
      <c r="K16" s="13">
        <f t="shared" si="1"/>
        <v>279</v>
      </c>
      <c r="L16" s="13">
        <f t="shared" si="1"/>
        <v>224</v>
      </c>
      <c r="M16" s="13">
        <f t="shared" si="1"/>
        <v>222</v>
      </c>
      <c r="N16" s="13">
        <f t="shared" si="1"/>
        <v>281</v>
      </c>
      <c r="O16" s="13">
        <f t="shared" si="1"/>
        <v>288</v>
      </c>
      <c r="P16" s="13">
        <f t="shared" si="0"/>
        <v>2830</v>
      </c>
    </row>
    <row r="17" spans="1:16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9"/>
    </row>
    <row r="18" spans="1:16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9"/>
    </row>
    <row r="19" spans="1:16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82</v>
      </c>
      <c r="F19" s="16">
        <v>79</v>
      </c>
      <c r="G19" s="16">
        <v>87</v>
      </c>
      <c r="H19" s="16">
        <v>101</v>
      </c>
      <c r="I19" s="16">
        <v>98</v>
      </c>
      <c r="J19" s="16">
        <v>86</v>
      </c>
      <c r="K19" s="16">
        <v>99</v>
      </c>
      <c r="L19" s="16">
        <v>93</v>
      </c>
      <c r="M19" s="16">
        <v>76</v>
      </c>
      <c r="N19" s="16">
        <v>88</v>
      </c>
      <c r="O19" s="16">
        <v>106</v>
      </c>
      <c r="P19" s="13">
        <f t="shared" ref="P19:P30" si="2">SUM(E19:O19)</f>
        <v>995</v>
      </c>
    </row>
    <row r="20" spans="1:16" ht="12.75" customHeight="1" x14ac:dyDescent="0.4">
      <c r="A20" s="21"/>
      <c r="B20" s="77"/>
      <c r="C20" s="79"/>
      <c r="D20" s="16" t="s">
        <v>12</v>
      </c>
      <c r="E20" s="16">
        <v>90</v>
      </c>
      <c r="F20" s="16">
        <v>102</v>
      </c>
      <c r="G20" s="16">
        <v>111</v>
      </c>
      <c r="H20" s="16">
        <v>102</v>
      </c>
      <c r="I20" s="16">
        <v>105</v>
      </c>
      <c r="J20" s="16">
        <v>85</v>
      </c>
      <c r="K20" s="16">
        <v>122</v>
      </c>
      <c r="L20" s="16">
        <v>80</v>
      </c>
      <c r="M20" s="16">
        <v>95</v>
      </c>
      <c r="N20" s="16">
        <v>122</v>
      </c>
      <c r="O20" s="16">
        <v>114</v>
      </c>
      <c r="P20" s="13">
        <f t="shared" si="2"/>
        <v>1128</v>
      </c>
    </row>
    <row r="21" spans="1:16" ht="12.75" customHeight="1" x14ac:dyDescent="0.4">
      <c r="A21" s="22"/>
      <c r="B21" s="69"/>
      <c r="C21" s="80"/>
      <c r="D21" s="13" t="s">
        <v>13</v>
      </c>
      <c r="E21" s="13">
        <f t="shared" ref="E21:O21" si="3">SUM(E19:E20)</f>
        <v>172</v>
      </c>
      <c r="F21" s="13">
        <f t="shared" si="3"/>
        <v>181</v>
      </c>
      <c r="G21" s="13">
        <f t="shared" si="3"/>
        <v>198</v>
      </c>
      <c r="H21" s="13">
        <f t="shared" si="3"/>
        <v>203</v>
      </c>
      <c r="I21" s="13">
        <f t="shared" si="3"/>
        <v>203</v>
      </c>
      <c r="J21" s="13">
        <f t="shared" si="3"/>
        <v>171</v>
      </c>
      <c r="K21" s="13">
        <f t="shared" si="3"/>
        <v>221</v>
      </c>
      <c r="L21" s="13">
        <f t="shared" si="3"/>
        <v>173</v>
      </c>
      <c r="M21" s="13">
        <f t="shared" si="3"/>
        <v>171</v>
      </c>
      <c r="N21" s="13">
        <f t="shared" si="3"/>
        <v>210</v>
      </c>
      <c r="O21" s="13">
        <f t="shared" si="3"/>
        <v>220</v>
      </c>
      <c r="P21" s="13">
        <f t="shared" si="2"/>
        <v>2123</v>
      </c>
    </row>
    <row r="22" spans="1:16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3">
        <f t="shared" si="2"/>
        <v>0</v>
      </c>
    </row>
    <row r="23" spans="1:16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3">
        <f t="shared" si="2"/>
        <v>0</v>
      </c>
    </row>
    <row r="24" spans="1:16" ht="12.75" customHeight="1" x14ac:dyDescent="0.4">
      <c r="A24" s="22"/>
      <c r="B24" s="69"/>
      <c r="C24" s="80"/>
      <c r="D24" s="13" t="s">
        <v>13</v>
      </c>
      <c r="E24" s="13">
        <f t="shared" ref="E24:O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2"/>
        <v>0</v>
      </c>
    </row>
    <row r="25" spans="1:16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3</v>
      </c>
      <c r="F25" s="16">
        <v>1</v>
      </c>
      <c r="G25" s="16">
        <v>2</v>
      </c>
      <c r="H25" s="16">
        <v>1</v>
      </c>
      <c r="I25" s="16">
        <v>3</v>
      </c>
      <c r="J25" s="16">
        <v>0</v>
      </c>
      <c r="K25" s="16">
        <v>2</v>
      </c>
      <c r="L25" s="16">
        <v>0</v>
      </c>
      <c r="M25" s="16">
        <v>6</v>
      </c>
      <c r="N25" s="16">
        <v>5</v>
      </c>
      <c r="O25" s="16">
        <v>6</v>
      </c>
      <c r="P25" s="13">
        <f t="shared" si="2"/>
        <v>29</v>
      </c>
    </row>
    <row r="26" spans="1:16" ht="12.75" customHeight="1" x14ac:dyDescent="0.4">
      <c r="A26" s="21"/>
      <c r="B26" s="77"/>
      <c r="C26" s="79"/>
      <c r="D26" s="16" t="s">
        <v>12</v>
      </c>
      <c r="E26" s="16">
        <v>1</v>
      </c>
      <c r="F26" s="16">
        <v>1</v>
      </c>
      <c r="G26" s="16">
        <v>2</v>
      </c>
      <c r="H26" s="16">
        <v>1</v>
      </c>
      <c r="I26" s="16">
        <v>4</v>
      </c>
      <c r="J26" s="16">
        <v>0</v>
      </c>
      <c r="K26" s="16">
        <v>1</v>
      </c>
      <c r="L26" s="16">
        <v>0</v>
      </c>
      <c r="M26" s="16">
        <v>3</v>
      </c>
      <c r="N26" s="16">
        <v>8</v>
      </c>
      <c r="O26" s="16">
        <v>2</v>
      </c>
      <c r="P26" s="13">
        <f t="shared" si="2"/>
        <v>23</v>
      </c>
    </row>
    <row r="27" spans="1:16" ht="12.75" customHeight="1" x14ac:dyDescent="0.4">
      <c r="A27" s="22"/>
      <c r="B27" s="69"/>
      <c r="C27" s="80"/>
      <c r="D27" s="13" t="s">
        <v>13</v>
      </c>
      <c r="E27" s="13">
        <f t="shared" ref="E27:O27" si="5">SUM(E25:E26)</f>
        <v>4</v>
      </c>
      <c r="F27" s="13">
        <f t="shared" si="5"/>
        <v>2</v>
      </c>
      <c r="G27" s="13">
        <f t="shared" si="5"/>
        <v>4</v>
      </c>
      <c r="H27" s="13">
        <f t="shared" si="5"/>
        <v>2</v>
      </c>
      <c r="I27" s="13">
        <f t="shared" si="5"/>
        <v>7</v>
      </c>
      <c r="J27" s="13">
        <f t="shared" si="5"/>
        <v>0</v>
      </c>
      <c r="K27" s="13">
        <f t="shared" si="5"/>
        <v>3</v>
      </c>
      <c r="L27" s="13">
        <f t="shared" si="5"/>
        <v>0</v>
      </c>
      <c r="M27" s="13">
        <f t="shared" si="5"/>
        <v>9</v>
      </c>
      <c r="N27" s="13">
        <f t="shared" si="5"/>
        <v>13</v>
      </c>
      <c r="O27" s="13">
        <f t="shared" si="5"/>
        <v>8</v>
      </c>
      <c r="P27" s="13">
        <f t="shared" si="2"/>
        <v>52</v>
      </c>
    </row>
    <row r="28" spans="1:16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O28" si="6">SUM(E19,E22,E25)</f>
        <v>85</v>
      </c>
      <c r="F28" s="13">
        <f t="shared" si="6"/>
        <v>80</v>
      </c>
      <c r="G28" s="13">
        <f t="shared" si="6"/>
        <v>89</v>
      </c>
      <c r="H28" s="13">
        <f t="shared" si="6"/>
        <v>102</v>
      </c>
      <c r="I28" s="13">
        <f t="shared" si="6"/>
        <v>101</v>
      </c>
      <c r="J28" s="13">
        <f t="shared" si="6"/>
        <v>86</v>
      </c>
      <c r="K28" s="13">
        <f t="shared" si="6"/>
        <v>101</v>
      </c>
      <c r="L28" s="13">
        <f t="shared" si="6"/>
        <v>93</v>
      </c>
      <c r="M28" s="13">
        <f t="shared" si="6"/>
        <v>82</v>
      </c>
      <c r="N28" s="13">
        <f t="shared" si="6"/>
        <v>93</v>
      </c>
      <c r="O28" s="13">
        <f t="shared" si="6"/>
        <v>112</v>
      </c>
      <c r="P28" s="13">
        <f t="shared" si="2"/>
        <v>1024</v>
      </c>
    </row>
    <row r="29" spans="1:16" ht="12.75" customHeight="1" x14ac:dyDescent="0.4">
      <c r="A29" s="22"/>
      <c r="B29" s="77"/>
      <c r="C29" s="79"/>
      <c r="D29" s="13" t="s">
        <v>12</v>
      </c>
      <c r="E29" s="13">
        <f t="shared" ref="E29:O29" si="7">SUM(E20,E23,E26)</f>
        <v>91</v>
      </c>
      <c r="F29" s="13">
        <f t="shared" si="7"/>
        <v>103</v>
      </c>
      <c r="G29" s="13">
        <f t="shared" si="7"/>
        <v>113</v>
      </c>
      <c r="H29" s="13">
        <f t="shared" si="7"/>
        <v>103</v>
      </c>
      <c r="I29" s="13">
        <f t="shared" si="7"/>
        <v>109</v>
      </c>
      <c r="J29" s="13">
        <f t="shared" si="7"/>
        <v>85</v>
      </c>
      <c r="K29" s="13">
        <f t="shared" si="7"/>
        <v>123</v>
      </c>
      <c r="L29" s="13">
        <f t="shared" si="7"/>
        <v>80</v>
      </c>
      <c r="M29" s="13">
        <f t="shared" si="7"/>
        <v>98</v>
      </c>
      <c r="N29" s="13">
        <f t="shared" si="7"/>
        <v>130</v>
      </c>
      <c r="O29" s="13">
        <f t="shared" si="7"/>
        <v>116</v>
      </c>
      <c r="P29" s="13">
        <f t="shared" si="2"/>
        <v>1151</v>
      </c>
    </row>
    <row r="30" spans="1:16" ht="12.75" customHeight="1" x14ac:dyDescent="0.4">
      <c r="A30" s="22"/>
      <c r="B30" s="69"/>
      <c r="C30" s="80"/>
      <c r="D30" s="13" t="s">
        <v>13</v>
      </c>
      <c r="E30" s="13">
        <f t="shared" ref="E30:O30" si="8">SUM(E28:E29)</f>
        <v>176</v>
      </c>
      <c r="F30" s="13">
        <f t="shared" si="8"/>
        <v>183</v>
      </c>
      <c r="G30" s="13">
        <f t="shared" si="8"/>
        <v>202</v>
      </c>
      <c r="H30" s="13">
        <f t="shared" si="8"/>
        <v>205</v>
      </c>
      <c r="I30" s="13">
        <f t="shared" si="8"/>
        <v>210</v>
      </c>
      <c r="J30" s="13">
        <f t="shared" si="8"/>
        <v>171</v>
      </c>
      <c r="K30" s="13">
        <f t="shared" si="8"/>
        <v>224</v>
      </c>
      <c r="L30" s="13">
        <f t="shared" si="8"/>
        <v>173</v>
      </c>
      <c r="M30" s="13">
        <f t="shared" si="8"/>
        <v>180</v>
      </c>
      <c r="N30" s="13">
        <f t="shared" si="8"/>
        <v>223</v>
      </c>
      <c r="O30" s="13">
        <f t="shared" si="8"/>
        <v>228</v>
      </c>
      <c r="P30" s="13">
        <f t="shared" si="2"/>
        <v>2175</v>
      </c>
    </row>
    <row r="31" spans="1:16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9"/>
    </row>
    <row r="32" spans="1:16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49"/>
    </row>
    <row r="33" spans="1:16" ht="12.75" customHeight="1" x14ac:dyDescent="0.4">
      <c r="A33" s="16">
        <v>1</v>
      </c>
      <c r="B33" s="74" t="s">
        <v>26</v>
      </c>
      <c r="C33" s="61"/>
      <c r="D33" s="62"/>
      <c r="E33" s="16">
        <v>278</v>
      </c>
      <c r="F33" s="16">
        <v>253</v>
      </c>
      <c r="G33" s="16">
        <v>276</v>
      </c>
      <c r="H33" s="16">
        <v>274</v>
      </c>
      <c r="I33" s="16">
        <v>284</v>
      </c>
      <c r="J33" s="16">
        <v>206</v>
      </c>
      <c r="K33" s="16">
        <v>285</v>
      </c>
      <c r="L33" s="16">
        <v>229</v>
      </c>
      <c r="M33" s="16">
        <v>227</v>
      </c>
      <c r="N33" s="16">
        <v>287</v>
      </c>
      <c r="O33" s="16">
        <v>304</v>
      </c>
      <c r="P33" s="13">
        <f t="shared" ref="P33:P36" si="9">SUM(E33:O33)</f>
        <v>2903</v>
      </c>
    </row>
    <row r="34" spans="1:16" ht="12.75" customHeight="1" x14ac:dyDescent="0.4">
      <c r="A34" s="16">
        <v>2</v>
      </c>
      <c r="B34" s="74" t="s">
        <v>27</v>
      </c>
      <c r="C34" s="61"/>
      <c r="D34" s="62"/>
      <c r="E34" s="13">
        <v>176</v>
      </c>
      <c r="F34" s="13">
        <v>183</v>
      </c>
      <c r="G34" s="13">
        <v>202</v>
      </c>
      <c r="H34" s="13">
        <v>205</v>
      </c>
      <c r="I34" s="13">
        <v>210</v>
      </c>
      <c r="J34" s="13">
        <v>171</v>
      </c>
      <c r="K34" s="13">
        <v>224</v>
      </c>
      <c r="L34" s="13">
        <v>173</v>
      </c>
      <c r="M34" s="13">
        <v>180</v>
      </c>
      <c r="N34" s="13">
        <v>223</v>
      </c>
      <c r="O34" s="13">
        <v>228</v>
      </c>
      <c r="P34" s="13">
        <f t="shared" si="9"/>
        <v>2175</v>
      </c>
    </row>
    <row r="35" spans="1:16" ht="12.75" customHeight="1" x14ac:dyDescent="0.4">
      <c r="A35" s="16">
        <v>3</v>
      </c>
      <c r="B35" s="74" t="s">
        <v>28</v>
      </c>
      <c r="C35" s="61"/>
      <c r="D35" s="62"/>
      <c r="E35" s="16">
        <v>1</v>
      </c>
      <c r="F35" s="16">
        <v>1</v>
      </c>
      <c r="G35" s="16">
        <v>1</v>
      </c>
      <c r="H35" s="16">
        <v>0</v>
      </c>
      <c r="I35" s="16">
        <v>1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3">
        <f t="shared" si="9"/>
        <v>4</v>
      </c>
    </row>
    <row r="36" spans="1:16" ht="12.75" customHeight="1" x14ac:dyDescent="0.4">
      <c r="A36" s="16">
        <v>4</v>
      </c>
      <c r="B36" s="74" t="s">
        <v>29</v>
      </c>
      <c r="C36" s="61"/>
      <c r="D36" s="62"/>
      <c r="E36" s="13">
        <f t="shared" ref="E36:O36" si="10">E33-(E34+E35)</f>
        <v>101</v>
      </c>
      <c r="F36" s="13">
        <f t="shared" si="10"/>
        <v>69</v>
      </c>
      <c r="G36" s="13">
        <f t="shared" si="10"/>
        <v>73</v>
      </c>
      <c r="H36" s="13">
        <f t="shared" si="10"/>
        <v>69</v>
      </c>
      <c r="I36" s="13">
        <f t="shared" si="10"/>
        <v>73</v>
      </c>
      <c r="J36" s="13">
        <f t="shared" si="10"/>
        <v>35</v>
      </c>
      <c r="K36" s="13">
        <f t="shared" si="10"/>
        <v>61</v>
      </c>
      <c r="L36" s="13">
        <f t="shared" si="10"/>
        <v>56</v>
      </c>
      <c r="M36" s="13">
        <f t="shared" si="10"/>
        <v>47</v>
      </c>
      <c r="N36" s="13">
        <f t="shared" si="10"/>
        <v>64</v>
      </c>
      <c r="O36" s="13">
        <f t="shared" si="10"/>
        <v>76</v>
      </c>
      <c r="P36" s="13">
        <f t="shared" si="9"/>
        <v>724</v>
      </c>
    </row>
    <row r="37" spans="1:16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49"/>
    </row>
    <row r="38" spans="1:16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49"/>
    </row>
    <row r="39" spans="1:16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1</v>
      </c>
      <c r="L39" s="16">
        <v>0</v>
      </c>
      <c r="M39" s="16">
        <v>0</v>
      </c>
      <c r="N39" s="16">
        <v>0</v>
      </c>
      <c r="O39" s="16">
        <v>0</v>
      </c>
      <c r="P39" s="13">
        <f t="shared" ref="P39:P41" si="11">SUM(E39:O39)</f>
        <v>1</v>
      </c>
    </row>
    <row r="40" spans="1:16" ht="12.75" customHeight="1" x14ac:dyDescent="0.4">
      <c r="A40" s="21"/>
      <c r="B40" s="85"/>
      <c r="C40" s="77"/>
      <c r="D40" s="16" t="s">
        <v>12</v>
      </c>
      <c r="E40" s="16">
        <v>1</v>
      </c>
      <c r="F40" s="16">
        <v>0</v>
      </c>
      <c r="G40" s="16">
        <v>1</v>
      </c>
      <c r="H40" s="16">
        <v>0</v>
      </c>
      <c r="I40" s="16">
        <v>0</v>
      </c>
      <c r="J40" s="16">
        <v>0</v>
      </c>
      <c r="K40" s="16">
        <v>1</v>
      </c>
      <c r="L40" s="16">
        <v>0</v>
      </c>
      <c r="M40" s="16">
        <v>0</v>
      </c>
      <c r="N40" s="16">
        <v>0</v>
      </c>
      <c r="O40" s="16">
        <v>0</v>
      </c>
      <c r="P40" s="13">
        <f t="shared" si="11"/>
        <v>3</v>
      </c>
    </row>
    <row r="41" spans="1:16" ht="12.75" customHeight="1" x14ac:dyDescent="0.4">
      <c r="A41" s="25"/>
      <c r="B41" s="68"/>
      <c r="C41" s="69"/>
      <c r="D41" s="13" t="s">
        <v>13</v>
      </c>
      <c r="E41" s="13">
        <f t="shared" ref="E41:O41" si="12">SUM(E39:E40)</f>
        <v>1</v>
      </c>
      <c r="F41" s="13">
        <f t="shared" si="12"/>
        <v>0</v>
      </c>
      <c r="G41" s="13">
        <f t="shared" si="12"/>
        <v>1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2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0</v>
      </c>
      <c r="P41" s="13">
        <f t="shared" si="11"/>
        <v>4</v>
      </c>
    </row>
    <row r="42" spans="1:16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13"/>
    </row>
    <row r="43" spans="1:16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13"/>
    </row>
    <row r="44" spans="1:16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13"/>
    </row>
    <row r="45" spans="1:16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4</v>
      </c>
      <c r="F45" s="16">
        <v>5</v>
      </c>
      <c r="G45" s="16">
        <v>3</v>
      </c>
      <c r="H45" s="16">
        <v>0</v>
      </c>
      <c r="I45" s="16">
        <v>2</v>
      </c>
      <c r="J45" s="16">
        <v>5</v>
      </c>
      <c r="K45" s="16">
        <v>6</v>
      </c>
      <c r="L45" s="16">
        <v>7</v>
      </c>
      <c r="M45" s="16">
        <v>2</v>
      </c>
      <c r="N45" s="16">
        <v>4</v>
      </c>
      <c r="O45" s="16">
        <v>2</v>
      </c>
      <c r="P45" s="13">
        <f t="shared" ref="P45:P54" si="13">SUM(E45:O45)</f>
        <v>40</v>
      </c>
    </row>
    <row r="46" spans="1:16" ht="12.75" customHeight="1" x14ac:dyDescent="0.4">
      <c r="A46" s="20" t="s">
        <v>38</v>
      </c>
      <c r="B46" s="28"/>
      <c r="C46" s="29" t="s">
        <v>39</v>
      </c>
      <c r="D46" s="30"/>
      <c r="E46" s="16">
        <v>3</v>
      </c>
      <c r="F46" s="16">
        <v>0</v>
      </c>
      <c r="G46" s="16">
        <v>1</v>
      </c>
      <c r="H46" s="16">
        <v>0</v>
      </c>
      <c r="I46" s="16">
        <v>1</v>
      </c>
      <c r="J46" s="16">
        <v>3</v>
      </c>
      <c r="K46" s="16">
        <v>1</v>
      </c>
      <c r="L46" s="16">
        <v>0</v>
      </c>
      <c r="M46" s="16">
        <v>3</v>
      </c>
      <c r="N46" s="16">
        <v>2</v>
      </c>
      <c r="O46" s="16">
        <v>2</v>
      </c>
      <c r="P46" s="13">
        <f t="shared" si="13"/>
        <v>16</v>
      </c>
    </row>
    <row r="47" spans="1:16" ht="12.75" customHeight="1" x14ac:dyDescent="0.4">
      <c r="A47" s="15"/>
      <c r="B47" s="28"/>
      <c r="C47" s="29" t="s">
        <v>40</v>
      </c>
      <c r="D47" s="30"/>
      <c r="E47" s="16">
        <v>1</v>
      </c>
      <c r="F47" s="16">
        <v>3</v>
      </c>
      <c r="G47" s="16">
        <v>1</v>
      </c>
      <c r="H47" s="16">
        <v>0</v>
      </c>
      <c r="I47" s="16">
        <v>0</v>
      </c>
      <c r="J47" s="16">
        <v>0</v>
      </c>
      <c r="K47" s="16">
        <v>1</v>
      </c>
      <c r="L47" s="16">
        <v>9</v>
      </c>
      <c r="M47" s="16">
        <v>8</v>
      </c>
      <c r="N47" s="16">
        <v>3</v>
      </c>
      <c r="O47" s="16">
        <v>3</v>
      </c>
      <c r="P47" s="13">
        <f t="shared" si="13"/>
        <v>29</v>
      </c>
    </row>
    <row r="48" spans="1:16" ht="12.75" customHeight="1" x14ac:dyDescent="0.4">
      <c r="A48" s="15"/>
      <c r="B48" s="28"/>
      <c r="C48" s="29" t="s">
        <v>41</v>
      </c>
      <c r="D48" s="30"/>
      <c r="E48" s="16">
        <v>0</v>
      </c>
      <c r="F48" s="16">
        <v>0</v>
      </c>
      <c r="G48" s="16">
        <v>0</v>
      </c>
      <c r="H48" s="16">
        <v>2</v>
      </c>
      <c r="I48" s="16">
        <v>0</v>
      </c>
      <c r="J48" s="16">
        <v>1</v>
      </c>
      <c r="K48" s="16">
        <v>1</v>
      </c>
      <c r="L48" s="16">
        <v>3</v>
      </c>
      <c r="M48" s="16">
        <v>1</v>
      </c>
      <c r="N48" s="16">
        <v>0</v>
      </c>
      <c r="O48" s="16">
        <v>0</v>
      </c>
      <c r="P48" s="13">
        <f t="shared" si="13"/>
        <v>8</v>
      </c>
    </row>
    <row r="49" spans="1:16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3">
        <f t="shared" si="13"/>
        <v>0</v>
      </c>
    </row>
    <row r="50" spans="1:16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3">
        <f t="shared" si="13"/>
        <v>0</v>
      </c>
    </row>
    <row r="51" spans="1:16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3">
        <f t="shared" si="13"/>
        <v>0</v>
      </c>
    </row>
    <row r="52" spans="1:16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13">
        <f t="shared" si="13"/>
        <v>0</v>
      </c>
    </row>
    <row r="53" spans="1:16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13">
        <f t="shared" si="13"/>
        <v>0</v>
      </c>
    </row>
    <row r="54" spans="1:16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13">
        <f t="shared" si="13"/>
        <v>0</v>
      </c>
    </row>
    <row r="55" spans="1:16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P55" si="14">SUM(E45:E54)</f>
        <v>8</v>
      </c>
      <c r="F55" s="13">
        <f t="shared" si="14"/>
        <v>8</v>
      </c>
      <c r="G55" s="13">
        <f t="shared" si="14"/>
        <v>5</v>
      </c>
      <c r="H55" s="13">
        <f t="shared" si="14"/>
        <v>2</v>
      </c>
      <c r="I55" s="13">
        <f t="shared" si="14"/>
        <v>3</v>
      </c>
      <c r="J55" s="13">
        <f t="shared" si="14"/>
        <v>9</v>
      </c>
      <c r="K55" s="13">
        <f t="shared" si="14"/>
        <v>9</v>
      </c>
      <c r="L55" s="13">
        <f t="shared" si="14"/>
        <v>19</v>
      </c>
      <c r="M55" s="13">
        <f t="shared" si="14"/>
        <v>14</v>
      </c>
      <c r="N55" s="13">
        <f t="shared" si="14"/>
        <v>9</v>
      </c>
      <c r="O55" s="13">
        <f t="shared" si="14"/>
        <v>7</v>
      </c>
      <c r="P55" s="13">
        <f t="shared" si="14"/>
        <v>93</v>
      </c>
    </row>
    <row r="56" spans="1:16" ht="12.75" customHeight="1" x14ac:dyDescent="0.4">
      <c r="A56" s="86"/>
      <c r="B56" s="68"/>
      <c r="C56" s="68"/>
      <c r="D56" s="68"/>
      <c r="E56" s="68"/>
      <c r="P56" s="13"/>
    </row>
    <row r="57" spans="1:16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3</v>
      </c>
      <c r="F57" s="16">
        <v>5</v>
      </c>
      <c r="G57" s="16">
        <v>3</v>
      </c>
      <c r="H57" s="16">
        <v>12</v>
      </c>
      <c r="I57" s="16">
        <v>5</v>
      </c>
      <c r="J57" s="16">
        <v>8</v>
      </c>
      <c r="K57" s="16">
        <v>8</v>
      </c>
      <c r="L57" s="16">
        <v>6</v>
      </c>
      <c r="M57" s="16">
        <v>5</v>
      </c>
      <c r="N57" s="16">
        <v>8</v>
      </c>
      <c r="O57" s="16">
        <v>6</v>
      </c>
      <c r="P57" s="13">
        <f t="shared" ref="P57:P66" si="15">SUM(E57:O57)</f>
        <v>69</v>
      </c>
    </row>
    <row r="58" spans="1:16" ht="12.75" customHeight="1" x14ac:dyDescent="0.4">
      <c r="A58" s="20" t="s">
        <v>38</v>
      </c>
      <c r="B58" s="28"/>
      <c r="C58" s="29" t="s">
        <v>47</v>
      </c>
      <c r="D58" s="30"/>
      <c r="E58" s="16">
        <v>16</v>
      </c>
      <c r="F58" s="16">
        <v>3</v>
      </c>
      <c r="G58" s="16">
        <v>8</v>
      </c>
      <c r="H58" s="16">
        <v>11</v>
      </c>
      <c r="I58" s="16">
        <v>5</v>
      </c>
      <c r="J58" s="16">
        <v>20</v>
      </c>
      <c r="K58" s="16">
        <v>10</v>
      </c>
      <c r="L58" s="16">
        <v>2</v>
      </c>
      <c r="M58" s="16">
        <v>0</v>
      </c>
      <c r="N58" s="16">
        <v>5</v>
      </c>
      <c r="O58" s="16">
        <v>1</v>
      </c>
      <c r="P58" s="13">
        <f t="shared" si="15"/>
        <v>81</v>
      </c>
    </row>
    <row r="59" spans="1:16" ht="12.75" customHeight="1" x14ac:dyDescent="0.4">
      <c r="A59" s="15"/>
      <c r="B59" s="28"/>
      <c r="C59" s="29" t="s">
        <v>48</v>
      </c>
      <c r="D59" s="30"/>
      <c r="E59" s="16">
        <v>6</v>
      </c>
      <c r="F59" s="16">
        <v>1</v>
      </c>
      <c r="G59" s="16">
        <v>0</v>
      </c>
      <c r="H59" s="16">
        <v>2</v>
      </c>
      <c r="I59" s="16">
        <v>6</v>
      </c>
      <c r="J59" s="16">
        <v>0</v>
      </c>
      <c r="K59" s="16">
        <v>1</v>
      </c>
      <c r="L59" s="16">
        <v>1</v>
      </c>
      <c r="M59" s="16">
        <v>0</v>
      </c>
      <c r="N59" s="16">
        <v>1</v>
      </c>
      <c r="O59" s="16">
        <v>1</v>
      </c>
      <c r="P59" s="13">
        <f t="shared" si="15"/>
        <v>19</v>
      </c>
    </row>
    <row r="60" spans="1:16" ht="12.75" customHeight="1" x14ac:dyDescent="0.4">
      <c r="A60" s="15"/>
      <c r="B60" s="28"/>
      <c r="C60" s="29" t="s">
        <v>49</v>
      </c>
      <c r="D60" s="30"/>
      <c r="E60" s="16">
        <v>1</v>
      </c>
      <c r="F60" s="16">
        <v>0</v>
      </c>
      <c r="G60" s="16">
        <v>0</v>
      </c>
      <c r="H60" s="16">
        <v>0</v>
      </c>
      <c r="I60" s="16">
        <v>0</v>
      </c>
      <c r="J60" s="16">
        <v>0</v>
      </c>
      <c r="K60" s="16">
        <v>1</v>
      </c>
      <c r="L60" s="16">
        <v>0</v>
      </c>
      <c r="M60" s="16">
        <v>0</v>
      </c>
      <c r="N60" s="16">
        <v>0</v>
      </c>
      <c r="O60" s="16">
        <v>2</v>
      </c>
      <c r="P60" s="13">
        <f t="shared" si="15"/>
        <v>4</v>
      </c>
    </row>
    <row r="61" spans="1:16" ht="12.75" customHeight="1" x14ac:dyDescent="0.4">
      <c r="A61" s="15"/>
      <c r="B61" s="28"/>
      <c r="C61" s="29" t="s">
        <v>50</v>
      </c>
      <c r="D61" s="30"/>
      <c r="E61" s="16">
        <v>0</v>
      </c>
      <c r="F61" s="16">
        <v>0</v>
      </c>
      <c r="G61" s="16">
        <v>1</v>
      </c>
      <c r="H61" s="16">
        <v>0</v>
      </c>
      <c r="I61" s="16">
        <v>2</v>
      </c>
      <c r="J61" s="16">
        <v>0</v>
      </c>
      <c r="K61" s="16">
        <v>1</v>
      </c>
      <c r="L61" s="16">
        <v>0</v>
      </c>
      <c r="M61" s="16">
        <v>0</v>
      </c>
      <c r="N61" s="16">
        <v>2</v>
      </c>
      <c r="O61" s="16">
        <v>0</v>
      </c>
      <c r="P61" s="13">
        <f t="shared" si="15"/>
        <v>6</v>
      </c>
    </row>
    <row r="62" spans="1:16" ht="12.75" customHeight="1" x14ac:dyDescent="0.4">
      <c r="A62" s="15"/>
      <c r="B62" s="28"/>
      <c r="C62" s="29" t="s">
        <v>51</v>
      </c>
      <c r="D62" s="30"/>
      <c r="E62" s="16">
        <v>1</v>
      </c>
      <c r="F62" s="16">
        <v>0</v>
      </c>
      <c r="G62" s="16">
        <v>0</v>
      </c>
      <c r="H62" s="16">
        <v>0</v>
      </c>
      <c r="I62" s="16">
        <v>1</v>
      </c>
      <c r="J62" s="16">
        <v>0</v>
      </c>
      <c r="K62" s="16">
        <v>0</v>
      </c>
      <c r="L62" s="16">
        <v>0</v>
      </c>
      <c r="M62" s="16">
        <v>1</v>
      </c>
      <c r="N62" s="16">
        <v>0</v>
      </c>
      <c r="O62" s="16">
        <v>0</v>
      </c>
      <c r="P62" s="13">
        <f t="shared" si="15"/>
        <v>3</v>
      </c>
    </row>
    <row r="63" spans="1:16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0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0</v>
      </c>
      <c r="M63" s="16">
        <v>0</v>
      </c>
      <c r="N63" s="16">
        <v>0</v>
      </c>
      <c r="O63" s="16">
        <v>1</v>
      </c>
      <c r="P63" s="13">
        <f t="shared" si="15"/>
        <v>1</v>
      </c>
    </row>
    <row r="64" spans="1:16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13">
        <f t="shared" si="15"/>
        <v>0</v>
      </c>
    </row>
    <row r="65" spans="1:16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13">
        <f t="shared" si="15"/>
        <v>0</v>
      </c>
    </row>
    <row r="66" spans="1:16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13">
        <f t="shared" si="15"/>
        <v>0</v>
      </c>
    </row>
    <row r="67" spans="1:16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P67" si="16">SUM(E57:E66)</f>
        <v>27</v>
      </c>
      <c r="F67" s="13">
        <f t="shared" si="16"/>
        <v>9</v>
      </c>
      <c r="G67" s="13">
        <f t="shared" si="16"/>
        <v>12</v>
      </c>
      <c r="H67" s="13">
        <f t="shared" si="16"/>
        <v>25</v>
      </c>
      <c r="I67" s="13">
        <f t="shared" si="16"/>
        <v>19</v>
      </c>
      <c r="J67" s="13">
        <f t="shared" si="16"/>
        <v>28</v>
      </c>
      <c r="K67" s="13">
        <f t="shared" si="16"/>
        <v>21</v>
      </c>
      <c r="L67" s="13">
        <f t="shared" si="16"/>
        <v>9</v>
      </c>
      <c r="M67" s="13">
        <f t="shared" si="16"/>
        <v>6</v>
      </c>
      <c r="N67" s="13">
        <f t="shared" si="16"/>
        <v>16</v>
      </c>
      <c r="O67" s="13">
        <f t="shared" si="16"/>
        <v>11</v>
      </c>
      <c r="P67" s="13">
        <f t="shared" si="16"/>
        <v>183</v>
      </c>
    </row>
    <row r="68" spans="1:16" ht="12.75" customHeight="1" x14ac:dyDescent="0.4">
      <c r="A68" s="86"/>
      <c r="B68" s="68"/>
      <c r="C68" s="68"/>
      <c r="D68" s="68"/>
      <c r="E68" s="68"/>
    </row>
    <row r="69" spans="1:16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12</v>
      </c>
      <c r="F69" s="16">
        <v>8</v>
      </c>
      <c r="G69" s="16">
        <v>13</v>
      </c>
      <c r="H69" s="16">
        <v>18</v>
      </c>
      <c r="I69" s="16">
        <v>13</v>
      </c>
      <c r="J69" s="16">
        <v>7</v>
      </c>
      <c r="K69" s="16">
        <v>15</v>
      </c>
      <c r="L69" s="16">
        <v>13</v>
      </c>
      <c r="M69" s="16">
        <v>7</v>
      </c>
      <c r="N69" s="16">
        <v>8</v>
      </c>
      <c r="O69" s="16">
        <v>6</v>
      </c>
      <c r="P69" s="13">
        <f t="shared" ref="P69:P78" si="17">SUM(E69:O69)</f>
        <v>120</v>
      </c>
    </row>
    <row r="70" spans="1:16" ht="12.75" customHeight="1" x14ac:dyDescent="0.4">
      <c r="A70" s="20" t="s">
        <v>38</v>
      </c>
      <c r="B70" s="28"/>
      <c r="C70" s="29" t="s">
        <v>54</v>
      </c>
      <c r="D70" s="30"/>
      <c r="E70" s="16">
        <v>5</v>
      </c>
      <c r="F70" s="16">
        <v>1</v>
      </c>
      <c r="G70" s="16">
        <v>8</v>
      </c>
      <c r="H70" s="16">
        <v>8</v>
      </c>
      <c r="I70" s="16">
        <v>7</v>
      </c>
      <c r="J70" s="16">
        <v>7</v>
      </c>
      <c r="K70" s="16">
        <v>22</v>
      </c>
      <c r="L70" s="16">
        <v>9</v>
      </c>
      <c r="M70" s="16">
        <v>6</v>
      </c>
      <c r="N70" s="16">
        <v>5</v>
      </c>
      <c r="O70" s="16">
        <v>11</v>
      </c>
      <c r="P70" s="13">
        <f t="shared" si="17"/>
        <v>89</v>
      </c>
    </row>
    <row r="71" spans="1:16" ht="12.75" customHeight="1" x14ac:dyDescent="0.4">
      <c r="A71" s="15"/>
      <c r="B71" s="28"/>
      <c r="C71" s="29" t="s">
        <v>55</v>
      </c>
      <c r="D71" s="30"/>
      <c r="E71" s="16">
        <v>4</v>
      </c>
      <c r="F71" s="16">
        <v>2</v>
      </c>
      <c r="G71" s="16">
        <v>3</v>
      </c>
      <c r="H71" s="16">
        <v>3</v>
      </c>
      <c r="I71" s="16">
        <v>5</v>
      </c>
      <c r="J71" s="16">
        <v>6</v>
      </c>
      <c r="K71" s="16">
        <v>4</v>
      </c>
      <c r="L71" s="16">
        <v>1</v>
      </c>
      <c r="M71" s="16">
        <v>2</v>
      </c>
      <c r="N71" s="16">
        <v>1</v>
      </c>
      <c r="O71" s="16">
        <v>5</v>
      </c>
      <c r="P71" s="13">
        <f t="shared" si="17"/>
        <v>36</v>
      </c>
    </row>
    <row r="72" spans="1:16" ht="12.75" customHeight="1" x14ac:dyDescent="0.4">
      <c r="A72" s="15"/>
      <c r="B72" s="28"/>
      <c r="C72" s="29" t="s">
        <v>56</v>
      </c>
      <c r="D72" s="30"/>
      <c r="E72" s="16">
        <v>24</v>
      </c>
      <c r="F72" s="16">
        <v>37</v>
      </c>
      <c r="G72" s="16">
        <v>60</v>
      </c>
      <c r="H72" s="16">
        <v>56</v>
      </c>
      <c r="I72" s="16">
        <v>75</v>
      </c>
      <c r="J72" s="16">
        <v>26</v>
      </c>
      <c r="K72" s="16">
        <v>62</v>
      </c>
      <c r="L72" s="16">
        <v>42</v>
      </c>
      <c r="M72" s="16">
        <v>53</v>
      </c>
      <c r="N72" s="16">
        <v>29</v>
      </c>
      <c r="O72" s="16">
        <v>12</v>
      </c>
      <c r="P72" s="13">
        <f t="shared" si="17"/>
        <v>476</v>
      </c>
    </row>
    <row r="73" spans="1:16" ht="12.75" customHeight="1" x14ac:dyDescent="0.4">
      <c r="A73" s="15"/>
      <c r="B73" s="28"/>
      <c r="C73" s="29" t="s">
        <v>57</v>
      </c>
      <c r="D73" s="30"/>
      <c r="E73" s="16">
        <v>0</v>
      </c>
      <c r="F73" s="16">
        <v>0</v>
      </c>
      <c r="G73" s="16">
        <v>0</v>
      </c>
      <c r="H73" s="16">
        <v>0</v>
      </c>
      <c r="I73" s="16">
        <v>2</v>
      </c>
      <c r="J73" s="16">
        <v>0</v>
      </c>
      <c r="K73" s="16">
        <v>1</v>
      </c>
      <c r="L73" s="16">
        <v>1</v>
      </c>
      <c r="M73" s="16">
        <v>0</v>
      </c>
      <c r="N73" s="16">
        <v>0</v>
      </c>
      <c r="O73" s="16">
        <v>2</v>
      </c>
      <c r="P73" s="13">
        <f t="shared" si="17"/>
        <v>6</v>
      </c>
    </row>
    <row r="74" spans="1:16" ht="12.75" customHeight="1" x14ac:dyDescent="0.4">
      <c r="A74" s="15"/>
      <c r="B74" s="28"/>
      <c r="C74" s="29" t="s">
        <v>58</v>
      </c>
      <c r="D74" s="30"/>
      <c r="E74" s="16">
        <v>2</v>
      </c>
      <c r="F74" s="16">
        <v>1</v>
      </c>
      <c r="G74" s="16">
        <v>6</v>
      </c>
      <c r="H74" s="16">
        <v>4</v>
      </c>
      <c r="I74" s="16">
        <v>4</v>
      </c>
      <c r="J74" s="16">
        <v>0</v>
      </c>
      <c r="K74" s="16">
        <v>1</v>
      </c>
      <c r="L74" s="16">
        <v>0</v>
      </c>
      <c r="M74" s="16">
        <v>1</v>
      </c>
      <c r="N74" s="16">
        <v>7</v>
      </c>
      <c r="O74" s="16">
        <v>1</v>
      </c>
      <c r="P74" s="13">
        <f t="shared" si="17"/>
        <v>27</v>
      </c>
    </row>
    <row r="75" spans="1:16" ht="12.75" customHeight="1" x14ac:dyDescent="0.4">
      <c r="A75" s="15"/>
      <c r="B75" s="28"/>
      <c r="C75" s="29" t="s">
        <v>59</v>
      </c>
      <c r="D75" s="30"/>
      <c r="E75" s="16">
        <v>1</v>
      </c>
      <c r="F75" s="16">
        <v>0</v>
      </c>
      <c r="G75" s="16">
        <v>0</v>
      </c>
      <c r="H75" s="16">
        <v>0</v>
      </c>
      <c r="I75" s="16">
        <v>1</v>
      </c>
      <c r="J75" s="16">
        <v>0</v>
      </c>
      <c r="K75" s="16">
        <v>2</v>
      </c>
      <c r="L75" s="16">
        <v>1</v>
      </c>
      <c r="M75" s="16">
        <v>1</v>
      </c>
      <c r="N75" s="16">
        <v>0</v>
      </c>
      <c r="O75" s="16">
        <v>0</v>
      </c>
      <c r="P75" s="13">
        <f t="shared" si="17"/>
        <v>6</v>
      </c>
    </row>
    <row r="76" spans="1:16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13">
        <f t="shared" si="17"/>
        <v>0</v>
      </c>
    </row>
    <row r="77" spans="1:16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13">
        <f t="shared" si="17"/>
        <v>0</v>
      </c>
    </row>
    <row r="78" spans="1:16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13">
        <f t="shared" si="17"/>
        <v>0</v>
      </c>
    </row>
    <row r="79" spans="1:16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P79" si="18">SUM(E69:E78)</f>
        <v>48</v>
      </c>
      <c r="F79" s="13">
        <f t="shared" si="18"/>
        <v>49</v>
      </c>
      <c r="G79" s="13">
        <f t="shared" si="18"/>
        <v>90</v>
      </c>
      <c r="H79" s="13">
        <f t="shared" si="18"/>
        <v>89</v>
      </c>
      <c r="I79" s="13">
        <f t="shared" si="18"/>
        <v>107</v>
      </c>
      <c r="J79" s="13">
        <f t="shared" si="18"/>
        <v>46</v>
      </c>
      <c r="K79" s="13">
        <f t="shared" si="18"/>
        <v>107</v>
      </c>
      <c r="L79" s="13">
        <f t="shared" si="18"/>
        <v>67</v>
      </c>
      <c r="M79" s="13">
        <f t="shared" si="18"/>
        <v>70</v>
      </c>
      <c r="N79" s="13">
        <f t="shared" si="18"/>
        <v>50</v>
      </c>
      <c r="O79" s="13">
        <f t="shared" si="18"/>
        <v>37</v>
      </c>
      <c r="P79" s="13">
        <f t="shared" si="18"/>
        <v>760</v>
      </c>
    </row>
    <row r="80" spans="1:16" ht="12.75" customHeight="1" x14ac:dyDescent="0.4">
      <c r="A80" s="86"/>
      <c r="B80" s="68"/>
      <c r="C80" s="68"/>
      <c r="D80" s="68"/>
      <c r="E80" s="68"/>
    </row>
    <row r="81" spans="1:16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2</v>
      </c>
      <c r="F81" s="16">
        <v>3</v>
      </c>
      <c r="G81" s="16">
        <v>0</v>
      </c>
      <c r="H81" s="16">
        <v>1</v>
      </c>
      <c r="I81" s="16">
        <v>0</v>
      </c>
      <c r="J81" s="16">
        <v>0</v>
      </c>
      <c r="K81" s="16">
        <v>2</v>
      </c>
      <c r="L81" s="16">
        <v>0</v>
      </c>
      <c r="M81" s="16">
        <v>1</v>
      </c>
      <c r="N81" s="16">
        <v>2</v>
      </c>
      <c r="O81" s="16">
        <v>2</v>
      </c>
      <c r="P81" s="13">
        <f t="shared" ref="P81:P90" si="19">SUM(E81:O81)</f>
        <v>13</v>
      </c>
    </row>
    <row r="82" spans="1:16" ht="12.75" customHeight="1" x14ac:dyDescent="0.4">
      <c r="A82" s="20" t="s">
        <v>38</v>
      </c>
      <c r="B82" s="28"/>
      <c r="C82" s="29" t="s">
        <v>61</v>
      </c>
      <c r="D82" s="30"/>
      <c r="E82" s="16">
        <v>5</v>
      </c>
      <c r="F82" s="16">
        <v>0</v>
      </c>
      <c r="G82" s="16">
        <v>2</v>
      </c>
      <c r="H82" s="16">
        <v>4</v>
      </c>
      <c r="I82" s="16">
        <v>1</v>
      </c>
      <c r="J82" s="16">
        <v>1</v>
      </c>
      <c r="K82" s="16">
        <v>1</v>
      </c>
      <c r="L82" s="16">
        <v>6</v>
      </c>
      <c r="M82" s="16">
        <v>2</v>
      </c>
      <c r="N82" s="16">
        <v>16</v>
      </c>
      <c r="O82" s="16">
        <v>1</v>
      </c>
      <c r="P82" s="13">
        <f t="shared" si="19"/>
        <v>39</v>
      </c>
    </row>
    <row r="83" spans="1:16" ht="12.75" customHeight="1" x14ac:dyDescent="0.4">
      <c r="A83" s="15"/>
      <c r="B83" s="28"/>
      <c r="C83" s="29" t="s">
        <v>62</v>
      </c>
      <c r="D83" s="30"/>
      <c r="E83" s="16">
        <v>1</v>
      </c>
      <c r="F83" s="16">
        <v>0</v>
      </c>
      <c r="G83" s="16">
        <v>0</v>
      </c>
      <c r="H83" s="16">
        <v>1</v>
      </c>
      <c r="I83" s="16">
        <v>0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3</v>
      </c>
      <c r="P83" s="13">
        <f t="shared" si="19"/>
        <v>6</v>
      </c>
    </row>
    <row r="84" spans="1:16" ht="12.75" customHeight="1" x14ac:dyDescent="0.4">
      <c r="A84" s="15"/>
      <c r="B84" s="28"/>
      <c r="C84" s="29" t="s">
        <v>63</v>
      </c>
      <c r="D84" s="30"/>
      <c r="E84" s="16">
        <v>3</v>
      </c>
      <c r="F84" s="16">
        <v>0</v>
      </c>
      <c r="G84" s="16">
        <v>2</v>
      </c>
      <c r="H84" s="16">
        <v>0</v>
      </c>
      <c r="I84" s="16">
        <v>0</v>
      </c>
      <c r="J84" s="16">
        <v>0</v>
      </c>
      <c r="K84" s="16">
        <v>1</v>
      </c>
      <c r="L84" s="16">
        <v>0</v>
      </c>
      <c r="M84" s="16">
        <v>1</v>
      </c>
      <c r="N84" s="16">
        <v>0</v>
      </c>
      <c r="O84" s="16">
        <v>0</v>
      </c>
      <c r="P84" s="13">
        <f t="shared" si="19"/>
        <v>7</v>
      </c>
    </row>
    <row r="85" spans="1:16" ht="12.75" customHeight="1" x14ac:dyDescent="0.4">
      <c r="A85" s="15"/>
      <c r="B85" s="28"/>
      <c r="C85" s="29" t="s">
        <v>64</v>
      </c>
      <c r="D85" s="30"/>
      <c r="E85" s="16">
        <v>0</v>
      </c>
      <c r="F85" s="16">
        <v>1</v>
      </c>
      <c r="G85" s="16">
        <v>1</v>
      </c>
      <c r="H85" s="16">
        <v>1</v>
      </c>
      <c r="I85" s="16">
        <v>0</v>
      </c>
      <c r="J85" s="16">
        <v>0</v>
      </c>
      <c r="K85" s="16">
        <v>1</v>
      </c>
      <c r="L85" s="16">
        <v>0</v>
      </c>
      <c r="M85" s="16">
        <v>2</v>
      </c>
      <c r="N85" s="16">
        <v>7</v>
      </c>
      <c r="O85" s="16">
        <v>0</v>
      </c>
      <c r="P85" s="13">
        <f t="shared" si="19"/>
        <v>13</v>
      </c>
    </row>
    <row r="86" spans="1:16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1</v>
      </c>
      <c r="N86" s="16">
        <v>0</v>
      </c>
      <c r="O86" s="16">
        <v>0</v>
      </c>
      <c r="P86" s="13">
        <f t="shared" si="19"/>
        <v>2</v>
      </c>
    </row>
    <row r="87" spans="1:16" ht="12.75" customHeight="1" x14ac:dyDescent="0.4">
      <c r="A87" s="15"/>
      <c r="B87" s="28"/>
      <c r="C87" s="29" t="s">
        <v>66</v>
      </c>
      <c r="D87" s="30"/>
      <c r="E87" s="16">
        <v>1</v>
      </c>
      <c r="F87" s="16">
        <v>0</v>
      </c>
      <c r="G87" s="16">
        <v>0</v>
      </c>
      <c r="H87" s="16">
        <v>0</v>
      </c>
      <c r="I87" s="16">
        <v>0</v>
      </c>
      <c r="J87" s="16">
        <v>2</v>
      </c>
      <c r="K87" s="16">
        <v>0</v>
      </c>
      <c r="L87" s="16">
        <v>0</v>
      </c>
      <c r="M87" s="16">
        <v>0</v>
      </c>
      <c r="N87" s="16">
        <v>0</v>
      </c>
      <c r="O87" s="16">
        <v>0</v>
      </c>
      <c r="P87" s="13">
        <f t="shared" si="19"/>
        <v>3</v>
      </c>
    </row>
    <row r="88" spans="1:16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13">
        <f t="shared" si="19"/>
        <v>0</v>
      </c>
    </row>
    <row r="89" spans="1:16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13">
        <f t="shared" si="19"/>
        <v>0</v>
      </c>
    </row>
    <row r="90" spans="1:16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13">
        <f t="shared" si="19"/>
        <v>0</v>
      </c>
    </row>
    <row r="91" spans="1:16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P91" si="20">SUM(E81:E90)</f>
        <v>12</v>
      </c>
      <c r="F91" s="13">
        <f t="shared" si="20"/>
        <v>4</v>
      </c>
      <c r="G91" s="13">
        <f t="shared" si="20"/>
        <v>5</v>
      </c>
      <c r="H91" s="13">
        <f t="shared" si="20"/>
        <v>7</v>
      </c>
      <c r="I91" s="13">
        <f t="shared" si="20"/>
        <v>1</v>
      </c>
      <c r="J91" s="13">
        <f t="shared" si="20"/>
        <v>4</v>
      </c>
      <c r="K91" s="13">
        <f t="shared" si="20"/>
        <v>5</v>
      </c>
      <c r="L91" s="13">
        <f t="shared" si="20"/>
        <v>6</v>
      </c>
      <c r="M91" s="13">
        <f t="shared" si="20"/>
        <v>7</v>
      </c>
      <c r="N91" s="13">
        <f t="shared" si="20"/>
        <v>26</v>
      </c>
      <c r="O91" s="13">
        <f t="shared" si="20"/>
        <v>6</v>
      </c>
      <c r="P91" s="13">
        <f t="shared" si="20"/>
        <v>83</v>
      </c>
    </row>
    <row r="92" spans="1:16" ht="12.75" customHeight="1" x14ac:dyDescent="0.4">
      <c r="A92" s="86"/>
      <c r="B92" s="68"/>
      <c r="C92" s="68"/>
      <c r="D92" s="68"/>
      <c r="E92" s="68"/>
    </row>
    <row r="93" spans="1:16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0</v>
      </c>
      <c r="F93" s="16">
        <v>1</v>
      </c>
      <c r="G93" s="16">
        <v>1</v>
      </c>
      <c r="H93" s="16">
        <v>1</v>
      </c>
      <c r="I93" s="16">
        <v>0</v>
      </c>
      <c r="J93" s="16">
        <v>0</v>
      </c>
      <c r="K93" s="16">
        <v>0</v>
      </c>
      <c r="L93" s="16">
        <v>0</v>
      </c>
      <c r="M93" s="16">
        <v>1</v>
      </c>
      <c r="N93" s="16">
        <v>2</v>
      </c>
      <c r="O93" s="16">
        <v>3</v>
      </c>
      <c r="P93" s="13">
        <f t="shared" ref="P93:P102" si="21">SUM(E93:O93)</f>
        <v>9</v>
      </c>
    </row>
    <row r="94" spans="1:16" ht="12.75" customHeight="1" x14ac:dyDescent="0.4">
      <c r="A94" s="20" t="s">
        <v>38</v>
      </c>
      <c r="B94" s="28"/>
      <c r="C94" s="29" t="s">
        <v>69</v>
      </c>
      <c r="D94" s="30"/>
      <c r="E94" s="16">
        <v>1</v>
      </c>
      <c r="F94" s="16">
        <v>8</v>
      </c>
      <c r="G94" s="16">
        <v>30</v>
      </c>
      <c r="H94" s="16">
        <v>7</v>
      </c>
      <c r="I94" s="16">
        <v>6</v>
      </c>
      <c r="J94" s="16">
        <v>0</v>
      </c>
      <c r="K94" s="16">
        <v>2</v>
      </c>
      <c r="L94" s="16">
        <v>1</v>
      </c>
      <c r="M94" s="16">
        <v>0</v>
      </c>
      <c r="N94" s="16">
        <v>2</v>
      </c>
      <c r="O94" s="16">
        <v>0</v>
      </c>
      <c r="P94" s="13">
        <f t="shared" si="21"/>
        <v>57</v>
      </c>
    </row>
    <row r="95" spans="1:16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3</v>
      </c>
      <c r="G95" s="16">
        <v>1</v>
      </c>
      <c r="H95" s="16">
        <v>1</v>
      </c>
      <c r="I95" s="16">
        <v>1</v>
      </c>
      <c r="J95" s="16">
        <v>0</v>
      </c>
      <c r="K95" s="16">
        <v>1</v>
      </c>
      <c r="L95" s="16">
        <v>0</v>
      </c>
      <c r="M95" s="16">
        <v>1</v>
      </c>
      <c r="N95" s="16">
        <v>0</v>
      </c>
      <c r="O95" s="16">
        <v>0</v>
      </c>
      <c r="P95" s="13">
        <f t="shared" si="21"/>
        <v>8</v>
      </c>
    </row>
    <row r="96" spans="1:16" ht="12.75" customHeight="1" x14ac:dyDescent="0.4">
      <c r="A96" s="15"/>
      <c r="B96" s="28"/>
      <c r="C96" s="29" t="s">
        <v>71</v>
      </c>
      <c r="D96" s="30"/>
      <c r="E96" s="16">
        <v>0</v>
      </c>
      <c r="F96" s="16">
        <v>2</v>
      </c>
      <c r="G96" s="16">
        <v>0</v>
      </c>
      <c r="H96" s="16">
        <v>1</v>
      </c>
      <c r="I96" s="16">
        <v>0</v>
      </c>
      <c r="J96" s="16">
        <v>1</v>
      </c>
      <c r="K96" s="16">
        <v>0</v>
      </c>
      <c r="L96" s="16">
        <v>0</v>
      </c>
      <c r="M96" s="16">
        <v>0</v>
      </c>
      <c r="N96" s="16">
        <v>1</v>
      </c>
      <c r="O96" s="16">
        <v>0</v>
      </c>
      <c r="P96" s="13">
        <f t="shared" si="21"/>
        <v>5</v>
      </c>
    </row>
    <row r="97" spans="1:16" ht="12.75" customHeight="1" x14ac:dyDescent="0.4">
      <c r="A97" s="15"/>
      <c r="B97" s="28"/>
      <c r="C97" s="29" t="s">
        <v>72</v>
      </c>
      <c r="D97" s="30"/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1</v>
      </c>
      <c r="L97" s="16">
        <v>0</v>
      </c>
      <c r="M97" s="16">
        <v>0</v>
      </c>
      <c r="N97" s="16">
        <v>0</v>
      </c>
      <c r="O97" s="16">
        <v>0</v>
      </c>
      <c r="P97" s="13">
        <f t="shared" si="21"/>
        <v>1</v>
      </c>
    </row>
    <row r="98" spans="1:16" ht="12.75" customHeight="1" x14ac:dyDescent="0.4">
      <c r="A98" s="15"/>
      <c r="B98" s="28"/>
      <c r="C98" s="29" t="s">
        <v>73</v>
      </c>
      <c r="D98" s="30"/>
      <c r="E98" s="16">
        <v>3</v>
      </c>
      <c r="F98" s="16">
        <v>1</v>
      </c>
      <c r="G98" s="16">
        <v>0</v>
      </c>
      <c r="H98" s="16">
        <v>1</v>
      </c>
      <c r="I98" s="16">
        <v>2</v>
      </c>
      <c r="J98" s="16">
        <v>0</v>
      </c>
      <c r="K98" s="16">
        <v>1</v>
      </c>
      <c r="L98" s="16">
        <v>6</v>
      </c>
      <c r="M98" s="16">
        <v>5</v>
      </c>
      <c r="N98" s="16">
        <v>18</v>
      </c>
      <c r="O98" s="16">
        <v>17</v>
      </c>
      <c r="P98" s="13">
        <f t="shared" si="21"/>
        <v>54</v>
      </c>
    </row>
    <row r="99" spans="1:16" ht="12.75" customHeight="1" x14ac:dyDescent="0.4">
      <c r="A99" s="15"/>
      <c r="B99" s="28"/>
      <c r="C99" s="29" t="s">
        <v>74</v>
      </c>
      <c r="D99" s="30"/>
      <c r="E99" s="16">
        <v>1</v>
      </c>
      <c r="F99" s="16">
        <v>3</v>
      </c>
      <c r="G99" s="16">
        <v>0</v>
      </c>
      <c r="H99" s="16">
        <v>0</v>
      </c>
      <c r="I99" s="16">
        <v>0</v>
      </c>
      <c r="J99" s="16">
        <v>1</v>
      </c>
      <c r="K99" s="16">
        <v>0</v>
      </c>
      <c r="L99" s="16">
        <v>1</v>
      </c>
      <c r="M99" s="16">
        <v>0</v>
      </c>
      <c r="N99" s="16">
        <v>0</v>
      </c>
      <c r="O99" s="16">
        <v>4</v>
      </c>
      <c r="P99" s="13">
        <f t="shared" si="21"/>
        <v>10</v>
      </c>
    </row>
    <row r="100" spans="1:16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13">
        <f t="shared" si="21"/>
        <v>0</v>
      </c>
    </row>
    <row r="101" spans="1:16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13">
        <f t="shared" si="21"/>
        <v>0</v>
      </c>
    </row>
    <row r="102" spans="1:16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13">
        <f t="shared" si="21"/>
        <v>0</v>
      </c>
    </row>
    <row r="103" spans="1:16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P103" si="22">SUM(E93:E102)</f>
        <v>5</v>
      </c>
      <c r="F103" s="13">
        <f t="shared" si="22"/>
        <v>18</v>
      </c>
      <c r="G103" s="13">
        <f t="shared" si="22"/>
        <v>32</v>
      </c>
      <c r="H103" s="13">
        <f t="shared" si="22"/>
        <v>11</v>
      </c>
      <c r="I103" s="13">
        <f t="shared" si="22"/>
        <v>9</v>
      </c>
      <c r="J103" s="13">
        <f t="shared" si="22"/>
        <v>2</v>
      </c>
      <c r="K103" s="13">
        <f t="shared" si="22"/>
        <v>5</v>
      </c>
      <c r="L103" s="13">
        <f t="shared" si="22"/>
        <v>8</v>
      </c>
      <c r="M103" s="13">
        <f t="shared" si="22"/>
        <v>7</v>
      </c>
      <c r="N103" s="13">
        <f t="shared" si="22"/>
        <v>23</v>
      </c>
      <c r="O103" s="13">
        <f t="shared" si="22"/>
        <v>24</v>
      </c>
      <c r="P103" s="13">
        <f t="shared" si="22"/>
        <v>144</v>
      </c>
    </row>
    <row r="104" spans="1:16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</row>
    <row r="105" spans="1:16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0</v>
      </c>
      <c r="L105" s="16">
        <v>0</v>
      </c>
      <c r="M105" s="16">
        <v>0</v>
      </c>
      <c r="N105" s="16">
        <v>0</v>
      </c>
      <c r="O105" s="16">
        <v>0</v>
      </c>
      <c r="P105" s="13">
        <f t="shared" ref="P105:P114" si="23">SUM(E105:O105)</f>
        <v>0</v>
      </c>
    </row>
    <row r="106" spans="1:16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0</v>
      </c>
      <c r="G106" s="16">
        <v>0</v>
      </c>
      <c r="H106" s="16">
        <v>1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3">
        <f t="shared" si="23"/>
        <v>2</v>
      </c>
    </row>
    <row r="107" spans="1:16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13">
        <f t="shared" si="23"/>
        <v>0</v>
      </c>
    </row>
    <row r="108" spans="1:16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13">
        <f t="shared" si="23"/>
        <v>0</v>
      </c>
    </row>
    <row r="109" spans="1:16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13">
        <f t="shared" si="23"/>
        <v>0</v>
      </c>
    </row>
    <row r="110" spans="1:16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13">
        <f t="shared" si="23"/>
        <v>0</v>
      </c>
    </row>
    <row r="111" spans="1:16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13">
        <f t="shared" si="23"/>
        <v>0</v>
      </c>
    </row>
    <row r="112" spans="1:16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13">
        <f t="shared" si="23"/>
        <v>0</v>
      </c>
    </row>
    <row r="113" spans="1:16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13">
        <f t="shared" si="23"/>
        <v>0</v>
      </c>
    </row>
    <row r="114" spans="1:16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13">
        <f t="shared" si="23"/>
        <v>0</v>
      </c>
    </row>
    <row r="115" spans="1:16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P115" si="24">SUM(E105:E114)</f>
        <v>0</v>
      </c>
      <c r="F115" s="13">
        <f t="shared" si="24"/>
        <v>0</v>
      </c>
      <c r="G115" s="13">
        <f t="shared" si="24"/>
        <v>0</v>
      </c>
      <c r="H115" s="13">
        <f t="shared" si="24"/>
        <v>1</v>
      </c>
      <c r="I115" s="13">
        <f t="shared" si="24"/>
        <v>0</v>
      </c>
      <c r="J115" s="13">
        <f t="shared" si="24"/>
        <v>0</v>
      </c>
      <c r="K115" s="13">
        <f t="shared" si="24"/>
        <v>1</v>
      </c>
      <c r="L115" s="13">
        <f t="shared" si="24"/>
        <v>0</v>
      </c>
      <c r="M115" s="13">
        <f t="shared" si="24"/>
        <v>0</v>
      </c>
      <c r="N115" s="13">
        <f t="shared" si="24"/>
        <v>0</v>
      </c>
      <c r="O115" s="13">
        <f t="shared" si="24"/>
        <v>0</v>
      </c>
      <c r="P115" s="13">
        <f t="shared" si="24"/>
        <v>2</v>
      </c>
    </row>
    <row r="116" spans="1:16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13"/>
    </row>
    <row r="117" spans="1:16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1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1</v>
      </c>
      <c r="L117" s="16">
        <v>2</v>
      </c>
      <c r="M117" s="16">
        <v>2</v>
      </c>
      <c r="N117" s="16">
        <v>3</v>
      </c>
      <c r="O117" s="16">
        <v>0</v>
      </c>
      <c r="P117" s="13">
        <f t="shared" ref="P117:P126" si="25">SUM(E117:O117)</f>
        <v>9</v>
      </c>
    </row>
    <row r="118" spans="1:16" ht="12.75" customHeight="1" x14ac:dyDescent="0.4">
      <c r="A118" s="20" t="s">
        <v>38</v>
      </c>
      <c r="B118" s="28"/>
      <c r="C118" s="29" t="s">
        <v>80</v>
      </c>
      <c r="D118" s="30"/>
      <c r="E118" s="16">
        <v>2</v>
      </c>
      <c r="F118" s="16">
        <v>2</v>
      </c>
      <c r="G118" s="16">
        <v>11</v>
      </c>
      <c r="H118" s="16">
        <v>5</v>
      </c>
      <c r="I118" s="16">
        <v>2</v>
      </c>
      <c r="J118" s="16">
        <v>2</v>
      </c>
      <c r="K118" s="16">
        <v>2</v>
      </c>
      <c r="L118" s="16">
        <v>15</v>
      </c>
      <c r="M118" s="16">
        <v>16</v>
      </c>
      <c r="N118" s="16">
        <v>18</v>
      </c>
      <c r="O118" s="16">
        <v>17</v>
      </c>
      <c r="P118" s="13">
        <f t="shared" si="25"/>
        <v>92</v>
      </c>
    </row>
    <row r="119" spans="1:16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1</v>
      </c>
      <c r="M119" s="16">
        <v>0</v>
      </c>
      <c r="N119" s="16">
        <v>0</v>
      </c>
      <c r="O119" s="16">
        <v>0</v>
      </c>
      <c r="P119" s="13">
        <f t="shared" si="25"/>
        <v>1</v>
      </c>
    </row>
    <row r="120" spans="1:16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1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3">
        <f t="shared" si="25"/>
        <v>2</v>
      </c>
    </row>
    <row r="121" spans="1:16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3">
        <f t="shared" si="25"/>
        <v>0</v>
      </c>
    </row>
    <row r="122" spans="1:16" ht="12.75" customHeight="1" x14ac:dyDescent="0.4">
      <c r="A122" s="52"/>
      <c r="B122" s="28"/>
      <c r="C122" s="29" t="s">
        <v>84</v>
      </c>
      <c r="D122" s="30"/>
      <c r="E122" s="53">
        <v>1</v>
      </c>
      <c r="F122" s="53">
        <v>0</v>
      </c>
      <c r="G122" s="53">
        <v>0</v>
      </c>
      <c r="H122" s="53">
        <v>0</v>
      </c>
      <c r="I122" s="53">
        <v>0</v>
      </c>
      <c r="J122" s="53">
        <v>0</v>
      </c>
      <c r="K122" s="53">
        <v>3</v>
      </c>
      <c r="L122" s="53">
        <v>1</v>
      </c>
      <c r="M122" s="53">
        <v>0</v>
      </c>
      <c r="N122" s="53">
        <v>0</v>
      </c>
      <c r="O122" s="53">
        <v>0</v>
      </c>
      <c r="P122" s="13">
        <f t="shared" si="25"/>
        <v>5</v>
      </c>
    </row>
    <row r="123" spans="1:16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3">
        <f t="shared" si="25"/>
        <v>0</v>
      </c>
    </row>
    <row r="124" spans="1:16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13">
        <f t="shared" si="25"/>
        <v>0</v>
      </c>
    </row>
    <row r="125" spans="1:16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13">
        <f t="shared" si="25"/>
        <v>0</v>
      </c>
    </row>
    <row r="126" spans="1:16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13">
        <f t="shared" si="25"/>
        <v>0</v>
      </c>
    </row>
    <row r="127" spans="1:16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P127" si="26">SUM(E117:E126)</f>
        <v>4</v>
      </c>
      <c r="F127" s="13">
        <f t="shared" si="26"/>
        <v>3</v>
      </c>
      <c r="G127" s="13">
        <f t="shared" si="26"/>
        <v>11</v>
      </c>
      <c r="H127" s="13">
        <f t="shared" si="26"/>
        <v>5</v>
      </c>
      <c r="I127" s="13">
        <f t="shared" si="26"/>
        <v>2</v>
      </c>
      <c r="J127" s="13">
        <f t="shared" si="26"/>
        <v>2</v>
      </c>
      <c r="K127" s="13">
        <f t="shared" si="26"/>
        <v>6</v>
      </c>
      <c r="L127" s="13">
        <f t="shared" si="26"/>
        <v>19</v>
      </c>
      <c r="M127" s="13">
        <f t="shared" si="26"/>
        <v>18</v>
      </c>
      <c r="N127" s="13">
        <f t="shared" si="26"/>
        <v>22</v>
      </c>
      <c r="O127" s="13">
        <f t="shared" si="26"/>
        <v>17</v>
      </c>
      <c r="P127" s="13">
        <f t="shared" si="26"/>
        <v>109</v>
      </c>
    </row>
    <row r="128" spans="1:16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</row>
    <row r="129" spans="1:16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1</v>
      </c>
      <c r="F129" s="16">
        <v>4</v>
      </c>
      <c r="G129" s="16">
        <v>0</v>
      </c>
      <c r="H129" s="16">
        <v>4</v>
      </c>
      <c r="I129" s="16">
        <v>1</v>
      </c>
      <c r="J129" s="16">
        <v>2</v>
      </c>
      <c r="K129" s="16">
        <v>1</v>
      </c>
      <c r="L129" s="16">
        <v>1</v>
      </c>
      <c r="M129" s="16">
        <v>4</v>
      </c>
      <c r="N129" s="16">
        <v>1</v>
      </c>
      <c r="O129" s="16">
        <v>0</v>
      </c>
      <c r="P129" s="13">
        <f t="shared" ref="P129:P138" si="27">SUM(E129:O129)</f>
        <v>19</v>
      </c>
    </row>
    <row r="130" spans="1:16" ht="12.75" customHeight="1" x14ac:dyDescent="0.4">
      <c r="A130" s="20" t="s">
        <v>38</v>
      </c>
      <c r="B130" s="28"/>
      <c r="C130" s="29" t="s">
        <v>88</v>
      </c>
      <c r="D130" s="30"/>
      <c r="E130" s="16">
        <v>4</v>
      </c>
      <c r="F130" s="16">
        <v>11</v>
      </c>
      <c r="G130" s="16">
        <v>3</v>
      </c>
      <c r="H130" s="16">
        <v>4</v>
      </c>
      <c r="I130" s="16">
        <v>1</v>
      </c>
      <c r="J130" s="16">
        <v>3</v>
      </c>
      <c r="K130" s="16">
        <v>2</v>
      </c>
      <c r="L130" s="16">
        <v>13</v>
      </c>
      <c r="M130" s="16">
        <v>5</v>
      </c>
      <c r="N130" s="16">
        <v>5</v>
      </c>
      <c r="O130" s="16">
        <v>0</v>
      </c>
      <c r="P130" s="13">
        <f t="shared" si="27"/>
        <v>51</v>
      </c>
    </row>
    <row r="131" spans="1:16" ht="12.75" customHeight="1" x14ac:dyDescent="0.4">
      <c r="A131" s="15"/>
      <c r="B131" s="28"/>
      <c r="C131" s="29" t="s">
        <v>89</v>
      </c>
      <c r="D131" s="30"/>
      <c r="E131" s="16">
        <v>1</v>
      </c>
      <c r="F131" s="16">
        <v>3</v>
      </c>
      <c r="G131" s="16">
        <v>0</v>
      </c>
      <c r="H131" s="16">
        <v>0</v>
      </c>
      <c r="I131" s="16">
        <v>0</v>
      </c>
      <c r="J131" s="16">
        <v>1</v>
      </c>
      <c r="K131" s="16">
        <v>0</v>
      </c>
      <c r="L131" s="16">
        <v>1</v>
      </c>
      <c r="M131" s="16">
        <v>1</v>
      </c>
      <c r="N131" s="16">
        <v>0</v>
      </c>
      <c r="O131" s="16">
        <v>0</v>
      </c>
      <c r="P131" s="13">
        <f t="shared" si="27"/>
        <v>7</v>
      </c>
    </row>
    <row r="132" spans="1:16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1</v>
      </c>
      <c r="M132" s="16">
        <v>0</v>
      </c>
      <c r="N132" s="16">
        <v>3</v>
      </c>
      <c r="O132" s="16">
        <v>0</v>
      </c>
      <c r="P132" s="13">
        <f t="shared" si="27"/>
        <v>4</v>
      </c>
    </row>
    <row r="133" spans="1:16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2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1</v>
      </c>
      <c r="O133" s="16">
        <v>0</v>
      </c>
      <c r="P133" s="13">
        <f t="shared" si="27"/>
        <v>3</v>
      </c>
    </row>
    <row r="134" spans="1:16" ht="12.75" customHeight="1" x14ac:dyDescent="0.4">
      <c r="A134" s="15"/>
      <c r="B134" s="28"/>
      <c r="C134" s="29" t="s">
        <v>92</v>
      </c>
      <c r="D134" s="30"/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3">
        <f t="shared" si="27"/>
        <v>0</v>
      </c>
    </row>
    <row r="135" spans="1:16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3">
        <f t="shared" si="27"/>
        <v>0</v>
      </c>
    </row>
    <row r="136" spans="1:16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13">
        <f t="shared" si="27"/>
        <v>0</v>
      </c>
    </row>
    <row r="137" spans="1:16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13">
        <f t="shared" si="27"/>
        <v>0</v>
      </c>
    </row>
    <row r="138" spans="1:16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13">
        <f t="shared" si="27"/>
        <v>0</v>
      </c>
    </row>
    <row r="139" spans="1:16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P139" si="28">SUM(E129:E138)</f>
        <v>6</v>
      </c>
      <c r="F139" s="13">
        <f t="shared" si="28"/>
        <v>20</v>
      </c>
      <c r="G139" s="13">
        <f t="shared" si="28"/>
        <v>3</v>
      </c>
      <c r="H139" s="13">
        <f t="shared" si="28"/>
        <v>8</v>
      </c>
      <c r="I139" s="13">
        <f t="shared" si="28"/>
        <v>2</v>
      </c>
      <c r="J139" s="13">
        <f t="shared" si="28"/>
        <v>6</v>
      </c>
      <c r="K139" s="13">
        <f t="shared" si="28"/>
        <v>3</v>
      </c>
      <c r="L139" s="13">
        <f t="shared" si="28"/>
        <v>16</v>
      </c>
      <c r="M139" s="13">
        <f t="shared" si="28"/>
        <v>10</v>
      </c>
      <c r="N139" s="13">
        <f t="shared" si="28"/>
        <v>10</v>
      </c>
      <c r="O139" s="13">
        <f t="shared" si="28"/>
        <v>0</v>
      </c>
      <c r="P139" s="13">
        <f t="shared" si="28"/>
        <v>84</v>
      </c>
    </row>
    <row r="140" spans="1:16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</row>
    <row r="141" spans="1:16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1</v>
      </c>
      <c r="N141" s="16">
        <v>0</v>
      </c>
      <c r="O141" s="16">
        <v>0</v>
      </c>
      <c r="P141" s="13">
        <f t="shared" ref="P141:P150" si="29">SUM(E141:O141)</f>
        <v>1</v>
      </c>
    </row>
    <row r="142" spans="1:16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3">
        <f t="shared" si="29"/>
        <v>0</v>
      </c>
    </row>
    <row r="143" spans="1:16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13">
        <f t="shared" si="29"/>
        <v>0</v>
      </c>
    </row>
    <row r="144" spans="1:16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13">
        <f t="shared" si="29"/>
        <v>0</v>
      </c>
    </row>
    <row r="145" spans="1:16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13">
        <f t="shared" si="29"/>
        <v>0</v>
      </c>
    </row>
    <row r="146" spans="1:16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13">
        <f t="shared" si="29"/>
        <v>0</v>
      </c>
    </row>
    <row r="147" spans="1:16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13">
        <f t="shared" si="29"/>
        <v>0</v>
      </c>
    </row>
    <row r="148" spans="1:16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13">
        <f t="shared" si="29"/>
        <v>0</v>
      </c>
    </row>
    <row r="149" spans="1:16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13">
        <f t="shared" si="29"/>
        <v>0</v>
      </c>
    </row>
    <row r="150" spans="1:16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13">
        <f t="shared" si="29"/>
        <v>0</v>
      </c>
    </row>
    <row r="151" spans="1:16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P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0</v>
      </c>
      <c r="M151" s="13">
        <f t="shared" si="30"/>
        <v>1</v>
      </c>
      <c r="N151" s="13">
        <f t="shared" si="30"/>
        <v>0</v>
      </c>
      <c r="O151" s="13">
        <f t="shared" si="30"/>
        <v>0</v>
      </c>
      <c r="P151" s="13">
        <f t="shared" si="30"/>
        <v>1</v>
      </c>
    </row>
    <row r="152" spans="1:16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13"/>
    </row>
    <row r="153" spans="1:16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1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3">
        <f t="shared" ref="P153:P162" si="31">SUM(E153:O153)</f>
        <v>1</v>
      </c>
    </row>
    <row r="154" spans="1:16" ht="12.75" customHeight="1" x14ac:dyDescent="0.4">
      <c r="A154" s="42" t="s">
        <v>38</v>
      </c>
      <c r="B154" s="28"/>
      <c r="C154" s="29" t="s">
        <v>99</v>
      </c>
      <c r="D154" s="30"/>
      <c r="E154" s="55">
        <v>1</v>
      </c>
      <c r="F154" s="16">
        <v>2</v>
      </c>
      <c r="G154" s="16">
        <v>0</v>
      </c>
      <c r="H154" s="16">
        <v>1</v>
      </c>
      <c r="I154" s="16">
        <v>0</v>
      </c>
      <c r="J154" s="16">
        <v>0</v>
      </c>
      <c r="K154" s="16">
        <v>2</v>
      </c>
      <c r="L154" s="16">
        <v>0</v>
      </c>
      <c r="M154" s="16">
        <v>0</v>
      </c>
      <c r="N154" s="16">
        <v>0</v>
      </c>
      <c r="O154" s="16">
        <v>3</v>
      </c>
      <c r="P154" s="13">
        <f t="shared" si="31"/>
        <v>9</v>
      </c>
    </row>
    <row r="155" spans="1:16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1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3">
        <f t="shared" si="31"/>
        <v>1</v>
      </c>
    </row>
    <row r="156" spans="1:16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1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3">
        <f t="shared" si="31"/>
        <v>1</v>
      </c>
    </row>
    <row r="157" spans="1:16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3">
        <f t="shared" si="31"/>
        <v>0</v>
      </c>
    </row>
    <row r="158" spans="1:16" ht="12.75" customHeight="1" x14ac:dyDescent="0.4">
      <c r="A158" s="52"/>
      <c r="B158" s="28"/>
      <c r="C158" s="29" t="s">
        <v>103</v>
      </c>
      <c r="D158" s="30"/>
      <c r="E158" s="56">
        <v>1</v>
      </c>
      <c r="F158" s="53">
        <v>2</v>
      </c>
      <c r="G158" s="53">
        <v>0</v>
      </c>
      <c r="H158" s="53">
        <v>1</v>
      </c>
      <c r="I158" s="53">
        <v>0</v>
      </c>
      <c r="J158" s="53">
        <v>0</v>
      </c>
      <c r="K158" s="53">
        <v>0</v>
      </c>
      <c r="L158" s="53">
        <v>0</v>
      </c>
      <c r="M158" s="53">
        <v>0</v>
      </c>
      <c r="N158" s="53">
        <v>0</v>
      </c>
      <c r="O158" s="53">
        <v>0</v>
      </c>
      <c r="P158" s="13">
        <f t="shared" si="31"/>
        <v>4</v>
      </c>
    </row>
    <row r="159" spans="1:16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3">
        <f t="shared" si="31"/>
        <v>0</v>
      </c>
    </row>
    <row r="160" spans="1:16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13">
        <f t="shared" si="31"/>
        <v>0</v>
      </c>
    </row>
    <row r="161" spans="1:16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13">
        <f t="shared" si="31"/>
        <v>0</v>
      </c>
    </row>
    <row r="162" spans="1:16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13">
        <f t="shared" si="31"/>
        <v>0</v>
      </c>
    </row>
    <row r="163" spans="1:16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P163" si="32">SUM(E153:E162)</f>
        <v>2</v>
      </c>
      <c r="F163" s="13">
        <f t="shared" si="32"/>
        <v>4</v>
      </c>
      <c r="G163" s="13">
        <f t="shared" si="32"/>
        <v>2</v>
      </c>
      <c r="H163" s="13">
        <f t="shared" si="32"/>
        <v>3</v>
      </c>
      <c r="I163" s="13">
        <f t="shared" si="32"/>
        <v>0</v>
      </c>
      <c r="J163" s="13">
        <f t="shared" si="32"/>
        <v>0</v>
      </c>
      <c r="K163" s="13">
        <f t="shared" si="32"/>
        <v>2</v>
      </c>
      <c r="L163" s="13">
        <f t="shared" si="32"/>
        <v>0</v>
      </c>
      <c r="M163" s="13">
        <f t="shared" si="32"/>
        <v>0</v>
      </c>
      <c r="N163" s="13">
        <f t="shared" si="32"/>
        <v>0</v>
      </c>
      <c r="O163" s="13">
        <f t="shared" si="32"/>
        <v>3</v>
      </c>
      <c r="P163" s="13">
        <f t="shared" si="32"/>
        <v>16</v>
      </c>
    </row>
    <row r="164" spans="1:16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</row>
    <row r="165" spans="1:16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1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3">
        <f t="shared" ref="P165:P174" si="33">SUM(E165:O165)</f>
        <v>1</v>
      </c>
    </row>
    <row r="166" spans="1:16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13">
        <f t="shared" si="33"/>
        <v>0</v>
      </c>
    </row>
    <row r="167" spans="1:16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13">
        <f t="shared" si="33"/>
        <v>0</v>
      </c>
    </row>
    <row r="168" spans="1:16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13">
        <f t="shared" si="33"/>
        <v>0</v>
      </c>
    </row>
    <row r="169" spans="1:16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13">
        <f t="shared" si="33"/>
        <v>0</v>
      </c>
    </row>
    <row r="170" spans="1:16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13">
        <f t="shared" si="33"/>
        <v>0</v>
      </c>
    </row>
    <row r="171" spans="1:16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13">
        <f t="shared" si="33"/>
        <v>0</v>
      </c>
    </row>
    <row r="172" spans="1:16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13">
        <f t="shared" si="33"/>
        <v>0</v>
      </c>
    </row>
    <row r="173" spans="1:16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13">
        <f t="shared" si="33"/>
        <v>0</v>
      </c>
    </row>
    <row r="174" spans="1:16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13">
        <f t="shared" si="33"/>
        <v>0</v>
      </c>
    </row>
    <row r="175" spans="1:16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P175" si="34">SUM(E165:E174)</f>
        <v>1</v>
      </c>
      <c r="F175" s="13">
        <f t="shared" si="34"/>
        <v>0</v>
      </c>
      <c r="G175" s="13">
        <f t="shared" si="34"/>
        <v>0</v>
      </c>
      <c r="H175" s="13">
        <f t="shared" si="34"/>
        <v>0</v>
      </c>
      <c r="I175" s="13">
        <f t="shared" si="34"/>
        <v>0</v>
      </c>
      <c r="J175" s="13">
        <f t="shared" si="34"/>
        <v>0</v>
      </c>
      <c r="K175" s="13">
        <f t="shared" si="34"/>
        <v>0</v>
      </c>
      <c r="L175" s="13">
        <f t="shared" si="34"/>
        <v>0</v>
      </c>
      <c r="M175" s="13">
        <f t="shared" si="34"/>
        <v>0</v>
      </c>
      <c r="N175" s="13">
        <f t="shared" si="34"/>
        <v>0</v>
      </c>
      <c r="O175" s="13">
        <f t="shared" si="34"/>
        <v>0</v>
      </c>
      <c r="P175" s="13">
        <f t="shared" si="34"/>
        <v>1</v>
      </c>
    </row>
    <row r="176" spans="1:16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</row>
    <row r="177" spans="1:16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1</v>
      </c>
      <c r="F177" s="16">
        <v>2</v>
      </c>
      <c r="G177" s="16">
        <v>1</v>
      </c>
      <c r="H177" s="16">
        <v>1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1</v>
      </c>
      <c r="O177" s="16">
        <v>0</v>
      </c>
      <c r="P177" s="13">
        <f t="shared" ref="P177:P186" si="35">SUM(E177:O177)</f>
        <v>6</v>
      </c>
    </row>
    <row r="178" spans="1:16" ht="12.75" customHeight="1" x14ac:dyDescent="0.4">
      <c r="A178" s="20" t="s">
        <v>38</v>
      </c>
      <c r="B178" s="28"/>
      <c r="C178" s="29" t="s">
        <v>109</v>
      </c>
      <c r="D178" s="30"/>
      <c r="E178" s="16">
        <v>0</v>
      </c>
      <c r="F178" s="16">
        <v>2</v>
      </c>
      <c r="G178" s="16">
        <v>1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1</v>
      </c>
      <c r="N178" s="16">
        <v>0</v>
      </c>
      <c r="O178" s="16">
        <v>0</v>
      </c>
      <c r="P178" s="13">
        <f t="shared" si="35"/>
        <v>4</v>
      </c>
    </row>
    <row r="179" spans="1:16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3">
        <f t="shared" si="35"/>
        <v>0</v>
      </c>
    </row>
    <row r="180" spans="1:16" ht="12.75" customHeight="1" x14ac:dyDescent="0.4">
      <c r="A180" s="15"/>
      <c r="B180" s="28"/>
      <c r="C180" s="29" t="s">
        <v>111</v>
      </c>
      <c r="D180" s="30"/>
      <c r="E180" s="16">
        <v>2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3">
        <f t="shared" si="35"/>
        <v>2</v>
      </c>
    </row>
    <row r="181" spans="1:16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1</v>
      </c>
      <c r="P181" s="13">
        <f t="shared" si="35"/>
        <v>1</v>
      </c>
    </row>
    <row r="182" spans="1:16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1</v>
      </c>
      <c r="O182" s="16">
        <v>0</v>
      </c>
      <c r="P182" s="13">
        <f t="shared" si="35"/>
        <v>1</v>
      </c>
    </row>
    <row r="183" spans="1:16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1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3">
        <f t="shared" si="35"/>
        <v>1</v>
      </c>
    </row>
    <row r="184" spans="1:16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13">
        <f t="shared" si="35"/>
        <v>0</v>
      </c>
    </row>
    <row r="185" spans="1:16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13">
        <f t="shared" si="35"/>
        <v>0</v>
      </c>
    </row>
    <row r="186" spans="1:16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13">
        <f t="shared" si="35"/>
        <v>0</v>
      </c>
    </row>
    <row r="187" spans="1:16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P187" si="36">SUM(E177:E186)</f>
        <v>3</v>
      </c>
      <c r="F187" s="13">
        <f t="shared" si="36"/>
        <v>5</v>
      </c>
      <c r="G187" s="13">
        <f t="shared" si="36"/>
        <v>2</v>
      </c>
      <c r="H187" s="13">
        <f t="shared" si="36"/>
        <v>1</v>
      </c>
      <c r="I187" s="13">
        <f t="shared" si="36"/>
        <v>0</v>
      </c>
      <c r="J187" s="13">
        <f t="shared" si="36"/>
        <v>0</v>
      </c>
      <c r="K187" s="13">
        <f t="shared" si="36"/>
        <v>0</v>
      </c>
      <c r="L187" s="13">
        <f t="shared" si="36"/>
        <v>0</v>
      </c>
      <c r="M187" s="13">
        <f t="shared" si="36"/>
        <v>1</v>
      </c>
      <c r="N187" s="13">
        <f t="shared" si="36"/>
        <v>2</v>
      </c>
      <c r="O187" s="13">
        <f t="shared" si="36"/>
        <v>1</v>
      </c>
      <c r="P187" s="13">
        <f t="shared" si="36"/>
        <v>15</v>
      </c>
    </row>
    <row r="188" spans="1:16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P188" s="13"/>
    </row>
    <row r="189" spans="1:16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1</v>
      </c>
      <c r="O189" s="16">
        <v>0</v>
      </c>
      <c r="P189" s="13">
        <f t="shared" ref="P189:P198" si="37">SUM(E189:O189)</f>
        <v>1</v>
      </c>
    </row>
    <row r="190" spans="1:16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3">
        <f t="shared" si="37"/>
        <v>0</v>
      </c>
    </row>
    <row r="191" spans="1:16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1</v>
      </c>
      <c r="L191" s="16">
        <v>0</v>
      </c>
      <c r="M191" s="16">
        <v>0</v>
      </c>
      <c r="N191" s="16">
        <v>0</v>
      </c>
      <c r="O191" s="16">
        <v>0</v>
      </c>
      <c r="P191" s="13">
        <f t="shared" si="37"/>
        <v>1</v>
      </c>
    </row>
    <row r="192" spans="1:16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2</v>
      </c>
      <c r="N192" s="16">
        <v>0</v>
      </c>
      <c r="O192" s="16">
        <v>0</v>
      </c>
      <c r="P192" s="13">
        <f t="shared" si="37"/>
        <v>2</v>
      </c>
    </row>
    <row r="193" spans="1:16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3">
        <f t="shared" si="37"/>
        <v>0</v>
      </c>
    </row>
    <row r="194" spans="1:16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1</v>
      </c>
      <c r="P194" s="13">
        <f t="shared" si="37"/>
        <v>1</v>
      </c>
    </row>
    <row r="195" spans="1:16" ht="12.75" customHeight="1" x14ac:dyDescent="0.4">
      <c r="A195" s="15"/>
      <c r="B195" s="28"/>
      <c r="C195" s="29" t="s">
        <v>122</v>
      </c>
      <c r="D195" s="30"/>
      <c r="E195" s="16">
        <v>2</v>
      </c>
      <c r="F195" s="16">
        <v>0</v>
      </c>
      <c r="G195" s="16">
        <v>0</v>
      </c>
      <c r="H195" s="16">
        <v>1</v>
      </c>
      <c r="I195" s="16">
        <v>0</v>
      </c>
      <c r="J195" s="16">
        <v>2</v>
      </c>
      <c r="K195" s="16">
        <v>0</v>
      </c>
      <c r="L195" s="16">
        <v>0</v>
      </c>
      <c r="M195" s="16">
        <v>0</v>
      </c>
      <c r="N195" s="16">
        <v>0</v>
      </c>
      <c r="O195" s="16">
        <v>2</v>
      </c>
      <c r="P195" s="13">
        <f t="shared" si="37"/>
        <v>7</v>
      </c>
    </row>
    <row r="196" spans="1:16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13">
        <f t="shared" si="37"/>
        <v>0</v>
      </c>
    </row>
    <row r="197" spans="1:16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13">
        <f t="shared" si="37"/>
        <v>0</v>
      </c>
    </row>
    <row r="198" spans="1:16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13">
        <f t="shared" si="37"/>
        <v>0</v>
      </c>
    </row>
    <row r="199" spans="1:16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P199" si="38">SUM(E189:E198)</f>
        <v>2</v>
      </c>
      <c r="F199" s="13">
        <f t="shared" si="38"/>
        <v>0</v>
      </c>
      <c r="G199" s="13">
        <f t="shared" si="38"/>
        <v>0</v>
      </c>
      <c r="H199" s="13">
        <f t="shared" si="38"/>
        <v>1</v>
      </c>
      <c r="I199" s="13">
        <f t="shared" si="38"/>
        <v>0</v>
      </c>
      <c r="J199" s="13">
        <f t="shared" si="38"/>
        <v>2</v>
      </c>
      <c r="K199" s="13">
        <f t="shared" si="38"/>
        <v>1</v>
      </c>
      <c r="L199" s="13">
        <f t="shared" si="38"/>
        <v>0</v>
      </c>
      <c r="M199" s="13">
        <f t="shared" si="38"/>
        <v>2</v>
      </c>
      <c r="N199" s="13">
        <f t="shared" si="38"/>
        <v>1</v>
      </c>
      <c r="O199" s="13">
        <f t="shared" si="38"/>
        <v>3</v>
      </c>
      <c r="P199" s="13">
        <f t="shared" si="38"/>
        <v>12</v>
      </c>
    </row>
    <row r="200" spans="1:16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</row>
    <row r="201" spans="1:16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4</v>
      </c>
      <c r="F201" s="16">
        <v>1</v>
      </c>
      <c r="G201" s="16">
        <v>1</v>
      </c>
      <c r="H201" s="16">
        <v>1</v>
      </c>
      <c r="I201" s="16">
        <v>0</v>
      </c>
      <c r="J201" s="16">
        <v>0</v>
      </c>
      <c r="K201" s="16">
        <v>2</v>
      </c>
      <c r="L201" s="16">
        <v>0</v>
      </c>
      <c r="M201" s="16">
        <v>0</v>
      </c>
      <c r="N201" s="16">
        <v>3</v>
      </c>
      <c r="O201" s="16">
        <v>6</v>
      </c>
      <c r="P201" s="13">
        <f t="shared" ref="P201:P210" si="39">SUM(E201:O201)</f>
        <v>18</v>
      </c>
    </row>
    <row r="202" spans="1:16" ht="12.75" customHeight="1" x14ac:dyDescent="0.4">
      <c r="A202" s="20" t="s">
        <v>38</v>
      </c>
      <c r="B202" s="28"/>
      <c r="C202" s="29" t="s">
        <v>125</v>
      </c>
      <c r="D202" s="30"/>
      <c r="E202" s="16">
        <v>8</v>
      </c>
      <c r="F202" s="16">
        <v>21</v>
      </c>
      <c r="G202" s="16">
        <v>6</v>
      </c>
      <c r="H202" s="16">
        <v>7</v>
      </c>
      <c r="I202" s="16">
        <v>14</v>
      </c>
      <c r="J202" s="16">
        <v>9</v>
      </c>
      <c r="K202" s="16">
        <v>15</v>
      </c>
      <c r="L202" s="16">
        <v>3</v>
      </c>
      <c r="M202" s="16">
        <v>21</v>
      </c>
      <c r="N202" s="16">
        <v>23</v>
      </c>
      <c r="O202" s="16">
        <v>84</v>
      </c>
      <c r="P202" s="13">
        <f t="shared" si="39"/>
        <v>211</v>
      </c>
    </row>
    <row r="203" spans="1:16" ht="12.75" customHeight="1" x14ac:dyDescent="0.4">
      <c r="A203" s="15"/>
      <c r="B203" s="28"/>
      <c r="C203" s="29" t="s">
        <v>126</v>
      </c>
      <c r="D203" s="30"/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1</v>
      </c>
      <c r="P203" s="13">
        <f t="shared" si="39"/>
        <v>2</v>
      </c>
    </row>
    <row r="204" spans="1:16" ht="12.75" customHeight="1" x14ac:dyDescent="0.4">
      <c r="A204" s="15"/>
      <c r="B204" s="28"/>
      <c r="C204" s="29" t="s">
        <v>127</v>
      </c>
      <c r="D204" s="30"/>
      <c r="E204" s="16">
        <v>3</v>
      </c>
      <c r="F204" s="16">
        <v>5</v>
      </c>
      <c r="G204" s="16">
        <v>2</v>
      </c>
      <c r="H204" s="16">
        <v>2</v>
      </c>
      <c r="I204" s="16">
        <v>0</v>
      </c>
      <c r="J204" s="16">
        <v>6</v>
      </c>
      <c r="K204" s="16">
        <v>3</v>
      </c>
      <c r="L204" s="16">
        <v>4</v>
      </c>
      <c r="M204" s="16">
        <v>0</v>
      </c>
      <c r="N204" s="16">
        <v>0</v>
      </c>
      <c r="O204" s="16">
        <v>2</v>
      </c>
      <c r="P204" s="13">
        <f t="shared" si="39"/>
        <v>27</v>
      </c>
    </row>
    <row r="205" spans="1:16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>
        <v>0</v>
      </c>
      <c r="K205" s="16">
        <v>1</v>
      </c>
      <c r="L205" s="16">
        <v>0</v>
      </c>
      <c r="M205" s="16">
        <v>0</v>
      </c>
      <c r="N205" s="16">
        <v>0</v>
      </c>
      <c r="O205" s="16">
        <v>2</v>
      </c>
      <c r="P205" s="13">
        <f t="shared" si="39"/>
        <v>3</v>
      </c>
    </row>
    <row r="206" spans="1:16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0</v>
      </c>
      <c r="M206" s="16">
        <v>0</v>
      </c>
      <c r="N206" s="16">
        <v>0</v>
      </c>
      <c r="O206" s="16">
        <v>0</v>
      </c>
      <c r="P206" s="13">
        <f t="shared" si="39"/>
        <v>0</v>
      </c>
    </row>
    <row r="207" spans="1:16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0</v>
      </c>
      <c r="G207" s="16">
        <v>0</v>
      </c>
      <c r="H207" s="16">
        <v>0</v>
      </c>
      <c r="I207" s="16">
        <v>0</v>
      </c>
      <c r="J207" s="16">
        <v>2</v>
      </c>
      <c r="K207" s="16">
        <v>2</v>
      </c>
      <c r="L207" s="16">
        <v>0</v>
      </c>
      <c r="M207" s="16">
        <v>0</v>
      </c>
      <c r="N207" s="16">
        <v>0</v>
      </c>
      <c r="O207" s="16">
        <v>0</v>
      </c>
      <c r="P207" s="13">
        <f t="shared" si="39"/>
        <v>4</v>
      </c>
    </row>
    <row r="208" spans="1:16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13">
        <f t="shared" si="39"/>
        <v>0</v>
      </c>
    </row>
    <row r="209" spans="1:16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13">
        <f t="shared" si="39"/>
        <v>0</v>
      </c>
    </row>
    <row r="210" spans="1:16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13">
        <f t="shared" si="39"/>
        <v>0</v>
      </c>
    </row>
    <row r="211" spans="1:16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P211" si="40">SUM(E201:E210)</f>
        <v>15</v>
      </c>
      <c r="F211" s="13">
        <f t="shared" si="40"/>
        <v>28</v>
      </c>
      <c r="G211" s="13">
        <f t="shared" si="40"/>
        <v>9</v>
      </c>
      <c r="H211" s="13">
        <f t="shared" si="40"/>
        <v>10</v>
      </c>
      <c r="I211" s="13">
        <f t="shared" si="40"/>
        <v>14</v>
      </c>
      <c r="J211" s="13">
        <f t="shared" si="40"/>
        <v>17</v>
      </c>
      <c r="K211" s="13">
        <f t="shared" si="40"/>
        <v>23</v>
      </c>
      <c r="L211" s="13">
        <f t="shared" si="40"/>
        <v>7</v>
      </c>
      <c r="M211" s="13">
        <f t="shared" si="40"/>
        <v>21</v>
      </c>
      <c r="N211" s="13">
        <f t="shared" si="40"/>
        <v>26</v>
      </c>
      <c r="O211" s="13">
        <f t="shared" si="40"/>
        <v>95</v>
      </c>
      <c r="P211" s="13">
        <f t="shared" si="40"/>
        <v>265</v>
      </c>
    </row>
    <row r="212" spans="1:16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</row>
    <row r="213" spans="1:16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1</v>
      </c>
      <c r="F213" s="16">
        <v>1</v>
      </c>
      <c r="G213" s="16">
        <v>0</v>
      </c>
      <c r="H213" s="16">
        <v>1</v>
      </c>
      <c r="I213" s="16">
        <v>0</v>
      </c>
      <c r="J213" s="16">
        <v>1</v>
      </c>
      <c r="K213" s="16">
        <v>2</v>
      </c>
      <c r="L213" s="16">
        <v>0</v>
      </c>
      <c r="M213" s="16">
        <v>1</v>
      </c>
      <c r="N213" s="16">
        <v>1</v>
      </c>
      <c r="O213" s="16">
        <v>2</v>
      </c>
      <c r="P213" s="13">
        <f t="shared" ref="P213:P222" si="41">SUM(E213:O213)</f>
        <v>10</v>
      </c>
    </row>
    <row r="214" spans="1:16" ht="12.75" customHeight="1" x14ac:dyDescent="0.4">
      <c r="A214" s="20" t="s">
        <v>38</v>
      </c>
      <c r="B214" s="27"/>
      <c r="C214" s="29" t="s">
        <v>133</v>
      </c>
      <c r="D214" s="40"/>
      <c r="E214" s="16">
        <v>1</v>
      </c>
      <c r="F214" s="16">
        <v>1</v>
      </c>
      <c r="G214" s="16">
        <v>0</v>
      </c>
      <c r="H214" s="16">
        <v>1</v>
      </c>
      <c r="I214" s="16">
        <v>3</v>
      </c>
      <c r="J214" s="16">
        <v>0</v>
      </c>
      <c r="K214" s="16">
        <v>4</v>
      </c>
      <c r="L214" s="16">
        <v>0</v>
      </c>
      <c r="M214" s="16">
        <v>2</v>
      </c>
      <c r="N214" s="16">
        <v>1</v>
      </c>
      <c r="O214" s="16">
        <v>0</v>
      </c>
      <c r="P214" s="13">
        <f t="shared" si="41"/>
        <v>13</v>
      </c>
    </row>
    <row r="215" spans="1:16" ht="12.75" customHeight="1" x14ac:dyDescent="0.4">
      <c r="A215" s="15"/>
      <c r="B215" s="27"/>
      <c r="C215" s="29" t="s">
        <v>134</v>
      </c>
      <c r="D215" s="40"/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>
        <v>1</v>
      </c>
      <c r="K215" s="16">
        <v>0</v>
      </c>
      <c r="L215" s="16">
        <v>0</v>
      </c>
      <c r="M215" s="16">
        <v>0</v>
      </c>
      <c r="N215" s="16">
        <v>0</v>
      </c>
      <c r="O215" s="16">
        <v>0</v>
      </c>
      <c r="P215" s="13">
        <f t="shared" si="41"/>
        <v>1</v>
      </c>
    </row>
    <row r="216" spans="1:16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>
        <v>0</v>
      </c>
      <c r="K216" s="16">
        <v>0</v>
      </c>
      <c r="L216" s="16">
        <v>0</v>
      </c>
      <c r="M216" s="16">
        <v>0</v>
      </c>
      <c r="N216" s="16">
        <v>1</v>
      </c>
      <c r="O216" s="16">
        <v>0</v>
      </c>
      <c r="P216" s="13">
        <f t="shared" si="41"/>
        <v>1</v>
      </c>
    </row>
    <row r="217" spans="1:16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1</v>
      </c>
      <c r="L217" s="16">
        <v>0</v>
      </c>
      <c r="M217" s="16">
        <v>0</v>
      </c>
      <c r="N217" s="16">
        <v>0</v>
      </c>
      <c r="O217" s="16">
        <v>0</v>
      </c>
      <c r="P217" s="13">
        <f t="shared" si="41"/>
        <v>1</v>
      </c>
    </row>
    <row r="218" spans="1:16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1</v>
      </c>
      <c r="G218" s="16">
        <v>0</v>
      </c>
      <c r="H218" s="16">
        <v>0</v>
      </c>
      <c r="I218" s="16">
        <v>0</v>
      </c>
      <c r="J218" s="16">
        <v>1</v>
      </c>
      <c r="K218" s="16">
        <v>0</v>
      </c>
      <c r="L218" s="16">
        <v>0</v>
      </c>
      <c r="M218" s="16">
        <v>4</v>
      </c>
      <c r="N218" s="16">
        <v>2</v>
      </c>
      <c r="O218" s="16">
        <v>0</v>
      </c>
      <c r="P218" s="13">
        <f t="shared" si="41"/>
        <v>8</v>
      </c>
    </row>
    <row r="219" spans="1:16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13">
        <f t="shared" si="41"/>
        <v>0</v>
      </c>
    </row>
    <row r="220" spans="1:16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13">
        <f t="shared" si="41"/>
        <v>0</v>
      </c>
    </row>
    <row r="221" spans="1:16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13">
        <f t="shared" si="41"/>
        <v>0</v>
      </c>
    </row>
    <row r="222" spans="1:16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13">
        <f t="shared" si="41"/>
        <v>0</v>
      </c>
    </row>
    <row r="223" spans="1:16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P223" si="42">SUM(E213:E222)</f>
        <v>2</v>
      </c>
      <c r="F223" s="13">
        <f t="shared" si="42"/>
        <v>3</v>
      </c>
      <c r="G223" s="13">
        <f t="shared" si="42"/>
        <v>0</v>
      </c>
      <c r="H223" s="13">
        <f t="shared" si="42"/>
        <v>2</v>
      </c>
      <c r="I223" s="13">
        <f t="shared" si="42"/>
        <v>3</v>
      </c>
      <c r="J223" s="13">
        <f t="shared" si="42"/>
        <v>3</v>
      </c>
      <c r="K223" s="13">
        <f t="shared" si="42"/>
        <v>7</v>
      </c>
      <c r="L223" s="13">
        <f t="shared" si="42"/>
        <v>0</v>
      </c>
      <c r="M223" s="13">
        <f t="shared" si="42"/>
        <v>7</v>
      </c>
      <c r="N223" s="13">
        <f t="shared" si="42"/>
        <v>5</v>
      </c>
      <c r="O223" s="13">
        <f t="shared" si="42"/>
        <v>2</v>
      </c>
      <c r="P223" s="13">
        <f t="shared" si="42"/>
        <v>34</v>
      </c>
    </row>
    <row r="224" spans="1:16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</row>
    <row r="225" spans="1:16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1</v>
      </c>
      <c r="H225" s="16">
        <v>1</v>
      </c>
      <c r="I225" s="16">
        <v>0</v>
      </c>
      <c r="J225" s="16">
        <v>0</v>
      </c>
      <c r="K225" s="16">
        <v>0</v>
      </c>
      <c r="L225" s="16">
        <v>0</v>
      </c>
      <c r="M225" s="16">
        <v>0</v>
      </c>
      <c r="N225" s="16">
        <v>1</v>
      </c>
      <c r="O225" s="16">
        <v>0</v>
      </c>
      <c r="P225" s="13">
        <f t="shared" ref="P225:P234" si="43">SUM(E225:O225)</f>
        <v>3</v>
      </c>
    </row>
    <row r="226" spans="1:16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0</v>
      </c>
      <c r="L226" s="16">
        <v>0</v>
      </c>
      <c r="M226" s="16">
        <v>0</v>
      </c>
      <c r="N226" s="16">
        <v>2</v>
      </c>
      <c r="O226" s="16">
        <v>0</v>
      </c>
      <c r="P226" s="13">
        <f t="shared" si="43"/>
        <v>2</v>
      </c>
    </row>
    <row r="227" spans="1:16" ht="12.75" customHeight="1" x14ac:dyDescent="0.4">
      <c r="A227" s="15"/>
      <c r="B227" s="27"/>
      <c r="C227" s="29" t="s">
        <v>141</v>
      </c>
      <c r="D227" s="40"/>
      <c r="E227" s="16">
        <v>1</v>
      </c>
      <c r="F227" s="16">
        <v>0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6">
        <v>0</v>
      </c>
      <c r="M227" s="16">
        <v>0</v>
      </c>
      <c r="N227" s="16">
        <v>0</v>
      </c>
      <c r="O227" s="16">
        <v>0</v>
      </c>
      <c r="P227" s="13">
        <f t="shared" si="43"/>
        <v>1</v>
      </c>
    </row>
    <row r="228" spans="1:16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3">
        <f t="shared" si="43"/>
        <v>0</v>
      </c>
    </row>
    <row r="229" spans="1:16" ht="12.75" customHeight="1" x14ac:dyDescent="0.4">
      <c r="A229" s="15"/>
      <c r="B229" s="28"/>
      <c r="C229" s="29" t="s">
        <v>143</v>
      </c>
      <c r="D229" s="30"/>
      <c r="E229" s="16">
        <v>1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0</v>
      </c>
      <c r="N229" s="16">
        <v>1</v>
      </c>
      <c r="O229" s="16">
        <v>0</v>
      </c>
      <c r="P229" s="13">
        <f t="shared" si="43"/>
        <v>2</v>
      </c>
    </row>
    <row r="230" spans="1:16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0</v>
      </c>
      <c r="G230" s="16">
        <v>0</v>
      </c>
      <c r="H230" s="16">
        <v>0</v>
      </c>
      <c r="I230" s="16">
        <v>0</v>
      </c>
      <c r="J230" s="16">
        <v>0</v>
      </c>
      <c r="K230" s="16">
        <v>0</v>
      </c>
      <c r="L230" s="16">
        <v>0</v>
      </c>
      <c r="M230" s="16">
        <v>0</v>
      </c>
      <c r="N230" s="16">
        <v>0</v>
      </c>
      <c r="O230" s="16">
        <v>0</v>
      </c>
      <c r="P230" s="13">
        <f t="shared" si="43"/>
        <v>0</v>
      </c>
    </row>
    <row r="231" spans="1:16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4</v>
      </c>
      <c r="M231" s="16">
        <v>0</v>
      </c>
      <c r="N231" s="16">
        <v>0</v>
      </c>
      <c r="O231" s="16">
        <v>0</v>
      </c>
      <c r="P231" s="13">
        <f t="shared" si="43"/>
        <v>4</v>
      </c>
    </row>
    <row r="232" spans="1:16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13">
        <f t="shared" si="43"/>
        <v>0</v>
      </c>
    </row>
    <row r="233" spans="1:16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13">
        <f t="shared" si="43"/>
        <v>0</v>
      </c>
    </row>
    <row r="234" spans="1:16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13">
        <f t="shared" si="43"/>
        <v>0</v>
      </c>
    </row>
    <row r="235" spans="1:16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P235" si="44">SUM(E225:E234)</f>
        <v>2</v>
      </c>
      <c r="F235" s="13">
        <f t="shared" si="44"/>
        <v>0</v>
      </c>
      <c r="G235" s="13">
        <f t="shared" si="44"/>
        <v>1</v>
      </c>
      <c r="H235" s="13">
        <f t="shared" si="44"/>
        <v>1</v>
      </c>
      <c r="I235" s="13">
        <f t="shared" si="44"/>
        <v>0</v>
      </c>
      <c r="J235" s="13">
        <f t="shared" si="44"/>
        <v>0</v>
      </c>
      <c r="K235" s="13">
        <f t="shared" si="44"/>
        <v>0</v>
      </c>
      <c r="L235" s="13">
        <f t="shared" si="44"/>
        <v>4</v>
      </c>
      <c r="M235" s="13">
        <f t="shared" si="44"/>
        <v>0</v>
      </c>
      <c r="N235" s="13">
        <f t="shared" si="44"/>
        <v>4</v>
      </c>
      <c r="O235" s="13">
        <f t="shared" si="44"/>
        <v>0</v>
      </c>
      <c r="P235" s="13">
        <f t="shared" si="44"/>
        <v>12</v>
      </c>
    </row>
    <row r="236" spans="1:16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</row>
    <row r="237" spans="1:16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0</v>
      </c>
      <c r="G237" s="16">
        <v>0</v>
      </c>
      <c r="H237" s="16">
        <v>0</v>
      </c>
      <c r="I237" s="16">
        <v>1</v>
      </c>
      <c r="J237" s="16">
        <v>2</v>
      </c>
      <c r="K237" s="16">
        <v>0</v>
      </c>
      <c r="L237" s="16">
        <v>1</v>
      </c>
      <c r="M237" s="16">
        <v>1</v>
      </c>
      <c r="N237" s="16">
        <v>1</v>
      </c>
      <c r="O237" s="16">
        <v>0</v>
      </c>
      <c r="P237" s="13">
        <f t="shared" ref="P237:P246" si="45">SUM(E237:O237)</f>
        <v>6</v>
      </c>
    </row>
    <row r="238" spans="1:16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0</v>
      </c>
      <c r="G238" s="16">
        <v>0</v>
      </c>
      <c r="H238" s="16">
        <v>0</v>
      </c>
      <c r="I238" s="16">
        <v>0</v>
      </c>
      <c r="J238" s="16">
        <v>2</v>
      </c>
      <c r="K238" s="16">
        <v>0</v>
      </c>
      <c r="L238" s="16">
        <v>0</v>
      </c>
      <c r="M238" s="16">
        <v>1</v>
      </c>
      <c r="N238" s="16">
        <v>0</v>
      </c>
      <c r="O238" s="16">
        <v>0</v>
      </c>
      <c r="P238" s="13">
        <f t="shared" si="45"/>
        <v>3</v>
      </c>
    </row>
    <row r="239" spans="1:16" ht="12.75" customHeight="1" x14ac:dyDescent="0.4">
      <c r="A239" s="15"/>
      <c r="B239" s="28"/>
      <c r="C239" s="29" t="s">
        <v>149</v>
      </c>
      <c r="D239" s="30"/>
      <c r="E239" s="16">
        <v>2</v>
      </c>
      <c r="F239" s="16">
        <v>1</v>
      </c>
      <c r="G239" s="16">
        <v>1</v>
      </c>
      <c r="H239" s="16">
        <v>0</v>
      </c>
      <c r="I239" s="16">
        <v>2</v>
      </c>
      <c r="J239" s="16">
        <v>2</v>
      </c>
      <c r="K239" s="16">
        <v>0</v>
      </c>
      <c r="L239" s="16">
        <v>0</v>
      </c>
      <c r="M239" s="16">
        <v>0</v>
      </c>
      <c r="N239" s="16">
        <v>5</v>
      </c>
      <c r="O239" s="16">
        <v>0</v>
      </c>
      <c r="P239" s="13">
        <f t="shared" si="45"/>
        <v>13</v>
      </c>
    </row>
    <row r="240" spans="1:16" ht="12.75" customHeight="1" x14ac:dyDescent="0.4">
      <c r="A240" s="15"/>
      <c r="B240" s="28"/>
      <c r="C240" s="29" t="s">
        <v>150</v>
      </c>
      <c r="D240" s="30"/>
      <c r="E240" s="16">
        <v>16</v>
      </c>
      <c r="F240" s="16">
        <v>8</v>
      </c>
      <c r="G240" s="16">
        <v>20</v>
      </c>
      <c r="H240" s="16">
        <v>21</v>
      </c>
      <c r="I240" s="16">
        <v>26</v>
      </c>
      <c r="J240" s="16">
        <v>34</v>
      </c>
      <c r="K240" s="16">
        <v>7</v>
      </c>
      <c r="L240" s="16">
        <v>8</v>
      </c>
      <c r="M240" s="16">
        <v>2</v>
      </c>
      <c r="N240" s="16">
        <v>0</v>
      </c>
      <c r="O240" s="16">
        <v>4</v>
      </c>
      <c r="P240" s="13">
        <f t="shared" si="45"/>
        <v>146</v>
      </c>
    </row>
    <row r="241" spans="1:16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1</v>
      </c>
      <c r="L241" s="16">
        <v>0</v>
      </c>
      <c r="M241" s="16">
        <v>0</v>
      </c>
      <c r="N241" s="16">
        <v>1</v>
      </c>
      <c r="O241" s="16">
        <v>0</v>
      </c>
      <c r="P241" s="13">
        <f t="shared" si="45"/>
        <v>2</v>
      </c>
    </row>
    <row r="242" spans="1:16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3">
        <f t="shared" si="45"/>
        <v>0</v>
      </c>
    </row>
    <row r="243" spans="1:16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3">
        <f t="shared" si="45"/>
        <v>0</v>
      </c>
    </row>
    <row r="244" spans="1:16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13">
        <f t="shared" si="45"/>
        <v>0</v>
      </c>
    </row>
    <row r="245" spans="1:16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13">
        <f t="shared" si="45"/>
        <v>0</v>
      </c>
    </row>
    <row r="246" spans="1:16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13">
        <f t="shared" si="45"/>
        <v>0</v>
      </c>
    </row>
    <row r="247" spans="1:16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P247" si="46">SUM(E237:E246)</f>
        <v>18</v>
      </c>
      <c r="F247" s="13">
        <f t="shared" si="46"/>
        <v>9</v>
      </c>
      <c r="G247" s="13">
        <f t="shared" si="46"/>
        <v>21</v>
      </c>
      <c r="H247" s="13">
        <f t="shared" si="46"/>
        <v>21</v>
      </c>
      <c r="I247" s="13">
        <f t="shared" si="46"/>
        <v>29</v>
      </c>
      <c r="J247" s="13">
        <f t="shared" si="46"/>
        <v>40</v>
      </c>
      <c r="K247" s="13">
        <f t="shared" si="46"/>
        <v>8</v>
      </c>
      <c r="L247" s="13">
        <f t="shared" si="46"/>
        <v>9</v>
      </c>
      <c r="M247" s="13">
        <f t="shared" si="46"/>
        <v>4</v>
      </c>
      <c r="N247" s="13">
        <f t="shared" si="46"/>
        <v>7</v>
      </c>
      <c r="O247" s="13">
        <f t="shared" si="46"/>
        <v>4</v>
      </c>
      <c r="P247" s="13">
        <f t="shared" si="46"/>
        <v>170</v>
      </c>
    </row>
    <row r="248" spans="1:16" ht="12.75" customHeight="1" x14ac:dyDescent="0.4">
      <c r="A248" s="63"/>
      <c r="B248" s="61"/>
      <c r="C248" s="61"/>
      <c r="D248" s="61"/>
      <c r="E248" s="62"/>
    </row>
    <row r="249" spans="1:16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0</v>
      </c>
      <c r="H249" s="16">
        <v>0</v>
      </c>
      <c r="I249" s="16">
        <v>0</v>
      </c>
      <c r="J249" s="16">
        <v>0</v>
      </c>
      <c r="K249" s="16">
        <v>0</v>
      </c>
      <c r="L249" s="16">
        <v>0</v>
      </c>
      <c r="M249" s="16">
        <v>0</v>
      </c>
      <c r="N249" s="16">
        <v>0</v>
      </c>
      <c r="O249" s="16">
        <v>1</v>
      </c>
      <c r="P249" s="13">
        <f t="shared" ref="P249:P258" si="47">SUM(E249:O249)</f>
        <v>1</v>
      </c>
    </row>
    <row r="250" spans="1:16" ht="12.75" customHeight="1" x14ac:dyDescent="0.4">
      <c r="A250" s="20" t="s">
        <v>38</v>
      </c>
      <c r="B250" s="27"/>
      <c r="C250" s="29" t="s">
        <v>156</v>
      </c>
      <c r="D250" s="40"/>
      <c r="E250" s="16">
        <v>1</v>
      </c>
      <c r="F250" s="16">
        <v>0</v>
      </c>
      <c r="G250" s="16">
        <v>0</v>
      </c>
      <c r="H250" s="16">
        <v>0</v>
      </c>
      <c r="I250" s="16">
        <v>0</v>
      </c>
      <c r="J250" s="16">
        <v>0</v>
      </c>
      <c r="K250" s="16">
        <v>0</v>
      </c>
      <c r="L250" s="16">
        <v>0</v>
      </c>
      <c r="M250" s="16">
        <v>0</v>
      </c>
      <c r="N250" s="16">
        <v>0</v>
      </c>
      <c r="O250" s="16">
        <v>0</v>
      </c>
      <c r="P250" s="13">
        <f t="shared" si="47"/>
        <v>1</v>
      </c>
    </row>
    <row r="251" spans="1:16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3">
        <f t="shared" si="47"/>
        <v>0</v>
      </c>
    </row>
    <row r="252" spans="1:16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3">
        <f t="shared" si="47"/>
        <v>0</v>
      </c>
    </row>
    <row r="253" spans="1:16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0</v>
      </c>
      <c r="N253" s="16">
        <v>0</v>
      </c>
      <c r="O253" s="16">
        <v>0</v>
      </c>
      <c r="P253" s="13">
        <f t="shared" si="47"/>
        <v>0</v>
      </c>
    </row>
    <row r="254" spans="1:16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13">
        <f t="shared" si="47"/>
        <v>0</v>
      </c>
    </row>
    <row r="255" spans="1:16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13">
        <f t="shared" si="47"/>
        <v>0</v>
      </c>
    </row>
    <row r="256" spans="1:16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13">
        <f t="shared" si="47"/>
        <v>0</v>
      </c>
    </row>
    <row r="257" spans="1:16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13">
        <f t="shared" si="47"/>
        <v>0</v>
      </c>
    </row>
    <row r="258" spans="1:16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13">
        <f t="shared" si="47"/>
        <v>0</v>
      </c>
    </row>
    <row r="259" spans="1:16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P259" si="48">SUM(E249:E258)</f>
        <v>1</v>
      </c>
      <c r="F259" s="13">
        <f t="shared" si="48"/>
        <v>0</v>
      </c>
      <c r="G259" s="13">
        <f t="shared" si="48"/>
        <v>0</v>
      </c>
      <c r="H259" s="13">
        <f t="shared" si="48"/>
        <v>0</v>
      </c>
      <c r="I259" s="13">
        <f t="shared" si="48"/>
        <v>0</v>
      </c>
      <c r="J259" s="13">
        <f t="shared" si="48"/>
        <v>0</v>
      </c>
      <c r="K259" s="13">
        <f t="shared" si="48"/>
        <v>0</v>
      </c>
      <c r="L259" s="13">
        <f t="shared" si="48"/>
        <v>0</v>
      </c>
      <c r="M259" s="13">
        <f t="shared" si="48"/>
        <v>0</v>
      </c>
      <c r="N259" s="13">
        <f t="shared" si="48"/>
        <v>0</v>
      </c>
      <c r="O259" s="13">
        <f t="shared" si="48"/>
        <v>1</v>
      </c>
      <c r="P259" s="13">
        <f t="shared" si="48"/>
        <v>2</v>
      </c>
    </row>
    <row r="260" spans="1:16" ht="12.75" customHeight="1" x14ac:dyDescent="0.4"/>
    <row r="261" spans="1:16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13"/>
    </row>
    <row r="262" spans="1:16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O262" si="49">E55+E67+E79+E91+E103+E115+E127+E139+E151+E163+E175+E187+E199+E211+E223+E235+E247+E259</f>
        <v>156</v>
      </c>
      <c r="F262" s="16">
        <f t="shared" si="49"/>
        <v>160</v>
      </c>
      <c r="G262" s="16">
        <f t="shared" si="49"/>
        <v>193</v>
      </c>
      <c r="H262" s="16">
        <f t="shared" si="49"/>
        <v>187</v>
      </c>
      <c r="I262" s="16">
        <f t="shared" si="49"/>
        <v>189</v>
      </c>
      <c r="J262" s="16">
        <f t="shared" si="49"/>
        <v>159</v>
      </c>
      <c r="K262" s="16">
        <f t="shared" si="49"/>
        <v>198</v>
      </c>
      <c r="L262" s="16">
        <f t="shared" si="49"/>
        <v>164</v>
      </c>
      <c r="M262" s="16">
        <f t="shared" si="49"/>
        <v>168</v>
      </c>
      <c r="N262" s="16">
        <f t="shared" si="49"/>
        <v>201</v>
      </c>
      <c r="O262" s="16">
        <f t="shared" si="49"/>
        <v>211</v>
      </c>
      <c r="P262" s="13">
        <f t="shared" ref="P262:P264" si="50">SUM(E262:O262)</f>
        <v>1986</v>
      </c>
    </row>
    <row r="263" spans="1:16" ht="12.75" customHeight="1" x14ac:dyDescent="0.4">
      <c r="A263" s="22"/>
      <c r="B263" s="45" t="s">
        <v>164</v>
      </c>
      <c r="C263" s="71" t="s">
        <v>165</v>
      </c>
      <c r="D263" s="62"/>
      <c r="E263" s="16">
        <v>20</v>
      </c>
      <c r="F263" s="16">
        <v>23</v>
      </c>
      <c r="G263" s="16">
        <v>9</v>
      </c>
      <c r="H263" s="16">
        <v>18</v>
      </c>
      <c r="I263" s="16">
        <v>21</v>
      </c>
      <c r="J263" s="16">
        <v>12</v>
      </c>
      <c r="K263" s="16">
        <v>26</v>
      </c>
      <c r="L263" s="16">
        <v>9</v>
      </c>
      <c r="M263" s="16">
        <v>12</v>
      </c>
      <c r="N263" s="16">
        <v>22</v>
      </c>
      <c r="O263" s="16">
        <v>17</v>
      </c>
      <c r="P263" s="13">
        <f t="shared" si="50"/>
        <v>189</v>
      </c>
    </row>
    <row r="264" spans="1:16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O264" si="51">SUM(E262:E263)</f>
        <v>176</v>
      </c>
      <c r="F264" s="13">
        <f t="shared" si="51"/>
        <v>183</v>
      </c>
      <c r="G264" s="13">
        <f t="shared" si="51"/>
        <v>202</v>
      </c>
      <c r="H264" s="13">
        <f t="shared" si="51"/>
        <v>205</v>
      </c>
      <c r="I264" s="13">
        <f t="shared" si="51"/>
        <v>210</v>
      </c>
      <c r="J264" s="13">
        <f t="shared" si="51"/>
        <v>171</v>
      </c>
      <c r="K264" s="13">
        <f t="shared" si="51"/>
        <v>224</v>
      </c>
      <c r="L264" s="13">
        <f t="shared" si="51"/>
        <v>173</v>
      </c>
      <c r="M264" s="13">
        <f t="shared" si="51"/>
        <v>180</v>
      </c>
      <c r="N264" s="13">
        <f t="shared" si="51"/>
        <v>223</v>
      </c>
      <c r="O264" s="13">
        <f t="shared" si="51"/>
        <v>228</v>
      </c>
      <c r="P264" s="13">
        <f t="shared" si="50"/>
        <v>2175</v>
      </c>
    </row>
    <row r="265" spans="1:16" ht="12.75" customHeight="1" x14ac:dyDescent="0.4"/>
    <row r="266" spans="1:16" ht="12.75" customHeight="1" x14ac:dyDescent="0.4"/>
    <row r="267" spans="1:16" ht="12.75" customHeight="1" x14ac:dyDescent="0.4"/>
    <row r="268" spans="1:16" ht="12.75" customHeight="1" x14ac:dyDescent="0.4"/>
    <row r="269" spans="1:16" ht="12.75" customHeight="1" x14ac:dyDescent="0.4"/>
    <row r="270" spans="1:16" ht="12.75" customHeight="1" x14ac:dyDescent="0.4"/>
    <row r="271" spans="1:16" ht="12.75" customHeight="1" x14ac:dyDescent="0.4"/>
    <row r="272" spans="1:16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O12"/>
    <mergeCell ref="P12:P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3:O13">
    <cfRule type="expression" dxfId="519" priority="29">
      <formula>E30=E264</formula>
    </cfRule>
  </conditionalFormatting>
  <conditionalFormatting sqref="E14:O15">
    <cfRule type="containsBlanks" dxfId="518" priority="1">
      <formula>LEN(TRIM(E14))=0</formula>
    </cfRule>
  </conditionalFormatting>
  <conditionalFormatting sqref="E19:O20">
    <cfRule type="containsBlanks" dxfId="517" priority="2">
      <formula>LEN(TRIM(E19))=0</formula>
    </cfRule>
  </conditionalFormatting>
  <conditionalFormatting sqref="E22:O23 E25:O26 E33:O33 E35:O35 E39:O40">
    <cfRule type="containsBlanks" dxfId="516" priority="3">
      <formula>LEN(TRIM(E22))=0</formula>
    </cfRule>
  </conditionalFormatting>
  <conditionalFormatting sqref="E30:O30">
    <cfRule type="expression" dxfId="515" priority="4">
      <formula>E30&lt;&gt;E47</formula>
    </cfRule>
    <cfRule type="expression" dxfId="514" priority="5">
      <formula>E30&lt;&gt;E34</formula>
    </cfRule>
  </conditionalFormatting>
  <conditionalFormatting sqref="E34:O34">
    <cfRule type="expression" dxfId="513" priority="6">
      <formula>E30&lt;&gt;E34</formula>
    </cfRule>
    <cfRule type="expression" dxfId="512" priority="7">
      <formula>E30=E34</formula>
    </cfRule>
    <cfRule type="expression" dxfId="511" priority="8">
      <formula>E34&lt;&gt;E30</formula>
    </cfRule>
    <cfRule type="expression" dxfId="510" priority="9">
      <formula>E34&lt;&gt;E64</formula>
    </cfRule>
  </conditionalFormatting>
  <conditionalFormatting sqref="E45:O54">
    <cfRule type="containsBlanks" dxfId="509" priority="10">
      <formula>LEN(TRIM(E45))=0</formula>
    </cfRule>
  </conditionalFormatting>
  <conditionalFormatting sqref="E57:O66">
    <cfRule type="containsBlanks" dxfId="508" priority="11">
      <formula>LEN(TRIM(E57))=0</formula>
    </cfRule>
  </conditionalFormatting>
  <conditionalFormatting sqref="E69:O78">
    <cfRule type="containsBlanks" dxfId="507" priority="12">
      <formula>LEN(TRIM(E69))=0</formula>
    </cfRule>
  </conditionalFormatting>
  <conditionalFormatting sqref="E81:O90">
    <cfRule type="containsBlanks" dxfId="506" priority="13">
      <formula>LEN(TRIM(E81))=0</formula>
    </cfRule>
  </conditionalFormatting>
  <conditionalFormatting sqref="E93:O102">
    <cfRule type="containsBlanks" dxfId="505" priority="14">
      <formula>LEN(TRIM(E93))=0</formula>
    </cfRule>
  </conditionalFormatting>
  <conditionalFormatting sqref="E105:O114">
    <cfRule type="containsBlanks" dxfId="504" priority="15">
      <formula>LEN(TRIM(E105))=0</formula>
    </cfRule>
  </conditionalFormatting>
  <conditionalFormatting sqref="E117:O126">
    <cfRule type="containsBlanks" dxfId="503" priority="16">
      <formula>LEN(TRIM(E117))=0</formula>
    </cfRule>
  </conditionalFormatting>
  <conditionalFormatting sqref="E129:O138">
    <cfRule type="containsBlanks" dxfId="502" priority="17">
      <formula>LEN(TRIM(E129))=0</formula>
    </cfRule>
  </conditionalFormatting>
  <conditionalFormatting sqref="E141:O150">
    <cfRule type="containsBlanks" dxfId="501" priority="18">
      <formula>LEN(TRIM(E141))=0</formula>
    </cfRule>
  </conditionalFormatting>
  <conditionalFormatting sqref="E153:O162">
    <cfRule type="containsBlanks" dxfId="500" priority="19">
      <formula>LEN(TRIM(E153))=0</formula>
    </cfRule>
  </conditionalFormatting>
  <conditionalFormatting sqref="E165:O174">
    <cfRule type="containsBlanks" dxfId="499" priority="20">
      <formula>LEN(TRIM(E165))=0</formula>
    </cfRule>
  </conditionalFormatting>
  <conditionalFormatting sqref="E177:O186">
    <cfRule type="containsBlanks" dxfId="498" priority="21">
      <formula>LEN(TRIM(E177))=0</formula>
    </cfRule>
  </conditionalFormatting>
  <conditionalFormatting sqref="E189:O198">
    <cfRule type="containsBlanks" dxfId="497" priority="22">
      <formula>LEN(TRIM(E189))=0</formula>
    </cfRule>
  </conditionalFormatting>
  <conditionalFormatting sqref="E201:O210">
    <cfRule type="containsBlanks" dxfId="496" priority="23">
      <formula>LEN(TRIM(E201))=0</formula>
    </cfRule>
  </conditionalFormatting>
  <conditionalFormatting sqref="E213:O222">
    <cfRule type="containsBlanks" dxfId="495" priority="24">
      <formula>LEN(TRIM(E213))=0</formula>
    </cfRule>
  </conditionalFormatting>
  <conditionalFormatting sqref="E225:O234">
    <cfRule type="containsBlanks" dxfId="494" priority="25">
      <formula>LEN(TRIM(E225))=0</formula>
    </cfRule>
  </conditionalFormatting>
  <conditionalFormatting sqref="E237:O246">
    <cfRule type="containsBlanks" dxfId="493" priority="26">
      <formula>LEN(TRIM(E237))=0</formula>
    </cfRule>
  </conditionalFormatting>
  <conditionalFormatting sqref="E249:O258">
    <cfRule type="containsBlanks" dxfId="492" priority="27">
      <formula>LEN(TRIM(E249))=0</formula>
    </cfRule>
  </conditionalFormatting>
  <conditionalFormatting sqref="E262:O263">
    <cfRule type="containsBlanks" dxfId="491" priority="28">
      <formula>LEN(TRIM(E262))=0</formula>
    </cfRule>
  </conditionalFormatting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</sheetPr>
  <dimension ref="A1:M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12" width="8.7109375" customWidth="1"/>
    <col min="13" max="13" width="13.28515625" customWidth="1"/>
    <col min="14" max="26" width="8.7109375" customWidth="1"/>
  </cols>
  <sheetData>
    <row r="1" spans="1:13" ht="12.75" customHeight="1" x14ac:dyDescent="0.4"/>
    <row r="2" spans="1:13" ht="12.75" customHeight="1" x14ac:dyDescent="0.4">
      <c r="C2" s="8" t="s">
        <v>0</v>
      </c>
      <c r="D2" s="8" t="s">
        <v>1</v>
      </c>
    </row>
    <row r="3" spans="1:13" ht="12.75" customHeight="1" x14ac:dyDescent="0.4">
      <c r="C3" s="8" t="s">
        <v>2</v>
      </c>
      <c r="D3" s="8" t="s">
        <v>1</v>
      </c>
    </row>
    <row r="4" spans="1:13" ht="12.75" customHeight="1" x14ac:dyDescent="0.4">
      <c r="C4" s="8" t="s">
        <v>3</v>
      </c>
      <c r="D4" s="8" t="s">
        <v>4</v>
      </c>
    </row>
    <row r="5" spans="1:13" ht="12.75" customHeight="1" x14ac:dyDescent="0.4">
      <c r="C5" s="8"/>
      <c r="D5" s="8"/>
    </row>
    <row r="6" spans="1:13" ht="12.75" customHeight="1" x14ac:dyDescent="0.4">
      <c r="C6" s="8"/>
      <c r="D6" s="8"/>
    </row>
    <row r="7" spans="1:13" ht="12.75" customHeight="1" x14ac:dyDescent="0.4">
      <c r="C7" s="8"/>
      <c r="D7" s="8"/>
    </row>
    <row r="8" spans="1:13" ht="12.75" customHeight="1" x14ac:dyDescent="0.4">
      <c r="C8" s="8"/>
      <c r="D8" s="8"/>
    </row>
    <row r="9" spans="1:13" ht="12.75" customHeight="1" x14ac:dyDescent="0.4">
      <c r="C9" s="8" t="s">
        <v>168</v>
      </c>
      <c r="D9" s="8" t="s">
        <v>181</v>
      </c>
    </row>
    <row r="10" spans="1:13" ht="12.75" customHeight="1" x14ac:dyDescent="0.4"/>
    <row r="11" spans="1:13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</row>
    <row r="12" spans="1:13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90" t="s">
        <v>7</v>
      </c>
    </row>
    <row r="13" spans="1:13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80"/>
    </row>
    <row r="14" spans="1:13" ht="12.75" customHeight="1" x14ac:dyDescent="0.4">
      <c r="A14" s="15"/>
      <c r="B14" s="75" t="s">
        <v>10</v>
      </c>
      <c r="C14" s="66"/>
      <c r="D14" s="16" t="s">
        <v>11</v>
      </c>
      <c r="E14" s="16">
        <v>129</v>
      </c>
      <c r="F14" s="16">
        <v>143</v>
      </c>
      <c r="G14" s="16">
        <v>148</v>
      </c>
      <c r="H14" s="16">
        <v>139</v>
      </c>
      <c r="I14" s="16">
        <v>130</v>
      </c>
      <c r="J14" s="16">
        <v>128</v>
      </c>
      <c r="K14" s="16">
        <v>147</v>
      </c>
      <c r="L14" s="16">
        <v>119</v>
      </c>
      <c r="M14" s="13">
        <f t="shared" ref="M14:M16" si="0">SUM(E14:L14)</f>
        <v>1083</v>
      </c>
    </row>
    <row r="15" spans="1:13" ht="12.75" customHeight="1" x14ac:dyDescent="0.4">
      <c r="A15" s="15"/>
      <c r="B15" s="76"/>
      <c r="C15" s="77"/>
      <c r="D15" s="16" t="s">
        <v>12</v>
      </c>
      <c r="E15" s="16">
        <v>136</v>
      </c>
      <c r="F15" s="16">
        <v>151</v>
      </c>
      <c r="G15" s="16">
        <v>146</v>
      </c>
      <c r="H15" s="16">
        <v>151</v>
      </c>
      <c r="I15" s="16">
        <v>159</v>
      </c>
      <c r="J15" s="16">
        <v>136</v>
      </c>
      <c r="K15" s="16">
        <v>146</v>
      </c>
      <c r="L15" s="16">
        <v>130</v>
      </c>
      <c r="M15" s="13">
        <f t="shared" si="0"/>
        <v>1155</v>
      </c>
    </row>
    <row r="16" spans="1:13" ht="12.75" customHeight="1" x14ac:dyDescent="0.4">
      <c r="A16" s="18"/>
      <c r="B16" s="73"/>
      <c r="C16" s="69"/>
      <c r="D16" s="13" t="s">
        <v>13</v>
      </c>
      <c r="E16" s="13">
        <f t="shared" ref="E16:L16" si="1">SUM(E14:E15)</f>
        <v>265</v>
      </c>
      <c r="F16" s="13">
        <f t="shared" si="1"/>
        <v>294</v>
      </c>
      <c r="G16" s="13">
        <f t="shared" si="1"/>
        <v>294</v>
      </c>
      <c r="H16" s="13">
        <f t="shared" si="1"/>
        <v>290</v>
      </c>
      <c r="I16" s="13">
        <f t="shared" si="1"/>
        <v>289</v>
      </c>
      <c r="J16" s="13">
        <f t="shared" si="1"/>
        <v>264</v>
      </c>
      <c r="K16" s="13">
        <f t="shared" si="1"/>
        <v>293</v>
      </c>
      <c r="L16" s="13">
        <f t="shared" si="1"/>
        <v>249</v>
      </c>
      <c r="M16" s="13">
        <f t="shared" si="0"/>
        <v>2238</v>
      </c>
    </row>
    <row r="17" spans="1:13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49"/>
    </row>
    <row r="18" spans="1:13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49"/>
    </row>
    <row r="19" spans="1:13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85</v>
      </c>
      <c r="F19" s="16">
        <v>103</v>
      </c>
      <c r="G19" s="16">
        <v>108</v>
      </c>
      <c r="H19" s="16">
        <v>113</v>
      </c>
      <c r="I19" s="16">
        <v>100</v>
      </c>
      <c r="J19" s="16">
        <v>85</v>
      </c>
      <c r="K19" s="16">
        <v>98</v>
      </c>
      <c r="L19" s="16">
        <v>83</v>
      </c>
      <c r="M19" s="13">
        <f t="shared" ref="M19:M30" si="2">SUM(E19:L19)</f>
        <v>775</v>
      </c>
    </row>
    <row r="20" spans="1:13" ht="12.75" customHeight="1" x14ac:dyDescent="0.4">
      <c r="A20" s="21"/>
      <c r="B20" s="77"/>
      <c r="C20" s="79"/>
      <c r="D20" s="16" t="s">
        <v>12</v>
      </c>
      <c r="E20" s="16">
        <v>94</v>
      </c>
      <c r="F20" s="16">
        <v>122</v>
      </c>
      <c r="G20" s="16">
        <v>120</v>
      </c>
      <c r="H20" s="16">
        <v>126</v>
      </c>
      <c r="I20" s="16">
        <v>137</v>
      </c>
      <c r="J20" s="16">
        <v>102</v>
      </c>
      <c r="K20" s="16">
        <v>108</v>
      </c>
      <c r="L20" s="16">
        <v>105</v>
      </c>
      <c r="M20" s="13">
        <f t="shared" si="2"/>
        <v>914</v>
      </c>
    </row>
    <row r="21" spans="1:13" ht="12.75" customHeight="1" x14ac:dyDescent="0.4">
      <c r="A21" s="22"/>
      <c r="B21" s="69"/>
      <c r="C21" s="80"/>
      <c r="D21" s="13" t="s">
        <v>13</v>
      </c>
      <c r="E21" s="13">
        <f t="shared" ref="E21:L21" si="3">SUM(E19:E20)</f>
        <v>179</v>
      </c>
      <c r="F21" s="13">
        <f t="shared" si="3"/>
        <v>225</v>
      </c>
      <c r="G21" s="13">
        <f t="shared" si="3"/>
        <v>228</v>
      </c>
      <c r="H21" s="13">
        <f t="shared" si="3"/>
        <v>239</v>
      </c>
      <c r="I21" s="13">
        <f t="shared" si="3"/>
        <v>237</v>
      </c>
      <c r="J21" s="13">
        <f t="shared" si="3"/>
        <v>187</v>
      </c>
      <c r="K21" s="13">
        <f t="shared" si="3"/>
        <v>206</v>
      </c>
      <c r="L21" s="13">
        <f t="shared" si="3"/>
        <v>188</v>
      </c>
      <c r="M21" s="13">
        <f t="shared" si="2"/>
        <v>1689</v>
      </c>
    </row>
    <row r="22" spans="1:13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1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3">
        <f t="shared" si="2"/>
        <v>1</v>
      </c>
    </row>
    <row r="23" spans="1:13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3">
        <f t="shared" si="2"/>
        <v>0</v>
      </c>
    </row>
    <row r="24" spans="1:13" ht="12.75" customHeight="1" x14ac:dyDescent="0.4">
      <c r="A24" s="22"/>
      <c r="B24" s="69"/>
      <c r="C24" s="80"/>
      <c r="D24" s="13" t="s">
        <v>13</v>
      </c>
      <c r="E24" s="13">
        <f t="shared" ref="E24:L24" si="4">SUM(E22:E23)</f>
        <v>0</v>
      </c>
      <c r="F24" s="13">
        <f t="shared" si="4"/>
        <v>1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2"/>
        <v>1</v>
      </c>
    </row>
    <row r="25" spans="1:13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0</v>
      </c>
      <c r="F25" s="16">
        <v>0</v>
      </c>
      <c r="G25" s="16">
        <v>0</v>
      </c>
      <c r="H25" s="16">
        <v>2</v>
      </c>
      <c r="I25" s="16">
        <v>0</v>
      </c>
      <c r="J25" s="16">
        <v>0</v>
      </c>
      <c r="K25" s="16">
        <v>2</v>
      </c>
      <c r="L25" s="16">
        <v>0</v>
      </c>
      <c r="M25" s="13">
        <f t="shared" si="2"/>
        <v>4</v>
      </c>
    </row>
    <row r="26" spans="1:13" ht="12.75" customHeight="1" x14ac:dyDescent="0.4">
      <c r="A26" s="21"/>
      <c r="B26" s="77"/>
      <c r="C26" s="79"/>
      <c r="D26" s="16" t="s">
        <v>12</v>
      </c>
      <c r="E26" s="16">
        <v>1</v>
      </c>
      <c r="F26" s="16">
        <v>4</v>
      </c>
      <c r="G26" s="16">
        <v>0</v>
      </c>
      <c r="H26" s="16">
        <v>1</v>
      </c>
      <c r="I26" s="16">
        <v>2</v>
      </c>
      <c r="J26" s="16">
        <v>1</v>
      </c>
      <c r="K26" s="16">
        <v>1</v>
      </c>
      <c r="L26" s="16">
        <v>2</v>
      </c>
      <c r="M26" s="13">
        <f t="shared" si="2"/>
        <v>12</v>
      </c>
    </row>
    <row r="27" spans="1:13" ht="12.75" customHeight="1" x14ac:dyDescent="0.4">
      <c r="A27" s="22"/>
      <c r="B27" s="69"/>
      <c r="C27" s="80"/>
      <c r="D27" s="13" t="s">
        <v>13</v>
      </c>
      <c r="E27" s="13">
        <f t="shared" ref="E27:L27" si="5">SUM(E25:E26)</f>
        <v>1</v>
      </c>
      <c r="F27" s="13">
        <f t="shared" si="5"/>
        <v>4</v>
      </c>
      <c r="G27" s="13">
        <f t="shared" si="5"/>
        <v>0</v>
      </c>
      <c r="H27" s="13">
        <f t="shared" si="5"/>
        <v>3</v>
      </c>
      <c r="I27" s="13">
        <f t="shared" si="5"/>
        <v>2</v>
      </c>
      <c r="J27" s="13">
        <f t="shared" si="5"/>
        <v>1</v>
      </c>
      <c r="K27" s="13">
        <f t="shared" si="5"/>
        <v>3</v>
      </c>
      <c r="L27" s="13">
        <f t="shared" si="5"/>
        <v>2</v>
      </c>
      <c r="M27" s="13">
        <f t="shared" si="2"/>
        <v>16</v>
      </c>
    </row>
    <row r="28" spans="1:13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L28" si="6">SUM(E19,E22,E25)</f>
        <v>85</v>
      </c>
      <c r="F28" s="13">
        <f t="shared" si="6"/>
        <v>104</v>
      </c>
      <c r="G28" s="13">
        <f t="shared" si="6"/>
        <v>108</v>
      </c>
      <c r="H28" s="13">
        <f t="shared" si="6"/>
        <v>115</v>
      </c>
      <c r="I28" s="13">
        <f t="shared" si="6"/>
        <v>100</v>
      </c>
      <c r="J28" s="13">
        <f t="shared" si="6"/>
        <v>85</v>
      </c>
      <c r="K28" s="13">
        <f t="shared" si="6"/>
        <v>100</v>
      </c>
      <c r="L28" s="13">
        <f t="shared" si="6"/>
        <v>83</v>
      </c>
      <c r="M28" s="13">
        <f t="shared" si="2"/>
        <v>780</v>
      </c>
    </row>
    <row r="29" spans="1:13" ht="12.75" customHeight="1" x14ac:dyDescent="0.4">
      <c r="A29" s="22"/>
      <c r="B29" s="77"/>
      <c r="C29" s="79"/>
      <c r="D29" s="13" t="s">
        <v>12</v>
      </c>
      <c r="E29" s="13">
        <f t="shared" ref="E29:L29" si="7">SUM(E20,E23,E26)</f>
        <v>95</v>
      </c>
      <c r="F29" s="13">
        <f t="shared" si="7"/>
        <v>126</v>
      </c>
      <c r="G29" s="13">
        <f t="shared" si="7"/>
        <v>120</v>
      </c>
      <c r="H29" s="13">
        <f t="shared" si="7"/>
        <v>127</v>
      </c>
      <c r="I29" s="13">
        <f t="shared" si="7"/>
        <v>139</v>
      </c>
      <c r="J29" s="13">
        <f t="shared" si="7"/>
        <v>103</v>
      </c>
      <c r="K29" s="13">
        <f t="shared" si="7"/>
        <v>109</v>
      </c>
      <c r="L29" s="13">
        <f t="shared" si="7"/>
        <v>107</v>
      </c>
      <c r="M29" s="13">
        <f t="shared" si="2"/>
        <v>926</v>
      </c>
    </row>
    <row r="30" spans="1:13" ht="12.75" customHeight="1" x14ac:dyDescent="0.4">
      <c r="A30" s="22"/>
      <c r="B30" s="69"/>
      <c r="C30" s="80"/>
      <c r="D30" s="13" t="s">
        <v>13</v>
      </c>
      <c r="E30" s="13">
        <f t="shared" ref="E30:L30" si="8">SUM(E28:E29)</f>
        <v>180</v>
      </c>
      <c r="F30" s="13">
        <f t="shared" si="8"/>
        <v>230</v>
      </c>
      <c r="G30" s="13">
        <f t="shared" si="8"/>
        <v>228</v>
      </c>
      <c r="H30" s="13">
        <f t="shared" si="8"/>
        <v>242</v>
      </c>
      <c r="I30" s="13">
        <f t="shared" si="8"/>
        <v>239</v>
      </c>
      <c r="J30" s="13">
        <f t="shared" si="8"/>
        <v>188</v>
      </c>
      <c r="K30" s="13">
        <f t="shared" si="8"/>
        <v>209</v>
      </c>
      <c r="L30" s="13">
        <f t="shared" si="8"/>
        <v>190</v>
      </c>
      <c r="M30" s="13">
        <f t="shared" si="2"/>
        <v>1706</v>
      </c>
    </row>
    <row r="31" spans="1:13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49"/>
    </row>
    <row r="32" spans="1:13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49"/>
    </row>
    <row r="33" spans="1:13" ht="12.75" customHeight="1" x14ac:dyDescent="0.4">
      <c r="A33" s="16">
        <v>1</v>
      </c>
      <c r="B33" s="74" t="s">
        <v>26</v>
      </c>
      <c r="C33" s="61"/>
      <c r="D33" s="62"/>
      <c r="E33" s="16">
        <v>271</v>
      </c>
      <c r="F33" s="16">
        <v>290</v>
      </c>
      <c r="G33" s="16">
        <v>300</v>
      </c>
      <c r="H33" s="16">
        <v>296</v>
      </c>
      <c r="I33" s="16">
        <v>295</v>
      </c>
      <c r="J33" s="16">
        <v>270</v>
      </c>
      <c r="K33" s="16">
        <v>299</v>
      </c>
      <c r="L33" s="16">
        <v>254</v>
      </c>
      <c r="M33" s="13">
        <f t="shared" ref="M33:M36" si="9">SUM(E33:L33)</f>
        <v>2275</v>
      </c>
    </row>
    <row r="34" spans="1:13" ht="12.75" customHeight="1" x14ac:dyDescent="0.4">
      <c r="A34" s="16">
        <v>2</v>
      </c>
      <c r="B34" s="74" t="s">
        <v>27</v>
      </c>
      <c r="C34" s="61"/>
      <c r="D34" s="62"/>
      <c r="E34" s="13">
        <v>180</v>
      </c>
      <c r="F34" s="13">
        <v>230</v>
      </c>
      <c r="G34" s="13">
        <v>228</v>
      </c>
      <c r="H34" s="13">
        <v>242</v>
      </c>
      <c r="I34" s="13">
        <v>239</v>
      </c>
      <c r="J34" s="13">
        <v>188</v>
      </c>
      <c r="K34" s="13">
        <v>209</v>
      </c>
      <c r="L34" s="13">
        <v>190</v>
      </c>
      <c r="M34" s="13">
        <f t="shared" si="9"/>
        <v>1706</v>
      </c>
    </row>
    <row r="35" spans="1:13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0</v>
      </c>
      <c r="G35" s="16">
        <v>0</v>
      </c>
      <c r="H35" s="16">
        <v>2</v>
      </c>
      <c r="I35" s="16">
        <v>0</v>
      </c>
      <c r="J35" s="16">
        <v>0</v>
      </c>
      <c r="K35" s="16">
        <v>1</v>
      </c>
      <c r="L35" s="16">
        <v>0</v>
      </c>
      <c r="M35" s="13">
        <f t="shared" si="9"/>
        <v>3</v>
      </c>
    </row>
    <row r="36" spans="1:13" ht="12.75" customHeight="1" x14ac:dyDescent="0.4">
      <c r="A36" s="16">
        <v>4</v>
      </c>
      <c r="B36" s="74" t="s">
        <v>29</v>
      </c>
      <c r="C36" s="61"/>
      <c r="D36" s="62"/>
      <c r="E36" s="13">
        <f t="shared" ref="E36:L36" si="10">E33-(E34+E35)</f>
        <v>91</v>
      </c>
      <c r="F36" s="13">
        <f t="shared" si="10"/>
        <v>60</v>
      </c>
      <c r="G36" s="13">
        <f t="shared" si="10"/>
        <v>72</v>
      </c>
      <c r="H36" s="13">
        <f t="shared" si="10"/>
        <v>52</v>
      </c>
      <c r="I36" s="13">
        <f t="shared" si="10"/>
        <v>56</v>
      </c>
      <c r="J36" s="13">
        <f t="shared" si="10"/>
        <v>82</v>
      </c>
      <c r="K36" s="13">
        <f t="shared" si="10"/>
        <v>89</v>
      </c>
      <c r="L36" s="13">
        <f t="shared" si="10"/>
        <v>64</v>
      </c>
      <c r="M36" s="13">
        <f t="shared" si="9"/>
        <v>566</v>
      </c>
    </row>
    <row r="37" spans="1:13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49"/>
    </row>
    <row r="38" spans="1:13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49"/>
    </row>
    <row r="39" spans="1:13" ht="12.75" customHeight="1" x14ac:dyDescent="0.4">
      <c r="A39" s="20"/>
      <c r="B39" s="84" t="s">
        <v>32</v>
      </c>
      <c r="C39" s="66"/>
      <c r="D39" s="16" t="s">
        <v>11</v>
      </c>
      <c r="E39" s="16">
        <v>1</v>
      </c>
      <c r="F39" s="16">
        <v>0</v>
      </c>
      <c r="G39" s="16">
        <v>1</v>
      </c>
      <c r="H39" s="16">
        <v>1</v>
      </c>
      <c r="I39" s="16">
        <v>1</v>
      </c>
      <c r="J39" s="16">
        <v>0</v>
      </c>
      <c r="K39" s="16">
        <v>3</v>
      </c>
      <c r="L39" s="16">
        <v>1</v>
      </c>
      <c r="M39" s="13">
        <f t="shared" ref="M39:M41" si="11">SUM(E39:L39)</f>
        <v>8</v>
      </c>
    </row>
    <row r="40" spans="1:13" ht="12.75" customHeight="1" x14ac:dyDescent="0.4">
      <c r="A40" s="21"/>
      <c r="B40" s="85"/>
      <c r="C40" s="77"/>
      <c r="D40" s="16" t="s">
        <v>12</v>
      </c>
      <c r="E40" s="16">
        <v>2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1</v>
      </c>
      <c r="L40" s="16">
        <v>0</v>
      </c>
      <c r="M40" s="13">
        <f t="shared" si="11"/>
        <v>3</v>
      </c>
    </row>
    <row r="41" spans="1:13" ht="12.75" customHeight="1" x14ac:dyDescent="0.4">
      <c r="A41" s="25"/>
      <c r="B41" s="68"/>
      <c r="C41" s="69"/>
      <c r="D41" s="13" t="s">
        <v>13</v>
      </c>
      <c r="E41" s="13">
        <f t="shared" ref="E41:L41" si="12">SUM(E39:E40)</f>
        <v>3</v>
      </c>
      <c r="F41" s="13">
        <f t="shared" si="12"/>
        <v>0</v>
      </c>
      <c r="G41" s="13">
        <f t="shared" si="12"/>
        <v>1</v>
      </c>
      <c r="H41" s="13">
        <f t="shared" si="12"/>
        <v>1</v>
      </c>
      <c r="I41" s="13">
        <f t="shared" si="12"/>
        <v>1</v>
      </c>
      <c r="J41" s="13">
        <f t="shared" si="12"/>
        <v>0</v>
      </c>
      <c r="K41" s="13">
        <f t="shared" si="12"/>
        <v>4</v>
      </c>
      <c r="L41" s="13">
        <f t="shared" si="12"/>
        <v>1</v>
      </c>
      <c r="M41" s="13">
        <f t="shared" si="11"/>
        <v>11</v>
      </c>
    </row>
    <row r="42" spans="1:13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3"/>
    </row>
    <row r="43" spans="1:13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</row>
    <row r="44" spans="1:13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3"/>
    </row>
    <row r="45" spans="1:13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9</v>
      </c>
      <c r="F45" s="16">
        <v>5</v>
      </c>
      <c r="G45" s="16">
        <v>1</v>
      </c>
      <c r="H45" s="16">
        <v>2</v>
      </c>
      <c r="I45" s="16">
        <v>1</v>
      </c>
      <c r="J45" s="16">
        <v>0</v>
      </c>
      <c r="K45" s="16">
        <v>8</v>
      </c>
      <c r="L45" s="16">
        <v>4</v>
      </c>
      <c r="M45" s="13">
        <f t="shared" ref="M45:M54" si="13">SUM(E45:L45)</f>
        <v>30</v>
      </c>
    </row>
    <row r="46" spans="1:13" ht="12.75" customHeight="1" x14ac:dyDescent="0.4">
      <c r="A46" s="20" t="s">
        <v>38</v>
      </c>
      <c r="B46" s="28"/>
      <c r="C46" s="29" t="s">
        <v>39</v>
      </c>
      <c r="D46" s="30"/>
      <c r="E46" s="16">
        <v>16</v>
      </c>
      <c r="F46" s="16">
        <v>6</v>
      </c>
      <c r="G46" s="16">
        <v>9</v>
      </c>
      <c r="H46" s="16">
        <v>11</v>
      </c>
      <c r="I46" s="16">
        <v>17</v>
      </c>
      <c r="J46" s="16">
        <v>0</v>
      </c>
      <c r="K46" s="16">
        <v>3</v>
      </c>
      <c r="L46" s="16">
        <v>2</v>
      </c>
      <c r="M46" s="13">
        <f t="shared" si="13"/>
        <v>64</v>
      </c>
    </row>
    <row r="47" spans="1:13" ht="12.75" customHeight="1" x14ac:dyDescent="0.4">
      <c r="A47" s="15"/>
      <c r="B47" s="28"/>
      <c r="C47" s="29" t="s">
        <v>40</v>
      </c>
      <c r="D47" s="30"/>
      <c r="E47" s="16">
        <v>4</v>
      </c>
      <c r="F47" s="16">
        <v>0</v>
      </c>
      <c r="G47" s="16">
        <v>5</v>
      </c>
      <c r="H47" s="16">
        <v>8</v>
      </c>
      <c r="I47" s="16">
        <v>1</v>
      </c>
      <c r="J47" s="16">
        <v>0</v>
      </c>
      <c r="K47" s="16">
        <v>5</v>
      </c>
      <c r="L47" s="16">
        <v>2</v>
      </c>
      <c r="M47" s="13">
        <f t="shared" si="13"/>
        <v>25</v>
      </c>
    </row>
    <row r="48" spans="1:13" ht="12.75" customHeight="1" x14ac:dyDescent="0.4">
      <c r="A48" s="15"/>
      <c r="B48" s="28"/>
      <c r="C48" s="29" t="s">
        <v>41</v>
      </c>
      <c r="D48" s="30"/>
      <c r="E48" s="16">
        <v>1</v>
      </c>
      <c r="F48" s="16">
        <v>0</v>
      </c>
      <c r="G48" s="16">
        <v>0</v>
      </c>
      <c r="H48" s="16">
        <v>0</v>
      </c>
      <c r="I48" s="16">
        <v>1</v>
      </c>
      <c r="J48" s="16">
        <v>0</v>
      </c>
      <c r="K48" s="16">
        <v>0</v>
      </c>
      <c r="L48" s="16">
        <v>0</v>
      </c>
      <c r="M48" s="13">
        <f t="shared" si="13"/>
        <v>2</v>
      </c>
    </row>
    <row r="49" spans="1:13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0</v>
      </c>
      <c r="H49" s="16">
        <v>0</v>
      </c>
      <c r="I49" s="16">
        <v>1</v>
      </c>
      <c r="J49" s="16">
        <v>0</v>
      </c>
      <c r="K49" s="16">
        <v>0</v>
      </c>
      <c r="L49" s="16">
        <v>0</v>
      </c>
      <c r="M49" s="13">
        <f t="shared" si="13"/>
        <v>1</v>
      </c>
    </row>
    <row r="50" spans="1:13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3">
        <f t="shared" si="13"/>
        <v>0</v>
      </c>
    </row>
    <row r="51" spans="1:13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1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3">
        <f t="shared" si="13"/>
        <v>1</v>
      </c>
    </row>
    <row r="52" spans="1:13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13">
        <f t="shared" si="13"/>
        <v>0</v>
      </c>
    </row>
    <row r="53" spans="1:13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13">
        <f t="shared" si="13"/>
        <v>0</v>
      </c>
    </row>
    <row r="54" spans="1:13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13">
        <f t="shared" si="13"/>
        <v>0</v>
      </c>
    </row>
    <row r="55" spans="1:13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M55" si="14">SUM(E45:E54)</f>
        <v>30</v>
      </c>
      <c r="F55" s="13">
        <f t="shared" si="14"/>
        <v>11</v>
      </c>
      <c r="G55" s="13">
        <f t="shared" si="14"/>
        <v>16</v>
      </c>
      <c r="H55" s="13">
        <f t="shared" si="14"/>
        <v>21</v>
      </c>
      <c r="I55" s="13">
        <f t="shared" si="14"/>
        <v>21</v>
      </c>
      <c r="J55" s="13">
        <f t="shared" si="14"/>
        <v>0</v>
      </c>
      <c r="K55" s="13">
        <f t="shared" si="14"/>
        <v>16</v>
      </c>
      <c r="L55" s="13">
        <f t="shared" si="14"/>
        <v>8</v>
      </c>
      <c r="M55" s="13">
        <f t="shared" si="14"/>
        <v>123</v>
      </c>
    </row>
    <row r="56" spans="1:13" ht="12.75" customHeight="1" x14ac:dyDescent="0.4">
      <c r="A56" s="86"/>
      <c r="B56" s="68"/>
      <c r="C56" s="68"/>
      <c r="D56" s="68"/>
      <c r="E56" s="68"/>
      <c r="M56" s="13"/>
    </row>
    <row r="57" spans="1:13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11</v>
      </c>
      <c r="F57" s="16">
        <v>11</v>
      </c>
      <c r="G57" s="16">
        <v>4</v>
      </c>
      <c r="H57" s="16">
        <v>6</v>
      </c>
      <c r="I57" s="16">
        <v>2</v>
      </c>
      <c r="J57" s="16">
        <v>3</v>
      </c>
      <c r="K57" s="16">
        <v>1</v>
      </c>
      <c r="L57" s="16">
        <v>7</v>
      </c>
      <c r="M57" s="13">
        <f t="shared" ref="M57:M66" si="15">SUM(E57:L57)</f>
        <v>45</v>
      </c>
    </row>
    <row r="58" spans="1:13" ht="12.75" customHeight="1" x14ac:dyDescent="0.4">
      <c r="A58" s="20" t="s">
        <v>38</v>
      </c>
      <c r="B58" s="28"/>
      <c r="C58" s="29" t="s">
        <v>47</v>
      </c>
      <c r="D58" s="30"/>
      <c r="E58" s="16">
        <v>6</v>
      </c>
      <c r="F58" s="16">
        <v>7</v>
      </c>
      <c r="G58" s="16">
        <v>2</v>
      </c>
      <c r="H58" s="16">
        <v>4</v>
      </c>
      <c r="I58" s="16">
        <v>3</v>
      </c>
      <c r="J58" s="16">
        <v>3</v>
      </c>
      <c r="K58" s="16">
        <v>1</v>
      </c>
      <c r="L58" s="16">
        <v>12</v>
      </c>
      <c r="M58" s="13">
        <f t="shared" si="15"/>
        <v>38</v>
      </c>
    </row>
    <row r="59" spans="1:13" ht="12.75" customHeight="1" x14ac:dyDescent="0.4">
      <c r="A59" s="15"/>
      <c r="B59" s="28"/>
      <c r="C59" s="29" t="s">
        <v>48</v>
      </c>
      <c r="D59" s="30"/>
      <c r="E59" s="16">
        <v>1</v>
      </c>
      <c r="F59" s="16">
        <v>2</v>
      </c>
      <c r="G59" s="16">
        <v>0</v>
      </c>
      <c r="H59" s="16">
        <v>0</v>
      </c>
      <c r="I59" s="16">
        <v>2</v>
      </c>
      <c r="J59" s="16">
        <v>0</v>
      </c>
      <c r="K59" s="16">
        <v>0</v>
      </c>
      <c r="L59" s="16">
        <v>1</v>
      </c>
      <c r="M59" s="13">
        <f t="shared" si="15"/>
        <v>6</v>
      </c>
    </row>
    <row r="60" spans="1:13" ht="12.75" customHeight="1" x14ac:dyDescent="0.4">
      <c r="A60" s="15"/>
      <c r="B60" s="28"/>
      <c r="C60" s="29" t="s">
        <v>49</v>
      </c>
      <c r="D60" s="30"/>
      <c r="E60" s="16">
        <v>2</v>
      </c>
      <c r="F60" s="16">
        <v>4</v>
      </c>
      <c r="G60" s="16">
        <v>1</v>
      </c>
      <c r="H60" s="16">
        <v>1</v>
      </c>
      <c r="I60" s="16">
        <v>2</v>
      </c>
      <c r="J60" s="16">
        <v>1</v>
      </c>
      <c r="K60" s="16">
        <v>0</v>
      </c>
      <c r="L60" s="16">
        <v>0</v>
      </c>
      <c r="M60" s="13">
        <f t="shared" si="15"/>
        <v>11</v>
      </c>
    </row>
    <row r="61" spans="1:13" ht="12.75" customHeight="1" x14ac:dyDescent="0.4">
      <c r="A61" s="15"/>
      <c r="B61" s="28"/>
      <c r="C61" s="29" t="s">
        <v>50</v>
      </c>
      <c r="D61" s="30"/>
      <c r="E61" s="16">
        <v>0</v>
      </c>
      <c r="F61" s="16">
        <v>0</v>
      </c>
      <c r="G61" s="16">
        <v>1</v>
      </c>
      <c r="H61" s="16">
        <v>0</v>
      </c>
      <c r="I61" s="16">
        <v>0</v>
      </c>
      <c r="J61" s="16">
        <v>1</v>
      </c>
      <c r="K61" s="16">
        <v>0</v>
      </c>
      <c r="L61" s="16">
        <v>0</v>
      </c>
      <c r="M61" s="13">
        <f t="shared" si="15"/>
        <v>2</v>
      </c>
    </row>
    <row r="62" spans="1:13" ht="12.75" customHeight="1" x14ac:dyDescent="0.4">
      <c r="A62" s="15"/>
      <c r="B62" s="28"/>
      <c r="C62" s="29" t="s">
        <v>51</v>
      </c>
      <c r="D62" s="30"/>
      <c r="E62" s="16">
        <v>1</v>
      </c>
      <c r="F62" s="16">
        <v>4</v>
      </c>
      <c r="G62" s="16">
        <v>1</v>
      </c>
      <c r="H62" s="16">
        <v>0</v>
      </c>
      <c r="I62" s="16">
        <v>0</v>
      </c>
      <c r="J62" s="16">
        <v>0</v>
      </c>
      <c r="K62" s="16">
        <v>0</v>
      </c>
      <c r="L62" s="16">
        <v>1</v>
      </c>
      <c r="M62" s="13">
        <f t="shared" si="15"/>
        <v>7</v>
      </c>
    </row>
    <row r="63" spans="1:13" ht="12.75" customHeight="1" x14ac:dyDescent="0.4">
      <c r="A63" s="15"/>
      <c r="B63" s="28"/>
      <c r="C63" s="29" t="s">
        <v>52</v>
      </c>
      <c r="D63" s="30"/>
      <c r="E63" s="16">
        <v>1</v>
      </c>
      <c r="F63" s="16">
        <v>2</v>
      </c>
      <c r="G63" s="16">
        <v>1</v>
      </c>
      <c r="H63" s="16">
        <v>0</v>
      </c>
      <c r="I63" s="16">
        <v>0</v>
      </c>
      <c r="J63" s="16">
        <v>0</v>
      </c>
      <c r="K63" s="16">
        <v>1</v>
      </c>
      <c r="L63" s="16">
        <v>1</v>
      </c>
      <c r="M63" s="13">
        <f t="shared" si="15"/>
        <v>6</v>
      </c>
    </row>
    <row r="64" spans="1:13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13">
        <f t="shared" si="15"/>
        <v>0</v>
      </c>
    </row>
    <row r="65" spans="1:13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13">
        <f t="shared" si="15"/>
        <v>0</v>
      </c>
    </row>
    <row r="66" spans="1:13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13">
        <f t="shared" si="15"/>
        <v>0</v>
      </c>
    </row>
    <row r="67" spans="1:13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M67" si="16">SUM(E57:E66)</f>
        <v>22</v>
      </c>
      <c r="F67" s="13">
        <f t="shared" si="16"/>
        <v>30</v>
      </c>
      <c r="G67" s="13">
        <f t="shared" si="16"/>
        <v>10</v>
      </c>
      <c r="H67" s="13">
        <f t="shared" si="16"/>
        <v>11</v>
      </c>
      <c r="I67" s="13">
        <f t="shared" si="16"/>
        <v>9</v>
      </c>
      <c r="J67" s="13">
        <f t="shared" si="16"/>
        <v>8</v>
      </c>
      <c r="K67" s="13">
        <f t="shared" si="16"/>
        <v>3</v>
      </c>
      <c r="L67" s="13">
        <f t="shared" si="16"/>
        <v>22</v>
      </c>
      <c r="M67" s="13">
        <f t="shared" si="16"/>
        <v>115</v>
      </c>
    </row>
    <row r="68" spans="1:13" ht="12.75" customHeight="1" x14ac:dyDescent="0.4">
      <c r="A68" s="86"/>
      <c r="B68" s="68"/>
      <c r="C68" s="68"/>
      <c r="D68" s="68"/>
      <c r="E68" s="68"/>
    </row>
    <row r="69" spans="1:13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12</v>
      </c>
      <c r="F69" s="16">
        <v>12</v>
      </c>
      <c r="G69" s="16">
        <v>6</v>
      </c>
      <c r="H69" s="16">
        <v>6</v>
      </c>
      <c r="I69" s="16">
        <v>6</v>
      </c>
      <c r="J69" s="16">
        <v>11</v>
      </c>
      <c r="K69" s="16">
        <v>12</v>
      </c>
      <c r="L69" s="16">
        <v>7</v>
      </c>
      <c r="M69" s="13">
        <f t="shared" ref="M69:M78" si="17">SUM(E69:L69)</f>
        <v>72</v>
      </c>
    </row>
    <row r="70" spans="1:13" ht="12.75" customHeight="1" x14ac:dyDescent="0.4">
      <c r="A70" s="20" t="s">
        <v>38</v>
      </c>
      <c r="B70" s="28"/>
      <c r="C70" s="29" t="s">
        <v>54</v>
      </c>
      <c r="D70" s="30"/>
      <c r="E70" s="16">
        <v>5</v>
      </c>
      <c r="F70" s="16">
        <v>3</v>
      </c>
      <c r="G70" s="16">
        <v>3</v>
      </c>
      <c r="H70" s="16">
        <v>5</v>
      </c>
      <c r="I70" s="16">
        <v>6</v>
      </c>
      <c r="J70" s="16">
        <v>14</v>
      </c>
      <c r="K70" s="16">
        <v>11</v>
      </c>
      <c r="L70" s="16">
        <v>0</v>
      </c>
      <c r="M70" s="13">
        <f t="shared" si="17"/>
        <v>47</v>
      </c>
    </row>
    <row r="71" spans="1:13" ht="12.75" customHeight="1" x14ac:dyDescent="0.4">
      <c r="A71" s="15"/>
      <c r="B71" s="28"/>
      <c r="C71" s="29" t="s">
        <v>55</v>
      </c>
      <c r="D71" s="30"/>
      <c r="E71" s="16">
        <v>5</v>
      </c>
      <c r="F71" s="16">
        <v>9</v>
      </c>
      <c r="G71" s="16">
        <v>4</v>
      </c>
      <c r="H71" s="16">
        <v>3</v>
      </c>
      <c r="I71" s="16">
        <v>2</v>
      </c>
      <c r="J71" s="16">
        <v>3</v>
      </c>
      <c r="K71" s="16">
        <v>6</v>
      </c>
      <c r="L71" s="16">
        <v>10</v>
      </c>
      <c r="M71" s="13">
        <f t="shared" si="17"/>
        <v>42</v>
      </c>
    </row>
    <row r="72" spans="1:13" ht="12.75" customHeight="1" x14ac:dyDescent="0.4">
      <c r="A72" s="15"/>
      <c r="B72" s="28"/>
      <c r="C72" s="29" t="s">
        <v>56</v>
      </c>
      <c r="D72" s="30"/>
      <c r="E72" s="16">
        <v>6</v>
      </c>
      <c r="F72" s="16">
        <v>19</v>
      </c>
      <c r="G72" s="16">
        <v>10</v>
      </c>
      <c r="H72" s="16">
        <v>28</v>
      </c>
      <c r="I72" s="16">
        <v>21</v>
      </c>
      <c r="J72" s="16">
        <v>42</v>
      </c>
      <c r="K72" s="16">
        <v>25</v>
      </c>
      <c r="L72" s="16">
        <v>41</v>
      </c>
      <c r="M72" s="13">
        <f t="shared" si="17"/>
        <v>192</v>
      </c>
    </row>
    <row r="73" spans="1:13" ht="12.75" customHeight="1" x14ac:dyDescent="0.4">
      <c r="A73" s="15"/>
      <c r="B73" s="28"/>
      <c r="C73" s="29" t="s">
        <v>57</v>
      </c>
      <c r="D73" s="30"/>
      <c r="E73" s="16">
        <v>0</v>
      </c>
      <c r="F73" s="16">
        <v>1</v>
      </c>
      <c r="G73" s="16">
        <v>1</v>
      </c>
      <c r="H73" s="16">
        <v>0</v>
      </c>
      <c r="I73" s="16">
        <v>0</v>
      </c>
      <c r="J73" s="16">
        <v>0</v>
      </c>
      <c r="K73" s="16">
        <v>3</v>
      </c>
      <c r="L73" s="16">
        <v>2</v>
      </c>
      <c r="M73" s="13">
        <f t="shared" si="17"/>
        <v>7</v>
      </c>
    </row>
    <row r="74" spans="1:13" ht="12.75" customHeight="1" x14ac:dyDescent="0.4">
      <c r="A74" s="15"/>
      <c r="B74" s="28"/>
      <c r="C74" s="29" t="s">
        <v>58</v>
      </c>
      <c r="D74" s="30"/>
      <c r="E74" s="16">
        <v>2</v>
      </c>
      <c r="F74" s="16">
        <v>1</v>
      </c>
      <c r="G74" s="16">
        <v>2</v>
      </c>
      <c r="H74" s="16">
        <v>2</v>
      </c>
      <c r="I74" s="16">
        <v>5</v>
      </c>
      <c r="J74" s="16">
        <v>4</v>
      </c>
      <c r="K74" s="16">
        <v>4</v>
      </c>
      <c r="L74" s="16">
        <v>0</v>
      </c>
      <c r="M74" s="13">
        <f t="shared" si="17"/>
        <v>20</v>
      </c>
    </row>
    <row r="75" spans="1:13" ht="12.75" customHeight="1" x14ac:dyDescent="0.4">
      <c r="A75" s="15"/>
      <c r="B75" s="28"/>
      <c r="C75" s="29" t="s">
        <v>59</v>
      </c>
      <c r="D75" s="30"/>
      <c r="E75" s="16">
        <v>0</v>
      </c>
      <c r="F75" s="16">
        <v>0</v>
      </c>
      <c r="G75" s="16">
        <v>0</v>
      </c>
      <c r="H75" s="16">
        <v>1</v>
      </c>
      <c r="I75" s="16">
        <v>3</v>
      </c>
      <c r="J75" s="16">
        <v>0</v>
      </c>
      <c r="K75" s="16">
        <v>2</v>
      </c>
      <c r="L75" s="16">
        <v>0</v>
      </c>
      <c r="M75" s="13">
        <f t="shared" si="17"/>
        <v>6</v>
      </c>
    </row>
    <row r="76" spans="1:13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13">
        <f t="shared" si="17"/>
        <v>0</v>
      </c>
    </row>
    <row r="77" spans="1:13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13">
        <f t="shared" si="17"/>
        <v>0</v>
      </c>
    </row>
    <row r="78" spans="1:13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13">
        <f t="shared" si="17"/>
        <v>0</v>
      </c>
    </row>
    <row r="79" spans="1:13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M79" si="18">SUM(E69:E78)</f>
        <v>30</v>
      </c>
      <c r="F79" s="13">
        <f t="shared" si="18"/>
        <v>45</v>
      </c>
      <c r="G79" s="13">
        <f t="shared" si="18"/>
        <v>26</v>
      </c>
      <c r="H79" s="13">
        <f t="shared" si="18"/>
        <v>45</v>
      </c>
      <c r="I79" s="13">
        <f t="shared" si="18"/>
        <v>43</v>
      </c>
      <c r="J79" s="13">
        <f t="shared" si="18"/>
        <v>74</v>
      </c>
      <c r="K79" s="13">
        <f t="shared" si="18"/>
        <v>63</v>
      </c>
      <c r="L79" s="13">
        <f t="shared" si="18"/>
        <v>60</v>
      </c>
      <c r="M79" s="13">
        <f t="shared" si="18"/>
        <v>386</v>
      </c>
    </row>
    <row r="80" spans="1:13" ht="12.75" customHeight="1" x14ac:dyDescent="0.4">
      <c r="A80" s="86"/>
      <c r="B80" s="68"/>
      <c r="C80" s="68"/>
      <c r="D80" s="68"/>
      <c r="E80" s="68"/>
    </row>
    <row r="81" spans="1:13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2</v>
      </c>
      <c r="F81" s="16">
        <v>2</v>
      </c>
      <c r="G81" s="16">
        <v>1</v>
      </c>
      <c r="H81" s="16">
        <v>3</v>
      </c>
      <c r="I81" s="16">
        <v>4</v>
      </c>
      <c r="J81" s="16">
        <v>1</v>
      </c>
      <c r="K81" s="16">
        <v>3</v>
      </c>
      <c r="L81" s="16">
        <v>2</v>
      </c>
      <c r="M81" s="13">
        <f t="shared" ref="M81:M90" si="19">SUM(E81:L81)</f>
        <v>18</v>
      </c>
    </row>
    <row r="82" spans="1:13" ht="12.75" customHeight="1" x14ac:dyDescent="0.4">
      <c r="A82" s="20" t="s">
        <v>38</v>
      </c>
      <c r="B82" s="28"/>
      <c r="C82" s="29" t="s">
        <v>61</v>
      </c>
      <c r="D82" s="30"/>
      <c r="E82" s="16">
        <v>7</v>
      </c>
      <c r="F82" s="16">
        <v>1</v>
      </c>
      <c r="G82" s="16">
        <v>0</v>
      </c>
      <c r="H82" s="16">
        <v>4</v>
      </c>
      <c r="I82" s="16">
        <v>14</v>
      </c>
      <c r="J82" s="16">
        <v>6</v>
      </c>
      <c r="K82" s="16">
        <v>4</v>
      </c>
      <c r="L82" s="16">
        <v>1</v>
      </c>
      <c r="M82" s="13">
        <f t="shared" si="19"/>
        <v>37</v>
      </c>
    </row>
    <row r="83" spans="1:13" ht="12.75" customHeight="1" x14ac:dyDescent="0.4">
      <c r="A83" s="15"/>
      <c r="B83" s="28"/>
      <c r="C83" s="29" t="s">
        <v>62</v>
      </c>
      <c r="D83" s="30"/>
      <c r="E83" s="16">
        <v>0</v>
      </c>
      <c r="F83" s="16">
        <v>1</v>
      </c>
      <c r="G83" s="16">
        <v>0</v>
      </c>
      <c r="H83" s="16">
        <v>0</v>
      </c>
      <c r="I83" s="16">
        <v>0</v>
      </c>
      <c r="J83" s="16">
        <v>0</v>
      </c>
      <c r="K83" s="16">
        <v>0</v>
      </c>
      <c r="L83" s="16">
        <v>0</v>
      </c>
      <c r="M83" s="13">
        <f t="shared" si="19"/>
        <v>1</v>
      </c>
    </row>
    <row r="84" spans="1:13" ht="12.75" customHeight="1" x14ac:dyDescent="0.4">
      <c r="A84" s="15"/>
      <c r="B84" s="28"/>
      <c r="C84" s="29" t="s">
        <v>63</v>
      </c>
      <c r="D84" s="30"/>
      <c r="E84" s="16">
        <v>2</v>
      </c>
      <c r="F84" s="16">
        <v>0</v>
      </c>
      <c r="G84" s="16">
        <v>0</v>
      </c>
      <c r="H84" s="16">
        <v>3</v>
      </c>
      <c r="I84" s="16">
        <v>0</v>
      </c>
      <c r="J84" s="16">
        <v>0</v>
      </c>
      <c r="K84" s="16">
        <v>0</v>
      </c>
      <c r="L84" s="16">
        <v>0</v>
      </c>
      <c r="M84" s="13">
        <f t="shared" si="19"/>
        <v>5</v>
      </c>
    </row>
    <row r="85" spans="1:13" ht="12.75" customHeight="1" x14ac:dyDescent="0.4">
      <c r="A85" s="15"/>
      <c r="B85" s="28"/>
      <c r="C85" s="29" t="s">
        <v>64</v>
      </c>
      <c r="D85" s="30"/>
      <c r="E85" s="16">
        <v>0</v>
      </c>
      <c r="F85" s="16">
        <v>3</v>
      </c>
      <c r="G85" s="16">
        <v>12</v>
      </c>
      <c r="H85" s="16">
        <v>20</v>
      </c>
      <c r="I85" s="16">
        <v>0</v>
      </c>
      <c r="J85" s="16">
        <v>0</v>
      </c>
      <c r="K85" s="16">
        <v>0</v>
      </c>
      <c r="L85" s="16">
        <v>0</v>
      </c>
      <c r="M85" s="13">
        <f t="shared" si="19"/>
        <v>35</v>
      </c>
    </row>
    <row r="86" spans="1:13" ht="12.75" customHeight="1" x14ac:dyDescent="0.4">
      <c r="A86" s="15"/>
      <c r="B86" s="28"/>
      <c r="C86" s="29" t="s">
        <v>65</v>
      </c>
      <c r="D86" s="30"/>
      <c r="E86" s="16">
        <v>2</v>
      </c>
      <c r="F86" s="16">
        <v>0</v>
      </c>
      <c r="G86" s="16">
        <v>0</v>
      </c>
      <c r="H86" s="16">
        <v>0</v>
      </c>
      <c r="I86" s="16">
        <v>0</v>
      </c>
      <c r="J86" s="16">
        <v>0</v>
      </c>
      <c r="K86" s="16">
        <v>0</v>
      </c>
      <c r="L86" s="16">
        <v>1</v>
      </c>
      <c r="M86" s="13">
        <f t="shared" si="19"/>
        <v>3</v>
      </c>
    </row>
    <row r="87" spans="1:13" ht="12.75" customHeight="1" x14ac:dyDescent="0.4">
      <c r="A87" s="15"/>
      <c r="B87" s="28"/>
      <c r="C87" s="29" t="s">
        <v>66</v>
      </c>
      <c r="D87" s="30"/>
      <c r="E87" s="16">
        <v>1</v>
      </c>
      <c r="F87" s="16">
        <v>1</v>
      </c>
      <c r="G87" s="16">
        <v>0</v>
      </c>
      <c r="H87" s="16">
        <v>0</v>
      </c>
      <c r="I87" s="16">
        <v>0</v>
      </c>
      <c r="J87" s="16">
        <v>0</v>
      </c>
      <c r="K87" s="16">
        <v>1</v>
      </c>
      <c r="L87" s="16">
        <v>0</v>
      </c>
      <c r="M87" s="13">
        <f t="shared" si="19"/>
        <v>3</v>
      </c>
    </row>
    <row r="88" spans="1:13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13">
        <f t="shared" si="19"/>
        <v>0</v>
      </c>
    </row>
    <row r="89" spans="1:13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13">
        <f t="shared" si="19"/>
        <v>0</v>
      </c>
    </row>
    <row r="90" spans="1:13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13">
        <f t="shared" si="19"/>
        <v>0</v>
      </c>
    </row>
    <row r="91" spans="1:13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M91" si="20">SUM(E81:E90)</f>
        <v>14</v>
      </c>
      <c r="F91" s="13">
        <f t="shared" si="20"/>
        <v>8</v>
      </c>
      <c r="G91" s="13">
        <f t="shared" si="20"/>
        <v>13</v>
      </c>
      <c r="H91" s="13">
        <f t="shared" si="20"/>
        <v>30</v>
      </c>
      <c r="I91" s="13">
        <f t="shared" si="20"/>
        <v>18</v>
      </c>
      <c r="J91" s="13">
        <f t="shared" si="20"/>
        <v>7</v>
      </c>
      <c r="K91" s="13">
        <f t="shared" si="20"/>
        <v>8</v>
      </c>
      <c r="L91" s="13">
        <f t="shared" si="20"/>
        <v>4</v>
      </c>
      <c r="M91" s="13">
        <f t="shared" si="20"/>
        <v>102</v>
      </c>
    </row>
    <row r="92" spans="1:13" ht="12.75" customHeight="1" x14ac:dyDescent="0.4">
      <c r="A92" s="86"/>
      <c r="B92" s="68"/>
      <c r="C92" s="68"/>
      <c r="D92" s="68"/>
      <c r="E92" s="68"/>
    </row>
    <row r="93" spans="1:13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1</v>
      </c>
      <c r="F93" s="16">
        <v>0</v>
      </c>
      <c r="G93" s="16">
        <v>0</v>
      </c>
      <c r="H93" s="16">
        <v>0</v>
      </c>
      <c r="I93" s="16">
        <v>1</v>
      </c>
      <c r="J93" s="16">
        <v>0</v>
      </c>
      <c r="K93" s="16">
        <v>1</v>
      </c>
      <c r="L93" s="16">
        <v>1</v>
      </c>
      <c r="M93" s="13">
        <f t="shared" ref="M93:M102" si="21">SUM(E93:L93)</f>
        <v>4</v>
      </c>
    </row>
    <row r="94" spans="1:13" ht="12.75" customHeight="1" x14ac:dyDescent="0.4">
      <c r="A94" s="20" t="s">
        <v>38</v>
      </c>
      <c r="B94" s="28"/>
      <c r="C94" s="29" t="s">
        <v>69</v>
      </c>
      <c r="D94" s="30"/>
      <c r="E94" s="16">
        <v>0</v>
      </c>
      <c r="F94" s="16">
        <v>2</v>
      </c>
      <c r="G94" s="16">
        <v>2</v>
      </c>
      <c r="H94" s="16">
        <v>3</v>
      </c>
      <c r="I94" s="16">
        <v>0</v>
      </c>
      <c r="J94" s="16">
        <v>0</v>
      </c>
      <c r="K94" s="16">
        <v>1</v>
      </c>
      <c r="L94" s="16">
        <v>0</v>
      </c>
      <c r="M94" s="13">
        <f t="shared" si="21"/>
        <v>8</v>
      </c>
    </row>
    <row r="95" spans="1:13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3">
        <f t="shared" si="21"/>
        <v>0</v>
      </c>
    </row>
    <row r="96" spans="1:13" ht="12.75" customHeight="1" x14ac:dyDescent="0.4">
      <c r="A96" s="15"/>
      <c r="B96" s="28"/>
      <c r="C96" s="29" t="s">
        <v>71</v>
      </c>
      <c r="D96" s="30"/>
      <c r="E96" s="16">
        <v>0</v>
      </c>
      <c r="F96" s="16">
        <v>2</v>
      </c>
      <c r="G96" s="16">
        <v>0</v>
      </c>
      <c r="H96" s="16">
        <v>0</v>
      </c>
      <c r="I96" s="16">
        <v>0</v>
      </c>
      <c r="J96" s="16">
        <v>0</v>
      </c>
      <c r="K96" s="16">
        <v>4</v>
      </c>
      <c r="L96" s="16">
        <v>2</v>
      </c>
      <c r="M96" s="13">
        <f t="shared" si="21"/>
        <v>8</v>
      </c>
    </row>
    <row r="97" spans="1:13" ht="12.75" customHeight="1" x14ac:dyDescent="0.4">
      <c r="A97" s="15"/>
      <c r="B97" s="28"/>
      <c r="C97" s="29" t="s">
        <v>72</v>
      </c>
      <c r="D97" s="30"/>
      <c r="E97" s="16">
        <v>5</v>
      </c>
      <c r="F97" s="16">
        <v>0</v>
      </c>
      <c r="G97" s="16">
        <v>0</v>
      </c>
      <c r="H97" s="16">
        <v>0</v>
      </c>
      <c r="I97" s="16">
        <v>0</v>
      </c>
      <c r="J97" s="16">
        <v>3</v>
      </c>
      <c r="K97" s="16">
        <v>1</v>
      </c>
      <c r="L97" s="16">
        <v>0</v>
      </c>
      <c r="M97" s="13">
        <f t="shared" si="21"/>
        <v>9</v>
      </c>
    </row>
    <row r="98" spans="1:13" ht="12.75" customHeight="1" x14ac:dyDescent="0.4">
      <c r="A98" s="15"/>
      <c r="B98" s="28"/>
      <c r="C98" s="29" t="s">
        <v>73</v>
      </c>
      <c r="D98" s="30"/>
      <c r="E98" s="16">
        <v>1</v>
      </c>
      <c r="F98" s="16">
        <v>0</v>
      </c>
      <c r="G98" s="16">
        <v>2</v>
      </c>
      <c r="H98" s="16">
        <v>0</v>
      </c>
      <c r="I98" s="16">
        <v>1</v>
      </c>
      <c r="J98" s="16">
        <v>2</v>
      </c>
      <c r="K98" s="16">
        <v>0</v>
      </c>
      <c r="L98" s="16">
        <v>0</v>
      </c>
      <c r="M98" s="13">
        <f t="shared" si="21"/>
        <v>6</v>
      </c>
    </row>
    <row r="99" spans="1:13" ht="12.75" customHeight="1" x14ac:dyDescent="0.4">
      <c r="A99" s="15"/>
      <c r="B99" s="28"/>
      <c r="C99" s="29" t="s">
        <v>74</v>
      </c>
      <c r="D99" s="30"/>
      <c r="E99" s="16">
        <v>1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3">
        <f t="shared" si="21"/>
        <v>1</v>
      </c>
    </row>
    <row r="100" spans="1:13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13">
        <f t="shared" si="21"/>
        <v>0</v>
      </c>
    </row>
    <row r="101" spans="1:13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13">
        <f t="shared" si="21"/>
        <v>0</v>
      </c>
    </row>
    <row r="102" spans="1:13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13">
        <f t="shared" si="21"/>
        <v>0</v>
      </c>
    </row>
    <row r="103" spans="1:13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M103" si="22">SUM(E93:E102)</f>
        <v>8</v>
      </c>
      <c r="F103" s="13">
        <f t="shared" si="22"/>
        <v>4</v>
      </c>
      <c r="G103" s="13">
        <f t="shared" si="22"/>
        <v>4</v>
      </c>
      <c r="H103" s="13">
        <f t="shared" si="22"/>
        <v>3</v>
      </c>
      <c r="I103" s="13">
        <f t="shared" si="22"/>
        <v>2</v>
      </c>
      <c r="J103" s="13">
        <f t="shared" si="22"/>
        <v>5</v>
      </c>
      <c r="K103" s="13">
        <f t="shared" si="22"/>
        <v>7</v>
      </c>
      <c r="L103" s="13">
        <f t="shared" si="22"/>
        <v>3</v>
      </c>
      <c r="M103" s="13">
        <f t="shared" si="22"/>
        <v>36</v>
      </c>
    </row>
    <row r="104" spans="1:13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</row>
    <row r="105" spans="1:13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0</v>
      </c>
      <c r="L105" s="16">
        <v>0</v>
      </c>
      <c r="M105" s="13">
        <f t="shared" ref="M105:M114" si="23">SUM(E105:L105)</f>
        <v>0</v>
      </c>
    </row>
    <row r="106" spans="1:13" ht="12.75" customHeight="1" x14ac:dyDescent="0.4">
      <c r="A106" s="20" t="s">
        <v>38</v>
      </c>
      <c r="B106" s="28"/>
      <c r="C106" s="29" t="s">
        <v>77</v>
      </c>
      <c r="D106" s="40"/>
      <c r="E106" s="16">
        <v>1</v>
      </c>
      <c r="F106" s="16">
        <v>1</v>
      </c>
      <c r="G106" s="16">
        <v>0</v>
      </c>
      <c r="H106" s="16">
        <v>1</v>
      </c>
      <c r="I106" s="16">
        <v>0</v>
      </c>
      <c r="J106" s="16">
        <v>0</v>
      </c>
      <c r="K106" s="16">
        <v>0</v>
      </c>
      <c r="L106" s="16">
        <v>0</v>
      </c>
      <c r="M106" s="13">
        <f t="shared" si="23"/>
        <v>3</v>
      </c>
    </row>
    <row r="107" spans="1:13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13">
        <f t="shared" si="23"/>
        <v>0</v>
      </c>
    </row>
    <row r="108" spans="1:13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13">
        <f t="shared" si="23"/>
        <v>0</v>
      </c>
    </row>
    <row r="109" spans="1:13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13">
        <f t="shared" si="23"/>
        <v>0</v>
      </c>
    </row>
    <row r="110" spans="1:13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13">
        <f t="shared" si="23"/>
        <v>0</v>
      </c>
    </row>
    <row r="111" spans="1:13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13">
        <f t="shared" si="23"/>
        <v>0</v>
      </c>
    </row>
    <row r="112" spans="1:13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13">
        <f t="shared" si="23"/>
        <v>0</v>
      </c>
    </row>
    <row r="113" spans="1:13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13">
        <f t="shared" si="23"/>
        <v>0</v>
      </c>
    </row>
    <row r="114" spans="1:13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13">
        <f t="shared" si="23"/>
        <v>0</v>
      </c>
    </row>
    <row r="115" spans="1:13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M115" si="24">SUM(E105:E114)</f>
        <v>1</v>
      </c>
      <c r="F115" s="13">
        <f t="shared" si="24"/>
        <v>1</v>
      </c>
      <c r="G115" s="13">
        <f t="shared" si="24"/>
        <v>0</v>
      </c>
      <c r="H115" s="13">
        <f t="shared" si="24"/>
        <v>1</v>
      </c>
      <c r="I115" s="13">
        <f t="shared" si="24"/>
        <v>0</v>
      </c>
      <c r="J115" s="13">
        <f t="shared" si="24"/>
        <v>0</v>
      </c>
      <c r="K115" s="13">
        <f t="shared" si="24"/>
        <v>0</v>
      </c>
      <c r="L115" s="13">
        <f t="shared" si="24"/>
        <v>0</v>
      </c>
      <c r="M115" s="13">
        <f t="shared" si="24"/>
        <v>3</v>
      </c>
    </row>
    <row r="116" spans="1:13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13"/>
    </row>
    <row r="117" spans="1:13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0</v>
      </c>
      <c r="F117" s="16">
        <v>0</v>
      </c>
      <c r="G117" s="16">
        <v>0</v>
      </c>
      <c r="H117" s="16">
        <v>1</v>
      </c>
      <c r="I117" s="16">
        <v>0</v>
      </c>
      <c r="J117" s="16">
        <v>0</v>
      </c>
      <c r="K117" s="16">
        <v>0</v>
      </c>
      <c r="L117" s="16">
        <v>0</v>
      </c>
      <c r="M117" s="13">
        <f t="shared" ref="M117:M126" si="25">SUM(E117:L117)</f>
        <v>1</v>
      </c>
    </row>
    <row r="118" spans="1:13" ht="12.75" customHeight="1" x14ac:dyDescent="0.4">
      <c r="A118" s="20" t="s">
        <v>38</v>
      </c>
      <c r="B118" s="28"/>
      <c r="C118" s="29" t="s">
        <v>80</v>
      </c>
      <c r="D118" s="30"/>
      <c r="E118" s="16">
        <v>2</v>
      </c>
      <c r="F118" s="16">
        <v>1</v>
      </c>
      <c r="G118" s="16">
        <v>0</v>
      </c>
      <c r="H118" s="16">
        <v>15</v>
      </c>
      <c r="I118" s="16">
        <v>23</v>
      </c>
      <c r="J118" s="16">
        <v>10</v>
      </c>
      <c r="K118" s="16">
        <v>0</v>
      </c>
      <c r="L118" s="16">
        <v>1</v>
      </c>
      <c r="M118" s="13">
        <f t="shared" si="25"/>
        <v>52</v>
      </c>
    </row>
    <row r="119" spans="1:13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3">
        <f t="shared" si="25"/>
        <v>0</v>
      </c>
    </row>
    <row r="120" spans="1:13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3">
        <f t="shared" si="25"/>
        <v>0</v>
      </c>
    </row>
    <row r="121" spans="1:13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3</v>
      </c>
      <c r="G121" s="53">
        <v>0</v>
      </c>
      <c r="H121" s="53">
        <v>0</v>
      </c>
      <c r="I121" s="53">
        <v>0</v>
      </c>
      <c r="J121" s="53">
        <v>1</v>
      </c>
      <c r="K121" s="53">
        <v>0</v>
      </c>
      <c r="L121" s="53">
        <v>0</v>
      </c>
      <c r="M121" s="13">
        <f t="shared" si="25"/>
        <v>4</v>
      </c>
    </row>
    <row r="122" spans="1:13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0</v>
      </c>
      <c r="G122" s="53">
        <v>0</v>
      </c>
      <c r="H122" s="53">
        <v>0</v>
      </c>
      <c r="I122" s="53">
        <v>0</v>
      </c>
      <c r="J122" s="53">
        <v>0</v>
      </c>
      <c r="K122" s="53">
        <v>0</v>
      </c>
      <c r="L122" s="53">
        <v>0</v>
      </c>
      <c r="M122" s="13">
        <f t="shared" si="25"/>
        <v>0</v>
      </c>
    </row>
    <row r="123" spans="1:13" ht="12.75" customHeight="1" x14ac:dyDescent="0.4">
      <c r="A123" s="52"/>
      <c r="B123" s="28"/>
      <c r="C123" s="29" t="s">
        <v>85</v>
      </c>
      <c r="D123" s="30"/>
      <c r="E123" s="41"/>
      <c r="F123" s="41"/>
      <c r="G123" s="41"/>
      <c r="H123" s="41"/>
      <c r="I123" s="41"/>
      <c r="J123" s="41"/>
      <c r="K123" s="41"/>
      <c r="L123" s="41"/>
      <c r="M123" s="13">
        <f t="shared" si="25"/>
        <v>0</v>
      </c>
    </row>
    <row r="124" spans="1:13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13">
        <f t="shared" si="25"/>
        <v>0</v>
      </c>
    </row>
    <row r="125" spans="1:13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13">
        <f t="shared" si="25"/>
        <v>0</v>
      </c>
    </row>
    <row r="126" spans="1:13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13">
        <f t="shared" si="25"/>
        <v>0</v>
      </c>
    </row>
    <row r="127" spans="1:13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M127" si="26">SUM(E117:E126)</f>
        <v>2</v>
      </c>
      <c r="F127" s="13">
        <f t="shared" si="26"/>
        <v>4</v>
      </c>
      <c r="G127" s="13">
        <f t="shared" si="26"/>
        <v>0</v>
      </c>
      <c r="H127" s="13">
        <f t="shared" si="26"/>
        <v>16</v>
      </c>
      <c r="I127" s="13">
        <f t="shared" si="26"/>
        <v>23</v>
      </c>
      <c r="J127" s="13">
        <f t="shared" si="26"/>
        <v>11</v>
      </c>
      <c r="K127" s="13">
        <f t="shared" si="26"/>
        <v>0</v>
      </c>
      <c r="L127" s="13">
        <f t="shared" si="26"/>
        <v>1</v>
      </c>
      <c r="M127" s="13">
        <f t="shared" si="26"/>
        <v>57</v>
      </c>
    </row>
    <row r="128" spans="1:13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</row>
    <row r="129" spans="1:13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2</v>
      </c>
      <c r="F129" s="16">
        <v>4</v>
      </c>
      <c r="G129" s="16">
        <v>4</v>
      </c>
      <c r="H129" s="16">
        <v>2</v>
      </c>
      <c r="I129" s="16">
        <v>2</v>
      </c>
      <c r="J129" s="16">
        <v>0</v>
      </c>
      <c r="K129" s="16">
        <v>3</v>
      </c>
      <c r="L129" s="16">
        <v>2</v>
      </c>
      <c r="M129" s="13">
        <f t="shared" ref="M129:M138" si="27">SUM(E129:L129)</f>
        <v>19</v>
      </c>
    </row>
    <row r="130" spans="1:13" ht="12.75" customHeight="1" x14ac:dyDescent="0.4">
      <c r="A130" s="20" t="s">
        <v>38</v>
      </c>
      <c r="B130" s="28"/>
      <c r="C130" s="29" t="s">
        <v>88</v>
      </c>
      <c r="D130" s="30"/>
      <c r="E130" s="16">
        <v>6</v>
      </c>
      <c r="F130" s="16">
        <v>15</v>
      </c>
      <c r="G130" s="16">
        <v>12</v>
      </c>
      <c r="H130" s="16">
        <v>13</v>
      </c>
      <c r="I130" s="16">
        <v>5</v>
      </c>
      <c r="J130" s="16">
        <v>2</v>
      </c>
      <c r="K130" s="16">
        <v>3</v>
      </c>
      <c r="L130" s="16">
        <v>10</v>
      </c>
      <c r="M130" s="13">
        <f t="shared" si="27"/>
        <v>66</v>
      </c>
    </row>
    <row r="131" spans="1:13" ht="12.75" customHeight="1" x14ac:dyDescent="0.4">
      <c r="A131" s="15"/>
      <c r="B131" s="28"/>
      <c r="C131" s="29" t="s">
        <v>89</v>
      </c>
      <c r="D131" s="30"/>
      <c r="E131" s="16">
        <v>1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3">
        <f t="shared" si="27"/>
        <v>1</v>
      </c>
    </row>
    <row r="132" spans="1:13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2</v>
      </c>
      <c r="G132" s="16">
        <v>0</v>
      </c>
      <c r="H132" s="16">
        <v>1</v>
      </c>
      <c r="I132" s="16">
        <v>0</v>
      </c>
      <c r="J132" s="16">
        <v>0</v>
      </c>
      <c r="K132" s="16">
        <v>0</v>
      </c>
      <c r="L132" s="16">
        <v>0</v>
      </c>
      <c r="M132" s="13">
        <f t="shared" si="27"/>
        <v>3</v>
      </c>
    </row>
    <row r="133" spans="1:13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3">
        <f t="shared" si="27"/>
        <v>0</v>
      </c>
    </row>
    <row r="134" spans="1:13" ht="12.75" customHeight="1" x14ac:dyDescent="0.4">
      <c r="A134" s="15"/>
      <c r="B134" s="28"/>
      <c r="C134" s="29" t="s">
        <v>92</v>
      </c>
      <c r="D134" s="30"/>
      <c r="E134" s="16">
        <v>0</v>
      </c>
      <c r="F134" s="16">
        <v>0</v>
      </c>
      <c r="G134" s="16">
        <v>0</v>
      </c>
      <c r="H134" s="16">
        <v>0</v>
      </c>
      <c r="I134" s="16">
        <v>1</v>
      </c>
      <c r="J134" s="16">
        <v>0</v>
      </c>
      <c r="K134" s="16">
        <v>1</v>
      </c>
      <c r="L134" s="16">
        <v>0</v>
      </c>
      <c r="M134" s="13">
        <f t="shared" si="27"/>
        <v>2</v>
      </c>
    </row>
    <row r="135" spans="1:13" ht="12.75" customHeight="1" x14ac:dyDescent="0.4">
      <c r="A135" s="15"/>
      <c r="B135" s="28"/>
      <c r="C135" s="29" t="s">
        <v>93</v>
      </c>
      <c r="D135" s="30"/>
      <c r="E135" s="16">
        <v>1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3">
        <f t="shared" si="27"/>
        <v>1</v>
      </c>
    </row>
    <row r="136" spans="1:13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13">
        <f t="shared" si="27"/>
        <v>0</v>
      </c>
    </row>
    <row r="137" spans="1:13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13">
        <f t="shared" si="27"/>
        <v>0</v>
      </c>
    </row>
    <row r="138" spans="1:13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13">
        <f t="shared" si="27"/>
        <v>0</v>
      </c>
    </row>
    <row r="139" spans="1:13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M139" si="28">SUM(E129:E138)</f>
        <v>10</v>
      </c>
      <c r="F139" s="13">
        <f t="shared" si="28"/>
        <v>21</v>
      </c>
      <c r="G139" s="13">
        <f t="shared" si="28"/>
        <v>16</v>
      </c>
      <c r="H139" s="13">
        <f t="shared" si="28"/>
        <v>16</v>
      </c>
      <c r="I139" s="13">
        <f t="shared" si="28"/>
        <v>8</v>
      </c>
      <c r="J139" s="13">
        <f t="shared" si="28"/>
        <v>2</v>
      </c>
      <c r="K139" s="13">
        <f t="shared" si="28"/>
        <v>7</v>
      </c>
      <c r="L139" s="13">
        <f t="shared" si="28"/>
        <v>12</v>
      </c>
      <c r="M139" s="13">
        <f t="shared" si="28"/>
        <v>92</v>
      </c>
    </row>
    <row r="140" spans="1:13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</row>
    <row r="141" spans="1:13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3">
        <f t="shared" ref="M141:M150" si="29">SUM(E141:L141)</f>
        <v>0</v>
      </c>
    </row>
    <row r="142" spans="1:13" ht="12.75" customHeight="1" x14ac:dyDescent="0.4">
      <c r="A142" s="20" t="s">
        <v>38</v>
      </c>
      <c r="B142" s="27"/>
      <c r="C142" s="29" t="s">
        <v>96</v>
      </c>
      <c r="D142" s="40"/>
      <c r="E142" s="16">
        <v>1</v>
      </c>
      <c r="F142" s="16">
        <v>1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3">
        <f t="shared" si="29"/>
        <v>2</v>
      </c>
    </row>
    <row r="143" spans="1:13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13">
        <f t="shared" si="29"/>
        <v>0</v>
      </c>
    </row>
    <row r="144" spans="1:13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13">
        <f t="shared" si="29"/>
        <v>0</v>
      </c>
    </row>
    <row r="145" spans="1:13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13">
        <f t="shared" si="29"/>
        <v>0</v>
      </c>
    </row>
    <row r="146" spans="1:13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13">
        <f t="shared" si="29"/>
        <v>0</v>
      </c>
    </row>
    <row r="147" spans="1:13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13">
        <f t="shared" si="29"/>
        <v>0</v>
      </c>
    </row>
    <row r="148" spans="1:13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13">
        <f t="shared" si="29"/>
        <v>0</v>
      </c>
    </row>
    <row r="149" spans="1:13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13">
        <f t="shared" si="29"/>
        <v>0</v>
      </c>
    </row>
    <row r="150" spans="1:13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13">
        <f t="shared" si="29"/>
        <v>0</v>
      </c>
    </row>
    <row r="151" spans="1:13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M151" si="30">SUM(E141:E150)</f>
        <v>1</v>
      </c>
      <c r="F151" s="13">
        <f t="shared" si="30"/>
        <v>1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0</v>
      </c>
      <c r="M151" s="13">
        <f t="shared" si="30"/>
        <v>2</v>
      </c>
    </row>
    <row r="152" spans="1:13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13"/>
    </row>
    <row r="153" spans="1:13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1</v>
      </c>
      <c r="L153" s="16">
        <v>0</v>
      </c>
      <c r="M153" s="13">
        <f t="shared" ref="M153:M162" si="31">SUM(E153:L153)</f>
        <v>1</v>
      </c>
    </row>
    <row r="154" spans="1:13" ht="12.75" customHeight="1" x14ac:dyDescent="0.4">
      <c r="A154" s="42" t="s">
        <v>38</v>
      </c>
      <c r="B154" s="28"/>
      <c r="C154" s="29" t="s">
        <v>99</v>
      </c>
      <c r="D154" s="30"/>
      <c r="E154" s="55">
        <v>0</v>
      </c>
      <c r="F154" s="16">
        <v>2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3">
        <f t="shared" si="31"/>
        <v>2</v>
      </c>
    </row>
    <row r="155" spans="1:13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3">
        <f t="shared" si="31"/>
        <v>0</v>
      </c>
    </row>
    <row r="156" spans="1:13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3">
        <f t="shared" si="31"/>
        <v>0</v>
      </c>
    </row>
    <row r="157" spans="1:13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3">
        <f t="shared" si="31"/>
        <v>0</v>
      </c>
    </row>
    <row r="158" spans="1:13" ht="12.75" customHeight="1" x14ac:dyDescent="0.4">
      <c r="A158" s="52"/>
      <c r="B158" s="28"/>
      <c r="C158" s="29" t="s">
        <v>103</v>
      </c>
      <c r="D158" s="30"/>
      <c r="E158" s="56">
        <v>1</v>
      </c>
      <c r="F158" s="53">
        <v>0</v>
      </c>
      <c r="G158" s="53">
        <v>0</v>
      </c>
      <c r="H158" s="53">
        <v>1</v>
      </c>
      <c r="I158" s="53">
        <v>0</v>
      </c>
      <c r="J158" s="53">
        <v>0</v>
      </c>
      <c r="K158" s="53">
        <v>0</v>
      </c>
      <c r="L158" s="53">
        <v>0</v>
      </c>
      <c r="M158" s="13">
        <f t="shared" si="31"/>
        <v>2</v>
      </c>
    </row>
    <row r="159" spans="1:13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1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13">
        <f t="shared" si="31"/>
        <v>1</v>
      </c>
    </row>
    <row r="160" spans="1:13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13">
        <f t="shared" si="31"/>
        <v>0</v>
      </c>
    </row>
    <row r="161" spans="1:13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13">
        <f t="shared" si="31"/>
        <v>0</v>
      </c>
    </row>
    <row r="162" spans="1:13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13">
        <f t="shared" si="31"/>
        <v>0</v>
      </c>
    </row>
    <row r="163" spans="1:13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M163" si="32">SUM(E153:E162)</f>
        <v>1</v>
      </c>
      <c r="F163" s="13">
        <f t="shared" si="32"/>
        <v>2</v>
      </c>
      <c r="G163" s="13">
        <f t="shared" si="32"/>
        <v>1</v>
      </c>
      <c r="H163" s="13">
        <f t="shared" si="32"/>
        <v>1</v>
      </c>
      <c r="I163" s="13">
        <f t="shared" si="32"/>
        <v>0</v>
      </c>
      <c r="J163" s="13">
        <f t="shared" si="32"/>
        <v>0</v>
      </c>
      <c r="K163" s="13">
        <f t="shared" si="32"/>
        <v>1</v>
      </c>
      <c r="L163" s="13">
        <f t="shared" si="32"/>
        <v>0</v>
      </c>
      <c r="M163" s="13">
        <f t="shared" si="32"/>
        <v>6</v>
      </c>
    </row>
    <row r="164" spans="1:13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</row>
    <row r="165" spans="1:13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0</v>
      </c>
      <c r="G165" s="16">
        <v>1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3">
        <f t="shared" ref="M165:M174" si="33">SUM(E165:L165)</f>
        <v>1</v>
      </c>
    </row>
    <row r="166" spans="1:13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13">
        <f t="shared" si="33"/>
        <v>0</v>
      </c>
    </row>
    <row r="167" spans="1:13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13">
        <f t="shared" si="33"/>
        <v>0</v>
      </c>
    </row>
    <row r="168" spans="1:13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13">
        <f t="shared" si="33"/>
        <v>0</v>
      </c>
    </row>
    <row r="169" spans="1:13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13">
        <f t="shared" si="33"/>
        <v>0</v>
      </c>
    </row>
    <row r="170" spans="1:13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13">
        <f t="shared" si="33"/>
        <v>0</v>
      </c>
    </row>
    <row r="171" spans="1:13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13">
        <f t="shared" si="33"/>
        <v>0</v>
      </c>
    </row>
    <row r="172" spans="1:13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13">
        <f t="shared" si="33"/>
        <v>0</v>
      </c>
    </row>
    <row r="173" spans="1:13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13">
        <f t="shared" si="33"/>
        <v>0</v>
      </c>
    </row>
    <row r="174" spans="1:13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13">
        <f t="shared" si="33"/>
        <v>0</v>
      </c>
    </row>
    <row r="175" spans="1:13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M175" si="34">SUM(E165:E174)</f>
        <v>0</v>
      </c>
      <c r="F175" s="13">
        <f t="shared" si="34"/>
        <v>0</v>
      </c>
      <c r="G175" s="13">
        <f t="shared" si="34"/>
        <v>1</v>
      </c>
      <c r="H175" s="13">
        <f t="shared" si="34"/>
        <v>0</v>
      </c>
      <c r="I175" s="13">
        <f t="shared" si="34"/>
        <v>0</v>
      </c>
      <c r="J175" s="13">
        <f t="shared" si="34"/>
        <v>0</v>
      </c>
      <c r="K175" s="13">
        <f t="shared" si="34"/>
        <v>0</v>
      </c>
      <c r="L175" s="13">
        <f t="shared" si="34"/>
        <v>0</v>
      </c>
      <c r="M175" s="13">
        <f t="shared" si="34"/>
        <v>1</v>
      </c>
    </row>
    <row r="176" spans="1:13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</row>
    <row r="177" spans="1:13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0</v>
      </c>
      <c r="F177" s="16">
        <v>3</v>
      </c>
      <c r="G177" s="16">
        <v>0</v>
      </c>
      <c r="H177" s="16">
        <v>0</v>
      </c>
      <c r="I177" s="16">
        <v>1</v>
      </c>
      <c r="J177" s="16">
        <v>0</v>
      </c>
      <c r="K177" s="16">
        <v>1</v>
      </c>
      <c r="L177" s="16">
        <v>0</v>
      </c>
      <c r="M177" s="13">
        <f t="shared" ref="M177:M186" si="35">SUM(E177:L177)</f>
        <v>5</v>
      </c>
    </row>
    <row r="178" spans="1:13" ht="12.75" customHeight="1" x14ac:dyDescent="0.4">
      <c r="A178" s="20" t="s">
        <v>38</v>
      </c>
      <c r="B178" s="28"/>
      <c r="C178" s="29" t="s">
        <v>109</v>
      </c>
      <c r="D178" s="30"/>
      <c r="E178" s="16">
        <v>1</v>
      </c>
      <c r="F178" s="16">
        <v>1</v>
      </c>
      <c r="G178" s="16">
        <v>0</v>
      </c>
      <c r="H178" s="16">
        <v>0</v>
      </c>
      <c r="I178" s="16">
        <v>3</v>
      </c>
      <c r="J178" s="16">
        <v>0</v>
      </c>
      <c r="K178" s="16">
        <v>0</v>
      </c>
      <c r="L178" s="16">
        <v>1</v>
      </c>
      <c r="M178" s="13">
        <f t="shared" si="35"/>
        <v>6</v>
      </c>
    </row>
    <row r="179" spans="1:13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1</v>
      </c>
      <c r="M179" s="13">
        <f t="shared" si="35"/>
        <v>1</v>
      </c>
    </row>
    <row r="180" spans="1:13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1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3">
        <f t="shared" si="35"/>
        <v>1</v>
      </c>
    </row>
    <row r="181" spans="1:13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3">
        <f t="shared" si="35"/>
        <v>0</v>
      </c>
    </row>
    <row r="182" spans="1:13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1</v>
      </c>
      <c r="K182" s="16">
        <v>0</v>
      </c>
      <c r="L182" s="16">
        <v>0</v>
      </c>
      <c r="M182" s="13">
        <f t="shared" si="35"/>
        <v>1</v>
      </c>
    </row>
    <row r="183" spans="1:13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3">
        <f t="shared" si="35"/>
        <v>0</v>
      </c>
    </row>
    <row r="184" spans="1:13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13">
        <f t="shared" si="35"/>
        <v>0</v>
      </c>
    </row>
    <row r="185" spans="1:13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13">
        <f t="shared" si="35"/>
        <v>0</v>
      </c>
    </row>
    <row r="186" spans="1:13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13">
        <f t="shared" si="35"/>
        <v>0</v>
      </c>
    </row>
    <row r="187" spans="1:13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M187" si="36">SUM(E177:E186)</f>
        <v>1</v>
      </c>
      <c r="F187" s="13">
        <f t="shared" si="36"/>
        <v>5</v>
      </c>
      <c r="G187" s="13">
        <f t="shared" si="36"/>
        <v>0</v>
      </c>
      <c r="H187" s="13">
        <f t="shared" si="36"/>
        <v>0</v>
      </c>
      <c r="I187" s="13">
        <f t="shared" si="36"/>
        <v>4</v>
      </c>
      <c r="J187" s="13">
        <f t="shared" si="36"/>
        <v>1</v>
      </c>
      <c r="K187" s="13">
        <f t="shared" si="36"/>
        <v>1</v>
      </c>
      <c r="L187" s="13">
        <f t="shared" si="36"/>
        <v>2</v>
      </c>
      <c r="M187" s="13">
        <f t="shared" si="36"/>
        <v>14</v>
      </c>
    </row>
    <row r="188" spans="1:13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13"/>
    </row>
    <row r="189" spans="1:13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0</v>
      </c>
      <c r="G189" s="16">
        <v>1</v>
      </c>
      <c r="H189" s="16">
        <v>0</v>
      </c>
      <c r="I189" s="16">
        <v>0</v>
      </c>
      <c r="J189" s="16">
        <v>0</v>
      </c>
      <c r="K189" s="16">
        <v>0</v>
      </c>
      <c r="L189" s="16">
        <v>1</v>
      </c>
      <c r="M189" s="13">
        <f t="shared" ref="M189:M198" si="37">SUM(E189:L189)</f>
        <v>2</v>
      </c>
    </row>
    <row r="190" spans="1:13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3">
        <f t="shared" si="37"/>
        <v>0</v>
      </c>
    </row>
    <row r="191" spans="1:13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2</v>
      </c>
      <c r="G191" s="16">
        <v>5</v>
      </c>
      <c r="H191" s="16">
        <v>0</v>
      </c>
      <c r="I191" s="16">
        <v>0</v>
      </c>
      <c r="J191" s="16">
        <v>0</v>
      </c>
      <c r="K191" s="16">
        <v>1</v>
      </c>
      <c r="L191" s="16">
        <v>0</v>
      </c>
      <c r="M191" s="13">
        <f t="shared" si="37"/>
        <v>8</v>
      </c>
    </row>
    <row r="192" spans="1:13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3">
        <f t="shared" si="37"/>
        <v>0</v>
      </c>
    </row>
    <row r="193" spans="1:13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3">
        <f t="shared" si="37"/>
        <v>0</v>
      </c>
    </row>
    <row r="194" spans="1:13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3">
        <f t="shared" si="37"/>
        <v>0</v>
      </c>
    </row>
    <row r="195" spans="1:13" ht="12.75" customHeight="1" x14ac:dyDescent="0.4">
      <c r="A195" s="15"/>
      <c r="B195" s="28"/>
      <c r="C195" s="29" t="s">
        <v>122</v>
      </c>
      <c r="D195" s="30"/>
      <c r="E195" s="16">
        <v>1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3">
        <f t="shared" si="37"/>
        <v>1</v>
      </c>
    </row>
    <row r="196" spans="1:13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13">
        <f t="shared" si="37"/>
        <v>0</v>
      </c>
    </row>
    <row r="197" spans="1:13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13">
        <f t="shared" si="37"/>
        <v>0</v>
      </c>
    </row>
    <row r="198" spans="1:13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13">
        <f t="shared" si="37"/>
        <v>0</v>
      </c>
    </row>
    <row r="199" spans="1:13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M199" si="38">SUM(E189:E198)</f>
        <v>1</v>
      </c>
      <c r="F199" s="13">
        <f t="shared" si="38"/>
        <v>2</v>
      </c>
      <c r="G199" s="13">
        <f t="shared" si="38"/>
        <v>6</v>
      </c>
      <c r="H199" s="13">
        <f t="shared" si="38"/>
        <v>0</v>
      </c>
      <c r="I199" s="13">
        <f t="shared" si="38"/>
        <v>0</v>
      </c>
      <c r="J199" s="13">
        <f t="shared" si="38"/>
        <v>0</v>
      </c>
      <c r="K199" s="13">
        <f t="shared" si="38"/>
        <v>1</v>
      </c>
      <c r="L199" s="13">
        <f t="shared" si="38"/>
        <v>1</v>
      </c>
      <c r="M199" s="13">
        <f t="shared" si="38"/>
        <v>11</v>
      </c>
    </row>
    <row r="200" spans="1:13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</row>
    <row r="201" spans="1:13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4</v>
      </c>
      <c r="F201" s="16">
        <v>5</v>
      </c>
      <c r="G201" s="16">
        <v>9</v>
      </c>
      <c r="H201" s="16">
        <v>3</v>
      </c>
      <c r="I201" s="16">
        <v>1</v>
      </c>
      <c r="J201" s="16">
        <v>3</v>
      </c>
      <c r="K201" s="16">
        <v>8</v>
      </c>
      <c r="L201" s="16">
        <v>2</v>
      </c>
      <c r="M201" s="13">
        <f t="shared" ref="M201:M210" si="39">SUM(E201:L201)</f>
        <v>35</v>
      </c>
    </row>
    <row r="202" spans="1:13" ht="12.75" customHeight="1" x14ac:dyDescent="0.4">
      <c r="A202" s="20" t="s">
        <v>38</v>
      </c>
      <c r="B202" s="28"/>
      <c r="C202" s="29" t="s">
        <v>125</v>
      </c>
      <c r="D202" s="30"/>
      <c r="E202" s="16">
        <v>24</v>
      </c>
      <c r="F202" s="16">
        <v>54</v>
      </c>
      <c r="G202" s="16">
        <v>83</v>
      </c>
      <c r="H202" s="16">
        <v>64</v>
      </c>
      <c r="I202" s="16">
        <v>73</v>
      </c>
      <c r="J202" s="16">
        <v>62</v>
      </c>
      <c r="K202" s="16">
        <v>56</v>
      </c>
      <c r="L202" s="16">
        <v>45</v>
      </c>
      <c r="M202" s="13">
        <f t="shared" si="39"/>
        <v>461</v>
      </c>
    </row>
    <row r="203" spans="1:13" ht="12.75" customHeight="1" x14ac:dyDescent="0.4">
      <c r="A203" s="15"/>
      <c r="B203" s="28"/>
      <c r="C203" s="29" t="s">
        <v>126</v>
      </c>
      <c r="D203" s="30"/>
      <c r="E203" s="16">
        <v>1</v>
      </c>
      <c r="F203" s="16">
        <v>0</v>
      </c>
      <c r="G203" s="16">
        <v>0</v>
      </c>
      <c r="H203" s="16">
        <v>0</v>
      </c>
      <c r="I203" s="16">
        <v>3</v>
      </c>
      <c r="J203" s="16">
        <v>1</v>
      </c>
      <c r="K203" s="16">
        <v>0</v>
      </c>
      <c r="L203" s="16">
        <v>0</v>
      </c>
      <c r="M203" s="13">
        <f t="shared" si="39"/>
        <v>5</v>
      </c>
    </row>
    <row r="204" spans="1:13" ht="12.75" customHeight="1" x14ac:dyDescent="0.4">
      <c r="A204" s="15"/>
      <c r="B204" s="28"/>
      <c r="C204" s="29" t="s">
        <v>127</v>
      </c>
      <c r="D204" s="30"/>
      <c r="E204" s="16">
        <v>3</v>
      </c>
      <c r="F204" s="16">
        <v>7</v>
      </c>
      <c r="G204" s="16">
        <v>7</v>
      </c>
      <c r="H204" s="16">
        <v>10</v>
      </c>
      <c r="I204" s="16">
        <v>5</v>
      </c>
      <c r="J204" s="16">
        <v>1</v>
      </c>
      <c r="K204" s="16">
        <v>15</v>
      </c>
      <c r="L204" s="16">
        <v>1</v>
      </c>
      <c r="M204" s="13">
        <f t="shared" si="39"/>
        <v>49</v>
      </c>
    </row>
    <row r="205" spans="1:13" ht="12.75" customHeight="1" x14ac:dyDescent="0.4">
      <c r="A205" s="15"/>
      <c r="B205" s="28"/>
      <c r="C205" s="29" t="s">
        <v>128</v>
      </c>
      <c r="D205" s="30"/>
      <c r="E205" s="16">
        <v>1</v>
      </c>
      <c r="F205" s="16">
        <v>1</v>
      </c>
      <c r="G205" s="16">
        <v>0</v>
      </c>
      <c r="H205" s="16">
        <v>0</v>
      </c>
      <c r="I205" s="16">
        <v>0</v>
      </c>
      <c r="J205" s="16">
        <v>0</v>
      </c>
      <c r="K205" s="16">
        <v>1</v>
      </c>
      <c r="L205" s="16">
        <v>0</v>
      </c>
      <c r="M205" s="13">
        <f t="shared" si="39"/>
        <v>3</v>
      </c>
    </row>
    <row r="206" spans="1:13" ht="12.75" customHeight="1" x14ac:dyDescent="0.4">
      <c r="A206" s="15"/>
      <c r="B206" s="28"/>
      <c r="C206" s="29" t="s">
        <v>129</v>
      </c>
      <c r="D206" s="30"/>
      <c r="E206" s="16">
        <v>1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0</v>
      </c>
      <c r="M206" s="13">
        <f t="shared" si="39"/>
        <v>1</v>
      </c>
    </row>
    <row r="207" spans="1:13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1</v>
      </c>
      <c r="G207" s="16">
        <v>0</v>
      </c>
      <c r="H207" s="16">
        <v>0</v>
      </c>
      <c r="I207" s="16">
        <v>0</v>
      </c>
      <c r="J207" s="16">
        <v>0</v>
      </c>
      <c r="K207" s="16">
        <v>0</v>
      </c>
      <c r="L207" s="16">
        <v>0</v>
      </c>
      <c r="M207" s="13">
        <f t="shared" si="39"/>
        <v>1</v>
      </c>
    </row>
    <row r="208" spans="1:13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13">
        <f t="shared" si="39"/>
        <v>0</v>
      </c>
    </row>
    <row r="209" spans="1:13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13">
        <f t="shared" si="39"/>
        <v>0</v>
      </c>
    </row>
    <row r="210" spans="1:13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13">
        <f t="shared" si="39"/>
        <v>0</v>
      </c>
    </row>
    <row r="211" spans="1:13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M211" si="40">SUM(E201:E210)</f>
        <v>34</v>
      </c>
      <c r="F211" s="13">
        <f t="shared" si="40"/>
        <v>68</v>
      </c>
      <c r="G211" s="13">
        <f t="shared" si="40"/>
        <v>99</v>
      </c>
      <c r="H211" s="13">
        <f t="shared" si="40"/>
        <v>77</v>
      </c>
      <c r="I211" s="13">
        <f t="shared" si="40"/>
        <v>82</v>
      </c>
      <c r="J211" s="13">
        <f t="shared" si="40"/>
        <v>67</v>
      </c>
      <c r="K211" s="13">
        <f t="shared" si="40"/>
        <v>80</v>
      </c>
      <c r="L211" s="13">
        <f t="shared" si="40"/>
        <v>48</v>
      </c>
      <c r="M211" s="13">
        <f t="shared" si="40"/>
        <v>555</v>
      </c>
    </row>
    <row r="212" spans="1:13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</row>
    <row r="213" spans="1:13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1</v>
      </c>
      <c r="F213" s="16">
        <v>5</v>
      </c>
      <c r="G213" s="16">
        <v>2</v>
      </c>
      <c r="H213" s="16">
        <v>0</v>
      </c>
      <c r="I213" s="16">
        <v>0</v>
      </c>
      <c r="J213" s="16">
        <v>1</v>
      </c>
      <c r="K213" s="16">
        <v>0</v>
      </c>
      <c r="L213" s="16">
        <v>2</v>
      </c>
      <c r="M213" s="13">
        <f t="shared" ref="M213:M222" si="41">SUM(E213:L213)</f>
        <v>11</v>
      </c>
    </row>
    <row r="214" spans="1:13" ht="12.75" customHeight="1" x14ac:dyDescent="0.4">
      <c r="A214" s="20" t="s">
        <v>38</v>
      </c>
      <c r="B214" s="27"/>
      <c r="C214" s="29" t="s">
        <v>133</v>
      </c>
      <c r="D214" s="40"/>
      <c r="E214" s="16">
        <v>0</v>
      </c>
      <c r="F214" s="16">
        <v>1</v>
      </c>
      <c r="G214" s="16">
        <v>1</v>
      </c>
      <c r="H214" s="16">
        <v>0</v>
      </c>
      <c r="I214" s="16">
        <v>0</v>
      </c>
      <c r="J214" s="16">
        <v>0</v>
      </c>
      <c r="K214" s="16">
        <v>1</v>
      </c>
      <c r="L214" s="16">
        <v>1</v>
      </c>
      <c r="M214" s="13">
        <f t="shared" si="41"/>
        <v>4</v>
      </c>
    </row>
    <row r="215" spans="1:13" ht="12.75" customHeight="1" x14ac:dyDescent="0.4">
      <c r="A215" s="15"/>
      <c r="B215" s="27"/>
      <c r="C215" s="29" t="s">
        <v>134</v>
      </c>
      <c r="D215" s="40"/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>
        <v>0</v>
      </c>
      <c r="K215" s="16">
        <v>0</v>
      </c>
      <c r="L215" s="16">
        <v>2</v>
      </c>
      <c r="M215" s="13">
        <f t="shared" si="41"/>
        <v>2</v>
      </c>
    </row>
    <row r="216" spans="1:13" ht="12.75" customHeight="1" x14ac:dyDescent="0.4">
      <c r="A216" s="15"/>
      <c r="B216" s="27"/>
      <c r="C216" s="29" t="s">
        <v>135</v>
      </c>
      <c r="D216" s="40"/>
      <c r="E216" s="16">
        <v>1</v>
      </c>
      <c r="F216" s="16">
        <v>0</v>
      </c>
      <c r="G216" s="16">
        <v>0</v>
      </c>
      <c r="H216" s="16">
        <v>0</v>
      </c>
      <c r="I216" s="16">
        <v>0</v>
      </c>
      <c r="J216" s="16">
        <v>0</v>
      </c>
      <c r="K216" s="16">
        <v>0</v>
      </c>
      <c r="L216" s="16">
        <v>0</v>
      </c>
      <c r="M216" s="13">
        <f t="shared" si="41"/>
        <v>1</v>
      </c>
    </row>
    <row r="217" spans="1:13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0</v>
      </c>
      <c r="L217" s="16">
        <v>0</v>
      </c>
      <c r="M217" s="13">
        <f t="shared" si="41"/>
        <v>0</v>
      </c>
    </row>
    <row r="218" spans="1:13" ht="12.75" customHeight="1" x14ac:dyDescent="0.4">
      <c r="A218" s="15"/>
      <c r="B218" s="28"/>
      <c r="C218" s="29" t="s">
        <v>137</v>
      </c>
      <c r="D218" s="30"/>
      <c r="E218" s="16">
        <v>1</v>
      </c>
      <c r="F218" s="16">
        <v>0</v>
      </c>
      <c r="G218" s="16">
        <v>0</v>
      </c>
      <c r="H218" s="16">
        <v>0</v>
      </c>
      <c r="I218" s="16">
        <v>0</v>
      </c>
      <c r="J218" s="16">
        <v>0</v>
      </c>
      <c r="K218" s="16">
        <v>0</v>
      </c>
      <c r="L218" s="16">
        <v>0</v>
      </c>
      <c r="M218" s="13">
        <f t="shared" si="41"/>
        <v>1</v>
      </c>
    </row>
    <row r="219" spans="1:13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13">
        <f t="shared" si="41"/>
        <v>0</v>
      </c>
    </row>
    <row r="220" spans="1:13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13">
        <f t="shared" si="41"/>
        <v>0</v>
      </c>
    </row>
    <row r="221" spans="1:13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13">
        <f t="shared" si="41"/>
        <v>0</v>
      </c>
    </row>
    <row r="222" spans="1:13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13">
        <f t="shared" si="41"/>
        <v>0</v>
      </c>
    </row>
    <row r="223" spans="1:13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M223" si="42">SUM(E213:E222)</f>
        <v>3</v>
      </c>
      <c r="F223" s="13">
        <f t="shared" si="42"/>
        <v>6</v>
      </c>
      <c r="G223" s="13">
        <f t="shared" si="42"/>
        <v>3</v>
      </c>
      <c r="H223" s="13">
        <f t="shared" si="42"/>
        <v>0</v>
      </c>
      <c r="I223" s="13">
        <f t="shared" si="42"/>
        <v>0</v>
      </c>
      <c r="J223" s="13">
        <f t="shared" si="42"/>
        <v>1</v>
      </c>
      <c r="K223" s="13">
        <f t="shared" si="42"/>
        <v>1</v>
      </c>
      <c r="L223" s="13">
        <f t="shared" si="42"/>
        <v>5</v>
      </c>
      <c r="M223" s="13">
        <f t="shared" si="42"/>
        <v>19</v>
      </c>
    </row>
    <row r="224" spans="1:13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</row>
    <row r="225" spans="1:13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1</v>
      </c>
      <c r="G225" s="16">
        <v>0</v>
      </c>
      <c r="H225" s="16">
        <v>0</v>
      </c>
      <c r="I225" s="16">
        <v>0</v>
      </c>
      <c r="J225" s="16">
        <v>0</v>
      </c>
      <c r="K225" s="16">
        <v>1</v>
      </c>
      <c r="L225" s="16">
        <v>0</v>
      </c>
      <c r="M225" s="13">
        <f t="shared" ref="M225:M234" si="43">SUM(E225:L225)</f>
        <v>2</v>
      </c>
    </row>
    <row r="226" spans="1:13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1</v>
      </c>
      <c r="H226" s="16">
        <v>2</v>
      </c>
      <c r="I226" s="16">
        <v>0</v>
      </c>
      <c r="J226" s="16">
        <v>0</v>
      </c>
      <c r="K226" s="16">
        <v>0</v>
      </c>
      <c r="L226" s="16">
        <v>0</v>
      </c>
      <c r="M226" s="13">
        <f t="shared" si="43"/>
        <v>3</v>
      </c>
    </row>
    <row r="227" spans="1:13" ht="12.75" customHeight="1" x14ac:dyDescent="0.4">
      <c r="A227" s="15"/>
      <c r="B227" s="27"/>
      <c r="C227" s="29" t="s">
        <v>141</v>
      </c>
      <c r="D227" s="40"/>
      <c r="E227" s="16">
        <v>2</v>
      </c>
      <c r="F227" s="16">
        <v>1</v>
      </c>
      <c r="G227" s="16">
        <v>0</v>
      </c>
      <c r="H227" s="16">
        <v>0</v>
      </c>
      <c r="I227" s="16">
        <v>1</v>
      </c>
      <c r="J227" s="16">
        <v>4</v>
      </c>
      <c r="K227" s="16">
        <v>1</v>
      </c>
      <c r="L227" s="16">
        <v>0</v>
      </c>
      <c r="M227" s="13">
        <f t="shared" si="43"/>
        <v>9</v>
      </c>
    </row>
    <row r="228" spans="1:13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3">
        <f t="shared" si="43"/>
        <v>0</v>
      </c>
    </row>
    <row r="229" spans="1:13" ht="12.75" customHeight="1" x14ac:dyDescent="0.4">
      <c r="A229" s="15"/>
      <c r="B229" s="28"/>
      <c r="C229" s="29" t="s">
        <v>143</v>
      </c>
      <c r="D229" s="30"/>
      <c r="E229" s="16">
        <v>1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3">
        <f t="shared" si="43"/>
        <v>1</v>
      </c>
    </row>
    <row r="230" spans="1:13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2</v>
      </c>
      <c r="G230" s="16">
        <v>0</v>
      </c>
      <c r="H230" s="16">
        <v>0</v>
      </c>
      <c r="I230" s="16">
        <v>0</v>
      </c>
      <c r="J230" s="16">
        <v>0</v>
      </c>
      <c r="K230" s="16">
        <v>0</v>
      </c>
      <c r="L230" s="16">
        <v>1</v>
      </c>
      <c r="M230" s="13">
        <f t="shared" si="43"/>
        <v>3</v>
      </c>
    </row>
    <row r="231" spans="1:13" ht="12.75" customHeight="1" x14ac:dyDescent="0.4">
      <c r="A231" s="15"/>
      <c r="B231" s="28"/>
      <c r="C231" s="29" t="s">
        <v>145</v>
      </c>
      <c r="D231" s="30"/>
      <c r="E231" s="16">
        <v>3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3">
        <f t="shared" si="43"/>
        <v>3</v>
      </c>
    </row>
    <row r="232" spans="1:13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13">
        <f t="shared" si="43"/>
        <v>0</v>
      </c>
    </row>
    <row r="233" spans="1:13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13">
        <f t="shared" si="43"/>
        <v>0</v>
      </c>
    </row>
    <row r="234" spans="1:13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13">
        <f t="shared" si="43"/>
        <v>0</v>
      </c>
    </row>
    <row r="235" spans="1:13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M235" si="44">SUM(E225:E234)</f>
        <v>6</v>
      </c>
      <c r="F235" s="13">
        <f t="shared" si="44"/>
        <v>4</v>
      </c>
      <c r="G235" s="13">
        <f t="shared" si="44"/>
        <v>1</v>
      </c>
      <c r="H235" s="13">
        <f t="shared" si="44"/>
        <v>2</v>
      </c>
      <c r="I235" s="13">
        <f t="shared" si="44"/>
        <v>1</v>
      </c>
      <c r="J235" s="13">
        <f t="shared" si="44"/>
        <v>4</v>
      </c>
      <c r="K235" s="13">
        <f t="shared" si="44"/>
        <v>2</v>
      </c>
      <c r="L235" s="13">
        <f t="shared" si="44"/>
        <v>1</v>
      </c>
      <c r="M235" s="13">
        <f t="shared" si="44"/>
        <v>21</v>
      </c>
    </row>
    <row r="236" spans="1:13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</row>
    <row r="237" spans="1:13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0</v>
      </c>
      <c r="G237" s="16">
        <v>0</v>
      </c>
      <c r="H237" s="16">
        <v>0</v>
      </c>
      <c r="I237" s="16">
        <v>0</v>
      </c>
      <c r="J237" s="16">
        <v>0</v>
      </c>
      <c r="K237" s="16">
        <v>2</v>
      </c>
      <c r="L237" s="16">
        <v>1</v>
      </c>
      <c r="M237" s="13">
        <f t="shared" ref="M237:M246" si="45">SUM(E237:L237)</f>
        <v>3</v>
      </c>
    </row>
    <row r="238" spans="1:13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0</v>
      </c>
      <c r="G238" s="16">
        <v>1</v>
      </c>
      <c r="H238" s="16">
        <v>1</v>
      </c>
      <c r="I238" s="16">
        <v>0</v>
      </c>
      <c r="J238" s="16">
        <v>0</v>
      </c>
      <c r="K238" s="16">
        <v>0</v>
      </c>
      <c r="L238" s="16">
        <v>0</v>
      </c>
      <c r="M238" s="13">
        <f t="shared" si="45"/>
        <v>2</v>
      </c>
    </row>
    <row r="239" spans="1:13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2</v>
      </c>
      <c r="G239" s="16">
        <v>1</v>
      </c>
      <c r="H239" s="16">
        <v>1</v>
      </c>
      <c r="I239" s="16">
        <v>2</v>
      </c>
      <c r="J239" s="16">
        <v>0</v>
      </c>
      <c r="K239" s="16">
        <v>0</v>
      </c>
      <c r="L239" s="16">
        <v>0</v>
      </c>
      <c r="M239" s="13">
        <f t="shared" si="45"/>
        <v>6</v>
      </c>
    </row>
    <row r="240" spans="1:13" ht="12.75" customHeight="1" x14ac:dyDescent="0.4">
      <c r="A240" s="15"/>
      <c r="B240" s="28"/>
      <c r="C240" s="29" t="s">
        <v>150</v>
      </c>
      <c r="D240" s="30"/>
      <c r="E240" s="16">
        <v>1</v>
      </c>
      <c r="F240" s="16">
        <v>1</v>
      </c>
      <c r="G240" s="16">
        <v>1</v>
      </c>
      <c r="H240" s="16">
        <v>1</v>
      </c>
      <c r="I240" s="16">
        <v>4</v>
      </c>
      <c r="J240" s="16">
        <v>1</v>
      </c>
      <c r="K240" s="16">
        <v>0</v>
      </c>
      <c r="L240" s="16">
        <v>0</v>
      </c>
      <c r="M240" s="13">
        <f t="shared" si="45"/>
        <v>9</v>
      </c>
    </row>
    <row r="241" spans="1:13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3">
        <f t="shared" si="45"/>
        <v>0</v>
      </c>
    </row>
    <row r="242" spans="1:13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3">
        <f t="shared" si="45"/>
        <v>0</v>
      </c>
    </row>
    <row r="243" spans="1:13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3">
        <f t="shared" si="45"/>
        <v>0</v>
      </c>
    </row>
    <row r="244" spans="1:13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13">
        <f t="shared" si="45"/>
        <v>0</v>
      </c>
    </row>
    <row r="245" spans="1:13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13">
        <f t="shared" si="45"/>
        <v>0</v>
      </c>
    </row>
    <row r="246" spans="1:13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13">
        <f t="shared" si="45"/>
        <v>0</v>
      </c>
    </row>
    <row r="247" spans="1:13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M247" si="46">SUM(E237:E246)</f>
        <v>1</v>
      </c>
      <c r="F247" s="13">
        <f t="shared" si="46"/>
        <v>3</v>
      </c>
      <c r="G247" s="13">
        <f t="shared" si="46"/>
        <v>3</v>
      </c>
      <c r="H247" s="13">
        <f t="shared" si="46"/>
        <v>3</v>
      </c>
      <c r="I247" s="13">
        <f t="shared" si="46"/>
        <v>6</v>
      </c>
      <c r="J247" s="13">
        <f t="shared" si="46"/>
        <v>1</v>
      </c>
      <c r="K247" s="13">
        <f t="shared" si="46"/>
        <v>2</v>
      </c>
      <c r="L247" s="13">
        <f t="shared" si="46"/>
        <v>1</v>
      </c>
      <c r="M247" s="13">
        <f t="shared" si="46"/>
        <v>20</v>
      </c>
    </row>
    <row r="248" spans="1:13" ht="12.75" customHeight="1" x14ac:dyDescent="0.4">
      <c r="A248" s="63"/>
      <c r="B248" s="61"/>
      <c r="C248" s="61"/>
      <c r="D248" s="61"/>
      <c r="E248" s="62"/>
    </row>
    <row r="249" spans="1:13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1</v>
      </c>
      <c r="F249" s="16">
        <v>0</v>
      </c>
      <c r="G249" s="16">
        <v>1</v>
      </c>
      <c r="H249" s="16">
        <v>0</v>
      </c>
      <c r="I249" s="16">
        <v>0</v>
      </c>
      <c r="J249" s="16">
        <v>0</v>
      </c>
      <c r="K249" s="16">
        <v>0</v>
      </c>
      <c r="L249" s="16">
        <v>0</v>
      </c>
      <c r="M249" s="13">
        <f t="shared" ref="M249:M258" si="47">SUM(E249:L249)</f>
        <v>2</v>
      </c>
    </row>
    <row r="250" spans="1:13" ht="12.75" customHeight="1" x14ac:dyDescent="0.4">
      <c r="A250" s="20" t="s">
        <v>38</v>
      </c>
      <c r="B250" s="27"/>
      <c r="C250" s="29" t="s">
        <v>156</v>
      </c>
      <c r="D250" s="40"/>
      <c r="E250" s="16">
        <v>1</v>
      </c>
      <c r="F250" s="16">
        <v>1</v>
      </c>
      <c r="G250" s="16">
        <v>0</v>
      </c>
      <c r="H250" s="16">
        <v>0</v>
      </c>
      <c r="I250" s="16">
        <v>1</v>
      </c>
      <c r="J250" s="16">
        <v>0</v>
      </c>
      <c r="K250" s="16">
        <v>0</v>
      </c>
      <c r="L250" s="16">
        <v>0</v>
      </c>
      <c r="M250" s="13">
        <f t="shared" si="47"/>
        <v>3</v>
      </c>
    </row>
    <row r="251" spans="1:13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3">
        <f t="shared" si="47"/>
        <v>0</v>
      </c>
    </row>
    <row r="252" spans="1:13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3">
        <f t="shared" si="47"/>
        <v>0</v>
      </c>
    </row>
    <row r="253" spans="1:13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3">
        <f t="shared" si="47"/>
        <v>0</v>
      </c>
    </row>
    <row r="254" spans="1:13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13">
        <f t="shared" si="47"/>
        <v>0</v>
      </c>
    </row>
    <row r="255" spans="1:13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13">
        <f t="shared" si="47"/>
        <v>0</v>
      </c>
    </row>
    <row r="256" spans="1:13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13">
        <f t="shared" si="47"/>
        <v>0</v>
      </c>
    </row>
    <row r="257" spans="1:13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13">
        <f t="shared" si="47"/>
        <v>0</v>
      </c>
    </row>
    <row r="258" spans="1:13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13">
        <f t="shared" si="47"/>
        <v>0</v>
      </c>
    </row>
    <row r="259" spans="1:13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M259" si="48">SUM(E249:E258)</f>
        <v>2</v>
      </c>
      <c r="F259" s="13">
        <f t="shared" si="48"/>
        <v>1</v>
      </c>
      <c r="G259" s="13">
        <f t="shared" si="48"/>
        <v>1</v>
      </c>
      <c r="H259" s="13">
        <f t="shared" si="48"/>
        <v>0</v>
      </c>
      <c r="I259" s="13">
        <f t="shared" si="48"/>
        <v>1</v>
      </c>
      <c r="J259" s="13">
        <f t="shared" si="48"/>
        <v>0</v>
      </c>
      <c r="K259" s="13">
        <f t="shared" si="48"/>
        <v>0</v>
      </c>
      <c r="L259" s="13">
        <f t="shared" si="48"/>
        <v>0</v>
      </c>
      <c r="M259" s="13">
        <f t="shared" si="48"/>
        <v>5</v>
      </c>
    </row>
    <row r="260" spans="1:13" ht="12.75" customHeight="1" x14ac:dyDescent="0.4"/>
    <row r="261" spans="1:13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</row>
    <row r="262" spans="1:13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L262" si="49">E55+E67+E79+E91+E103+E115+E127+E139+E151+E163+E175+E187+E199+E211+E223+E235+E247+E259</f>
        <v>167</v>
      </c>
      <c r="F262" s="16">
        <f t="shared" si="49"/>
        <v>216</v>
      </c>
      <c r="G262" s="16">
        <f t="shared" si="49"/>
        <v>200</v>
      </c>
      <c r="H262" s="16">
        <f t="shared" si="49"/>
        <v>226</v>
      </c>
      <c r="I262" s="16">
        <f t="shared" si="49"/>
        <v>218</v>
      </c>
      <c r="J262" s="16">
        <f t="shared" si="49"/>
        <v>181</v>
      </c>
      <c r="K262" s="16">
        <f t="shared" si="49"/>
        <v>192</v>
      </c>
      <c r="L262" s="16">
        <f t="shared" si="49"/>
        <v>168</v>
      </c>
      <c r="M262" s="13">
        <f t="shared" ref="M262:M264" si="50">SUM(E262:L262)</f>
        <v>1568</v>
      </c>
    </row>
    <row r="263" spans="1:13" ht="12.75" customHeight="1" x14ac:dyDescent="0.4">
      <c r="A263" s="22"/>
      <c r="B263" s="45" t="s">
        <v>164</v>
      </c>
      <c r="C263" s="71" t="s">
        <v>165</v>
      </c>
      <c r="D263" s="62"/>
      <c r="E263" s="16">
        <v>13</v>
      </c>
      <c r="F263" s="16">
        <v>14</v>
      </c>
      <c r="G263" s="16">
        <v>28</v>
      </c>
      <c r="H263" s="16">
        <v>16</v>
      </c>
      <c r="I263" s="16">
        <v>21</v>
      </c>
      <c r="J263" s="16">
        <v>7</v>
      </c>
      <c r="K263" s="16">
        <v>17</v>
      </c>
      <c r="L263" s="16">
        <v>22</v>
      </c>
      <c r="M263" s="13">
        <f t="shared" si="50"/>
        <v>138</v>
      </c>
    </row>
    <row r="264" spans="1:13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L264" si="51">SUM(E262:E263)</f>
        <v>180</v>
      </c>
      <c r="F264" s="13">
        <f t="shared" si="51"/>
        <v>230</v>
      </c>
      <c r="G264" s="13">
        <f t="shared" si="51"/>
        <v>228</v>
      </c>
      <c r="H264" s="13">
        <f t="shared" si="51"/>
        <v>242</v>
      </c>
      <c r="I264" s="13">
        <f t="shared" si="51"/>
        <v>239</v>
      </c>
      <c r="J264" s="13">
        <f t="shared" si="51"/>
        <v>188</v>
      </c>
      <c r="K264" s="13">
        <f t="shared" si="51"/>
        <v>209</v>
      </c>
      <c r="L264" s="13">
        <f t="shared" si="51"/>
        <v>190</v>
      </c>
      <c r="M264" s="13">
        <f t="shared" si="50"/>
        <v>1706</v>
      </c>
    </row>
    <row r="265" spans="1:13" ht="12.75" customHeight="1" x14ac:dyDescent="0.4"/>
    <row r="266" spans="1:13" ht="12.75" customHeight="1" x14ac:dyDescent="0.4"/>
    <row r="267" spans="1:13" ht="12.75" customHeight="1" x14ac:dyDescent="0.4"/>
    <row r="268" spans="1:13" ht="12.75" customHeight="1" x14ac:dyDescent="0.4"/>
    <row r="269" spans="1:13" ht="12.75" customHeight="1" x14ac:dyDescent="0.4"/>
    <row r="270" spans="1:13" ht="12.75" customHeight="1" x14ac:dyDescent="0.4"/>
    <row r="271" spans="1:13" ht="12.75" customHeight="1" x14ac:dyDescent="0.4"/>
    <row r="272" spans="1:13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L12"/>
    <mergeCell ref="M12:M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3:L13">
    <cfRule type="expression" dxfId="490" priority="29">
      <formula>E30=E264</formula>
    </cfRule>
  </conditionalFormatting>
  <conditionalFormatting sqref="E14:L15">
    <cfRule type="containsBlanks" dxfId="489" priority="1">
      <formula>LEN(TRIM(E14))=0</formula>
    </cfRule>
  </conditionalFormatting>
  <conditionalFormatting sqref="E19:L20">
    <cfRule type="containsBlanks" dxfId="488" priority="2">
      <formula>LEN(TRIM(E19))=0</formula>
    </cfRule>
  </conditionalFormatting>
  <conditionalFormatting sqref="E22:L23 E25:L26 E33:L33 E35:L35 E39:L40">
    <cfRule type="containsBlanks" dxfId="487" priority="3">
      <formula>LEN(TRIM(E22))=0</formula>
    </cfRule>
  </conditionalFormatting>
  <conditionalFormatting sqref="E30:L30">
    <cfRule type="expression" dxfId="486" priority="4">
      <formula>E30&lt;&gt;E47</formula>
    </cfRule>
    <cfRule type="expression" dxfId="485" priority="5">
      <formula>E30&lt;&gt;E34</formula>
    </cfRule>
  </conditionalFormatting>
  <conditionalFormatting sqref="E34:L34">
    <cfRule type="expression" dxfId="484" priority="6">
      <formula>E30&lt;&gt;E34</formula>
    </cfRule>
    <cfRule type="expression" dxfId="483" priority="7">
      <formula>E30=E34</formula>
    </cfRule>
    <cfRule type="expression" dxfId="482" priority="8">
      <formula>E34&lt;&gt;E30</formula>
    </cfRule>
    <cfRule type="expression" dxfId="481" priority="9">
      <formula>E34&lt;&gt;E64</formula>
    </cfRule>
  </conditionalFormatting>
  <conditionalFormatting sqref="E45:L54">
    <cfRule type="containsBlanks" dxfId="480" priority="10">
      <formula>LEN(TRIM(E45))=0</formula>
    </cfRule>
  </conditionalFormatting>
  <conditionalFormatting sqref="E57:L66">
    <cfRule type="containsBlanks" dxfId="479" priority="11">
      <formula>LEN(TRIM(E57))=0</formula>
    </cfRule>
  </conditionalFormatting>
  <conditionalFormatting sqref="E69:L78">
    <cfRule type="containsBlanks" dxfId="478" priority="12">
      <formula>LEN(TRIM(E69))=0</formula>
    </cfRule>
  </conditionalFormatting>
  <conditionalFormatting sqref="E81:L90">
    <cfRule type="containsBlanks" dxfId="477" priority="13">
      <formula>LEN(TRIM(E81))=0</formula>
    </cfRule>
  </conditionalFormatting>
  <conditionalFormatting sqref="E93:L102">
    <cfRule type="containsBlanks" dxfId="476" priority="14">
      <formula>LEN(TRIM(E93))=0</formula>
    </cfRule>
  </conditionalFormatting>
  <conditionalFormatting sqref="E105:L114">
    <cfRule type="containsBlanks" dxfId="475" priority="15">
      <formula>LEN(TRIM(E105))=0</formula>
    </cfRule>
  </conditionalFormatting>
  <conditionalFormatting sqref="E117:L126">
    <cfRule type="containsBlanks" dxfId="474" priority="16">
      <formula>LEN(TRIM(E117))=0</formula>
    </cfRule>
  </conditionalFormatting>
  <conditionalFormatting sqref="E129:L138">
    <cfRule type="containsBlanks" dxfId="473" priority="17">
      <formula>LEN(TRIM(E129))=0</formula>
    </cfRule>
  </conditionalFormatting>
  <conditionalFormatting sqref="E141:L150">
    <cfRule type="containsBlanks" dxfId="472" priority="18">
      <formula>LEN(TRIM(E141))=0</formula>
    </cfRule>
  </conditionalFormatting>
  <conditionalFormatting sqref="E153:L162">
    <cfRule type="containsBlanks" dxfId="471" priority="19">
      <formula>LEN(TRIM(E153))=0</formula>
    </cfRule>
  </conditionalFormatting>
  <conditionalFormatting sqref="E165:L174">
    <cfRule type="containsBlanks" dxfId="470" priority="20">
      <formula>LEN(TRIM(E165))=0</formula>
    </cfRule>
  </conditionalFormatting>
  <conditionalFormatting sqref="E177:L186">
    <cfRule type="containsBlanks" dxfId="469" priority="21">
      <formula>LEN(TRIM(E177))=0</formula>
    </cfRule>
  </conditionalFormatting>
  <conditionalFormatting sqref="E189:L198">
    <cfRule type="containsBlanks" dxfId="468" priority="22">
      <formula>LEN(TRIM(E189))=0</formula>
    </cfRule>
  </conditionalFormatting>
  <conditionalFormatting sqref="E201:L210">
    <cfRule type="containsBlanks" dxfId="467" priority="23">
      <formula>LEN(TRIM(E201))=0</formula>
    </cfRule>
  </conditionalFormatting>
  <conditionalFormatting sqref="E213:L222">
    <cfRule type="containsBlanks" dxfId="466" priority="24">
      <formula>LEN(TRIM(E213))=0</formula>
    </cfRule>
  </conditionalFormatting>
  <conditionalFormatting sqref="E225:L234">
    <cfRule type="containsBlanks" dxfId="465" priority="25">
      <formula>LEN(TRIM(E225))=0</formula>
    </cfRule>
  </conditionalFormatting>
  <conditionalFormatting sqref="E237:L246">
    <cfRule type="containsBlanks" dxfId="464" priority="26">
      <formula>LEN(TRIM(E237))=0</formula>
    </cfRule>
  </conditionalFormatting>
  <conditionalFormatting sqref="E249:L258">
    <cfRule type="containsBlanks" dxfId="463" priority="27">
      <formula>LEN(TRIM(E249))=0</formula>
    </cfRule>
  </conditionalFormatting>
  <conditionalFormatting sqref="E262:L263">
    <cfRule type="containsBlanks" dxfId="462" priority="28">
      <formula>LEN(TRIM(E262))=0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00"/>
  </sheetPr>
  <dimension ref="A1:AI1000"/>
  <sheetViews>
    <sheetView tabSelected="1" topLeftCell="G253" workbookViewId="0">
      <selection activeCell="L262" sqref="L262"/>
    </sheetView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34" width="8.7109375" customWidth="1"/>
    <col min="35" max="35" width="13.28515625" customWidth="1"/>
  </cols>
  <sheetData>
    <row r="1" spans="1:35" ht="12.75" customHeight="1" x14ac:dyDescent="0.4"/>
    <row r="2" spans="1:35" ht="12.75" customHeight="1" x14ac:dyDescent="0.4">
      <c r="C2" s="8" t="s">
        <v>0</v>
      </c>
      <c r="D2" s="8" t="s">
        <v>1</v>
      </c>
    </row>
    <row r="3" spans="1:35" ht="12.75" customHeight="1" x14ac:dyDescent="0.4">
      <c r="C3" s="8" t="s">
        <v>2</v>
      </c>
      <c r="D3" s="8" t="s">
        <v>1</v>
      </c>
    </row>
    <row r="4" spans="1:35" ht="12.75" customHeight="1" x14ac:dyDescent="0.4">
      <c r="C4" s="8" t="s">
        <v>3</v>
      </c>
      <c r="D4" s="8" t="s">
        <v>4</v>
      </c>
    </row>
    <row r="5" spans="1:35" ht="12.75" customHeight="1" x14ac:dyDescent="0.4">
      <c r="C5" s="8"/>
      <c r="D5" s="8"/>
    </row>
    <row r="6" spans="1:35" ht="12.75" customHeight="1" x14ac:dyDescent="0.4">
      <c r="C6" s="8"/>
      <c r="D6" s="8"/>
    </row>
    <row r="7" spans="1:35" ht="12.75" customHeight="1" x14ac:dyDescent="0.4">
      <c r="C7" s="8"/>
      <c r="D7" s="8"/>
    </row>
    <row r="8" spans="1:35" ht="12.75" customHeight="1" x14ac:dyDescent="0.4">
      <c r="C8" s="8"/>
      <c r="D8" s="8"/>
    </row>
    <row r="9" spans="1:35" ht="12.75" customHeight="1" x14ac:dyDescent="0.4">
      <c r="C9" s="8" t="s">
        <v>168</v>
      </c>
      <c r="D9" s="8" t="s">
        <v>182</v>
      </c>
    </row>
    <row r="10" spans="1:35" ht="12.75" customHeight="1" x14ac:dyDescent="0.4"/>
    <row r="11" spans="1:35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35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90" t="s">
        <v>7</v>
      </c>
    </row>
    <row r="13" spans="1:35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58" t="s">
        <v>177</v>
      </c>
      <c r="M13" s="58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13" t="s">
        <v>188</v>
      </c>
      <c r="V13" s="13" t="s">
        <v>189</v>
      </c>
      <c r="W13" s="13" t="s">
        <v>190</v>
      </c>
      <c r="X13" s="13" t="s">
        <v>191</v>
      </c>
      <c r="Y13" s="13" t="s">
        <v>192</v>
      </c>
      <c r="Z13" s="13" t="s">
        <v>193</v>
      </c>
      <c r="AA13" s="13" t="s">
        <v>194</v>
      </c>
      <c r="AB13" s="13" t="s">
        <v>195</v>
      </c>
      <c r="AC13" s="13" t="s">
        <v>196</v>
      </c>
      <c r="AD13" s="13" t="s">
        <v>197</v>
      </c>
      <c r="AE13" s="13" t="s">
        <v>198</v>
      </c>
      <c r="AF13" s="13" t="s">
        <v>199</v>
      </c>
      <c r="AG13" s="13" t="s">
        <v>200</v>
      </c>
      <c r="AH13" s="13" t="s">
        <v>201</v>
      </c>
      <c r="AI13" s="80"/>
    </row>
    <row r="14" spans="1:35" ht="12.75" customHeight="1" x14ac:dyDescent="0.4">
      <c r="A14" s="15"/>
      <c r="B14" s="75" t="s">
        <v>10</v>
      </c>
      <c r="C14" s="66"/>
      <c r="D14" s="16" t="s">
        <v>11</v>
      </c>
      <c r="E14" s="16">
        <v>130</v>
      </c>
      <c r="F14" s="16">
        <v>93</v>
      </c>
      <c r="G14" s="16">
        <v>137</v>
      </c>
      <c r="H14" s="16">
        <v>140</v>
      </c>
      <c r="I14" s="16">
        <v>135</v>
      </c>
      <c r="J14" s="16">
        <v>140</v>
      </c>
      <c r="K14" s="16">
        <v>146</v>
      </c>
      <c r="L14" s="16">
        <v>133</v>
      </c>
      <c r="M14" s="16">
        <v>126</v>
      </c>
      <c r="N14" s="16">
        <v>142</v>
      </c>
      <c r="O14" s="16">
        <v>106</v>
      </c>
      <c r="P14" s="16">
        <v>141</v>
      </c>
      <c r="Q14" s="16">
        <v>132</v>
      </c>
      <c r="R14" s="16">
        <v>141</v>
      </c>
      <c r="S14" s="16">
        <v>144</v>
      </c>
      <c r="T14" s="16">
        <v>132</v>
      </c>
      <c r="U14" s="16">
        <v>128</v>
      </c>
      <c r="V14" s="16">
        <v>140</v>
      </c>
      <c r="W14" s="16">
        <v>122</v>
      </c>
      <c r="X14" s="16">
        <v>140</v>
      </c>
      <c r="Y14" s="16">
        <v>144</v>
      </c>
      <c r="Z14" s="16">
        <v>149</v>
      </c>
      <c r="AA14" s="16">
        <v>145</v>
      </c>
      <c r="AB14" s="16">
        <v>145</v>
      </c>
      <c r="AC14" s="16">
        <v>140</v>
      </c>
      <c r="AD14" s="16">
        <v>138</v>
      </c>
      <c r="AE14" s="16">
        <v>145</v>
      </c>
      <c r="AF14" s="16">
        <v>148</v>
      </c>
      <c r="AG14" s="16">
        <v>143</v>
      </c>
      <c r="AH14" s="16">
        <v>138</v>
      </c>
      <c r="AI14" s="13">
        <f t="shared" ref="AI14:AI16" si="0">SUM(E14:AH14)</f>
        <v>4083</v>
      </c>
    </row>
    <row r="15" spans="1:35" ht="12.75" customHeight="1" x14ac:dyDescent="0.4">
      <c r="A15" s="15"/>
      <c r="B15" s="76"/>
      <c r="C15" s="77"/>
      <c r="D15" s="16" t="s">
        <v>12</v>
      </c>
      <c r="E15" s="16">
        <v>124</v>
      </c>
      <c r="F15" s="16">
        <v>89</v>
      </c>
      <c r="G15" s="16">
        <v>151</v>
      </c>
      <c r="H15" s="16">
        <v>142</v>
      </c>
      <c r="I15" s="16">
        <v>143</v>
      </c>
      <c r="J15" s="16">
        <v>135</v>
      </c>
      <c r="K15" s="16">
        <v>150</v>
      </c>
      <c r="L15" s="16">
        <v>156</v>
      </c>
      <c r="M15" s="16">
        <v>149</v>
      </c>
      <c r="N15" s="16">
        <v>134</v>
      </c>
      <c r="O15" s="16">
        <v>120</v>
      </c>
      <c r="P15" s="16">
        <v>133</v>
      </c>
      <c r="Q15" s="16">
        <v>134</v>
      </c>
      <c r="R15" s="16">
        <v>135</v>
      </c>
      <c r="S15" s="16">
        <v>147</v>
      </c>
      <c r="T15" s="16">
        <v>137</v>
      </c>
      <c r="U15" s="16">
        <v>149</v>
      </c>
      <c r="V15" s="16">
        <v>141</v>
      </c>
      <c r="W15" s="16">
        <v>137</v>
      </c>
      <c r="X15" s="16">
        <v>133</v>
      </c>
      <c r="Y15" s="16">
        <v>146</v>
      </c>
      <c r="Z15" s="16">
        <v>141</v>
      </c>
      <c r="AA15" s="16">
        <v>145</v>
      </c>
      <c r="AB15" s="16">
        <v>144</v>
      </c>
      <c r="AC15" s="16">
        <v>148</v>
      </c>
      <c r="AD15" s="16">
        <v>152</v>
      </c>
      <c r="AE15" s="16">
        <v>145</v>
      </c>
      <c r="AF15" s="16">
        <v>140</v>
      </c>
      <c r="AG15" s="16">
        <v>147</v>
      </c>
      <c r="AH15" s="16">
        <v>152</v>
      </c>
      <c r="AI15" s="13">
        <f t="shared" si="0"/>
        <v>4199</v>
      </c>
    </row>
    <row r="16" spans="1:35" ht="12.75" customHeight="1" x14ac:dyDescent="0.4">
      <c r="A16" s="18"/>
      <c r="B16" s="73"/>
      <c r="C16" s="69"/>
      <c r="D16" s="13" t="s">
        <v>13</v>
      </c>
      <c r="E16" s="13">
        <f t="shared" ref="E16:AH16" si="1">SUM(E14:E15)</f>
        <v>254</v>
      </c>
      <c r="F16" s="13">
        <f t="shared" si="1"/>
        <v>182</v>
      </c>
      <c r="G16" s="13">
        <f t="shared" si="1"/>
        <v>288</v>
      </c>
      <c r="H16" s="13">
        <f t="shared" si="1"/>
        <v>282</v>
      </c>
      <c r="I16" s="13">
        <f t="shared" si="1"/>
        <v>278</v>
      </c>
      <c r="J16" s="13">
        <f t="shared" si="1"/>
        <v>275</v>
      </c>
      <c r="K16" s="13">
        <f t="shared" si="1"/>
        <v>296</v>
      </c>
      <c r="L16" s="13">
        <f t="shared" si="1"/>
        <v>289</v>
      </c>
      <c r="M16" s="13">
        <f t="shared" si="1"/>
        <v>275</v>
      </c>
      <c r="N16" s="13">
        <f t="shared" si="1"/>
        <v>276</v>
      </c>
      <c r="O16" s="13">
        <f t="shared" si="1"/>
        <v>226</v>
      </c>
      <c r="P16" s="13">
        <f t="shared" si="1"/>
        <v>274</v>
      </c>
      <c r="Q16" s="13">
        <f t="shared" si="1"/>
        <v>266</v>
      </c>
      <c r="R16" s="13">
        <f t="shared" si="1"/>
        <v>276</v>
      </c>
      <c r="S16" s="13">
        <f t="shared" si="1"/>
        <v>291</v>
      </c>
      <c r="T16" s="13">
        <f t="shared" si="1"/>
        <v>269</v>
      </c>
      <c r="U16" s="13">
        <f t="shared" si="1"/>
        <v>277</v>
      </c>
      <c r="V16" s="13">
        <f t="shared" si="1"/>
        <v>281</v>
      </c>
      <c r="W16" s="13">
        <f t="shared" si="1"/>
        <v>259</v>
      </c>
      <c r="X16" s="13">
        <f t="shared" si="1"/>
        <v>273</v>
      </c>
      <c r="Y16" s="13">
        <f t="shared" si="1"/>
        <v>290</v>
      </c>
      <c r="Z16" s="13">
        <f t="shared" si="1"/>
        <v>290</v>
      </c>
      <c r="AA16" s="13">
        <f t="shared" si="1"/>
        <v>290</v>
      </c>
      <c r="AB16" s="13">
        <f t="shared" si="1"/>
        <v>289</v>
      </c>
      <c r="AC16" s="13">
        <f t="shared" si="1"/>
        <v>288</v>
      </c>
      <c r="AD16" s="13">
        <f t="shared" si="1"/>
        <v>290</v>
      </c>
      <c r="AE16" s="13">
        <f t="shared" si="1"/>
        <v>290</v>
      </c>
      <c r="AF16" s="13">
        <f t="shared" si="1"/>
        <v>288</v>
      </c>
      <c r="AG16" s="13">
        <f t="shared" si="1"/>
        <v>290</v>
      </c>
      <c r="AH16" s="13">
        <f t="shared" si="1"/>
        <v>290</v>
      </c>
      <c r="AI16" s="13">
        <f t="shared" si="0"/>
        <v>8282</v>
      </c>
    </row>
    <row r="17" spans="1:35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9"/>
    </row>
    <row r="18" spans="1:35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9"/>
    </row>
    <row r="19" spans="1:35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84</v>
      </c>
      <c r="F19" s="16">
        <v>65</v>
      </c>
      <c r="G19" s="16">
        <v>95</v>
      </c>
      <c r="H19" s="16">
        <v>94</v>
      </c>
      <c r="I19" s="16">
        <v>99</v>
      </c>
      <c r="J19" s="16">
        <v>96</v>
      </c>
      <c r="K19" s="16">
        <v>110</v>
      </c>
      <c r="L19" s="16">
        <v>84</v>
      </c>
      <c r="M19" s="16">
        <v>86</v>
      </c>
      <c r="N19" s="16">
        <v>96</v>
      </c>
      <c r="O19" s="16">
        <v>76</v>
      </c>
      <c r="P19" s="16">
        <v>96</v>
      </c>
      <c r="Q19" s="16">
        <v>99</v>
      </c>
      <c r="R19" s="16">
        <v>90</v>
      </c>
      <c r="S19" s="16">
        <v>103</v>
      </c>
      <c r="T19" s="16">
        <v>86</v>
      </c>
      <c r="U19" s="16">
        <v>92</v>
      </c>
      <c r="V19" s="16">
        <v>102</v>
      </c>
      <c r="W19" s="16">
        <v>86</v>
      </c>
      <c r="X19" s="16">
        <v>101</v>
      </c>
      <c r="Y19" s="16">
        <v>85</v>
      </c>
      <c r="Z19" s="16">
        <v>95</v>
      </c>
      <c r="AA19" s="16">
        <v>102</v>
      </c>
      <c r="AB19" s="16">
        <v>109</v>
      </c>
      <c r="AC19" s="16">
        <v>82</v>
      </c>
      <c r="AD19" s="16">
        <v>89</v>
      </c>
      <c r="AE19" s="16">
        <v>117</v>
      </c>
      <c r="AF19" s="16">
        <v>104</v>
      </c>
      <c r="AG19" s="16">
        <v>91</v>
      </c>
      <c r="AH19" s="16">
        <v>108</v>
      </c>
      <c r="AI19" s="13">
        <f t="shared" ref="AI19:AI30" si="2">SUM(E19:AH19)</f>
        <v>2822</v>
      </c>
    </row>
    <row r="20" spans="1:35" ht="12.75" customHeight="1" x14ac:dyDescent="0.4">
      <c r="A20" s="21"/>
      <c r="B20" s="77"/>
      <c r="C20" s="79"/>
      <c r="D20" s="16" t="s">
        <v>12</v>
      </c>
      <c r="E20" s="16">
        <v>94</v>
      </c>
      <c r="F20" s="16">
        <v>61</v>
      </c>
      <c r="G20" s="16">
        <v>112</v>
      </c>
      <c r="H20" s="16">
        <v>104</v>
      </c>
      <c r="I20" s="16">
        <v>111</v>
      </c>
      <c r="J20" s="16">
        <v>108</v>
      </c>
      <c r="K20" s="16">
        <v>121</v>
      </c>
      <c r="L20" s="16">
        <v>114</v>
      </c>
      <c r="M20" s="16">
        <v>105</v>
      </c>
      <c r="N20" s="16">
        <v>102</v>
      </c>
      <c r="O20" s="16">
        <v>95</v>
      </c>
      <c r="P20" s="16">
        <v>98</v>
      </c>
      <c r="Q20" s="16">
        <v>116</v>
      </c>
      <c r="R20" s="16">
        <v>108</v>
      </c>
      <c r="S20" s="16">
        <v>117</v>
      </c>
      <c r="T20" s="16">
        <v>99</v>
      </c>
      <c r="U20" s="16">
        <v>107</v>
      </c>
      <c r="V20" s="16">
        <v>110</v>
      </c>
      <c r="W20" s="16">
        <v>98</v>
      </c>
      <c r="X20" s="16">
        <v>101</v>
      </c>
      <c r="Y20" s="16">
        <v>104</v>
      </c>
      <c r="Z20" s="16">
        <v>107</v>
      </c>
      <c r="AA20" s="16">
        <v>104</v>
      </c>
      <c r="AB20" s="16">
        <v>111</v>
      </c>
      <c r="AC20" s="16">
        <v>100</v>
      </c>
      <c r="AD20" s="16">
        <v>116</v>
      </c>
      <c r="AE20" s="16">
        <v>120</v>
      </c>
      <c r="AF20" s="16">
        <v>101</v>
      </c>
      <c r="AG20" s="16">
        <v>121</v>
      </c>
      <c r="AH20" s="16">
        <v>112</v>
      </c>
      <c r="AI20" s="13">
        <f t="shared" si="2"/>
        <v>3177</v>
      </c>
    </row>
    <row r="21" spans="1:35" ht="12.75" customHeight="1" x14ac:dyDescent="0.4">
      <c r="A21" s="22"/>
      <c r="B21" s="69"/>
      <c r="C21" s="80"/>
      <c r="D21" s="13" t="s">
        <v>13</v>
      </c>
      <c r="E21" s="13">
        <f t="shared" ref="E21:AH21" si="3">SUM(E19:E20)</f>
        <v>178</v>
      </c>
      <c r="F21" s="13">
        <f t="shared" si="3"/>
        <v>126</v>
      </c>
      <c r="G21" s="13">
        <f t="shared" si="3"/>
        <v>207</v>
      </c>
      <c r="H21" s="13">
        <f t="shared" si="3"/>
        <v>198</v>
      </c>
      <c r="I21" s="13">
        <f t="shared" si="3"/>
        <v>210</v>
      </c>
      <c r="J21" s="13">
        <f t="shared" si="3"/>
        <v>204</v>
      </c>
      <c r="K21" s="13">
        <f t="shared" si="3"/>
        <v>231</v>
      </c>
      <c r="L21" s="13">
        <f t="shared" si="3"/>
        <v>198</v>
      </c>
      <c r="M21" s="13">
        <f t="shared" si="3"/>
        <v>191</v>
      </c>
      <c r="N21" s="13">
        <f t="shared" si="3"/>
        <v>198</v>
      </c>
      <c r="O21" s="13">
        <f t="shared" si="3"/>
        <v>171</v>
      </c>
      <c r="P21" s="13">
        <f t="shared" si="3"/>
        <v>194</v>
      </c>
      <c r="Q21" s="13">
        <f t="shared" si="3"/>
        <v>215</v>
      </c>
      <c r="R21" s="13">
        <f t="shared" si="3"/>
        <v>198</v>
      </c>
      <c r="S21" s="13">
        <f t="shared" si="3"/>
        <v>220</v>
      </c>
      <c r="T21" s="13">
        <f t="shared" si="3"/>
        <v>185</v>
      </c>
      <c r="U21" s="13">
        <f t="shared" si="3"/>
        <v>199</v>
      </c>
      <c r="V21" s="13">
        <f t="shared" si="3"/>
        <v>212</v>
      </c>
      <c r="W21" s="13">
        <f t="shared" si="3"/>
        <v>184</v>
      </c>
      <c r="X21" s="13">
        <f t="shared" si="3"/>
        <v>202</v>
      </c>
      <c r="Y21" s="13">
        <f t="shared" si="3"/>
        <v>189</v>
      </c>
      <c r="Z21" s="13">
        <f t="shared" si="3"/>
        <v>202</v>
      </c>
      <c r="AA21" s="13">
        <f t="shared" si="3"/>
        <v>206</v>
      </c>
      <c r="AB21" s="13">
        <f t="shared" si="3"/>
        <v>220</v>
      </c>
      <c r="AC21" s="13">
        <f t="shared" si="3"/>
        <v>182</v>
      </c>
      <c r="AD21" s="13">
        <f t="shared" si="3"/>
        <v>205</v>
      </c>
      <c r="AE21" s="13">
        <f t="shared" si="3"/>
        <v>237</v>
      </c>
      <c r="AF21" s="13">
        <f t="shared" si="3"/>
        <v>205</v>
      </c>
      <c r="AG21" s="13">
        <f t="shared" si="3"/>
        <v>212</v>
      </c>
      <c r="AH21" s="13">
        <f t="shared" si="3"/>
        <v>220</v>
      </c>
      <c r="AI21" s="13">
        <f t="shared" si="2"/>
        <v>5999</v>
      </c>
    </row>
    <row r="22" spans="1:35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1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1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3">
        <f t="shared" si="2"/>
        <v>2</v>
      </c>
    </row>
    <row r="23" spans="1:35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1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2</v>
      </c>
      <c r="AD23" s="16">
        <v>0</v>
      </c>
      <c r="AE23" s="16">
        <v>0</v>
      </c>
      <c r="AF23" s="16">
        <v>0</v>
      </c>
      <c r="AG23" s="16">
        <v>1</v>
      </c>
      <c r="AH23" s="16">
        <v>0</v>
      </c>
      <c r="AI23" s="13">
        <f t="shared" si="2"/>
        <v>4</v>
      </c>
    </row>
    <row r="24" spans="1:35" ht="12.75" customHeight="1" x14ac:dyDescent="0.4">
      <c r="A24" s="22"/>
      <c r="B24" s="69"/>
      <c r="C24" s="80"/>
      <c r="D24" s="13" t="s">
        <v>13</v>
      </c>
      <c r="E24" s="13">
        <f t="shared" ref="E24:AH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2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4"/>
        <v>0</v>
      </c>
      <c r="AA24" s="13">
        <f t="shared" si="4"/>
        <v>0</v>
      </c>
      <c r="AB24" s="13">
        <f t="shared" si="4"/>
        <v>0</v>
      </c>
      <c r="AC24" s="13">
        <f t="shared" si="4"/>
        <v>3</v>
      </c>
      <c r="AD24" s="13">
        <f t="shared" si="4"/>
        <v>0</v>
      </c>
      <c r="AE24" s="13">
        <f t="shared" si="4"/>
        <v>0</v>
      </c>
      <c r="AF24" s="13">
        <f t="shared" si="4"/>
        <v>0</v>
      </c>
      <c r="AG24" s="13">
        <f t="shared" si="4"/>
        <v>1</v>
      </c>
      <c r="AH24" s="13">
        <f t="shared" si="4"/>
        <v>0</v>
      </c>
      <c r="AI24" s="13">
        <f t="shared" si="2"/>
        <v>6</v>
      </c>
    </row>
    <row r="25" spans="1:35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0</v>
      </c>
      <c r="F25" s="16">
        <v>0</v>
      </c>
      <c r="G25" s="16">
        <v>1</v>
      </c>
      <c r="H25" s="16">
        <v>1</v>
      </c>
      <c r="I25" s="16">
        <v>0</v>
      </c>
      <c r="J25" s="16">
        <v>0</v>
      </c>
      <c r="K25" s="16">
        <v>1</v>
      </c>
      <c r="L25" s="16">
        <v>0</v>
      </c>
      <c r="M25" s="16">
        <v>1</v>
      </c>
      <c r="N25" s="16">
        <v>2</v>
      </c>
      <c r="O25" s="16">
        <v>4</v>
      </c>
      <c r="P25" s="16">
        <v>3</v>
      </c>
      <c r="Q25" s="16">
        <v>2</v>
      </c>
      <c r="R25" s="16">
        <v>1</v>
      </c>
      <c r="S25" s="16">
        <v>1</v>
      </c>
      <c r="T25" s="16">
        <v>1</v>
      </c>
      <c r="U25" s="16">
        <v>3</v>
      </c>
      <c r="V25" s="16">
        <v>2</v>
      </c>
      <c r="W25" s="16">
        <v>0</v>
      </c>
      <c r="X25" s="16">
        <v>0</v>
      </c>
      <c r="Y25" s="16">
        <v>1</v>
      </c>
      <c r="Z25" s="16">
        <v>4</v>
      </c>
      <c r="AA25" s="16">
        <v>0</v>
      </c>
      <c r="AB25" s="16">
        <v>1</v>
      </c>
      <c r="AC25" s="16">
        <v>0</v>
      </c>
      <c r="AD25" s="16">
        <v>4</v>
      </c>
      <c r="AE25" s="16">
        <v>2</v>
      </c>
      <c r="AF25" s="16">
        <v>1</v>
      </c>
      <c r="AG25" s="16">
        <v>2</v>
      </c>
      <c r="AH25" s="16">
        <v>9</v>
      </c>
      <c r="AI25" s="13">
        <f t="shared" si="2"/>
        <v>47</v>
      </c>
    </row>
    <row r="26" spans="1:35" ht="12.75" customHeight="1" x14ac:dyDescent="0.4">
      <c r="A26" s="21"/>
      <c r="B26" s="77"/>
      <c r="C26" s="79"/>
      <c r="D26" s="16" t="s">
        <v>12</v>
      </c>
      <c r="E26" s="16">
        <v>4</v>
      </c>
      <c r="F26" s="16">
        <v>1</v>
      </c>
      <c r="G26" s="16">
        <v>1</v>
      </c>
      <c r="H26" s="16">
        <v>4</v>
      </c>
      <c r="I26" s="16">
        <v>0</v>
      </c>
      <c r="J26" s="16">
        <v>1</v>
      </c>
      <c r="K26" s="16">
        <v>3</v>
      </c>
      <c r="L26" s="16">
        <v>0</v>
      </c>
      <c r="M26" s="16">
        <v>4</v>
      </c>
      <c r="N26" s="16">
        <v>1</v>
      </c>
      <c r="O26" s="16">
        <v>2</v>
      </c>
      <c r="P26" s="16">
        <v>1</v>
      </c>
      <c r="Q26" s="16">
        <v>2</v>
      </c>
      <c r="R26" s="16">
        <v>4</v>
      </c>
      <c r="S26" s="16">
        <v>5</v>
      </c>
      <c r="T26" s="16">
        <v>3</v>
      </c>
      <c r="U26" s="16">
        <v>7</v>
      </c>
      <c r="V26" s="16">
        <v>2</v>
      </c>
      <c r="W26" s="16">
        <v>2</v>
      </c>
      <c r="X26" s="16">
        <v>0</v>
      </c>
      <c r="Y26" s="16">
        <v>0</v>
      </c>
      <c r="Z26" s="16">
        <v>6</v>
      </c>
      <c r="AA26" s="16">
        <v>0</v>
      </c>
      <c r="AB26" s="16">
        <v>1</v>
      </c>
      <c r="AC26" s="16">
        <v>2</v>
      </c>
      <c r="AD26" s="16">
        <v>11</v>
      </c>
      <c r="AE26" s="16">
        <v>4</v>
      </c>
      <c r="AF26" s="16">
        <v>1</v>
      </c>
      <c r="AG26" s="16">
        <v>4</v>
      </c>
      <c r="AH26" s="16">
        <v>9</v>
      </c>
      <c r="AI26" s="13">
        <f t="shared" si="2"/>
        <v>85</v>
      </c>
    </row>
    <row r="27" spans="1:35" ht="12.75" customHeight="1" x14ac:dyDescent="0.4">
      <c r="A27" s="22"/>
      <c r="B27" s="69"/>
      <c r="C27" s="80"/>
      <c r="D27" s="13" t="s">
        <v>13</v>
      </c>
      <c r="E27" s="13">
        <f t="shared" ref="E27:AH27" si="5">SUM(E25:E26)</f>
        <v>4</v>
      </c>
      <c r="F27" s="13">
        <f t="shared" si="5"/>
        <v>1</v>
      </c>
      <c r="G27" s="13">
        <f t="shared" si="5"/>
        <v>2</v>
      </c>
      <c r="H27" s="13">
        <f t="shared" si="5"/>
        <v>5</v>
      </c>
      <c r="I27" s="13">
        <f t="shared" si="5"/>
        <v>0</v>
      </c>
      <c r="J27" s="13">
        <f t="shared" si="5"/>
        <v>1</v>
      </c>
      <c r="K27" s="13">
        <f t="shared" si="5"/>
        <v>4</v>
      </c>
      <c r="L27" s="13">
        <f t="shared" si="5"/>
        <v>0</v>
      </c>
      <c r="M27" s="13">
        <f t="shared" si="5"/>
        <v>5</v>
      </c>
      <c r="N27" s="13">
        <f t="shared" si="5"/>
        <v>3</v>
      </c>
      <c r="O27" s="13">
        <f t="shared" si="5"/>
        <v>6</v>
      </c>
      <c r="P27" s="13">
        <f t="shared" si="5"/>
        <v>4</v>
      </c>
      <c r="Q27" s="13">
        <f t="shared" si="5"/>
        <v>4</v>
      </c>
      <c r="R27" s="13">
        <f t="shared" si="5"/>
        <v>5</v>
      </c>
      <c r="S27" s="13">
        <f t="shared" si="5"/>
        <v>6</v>
      </c>
      <c r="T27" s="13">
        <f t="shared" si="5"/>
        <v>4</v>
      </c>
      <c r="U27" s="13">
        <f t="shared" si="5"/>
        <v>10</v>
      </c>
      <c r="V27" s="13">
        <f t="shared" si="5"/>
        <v>4</v>
      </c>
      <c r="W27" s="13">
        <f t="shared" si="5"/>
        <v>2</v>
      </c>
      <c r="X27" s="13">
        <f t="shared" si="5"/>
        <v>0</v>
      </c>
      <c r="Y27" s="13">
        <f t="shared" si="5"/>
        <v>1</v>
      </c>
      <c r="Z27" s="13">
        <f t="shared" si="5"/>
        <v>10</v>
      </c>
      <c r="AA27" s="13">
        <f t="shared" si="5"/>
        <v>0</v>
      </c>
      <c r="AB27" s="13">
        <f t="shared" si="5"/>
        <v>2</v>
      </c>
      <c r="AC27" s="13">
        <f t="shared" si="5"/>
        <v>2</v>
      </c>
      <c r="AD27" s="13">
        <f t="shared" si="5"/>
        <v>15</v>
      </c>
      <c r="AE27" s="13">
        <f t="shared" si="5"/>
        <v>6</v>
      </c>
      <c r="AF27" s="13">
        <f t="shared" si="5"/>
        <v>2</v>
      </c>
      <c r="AG27" s="13">
        <f t="shared" si="5"/>
        <v>6</v>
      </c>
      <c r="AH27" s="13">
        <f t="shared" si="5"/>
        <v>18</v>
      </c>
      <c r="AI27" s="13">
        <f t="shared" si="2"/>
        <v>132</v>
      </c>
    </row>
    <row r="28" spans="1:35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AH28" si="6">SUM(E19,E22,E25)</f>
        <v>84</v>
      </c>
      <c r="F28" s="13">
        <f t="shared" si="6"/>
        <v>65</v>
      </c>
      <c r="G28" s="13">
        <f t="shared" si="6"/>
        <v>96</v>
      </c>
      <c r="H28" s="13">
        <f t="shared" si="6"/>
        <v>95</v>
      </c>
      <c r="I28" s="13">
        <f t="shared" si="6"/>
        <v>99</v>
      </c>
      <c r="J28" s="13">
        <f t="shared" si="6"/>
        <v>96</v>
      </c>
      <c r="K28" s="13">
        <f t="shared" si="6"/>
        <v>111</v>
      </c>
      <c r="L28" s="13">
        <f t="shared" si="6"/>
        <v>84</v>
      </c>
      <c r="M28" s="13">
        <f t="shared" si="6"/>
        <v>88</v>
      </c>
      <c r="N28" s="13">
        <f t="shared" si="6"/>
        <v>98</v>
      </c>
      <c r="O28" s="13">
        <f t="shared" si="6"/>
        <v>80</v>
      </c>
      <c r="P28" s="13">
        <f t="shared" si="6"/>
        <v>99</v>
      </c>
      <c r="Q28" s="13">
        <f t="shared" si="6"/>
        <v>101</v>
      </c>
      <c r="R28" s="13">
        <f t="shared" si="6"/>
        <v>91</v>
      </c>
      <c r="S28" s="13">
        <f t="shared" si="6"/>
        <v>104</v>
      </c>
      <c r="T28" s="13">
        <f t="shared" si="6"/>
        <v>87</v>
      </c>
      <c r="U28" s="13">
        <f t="shared" si="6"/>
        <v>95</v>
      </c>
      <c r="V28" s="13">
        <f t="shared" si="6"/>
        <v>104</v>
      </c>
      <c r="W28" s="13">
        <f t="shared" si="6"/>
        <v>86</v>
      </c>
      <c r="X28" s="13">
        <f t="shared" si="6"/>
        <v>101</v>
      </c>
      <c r="Y28" s="13">
        <f t="shared" si="6"/>
        <v>86</v>
      </c>
      <c r="Z28" s="13">
        <f t="shared" si="6"/>
        <v>99</v>
      </c>
      <c r="AA28" s="13">
        <f t="shared" si="6"/>
        <v>102</v>
      </c>
      <c r="AB28" s="13">
        <f t="shared" si="6"/>
        <v>110</v>
      </c>
      <c r="AC28" s="13">
        <f t="shared" si="6"/>
        <v>83</v>
      </c>
      <c r="AD28" s="13">
        <f t="shared" si="6"/>
        <v>93</v>
      </c>
      <c r="AE28" s="13">
        <f t="shared" si="6"/>
        <v>119</v>
      </c>
      <c r="AF28" s="13">
        <f t="shared" si="6"/>
        <v>105</v>
      </c>
      <c r="AG28" s="13">
        <f t="shared" si="6"/>
        <v>93</v>
      </c>
      <c r="AH28" s="13">
        <f t="shared" si="6"/>
        <v>117</v>
      </c>
      <c r="AI28" s="13">
        <f t="shared" si="2"/>
        <v>2871</v>
      </c>
    </row>
    <row r="29" spans="1:35" ht="12.75" customHeight="1" x14ac:dyDescent="0.4">
      <c r="A29" s="22"/>
      <c r="B29" s="77"/>
      <c r="C29" s="79"/>
      <c r="D29" s="13" t="s">
        <v>12</v>
      </c>
      <c r="E29" s="13">
        <f t="shared" ref="E29:AH29" si="7">SUM(E20,E23,E26)</f>
        <v>98</v>
      </c>
      <c r="F29" s="13">
        <f t="shared" si="7"/>
        <v>62</v>
      </c>
      <c r="G29" s="13">
        <f t="shared" si="7"/>
        <v>113</v>
      </c>
      <c r="H29" s="13">
        <f t="shared" si="7"/>
        <v>108</v>
      </c>
      <c r="I29" s="13">
        <f t="shared" si="7"/>
        <v>111</v>
      </c>
      <c r="J29" s="13">
        <f t="shared" si="7"/>
        <v>109</v>
      </c>
      <c r="K29" s="13">
        <f t="shared" si="7"/>
        <v>124</v>
      </c>
      <c r="L29" s="13">
        <f t="shared" si="7"/>
        <v>114</v>
      </c>
      <c r="M29" s="13">
        <f t="shared" si="7"/>
        <v>110</v>
      </c>
      <c r="N29" s="13">
        <f t="shared" si="7"/>
        <v>103</v>
      </c>
      <c r="O29" s="13">
        <f t="shared" si="7"/>
        <v>97</v>
      </c>
      <c r="P29" s="13">
        <f t="shared" si="7"/>
        <v>99</v>
      </c>
      <c r="Q29" s="13">
        <f t="shared" si="7"/>
        <v>118</v>
      </c>
      <c r="R29" s="13">
        <f t="shared" si="7"/>
        <v>112</v>
      </c>
      <c r="S29" s="13">
        <f t="shared" si="7"/>
        <v>122</v>
      </c>
      <c r="T29" s="13">
        <f t="shared" si="7"/>
        <v>102</v>
      </c>
      <c r="U29" s="13">
        <f t="shared" si="7"/>
        <v>114</v>
      </c>
      <c r="V29" s="13">
        <f t="shared" si="7"/>
        <v>112</v>
      </c>
      <c r="W29" s="13">
        <f t="shared" si="7"/>
        <v>100</v>
      </c>
      <c r="X29" s="13">
        <f t="shared" si="7"/>
        <v>101</v>
      </c>
      <c r="Y29" s="13">
        <f t="shared" si="7"/>
        <v>104</v>
      </c>
      <c r="Z29" s="13">
        <f t="shared" si="7"/>
        <v>113</v>
      </c>
      <c r="AA29" s="13">
        <f t="shared" si="7"/>
        <v>104</v>
      </c>
      <c r="AB29" s="13">
        <f t="shared" si="7"/>
        <v>112</v>
      </c>
      <c r="AC29" s="13">
        <f t="shared" si="7"/>
        <v>104</v>
      </c>
      <c r="AD29" s="13">
        <f t="shared" si="7"/>
        <v>127</v>
      </c>
      <c r="AE29" s="13">
        <f t="shared" si="7"/>
        <v>124</v>
      </c>
      <c r="AF29" s="13">
        <f t="shared" si="7"/>
        <v>102</v>
      </c>
      <c r="AG29" s="13">
        <f t="shared" si="7"/>
        <v>126</v>
      </c>
      <c r="AH29" s="13">
        <f t="shared" si="7"/>
        <v>121</v>
      </c>
      <c r="AI29" s="13">
        <f t="shared" si="2"/>
        <v>3266</v>
      </c>
    </row>
    <row r="30" spans="1:35" ht="12.75" customHeight="1" x14ac:dyDescent="0.4">
      <c r="A30" s="22"/>
      <c r="B30" s="69"/>
      <c r="C30" s="80"/>
      <c r="D30" s="13" t="s">
        <v>13</v>
      </c>
      <c r="E30" s="13">
        <f t="shared" ref="E30:AH30" si="8">SUM(E28:E29)</f>
        <v>182</v>
      </c>
      <c r="F30" s="13">
        <f t="shared" si="8"/>
        <v>127</v>
      </c>
      <c r="G30" s="13">
        <f t="shared" si="8"/>
        <v>209</v>
      </c>
      <c r="H30" s="13">
        <f t="shared" si="8"/>
        <v>203</v>
      </c>
      <c r="I30" s="13">
        <f t="shared" si="8"/>
        <v>210</v>
      </c>
      <c r="J30" s="13">
        <f t="shared" si="8"/>
        <v>205</v>
      </c>
      <c r="K30" s="13">
        <f t="shared" si="8"/>
        <v>235</v>
      </c>
      <c r="L30" s="13">
        <f t="shared" si="8"/>
        <v>198</v>
      </c>
      <c r="M30" s="13">
        <f t="shared" si="8"/>
        <v>198</v>
      </c>
      <c r="N30" s="13">
        <f t="shared" si="8"/>
        <v>201</v>
      </c>
      <c r="O30" s="13">
        <f t="shared" si="8"/>
        <v>177</v>
      </c>
      <c r="P30" s="13">
        <f t="shared" si="8"/>
        <v>198</v>
      </c>
      <c r="Q30" s="13">
        <f t="shared" si="8"/>
        <v>219</v>
      </c>
      <c r="R30" s="13">
        <f t="shared" si="8"/>
        <v>203</v>
      </c>
      <c r="S30" s="13">
        <f t="shared" si="8"/>
        <v>226</v>
      </c>
      <c r="T30" s="13">
        <f t="shared" si="8"/>
        <v>189</v>
      </c>
      <c r="U30" s="13">
        <f t="shared" si="8"/>
        <v>209</v>
      </c>
      <c r="V30" s="13">
        <f t="shared" si="8"/>
        <v>216</v>
      </c>
      <c r="W30" s="13">
        <f t="shared" si="8"/>
        <v>186</v>
      </c>
      <c r="X30" s="13">
        <f t="shared" si="8"/>
        <v>202</v>
      </c>
      <c r="Y30" s="13">
        <f t="shared" si="8"/>
        <v>190</v>
      </c>
      <c r="Z30" s="13">
        <f t="shared" si="8"/>
        <v>212</v>
      </c>
      <c r="AA30" s="13">
        <f t="shared" si="8"/>
        <v>206</v>
      </c>
      <c r="AB30" s="13">
        <f t="shared" si="8"/>
        <v>222</v>
      </c>
      <c r="AC30" s="13">
        <f t="shared" si="8"/>
        <v>187</v>
      </c>
      <c r="AD30" s="13">
        <f t="shared" si="8"/>
        <v>220</v>
      </c>
      <c r="AE30" s="13">
        <f t="shared" si="8"/>
        <v>243</v>
      </c>
      <c r="AF30" s="13">
        <f t="shared" si="8"/>
        <v>207</v>
      </c>
      <c r="AG30" s="13">
        <f t="shared" si="8"/>
        <v>219</v>
      </c>
      <c r="AH30" s="13">
        <f t="shared" si="8"/>
        <v>238</v>
      </c>
      <c r="AI30" s="13">
        <f t="shared" si="2"/>
        <v>6137</v>
      </c>
    </row>
    <row r="31" spans="1:35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9"/>
    </row>
    <row r="32" spans="1:35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49"/>
    </row>
    <row r="33" spans="1:35" ht="12.75" customHeight="1" x14ac:dyDescent="0.4">
      <c r="A33" s="16">
        <v>1</v>
      </c>
      <c r="B33" s="74" t="s">
        <v>26</v>
      </c>
      <c r="C33" s="61"/>
      <c r="D33" s="62"/>
      <c r="E33" s="16">
        <v>260</v>
      </c>
      <c r="F33" s="16">
        <v>186</v>
      </c>
      <c r="G33" s="16">
        <v>294</v>
      </c>
      <c r="H33" s="16">
        <v>288</v>
      </c>
      <c r="I33" s="16">
        <v>284</v>
      </c>
      <c r="J33" s="16">
        <v>281</v>
      </c>
      <c r="K33" s="16">
        <v>302</v>
      </c>
      <c r="L33" s="16">
        <v>295</v>
      </c>
      <c r="M33" s="16">
        <v>281</v>
      </c>
      <c r="N33" s="16">
        <v>282</v>
      </c>
      <c r="O33" s="16">
        <v>231</v>
      </c>
      <c r="P33" s="16">
        <v>280</v>
      </c>
      <c r="Q33" s="16">
        <v>272</v>
      </c>
      <c r="R33" s="16">
        <v>282</v>
      </c>
      <c r="S33" s="16">
        <v>297</v>
      </c>
      <c r="T33" s="16">
        <v>275</v>
      </c>
      <c r="U33" s="16">
        <v>284</v>
      </c>
      <c r="V33" s="16">
        <v>287</v>
      </c>
      <c r="W33" s="16">
        <v>265</v>
      </c>
      <c r="X33" s="16">
        <v>259</v>
      </c>
      <c r="Y33" s="16">
        <v>296</v>
      </c>
      <c r="Z33" s="16">
        <v>296</v>
      </c>
      <c r="AA33" s="16">
        <v>296</v>
      </c>
      <c r="AB33" s="16">
        <v>295</v>
      </c>
      <c r="AC33" s="16">
        <v>294</v>
      </c>
      <c r="AD33" s="16">
        <v>296</v>
      </c>
      <c r="AE33" s="16">
        <v>297</v>
      </c>
      <c r="AF33" s="16">
        <v>294</v>
      </c>
      <c r="AG33" s="16">
        <v>296</v>
      </c>
      <c r="AH33" s="16">
        <v>294</v>
      </c>
      <c r="AI33" s="13">
        <f t="shared" ref="AI33:AI36" si="9">SUM(E33:AH33)</f>
        <v>8439</v>
      </c>
    </row>
    <row r="34" spans="1:35" ht="12.75" customHeight="1" x14ac:dyDescent="0.4">
      <c r="A34" s="16">
        <v>2</v>
      </c>
      <c r="B34" s="74" t="s">
        <v>27</v>
      </c>
      <c r="C34" s="61"/>
      <c r="D34" s="62"/>
      <c r="E34" s="13">
        <v>182</v>
      </c>
      <c r="F34" s="13">
        <v>127</v>
      </c>
      <c r="G34" s="13">
        <v>209</v>
      </c>
      <c r="H34" s="13">
        <v>203</v>
      </c>
      <c r="I34" s="13">
        <v>210</v>
      </c>
      <c r="J34" s="13">
        <v>205</v>
      </c>
      <c r="K34" s="13">
        <v>235</v>
      </c>
      <c r="L34" s="13">
        <v>198</v>
      </c>
      <c r="M34" s="13">
        <v>198</v>
      </c>
      <c r="N34" s="13">
        <v>201</v>
      </c>
      <c r="O34" s="13">
        <v>177</v>
      </c>
      <c r="P34" s="13">
        <v>198</v>
      </c>
      <c r="Q34" s="13">
        <v>219</v>
      </c>
      <c r="R34" s="13">
        <v>203</v>
      </c>
      <c r="S34" s="13">
        <v>226</v>
      </c>
      <c r="T34" s="13">
        <v>189</v>
      </c>
      <c r="U34" s="13">
        <v>209</v>
      </c>
      <c r="V34" s="13">
        <v>216</v>
      </c>
      <c r="W34" s="13">
        <v>186</v>
      </c>
      <c r="X34" s="13">
        <v>202</v>
      </c>
      <c r="Y34" s="13">
        <v>190</v>
      </c>
      <c r="Z34" s="13">
        <v>212</v>
      </c>
      <c r="AA34" s="13">
        <v>206</v>
      </c>
      <c r="AB34" s="13">
        <v>222</v>
      </c>
      <c r="AC34" s="13">
        <v>187</v>
      </c>
      <c r="AD34" s="13">
        <v>220</v>
      </c>
      <c r="AE34" s="13">
        <v>243</v>
      </c>
      <c r="AF34" s="13">
        <v>207</v>
      </c>
      <c r="AG34" s="13">
        <v>219</v>
      </c>
      <c r="AH34" s="13">
        <v>238</v>
      </c>
      <c r="AI34" s="13">
        <f t="shared" si="9"/>
        <v>6137</v>
      </c>
    </row>
    <row r="35" spans="1:35" ht="12.75" customHeight="1" x14ac:dyDescent="0.4">
      <c r="A35" s="16">
        <v>3</v>
      </c>
      <c r="B35" s="74" t="s">
        <v>28</v>
      </c>
      <c r="C35" s="61"/>
      <c r="D35" s="62"/>
      <c r="E35" s="16">
        <v>1</v>
      </c>
      <c r="F35" s="16">
        <v>0</v>
      </c>
      <c r="G35" s="16">
        <v>0</v>
      </c>
      <c r="H35" s="16">
        <v>0</v>
      </c>
      <c r="I35" s="16">
        <v>3</v>
      </c>
      <c r="J35" s="16">
        <v>1</v>
      </c>
      <c r="K35" s="16">
        <v>0</v>
      </c>
      <c r="L35" s="16">
        <v>0</v>
      </c>
      <c r="M35" s="16">
        <v>3</v>
      </c>
      <c r="N35" s="16">
        <v>0</v>
      </c>
      <c r="O35" s="16">
        <v>0</v>
      </c>
      <c r="P35" s="16">
        <v>0</v>
      </c>
      <c r="Q35" s="16">
        <v>0</v>
      </c>
      <c r="R35" s="16">
        <v>2</v>
      </c>
      <c r="S35" s="16">
        <v>0</v>
      </c>
      <c r="T35" s="16">
        <v>0</v>
      </c>
      <c r="U35" s="16">
        <v>2</v>
      </c>
      <c r="V35" s="16">
        <v>0</v>
      </c>
      <c r="W35" s="16">
        <v>1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2</v>
      </c>
      <c r="AG35" s="16">
        <v>0</v>
      </c>
      <c r="AH35" s="16">
        <v>0</v>
      </c>
      <c r="AI35" s="13">
        <f t="shared" si="9"/>
        <v>15</v>
      </c>
    </row>
    <row r="36" spans="1:35" ht="12.75" customHeight="1" x14ac:dyDescent="0.4">
      <c r="A36" s="16">
        <v>4</v>
      </c>
      <c r="B36" s="74" t="s">
        <v>29</v>
      </c>
      <c r="C36" s="61"/>
      <c r="D36" s="62"/>
      <c r="E36" s="13">
        <f t="shared" ref="E36:AH36" si="10">E33-(E34+E35)</f>
        <v>77</v>
      </c>
      <c r="F36" s="13">
        <f t="shared" si="10"/>
        <v>59</v>
      </c>
      <c r="G36" s="13">
        <f t="shared" si="10"/>
        <v>85</v>
      </c>
      <c r="H36" s="13">
        <f t="shared" si="10"/>
        <v>85</v>
      </c>
      <c r="I36" s="13">
        <f t="shared" si="10"/>
        <v>71</v>
      </c>
      <c r="J36" s="13">
        <f t="shared" si="10"/>
        <v>75</v>
      </c>
      <c r="K36" s="13">
        <f t="shared" si="10"/>
        <v>67</v>
      </c>
      <c r="L36" s="13">
        <f t="shared" si="10"/>
        <v>97</v>
      </c>
      <c r="M36" s="13">
        <f t="shared" si="10"/>
        <v>80</v>
      </c>
      <c r="N36" s="13">
        <f t="shared" si="10"/>
        <v>81</v>
      </c>
      <c r="O36" s="13">
        <f t="shared" si="10"/>
        <v>54</v>
      </c>
      <c r="P36" s="13">
        <f t="shared" si="10"/>
        <v>82</v>
      </c>
      <c r="Q36" s="13">
        <f t="shared" si="10"/>
        <v>53</v>
      </c>
      <c r="R36" s="13">
        <f t="shared" si="10"/>
        <v>77</v>
      </c>
      <c r="S36" s="13">
        <f t="shared" si="10"/>
        <v>71</v>
      </c>
      <c r="T36" s="13">
        <f t="shared" si="10"/>
        <v>86</v>
      </c>
      <c r="U36" s="13">
        <f t="shared" si="10"/>
        <v>73</v>
      </c>
      <c r="V36" s="13">
        <f t="shared" si="10"/>
        <v>71</v>
      </c>
      <c r="W36" s="13">
        <f t="shared" si="10"/>
        <v>78</v>
      </c>
      <c r="X36" s="13">
        <f t="shared" si="10"/>
        <v>57</v>
      </c>
      <c r="Y36" s="13">
        <f t="shared" si="10"/>
        <v>106</v>
      </c>
      <c r="Z36" s="13">
        <f t="shared" si="10"/>
        <v>84</v>
      </c>
      <c r="AA36" s="13">
        <f t="shared" si="10"/>
        <v>90</v>
      </c>
      <c r="AB36" s="13">
        <f t="shared" si="10"/>
        <v>73</v>
      </c>
      <c r="AC36" s="13">
        <f t="shared" si="10"/>
        <v>107</v>
      </c>
      <c r="AD36" s="13">
        <f t="shared" si="10"/>
        <v>76</v>
      </c>
      <c r="AE36" s="13">
        <f t="shared" si="10"/>
        <v>54</v>
      </c>
      <c r="AF36" s="13">
        <f t="shared" si="10"/>
        <v>85</v>
      </c>
      <c r="AG36" s="13">
        <f t="shared" si="10"/>
        <v>77</v>
      </c>
      <c r="AH36" s="13">
        <f t="shared" si="10"/>
        <v>56</v>
      </c>
      <c r="AI36" s="13">
        <f t="shared" si="9"/>
        <v>2287</v>
      </c>
    </row>
    <row r="37" spans="1:35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49"/>
    </row>
    <row r="38" spans="1:35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49"/>
    </row>
    <row r="39" spans="1:35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1</v>
      </c>
      <c r="H39" s="16">
        <v>0</v>
      </c>
      <c r="I39" s="16">
        <v>0</v>
      </c>
      <c r="J39" s="16">
        <v>1</v>
      </c>
      <c r="K39" s="16">
        <v>0</v>
      </c>
      <c r="L39" s="16">
        <v>1</v>
      </c>
      <c r="M39" s="16">
        <v>0</v>
      </c>
      <c r="N39" s="16">
        <v>0</v>
      </c>
      <c r="O39" s="16">
        <v>1</v>
      </c>
      <c r="P39" s="16">
        <v>0</v>
      </c>
      <c r="Q39" s="16">
        <v>1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1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1</v>
      </c>
      <c r="AG39" s="16">
        <v>0</v>
      </c>
      <c r="AH39" s="16">
        <v>0</v>
      </c>
      <c r="AI39" s="13">
        <f t="shared" ref="AI39:AI41" si="11">SUM(E39:AH39)</f>
        <v>7</v>
      </c>
    </row>
    <row r="40" spans="1:35" ht="12.75" customHeight="1" x14ac:dyDescent="0.4">
      <c r="A40" s="21"/>
      <c r="B40" s="85"/>
      <c r="C40" s="77"/>
      <c r="D40" s="16" t="s">
        <v>12</v>
      </c>
      <c r="E40" s="16">
        <v>1</v>
      </c>
      <c r="F40" s="16">
        <v>2</v>
      </c>
      <c r="G40" s="16">
        <v>3</v>
      </c>
      <c r="H40" s="16">
        <v>1</v>
      </c>
      <c r="I40" s="16">
        <v>0</v>
      </c>
      <c r="J40" s="16">
        <v>0</v>
      </c>
      <c r="K40" s="16">
        <v>0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2</v>
      </c>
      <c r="Z40" s="16">
        <v>0</v>
      </c>
      <c r="AA40" s="16">
        <v>0</v>
      </c>
      <c r="AB40" s="16">
        <v>0</v>
      </c>
      <c r="AC40" s="16">
        <v>0</v>
      </c>
      <c r="AD40" s="16">
        <v>0</v>
      </c>
      <c r="AE40" s="16">
        <v>0</v>
      </c>
      <c r="AF40" s="16">
        <v>0</v>
      </c>
      <c r="AG40" s="16">
        <v>0</v>
      </c>
      <c r="AH40" s="16">
        <v>0</v>
      </c>
      <c r="AI40" s="13">
        <f t="shared" si="11"/>
        <v>10</v>
      </c>
    </row>
    <row r="41" spans="1:35" ht="12.75" customHeight="1" x14ac:dyDescent="0.4">
      <c r="A41" s="25"/>
      <c r="B41" s="68"/>
      <c r="C41" s="69"/>
      <c r="D41" s="13" t="s">
        <v>13</v>
      </c>
      <c r="E41" s="13">
        <f t="shared" ref="E41:AH41" si="12">SUM(E39:E40)</f>
        <v>1</v>
      </c>
      <c r="F41" s="13">
        <f t="shared" si="12"/>
        <v>2</v>
      </c>
      <c r="G41" s="13">
        <f t="shared" si="12"/>
        <v>4</v>
      </c>
      <c r="H41" s="13">
        <f t="shared" si="12"/>
        <v>1</v>
      </c>
      <c r="I41" s="13">
        <f t="shared" si="12"/>
        <v>0</v>
      </c>
      <c r="J41" s="13">
        <f t="shared" si="12"/>
        <v>1</v>
      </c>
      <c r="K41" s="13">
        <f t="shared" si="12"/>
        <v>0</v>
      </c>
      <c r="L41" s="13">
        <f t="shared" si="12"/>
        <v>2</v>
      </c>
      <c r="M41" s="13">
        <f t="shared" si="12"/>
        <v>0</v>
      </c>
      <c r="N41" s="13">
        <f t="shared" si="12"/>
        <v>0</v>
      </c>
      <c r="O41" s="13">
        <f t="shared" si="12"/>
        <v>1</v>
      </c>
      <c r="P41" s="13">
        <f t="shared" si="12"/>
        <v>0</v>
      </c>
      <c r="Q41" s="13">
        <f t="shared" si="12"/>
        <v>1</v>
      </c>
      <c r="R41" s="13">
        <f t="shared" si="12"/>
        <v>0</v>
      </c>
      <c r="S41" s="13">
        <f t="shared" si="12"/>
        <v>0</v>
      </c>
      <c r="T41" s="13">
        <f t="shared" si="12"/>
        <v>0</v>
      </c>
      <c r="U41" s="13">
        <f t="shared" si="12"/>
        <v>0</v>
      </c>
      <c r="V41" s="13">
        <f t="shared" si="12"/>
        <v>0</v>
      </c>
      <c r="W41" s="13">
        <f t="shared" si="12"/>
        <v>1</v>
      </c>
      <c r="X41" s="13">
        <f t="shared" si="12"/>
        <v>0</v>
      </c>
      <c r="Y41" s="13">
        <f t="shared" si="12"/>
        <v>2</v>
      </c>
      <c r="Z41" s="13">
        <f t="shared" si="12"/>
        <v>0</v>
      </c>
      <c r="AA41" s="13">
        <f t="shared" si="12"/>
        <v>0</v>
      </c>
      <c r="AB41" s="13">
        <f t="shared" si="12"/>
        <v>0</v>
      </c>
      <c r="AC41" s="13">
        <f t="shared" si="12"/>
        <v>0</v>
      </c>
      <c r="AD41" s="13">
        <f t="shared" si="12"/>
        <v>0</v>
      </c>
      <c r="AE41" s="13">
        <f t="shared" si="12"/>
        <v>0</v>
      </c>
      <c r="AF41" s="13">
        <f t="shared" si="12"/>
        <v>1</v>
      </c>
      <c r="AG41" s="13">
        <f t="shared" si="12"/>
        <v>0</v>
      </c>
      <c r="AH41" s="13">
        <f t="shared" si="12"/>
        <v>0</v>
      </c>
      <c r="AI41" s="13">
        <f t="shared" si="11"/>
        <v>17</v>
      </c>
    </row>
    <row r="42" spans="1:35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48"/>
      <c r="U42" s="16"/>
      <c r="V42" s="48"/>
      <c r="W42" s="16"/>
      <c r="X42" s="48"/>
      <c r="Y42" s="48"/>
      <c r="Z42" s="16"/>
      <c r="AA42" s="48"/>
      <c r="AB42" s="16"/>
      <c r="AC42" s="48"/>
      <c r="AD42" s="16"/>
      <c r="AE42" s="48"/>
      <c r="AF42" s="16"/>
      <c r="AG42" s="48"/>
      <c r="AH42" s="16"/>
      <c r="AI42" s="13"/>
    </row>
    <row r="43" spans="1:35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50"/>
      <c r="U43" s="13"/>
      <c r="V43" s="50"/>
      <c r="W43" s="13"/>
      <c r="X43" s="50"/>
      <c r="Y43" s="50"/>
      <c r="Z43" s="13"/>
      <c r="AA43" s="50"/>
      <c r="AB43" s="13"/>
      <c r="AC43" s="50"/>
      <c r="AD43" s="13"/>
      <c r="AE43" s="50"/>
      <c r="AF43" s="13"/>
      <c r="AG43" s="50"/>
      <c r="AH43" s="13"/>
      <c r="AI43" s="13"/>
    </row>
    <row r="44" spans="1:35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48"/>
      <c r="U44" s="16"/>
      <c r="V44" s="48"/>
      <c r="W44" s="16"/>
      <c r="X44" s="48"/>
      <c r="Y44" s="48"/>
      <c r="Z44" s="16"/>
      <c r="AA44" s="48"/>
      <c r="AB44" s="16"/>
      <c r="AC44" s="48"/>
      <c r="AD44" s="16"/>
      <c r="AE44" s="48"/>
      <c r="AF44" s="16"/>
      <c r="AG44" s="48"/>
      <c r="AH44" s="16"/>
      <c r="AI44" s="13"/>
    </row>
    <row r="45" spans="1:35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3</v>
      </c>
      <c r="F45" s="16">
        <v>4</v>
      </c>
      <c r="G45" s="16">
        <v>3</v>
      </c>
      <c r="H45" s="16">
        <v>7</v>
      </c>
      <c r="I45" s="16">
        <v>4</v>
      </c>
      <c r="J45" s="16">
        <v>8</v>
      </c>
      <c r="K45" s="16">
        <v>11</v>
      </c>
      <c r="L45" s="16">
        <v>1</v>
      </c>
      <c r="M45" s="16">
        <v>2</v>
      </c>
      <c r="N45" s="16">
        <v>3</v>
      </c>
      <c r="O45" s="16">
        <v>2</v>
      </c>
      <c r="P45" s="16">
        <v>4</v>
      </c>
      <c r="Q45" s="16">
        <v>4</v>
      </c>
      <c r="R45" s="16">
        <v>0</v>
      </c>
      <c r="S45" s="16">
        <v>8</v>
      </c>
      <c r="T45" s="16">
        <v>8</v>
      </c>
      <c r="U45" s="16">
        <v>2</v>
      </c>
      <c r="V45" s="16">
        <v>5</v>
      </c>
      <c r="W45" s="16">
        <v>2</v>
      </c>
      <c r="X45" s="16">
        <v>4</v>
      </c>
      <c r="Y45" s="16">
        <v>5</v>
      </c>
      <c r="Z45" s="16">
        <v>6</v>
      </c>
      <c r="AA45" s="16">
        <v>2</v>
      </c>
      <c r="AB45" s="16">
        <v>2</v>
      </c>
      <c r="AC45" s="16">
        <v>5</v>
      </c>
      <c r="AD45" s="16">
        <v>1</v>
      </c>
      <c r="AE45" s="16">
        <v>3</v>
      </c>
      <c r="AF45" s="16">
        <v>7</v>
      </c>
      <c r="AG45" s="16">
        <v>2</v>
      </c>
      <c r="AH45" s="16">
        <v>2</v>
      </c>
      <c r="AI45" s="13">
        <f t="shared" ref="AI45:AI54" si="13">SUM(E45:AH45)</f>
        <v>120</v>
      </c>
    </row>
    <row r="46" spans="1:35" ht="12.75" customHeight="1" x14ac:dyDescent="0.4">
      <c r="A46" s="20" t="s">
        <v>38</v>
      </c>
      <c r="B46" s="28"/>
      <c r="C46" s="29" t="s">
        <v>39</v>
      </c>
      <c r="D46" s="30"/>
      <c r="E46" s="16">
        <v>5</v>
      </c>
      <c r="F46" s="16">
        <v>0</v>
      </c>
      <c r="G46" s="16">
        <v>1</v>
      </c>
      <c r="H46" s="16">
        <v>11</v>
      </c>
      <c r="I46" s="16">
        <v>4</v>
      </c>
      <c r="J46" s="16">
        <v>4</v>
      </c>
      <c r="K46" s="16">
        <v>4</v>
      </c>
      <c r="L46" s="16">
        <v>0</v>
      </c>
      <c r="M46" s="16">
        <v>1</v>
      </c>
      <c r="N46" s="16">
        <v>1</v>
      </c>
      <c r="O46" s="16">
        <v>2</v>
      </c>
      <c r="P46" s="16">
        <v>3</v>
      </c>
      <c r="Q46" s="16">
        <v>0</v>
      </c>
      <c r="R46" s="16">
        <v>1</v>
      </c>
      <c r="S46" s="16">
        <v>5</v>
      </c>
      <c r="T46" s="16">
        <v>1</v>
      </c>
      <c r="U46" s="16">
        <v>2</v>
      </c>
      <c r="V46" s="16">
        <v>4</v>
      </c>
      <c r="W46" s="16">
        <v>1</v>
      </c>
      <c r="X46" s="16">
        <v>1</v>
      </c>
      <c r="Y46" s="16">
        <v>2</v>
      </c>
      <c r="Z46" s="16">
        <v>1</v>
      </c>
      <c r="AA46" s="16">
        <v>1</v>
      </c>
      <c r="AB46" s="16">
        <v>3</v>
      </c>
      <c r="AC46" s="16">
        <v>3</v>
      </c>
      <c r="AD46" s="16">
        <v>2</v>
      </c>
      <c r="AE46" s="16">
        <v>2</v>
      </c>
      <c r="AF46" s="16">
        <v>2</v>
      </c>
      <c r="AG46" s="16">
        <v>2</v>
      </c>
      <c r="AH46" s="16">
        <v>1</v>
      </c>
      <c r="AI46" s="13">
        <f t="shared" si="13"/>
        <v>70</v>
      </c>
    </row>
    <row r="47" spans="1:35" ht="12.75" customHeight="1" x14ac:dyDescent="0.4">
      <c r="A47" s="15"/>
      <c r="B47" s="28"/>
      <c r="C47" s="29" t="s">
        <v>40</v>
      </c>
      <c r="D47" s="30"/>
      <c r="E47" s="16">
        <v>5</v>
      </c>
      <c r="F47" s="16">
        <v>1</v>
      </c>
      <c r="G47" s="16">
        <v>10</v>
      </c>
      <c r="H47" s="16">
        <v>3</v>
      </c>
      <c r="I47" s="16">
        <v>2</v>
      </c>
      <c r="J47" s="16">
        <v>4</v>
      </c>
      <c r="K47" s="16">
        <v>3</v>
      </c>
      <c r="L47" s="16">
        <v>4</v>
      </c>
      <c r="M47" s="16">
        <v>8</v>
      </c>
      <c r="N47" s="16">
        <v>1</v>
      </c>
      <c r="O47" s="16">
        <v>0</v>
      </c>
      <c r="P47" s="16">
        <v>3</v>
      </c>
      <c r="Q47" s="16">
        <v>4</v>
      </c>
      <c r="R47" s="16">
        <v>5</v>
      </c>
      <c r="S47" s="16">
        <v>9</v>
      </c>
      <c r="T47" s="16">
        <v>4</v>
      </c>
      <c r="U47" s="16">
        <v>4</v>
      </c>
      <c r="V47" s="16">
        <v>3</v>
      </c>
      <c r="W47" s="16">
        <v>1</v>
      </c>
      <c r="X47" s="16">
        <v>2</v>
      </c>
      <c r="Y47" s="16">
        <v>1</v>
      </c>
      <c r="Z47" s="16">
        <v>3</v>
      </c>
      <c r="AA47" s="16">
        <v>3</v>
      </c>
      <c r="AB47" s="16">
        <v>1</v>
      </c>
      <c r="AC47" s="16">
        <v>5</v>
      </c>
      <c r="AD47" s="16">
        <v>2</v>
      </c>
      <c r="AE47" s="16">
        <v>0</v>
      </c>
      <c r="AF47" s="16">
        <v>4</v>
      </c>
      <c r="AG47" s="16">
        <v>1</v>
      </c>
      <c r="AH47" s="16">
        <v>1</v>
      </c>
      <c r="AI47" s="13">
        <f t="shared" si="13"/>
        <v>97</v>
      </c>
    </row>
    <row r="48" spans="1:35" ht="12.75" customHeight="1" x14ac:dyDescent="0.4">
      <c r="A48" s="15"/>
      <c r="B48" s="28"/>
      <c r="C48" s="29" t="s">
        <v>41</v>
      </c>
      <c r="D48" s="30"/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1</v>
      </c>
      <c r="K48" s="16">
        <v>1</v>
      </c>
      <c r="L48" s="16">
        <v>0</v>
      </c>
      <c r="M48" s="16">
        <v>0</v>
      </c>
      <c r="N48" s="16">
        <v>1</v>
      </c>
      <c r="O48" s="16">
        <v>0</v>
      </c>
      <c r="P48" s="16">
        <v>1</v>
      </c>
      <c r="Q48" s="16">
        <v>1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1</v>
      </c>
      <c r="X48" s="16">
        <v>0</v>
      </c>
      <c r="Y48" s="16">
        <v>0</v>
      </c>
      <c r="Z48" s="16">
        <v>1</v>
      </c>
      <c r="AA48" s="16">
        <v>0</v>
      </c>
      <c r="AB48" s="16">
        <v>0</v>
      </c>
      <c r="AC48" s="16">
        <v>0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3">
        <f t="shared" si="13"/>
        <v>8</v>
      </c>
    </row>
    <row r="49" spans="1:35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0</v>
      </c>
      <c r="H49" s="16">
        <v>1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1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3">
        <f t="shared" si="13"/>
        <v>2</v>
      </c>
    </row>
    <row r="50" spans="1:35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1</v>
      </c>
      <c r="Z50" s="16">
        <v>0</v>
      </c>
      <c r="AA50" s="16">
        <v>0</v>
      </c>
      <c r="AB50" s="16">
        <v>0</v>
      </c>
      <c r="AC50" s="16">
        <v>2</v>
      </c>
      <c r="AD50" s="16">
        <v>2</v>
      </c>
      <c r="AE50" s="16">
        <v>0</v>
      </c>
      <c r="AF50" s="16">
        <v>1</v>
      </c>
      <c r="AG50" s="16">
        <v>0</v>
      </c>
      <c r="AH50" s="16">
        <v>0</v>
      </c>
      <c r="AI50" s="13">
        <f t="shared" si="13"/>
        <v>6</v>
      </c>
    </row>
    <row r="51" spans="1:35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3</v>
      </c>
      <c r="L51" s="16">
        <v>0</v>
      </c>
      <c r="M51" s="16">
        <v>0</v>
      </c>
      <c r="N51" s="16">
        <v>1</v>
      </c>
      <c r="O51" s="16">
        <v>0</v>
      </c>
      <c r="P51" s="16">
        <v>0</v>
      </c>
      <c r="Q51" s="16">
        <v>0</v>
      </c>
      <c r="R51" s="16">
        <v>0</v>
      </c>
      <c r="S51" s="16">
        <v>0</v>
      </c>
      <c r="T51" s="16">
        <v>0</v>
      </c>
      <c r="U51" s="16">
        <v>0</v>
      </c>
      <c r="V51" s="16">
        <v>3</v>
      </c>
      <c r="W51" s="16">
        <v>0</v>
      </c>
      <c r="X51" s="16">
        <v>0</v>
      </c>
      <c r="Y51" s="16">
        <v>0</v>
      </c>
      <c r="Z51" s="16">
        <v>1</v>
      </c>
      <c r="AA51" s="16">
        <v>0</v>
      </c>
      <c r="AB51" s="16">
        <v>0</v>
      </c>
      <c r="AC51" s="16">
        <v>1</v>
      </c>
      <c r="AD51" s="16">
        <v>0</v>
      </c>
      <c r="AE51" s="16">
        <v>0</v>
      </c>
      <c r="AF51" s="16">
        <v>0</v>
      </c>
      <c r="AG51" s="16">
        <v>0</v>
      </c>
      <c r="AH51" s="16">
        <v>0</v>
      </c>
      <c r="AI51" s="13">
        <f t="shared" si="13"/>
        <v>9</v>
      </c>
    </row>
    <row r="52" spans="1:35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13">
        <f t="shared" si="13"/>
        <v>0</v>
      </c>
    </row>
    <row r="53" spans="1:35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13">
        <f t="shared" si="13"/>
        <v>0</v>
      </c>
    </row>
    <row r="54" spans="1:35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13">
        <f t="shared" si="13"/>
        <v>0</v>
      </c>
    </row>
    <row r="55" spans="1:35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AA55" si="14">SUM(E45:E54)</f>
        <v>13</v>
      </c>
      <c r="F55" s="13">
        <f t="shared" si="14"/>
        <v>5</v>
      </c>
      <c r="G55" s="13">
        <f t="shared" si="14"/>
        <v>14</v>
      </c>
      <c r="H55" s="13">
        <f t="shared" si="14"/>
        <v>22</v>
      </c>
      <c r="I55" s="13">
        <f t="shared" si="14"/>
        <v>10</v>
      </c>
      <c r="J55" s="13">
        <f t="shared" si="14"/>
        <v>17</v>
      </c>
      <c r="K55" s="13">
        <f t="shared" si="14"/>
        <v>22</v>
      </c>
      <c r="L55" s="13">
        <f t="shared" si="14"/>
        <v>5</v>
      </c>
      <c r="M55" s="13">
        <f t="shared" si="14"/>
        <v>11</v>
      </c>
      <c r="N55" s="13">
        <f t="shared" si="14"/>
        <v>7</v>
      </c>
      <c r="O55" s="13">
        <f t="shared" si="14"/>
        <v>4</v>
      </c>
      <c r="P55" s="13">
        <f t="shared" si="14"/>
        <v>11</v>
      </c>
      <c r="Q55" s="13">
        <f t="shared" si="14"/>
        <v>9</v>
      </c>
      <c r="R55" s="13">
        <f t="shared" si="14"/>
        <v>6</v>
      </c>
      <c r="S55" s="13">
        <f t="shared" si="14"/>
        <v>22</v>
      </c>
      <c r="T55" s="13">
        <f t="shared" si="14"/>
        <v>14</v>
      </c>
      <c r="U55" s="13">
        <f t="shared" si="14"/>
        <v>8</v>
      </c>
      <c r="V55" s="13">
        <f t="shared" si="14"/>
        <v>15</v>
      </c>
      <c r="W55" s="13">
        <f t="shared" si="14"/>
        <v>5</v>
      </c>
      <c r="X55" s="13">
        <f t="shared" si="14"/>
        <v>7</v>
      </c>
      <c r="Y55" s="13">
        <f t="shared" si="14"/>
        <v>9</v>
      </c>
      <c r="Z55" s="13">
        <f t="shared" si="14"/>
        <v>13</v>
      </c>
      <c r="AA55" s="13">
        <f t="shared" si="14"/>
        <v>6</v>
      </c>
      <c r="AB55" s="13">
        <v>6</v>
      </c>
      <c r="AC55" s="13">
        <f t="shared" ref="AC55:AI55" si="15">SUM(AC45:AC54)</f>
        <v>16</v>
      </c>
      <c r="AD55" s="13">
        <f t="shared" si="15"/>
        <v>7</v>
      </c>
      <c r="AE55" s="13">
        <f t="shared" si="15"/>
        <v>5</v>
      </c>
      <c r="AF55" s="13">
        <f t="shared" si="15"/>
        <v>14</v>
      </c>
      <c r="AG55" s="13">
        <f t="shared" si="15"/>
        <v>5</v>
      </c>
      <c r="AH55" s="13">
        <f t="shared" si="15"/>
        <v>4</v>
      </c>
      <c r="AI55" s="13">
        <f t="shared" si="15"/>
        <v>312</v>
      </c>
    </row>
    <row r="56" spans="1:35" ht="12.75" customHeight="1" x14ac:dyDescent="0.4">
      <c r="A56" s="86"/>
      <c r="B56" s="68"/>
      <c r="C56" s="68"/>
      <c r="D56" s="68"/>
      <c r="E56" s="68"/>
      <c r="AI56" s="13"/>
    </row>
    <row r="57" spans="1:35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10</v>
      </c>
      <c r="F57" s="16">
        <v>6</v>
      </c>
      <c r="G57" s="16">
        <v>8</v>
      </c>
      <c r="H57" s="16">
        <v>9</v>
      </c>
      <c r="I57" s="16">
        <v>5</v>
      </c>
      <c r="J57" s="16">
        <v>9</v>
      </c>
      <c r="K57" s="16">
        <v>16</v>
      </c>
      <c r="L57" s="16">
        <v>4</v>
      </c>
      <c r="M57" s="16">
        <v>8</v>
      </c>
      <c r="N57" s="16">
        <v>11</v>
      </c>
      <c r="O57" s="16">
        <v>2</v>
      </c>
      <c r="P57" s="16">
        <v>5</v>
      </c>
      <c r="Q57" s="16">
        <v>7</v>
      </c>
      <c r="R57" s="16">
        <v>7</v>
      </c>
      <c r="S57" s="16">
        <v>10</v>
      </c>
      <c r="T57" s="16">
        <v>8</v>
      </c>
      <c r="U57" s="16">
        <v>7</v>
      </c>
      <c r="V57" s="16">
        <v>6</v>
      </c>
      <c r="W57" s="16">
        <v>11</v>
      </c>
      <c r="X57" s="16">
        <v>13</v>
      </c>
      <c r="Y57" s="16">
        <v>13</v>
      </c>
      <c r="Z57" s="16">
        <v>7</v>
      </c>
      <c r="AA57" s="16">
        <v>10</v>
      </c>
      <c r="AB57" s="16">
        <v>3</v>
      </c>
      <c r="AC57" s="16">
        <v>5</v>
      </c>
      <c r="AD57" s="16">
        <v>7</v>
      </c>
      <c r="AE57" s="16">
        <v>8</v>
      </c>
      <c r="AF57" s="16">
        <v>5</v>
      </c>
      <c r="AG57" s="16">
        <v>4</v>
      </c>
      <c r="AH57" s="16">
        <v>6</v>
      </c>
      <c r="AI57" s="13">
        <f t="shared" ref="AI57:AI66" si="16">SUM(E57:AH57)</f>
        <v>230</v>
      </c>
    </row>
    <row r="58" spans="1:35" ht="12.75" customHeight="1" x14ac:dyDescent="0.4">
      <c r="A58" s="20" t="s">
        <v>38</v>
      </c>
      <c r="B58" s="28"/>
      <c r="C58" s="29" t="s">
        <v>47</v>
      </c>
      <c r="D58" s="30"/>
      <c r="E58" s="16">
        <v>26</v>
      </c>
      <c r="F58" s="16">
        <v>10</v>
      </c>
      <c r="G58" s="16">
        <v>12</v>
      </c>
      <c r="H58" s="16">
        <v>11</v>
      </c>
      <c r="I58" s="16">
        <v>15</v>
      </c>
      <c r="J58" s="16">
        <v>14</v>
      </c>
      <c r="K58" s="16">
        <v>4</v>
      </c>
      <c r="L58" s="16">
        <v>2</v>
      </c>
      <c r="M58" s="16">
        <v>42</v>
      </c>
      <c r="N58" s="16">
        <v>85</v>
      </c>
      <c r="O58" s="16">
        <v>79</v>
      </c>
      <c r="P58" s="16">
        <v>19</v>
      </c>
      <c r="Q58" s="16">
        <v>11</v>
      </c>
      <c r="R58" s="16">
        <v>15</v>
      </c>
      <c r="S58" s="16">
        <v>8</v>
      </c>
      <c r="T58" s="16">
        <v>14</v>
      </c>
      <c r="U58" s="16">
        <v>8</v>
      </c>
      <c r="V58" s="16">
        <v>34</v>
      </c>
      <c r="W58" s="16">
        <v>19</v>
      </c>
      <c r="X58" s="16">
        <v>39</v>
      </c>
      <c r="Y58" s="16">
        <v>25</v>
      </c>
      <c r="Z58" s="16">
        <v>17</v>
      </c>
      <c r="AA58" s="16">
        <v>6</v>
      </c>
      <c r="AB58" s="16">
        <v>5</v>
      </c>
      <c r="AC58" s="16">
        <v>13</v>
      </c>
      <c r="AD58" s="16">
        <v>7</v>
      </c>
      <c r="AE58" s="16">
        <v>7</v>
      </c>
      <c r="AF58" s="16">
        <v>3</v>
      </c>
      <c r="AG58" s="16">
        <v>9</v>
      </c>
      <c r="AH58" s="16">
        <v>5</v>
      </c>
      <c r="AI58" s="13">
        <f t="shared" si="16"/>
        <v>564</v>
      </c>
    </row>
    <row r="59" spans="1:35" ht="12.75" customHeight="1" x14ac:dyDescent="0.4">
      <c r="A59" s="15"/>
      <c r="B59" s="28"/>
      <c r="C59" s="29" t="s">
        <v>48</v>
      </c>
      <c r="D59" s="30"/>
      <c r="E59" s="16">
        <v>4</v>
      </c>
      <c r="F59" s="16">
        <v>1</v>
      </c>
      <c r="G59" s="16">
        <v>0</v>
      </c>
      <c r="H59" s="16">
        <v>2</v>
      </c>
      <c r="I59" s="16">
        <v>3</v>
      </c>
      <c r="J59" s="16">
        <v>0</v>
      </c>
      <c r="K59" s="16">
        <v>2</v>
      </c>
      <c r="L59" s="16">
        <v>2</v>
      </c>
      <c r="M59" s="16">
        <v>1</v>
      </c>
      <c r="N59" s="16">
        <v>0</v>
      </c>
      <c r="O59" s="16">
        <v>1</v>
      </c>
      <c r="P59" s="16">
        <v>0</v>
      </c>
      <c r="Q59" s="16">
        <v>1</v>
      </c>
      <c r="R59" s="16">
        <v>1</v>
      </c>
      <c r="S59" s="16">
        <v>2</v>
      </c>
      <c r="T59" s="16">
        <v>0</v>
      </c>
      <c r="U59" s="16">
        <v>2</v>
      </c>
      <c r="V59" s="16">
        <v>1</v>
      </c>
      <c r="W59" s="16">
        <v>1</v>
      </c>
      <c r="X59" s="16">
        <v>0</v>
      </c>
      <c r="Y59" s="16">
        <v>3</v>
      </c>
      <c r="Z59" s="16">
        <v>0</v>
      </c>
      <c r="AA59" s="16">
        <v>0</v>
      </c>
      <c r="AB59" s="16">
        <v>5</v>
      </c>
      <c r="AC59" s="16">
        <v>0</v>
      </c>
      <c r="AD59" s="16">
        <v>0</v>
      </c>
      <c r="AE59" s="16">
        <v>1</v>
      </c>
      <c r="AF59" s="16">
        <v>2</v>
      </c>
      <c r="AG59" s="16">
        <v>0</v>
      </c>
      <c r="AH59" s="16">
        <v>3</v>
      </c>
      <c r="AI59" s="13">
        <f t="shared" si="16"/>
        <v>38</v>
      </c>
    </row>
    <row r="60" spans="1:35" ht="12.75" customHeight="1" x14ac:dyDescent="0.4">
      <c r="A60" s="15"/>
      <c r="B60" s="28"/>
      <c r="C60" s="29" t="s">
        <v>49</v>
      </c>
      <c r="D60" s="30"/>
      <c r="E60" s="16">
        <v>1</v>
      </c>
      <c r="F60" s="16">
        <v>4</v>
      </c>
      <c r="G60" s="16">
        <v>0</v>
      </c>
      <c r="H60" s="16">
        <v>5</v>
      </c>
      <c r="I60" s="16">
        <v>1</v>
      </c>
      <c r="J60" s="16">
        <v>3</v>
      </c>
      <c r="K60" s="16">
        <v>10</v>
      </c>
      <c r="L60" s="16">
        <v>4</v>
      </c>
      <c r="M60" s="16">
        <v>1</v>
      </c>
      <c r="N60" s="16">
        <v>0</v>
      </c>
      <c r="O60" s="16">
        <v>1</v>
      </c>
      <c r="P60" s="16">
        <v>0</v>
      </c>
      <c r="Q60" s="16">
        <v>1</v>
      </c>
      <c r="R60" s="16">
        <v>1</v>
      </c>
      <c r="S60" s="16">
        <v>0</v>
      </c>
      <c r="T60" s="16">
        <v>0</v>
      </c>
      <c r="U60" s="16">
        <v>0</v>
      </c>
      <c r="V60" s="16">
        <v>2</v>
      </c>
      <c r="W60" s="16">
        <v>3</v>
      </c>
      <c r="X60" s="16">
        <v>0</v>
      </c>
      <c r="Y60" s="16">
        <v>1</v>
      </c>
      <c r="Z60" s="16">
        <v>0</v>
      </c>
      <c r="AA60" s="16">
        <v>0</v>
      </c>
      <c r="AB60" s="16">
        <v>1</v>
      </c>
      <c r="AC60" s="16">
        <v>4</v>
      </c>
      <c r="AD60" s="16">
        <v>5</v>
      </c>
      <c r="AE60" s="16">
        <v>0</v>
      </c>
      <c r="AF60" s="16">
        <v>0</v>
      </c>
      <c r="AG60" s="16">
        <v>0</v>
      </c>
      <c r="AH60" s="16">
        <v>3</v>
      </c>
      <c r="AI60" s="13">
        <f t="shared" si="16"/>
        <v>51</v>
      </c>
    </row>
    <row r="61" spans="1:35" ht="12.75" customHeight="1" x14ac:dyDescent="0.4">
      <c r="A61" s="15"/>
      <c r="B61" s="28"/>
      <c r="C61" s="29" t="s">
        <v>50</v>
      </c>
      <c r="D61" s="30"/>
      <c r="E61" s="16">
        <v>2</v>
      </c>
      <c r="F61" s="16">
        <v>1</v>
      </c>
      <c r="G61" s="16">
        <v>1</v>
      </c>
      <c r="H61" s="16">
        <v>0</v>
      </c>
      <c r="I61" s="16">
        <v>1</v>
      </c>
      <c r="J61" s="16">
        <v>1</v>
      </c>
      <c r="K61" s="16">
        <v>3</v>
      </c>
      <c r="L61" s="16">
        <v>0</v>
      </c>
      <c r="M61" s="16">
        <v>2</v>
      </c>
      <c r="N61" s="16">
        <v>0</v>
      </c>
      <c r="O61" s="16">
        <v>2</v>
      </c>
      <c r="P61" s="16">
        <v>1</v>
      </c>
      <c r="Q61" s="16">
        <v>1</v>
      </c>
      <c r="R61" s="16">
        <v>1</v>
      </c>
      <c r="S61" s="16">
        <v>1</v>
      </c>
      <c r="T61" s="16">
        <v>4</v>
      </c>
      <c r="U61" s="16">
        <v>1</v>
      </c>
      <c r="V61" s="16">
        <v>1</v>
      </c>
      <c r="W61" s="16">
        <v>0</v>
      </c>
      <c r="X61" s="16">
        <v>0</v>
      </c>
      <c r="Y61" s="16">
        <v>0</v>
      </c>
      <c r="Z61" s="16">
        <v>1</v>
      </c>
      <c r="AA61" s="16">
        <v>0</v>
      </c>
      <c r="AB61" s="16">
        <v>3</v>
      </c>
      <c r="AC61" s="16">
        <v>2</v>
      </c>
      <c r="AD61" s="16">
        <v>1</v>
      </c>
      <c r="AE61" s="16">
        <v>7</v>
      </c>
      <c r="AF61" s="16">
        <v>0</v>
      </c>
      <c r="AG61" s="16">
        <v>1</v>
      </c>
      <c r="AH61" s="16">
        <v>0</v>
      </c>
      <c r="AI61" s="13">
        <f t="shared" si="16"/>
        <v>38</v>
      </c>
    </row>
    <row r="62" spans="1:35" ht="12.75" customHeight="1" x14ac:dyDescent="0.4">
      <c r="A62" s="15"/>
      <c r="B62" s="28"/>
      <c r="C62" s="29" t="s">
        <v>51</v>
      </c>
      <c r="D62" s="30"/>
      <c r="E62" s="16">
        <v>0</v>
      </c>
      <c r="F62" s="16">
        <v>2</v>
      </c>
      <c r="G62" s="16">
        <v>0</v>
      </c>
      <c r="H62" s="16">
        <v>1</v>
      </c>
      <c r="I62" s="16">
        <v>6</v>
      </c>
      <c r="J62" s="16">
        <v>4</v>
      </c>
      <c r="K62" s="16">
        <v>1</v>
      </c>
      <c r="L62" s="16">
        <v>1</v>
      </c>
      <c r="M62" s="16">
        <v>1</v>
      </c>
      <c r="N62" s="16">
        <v>1</v>
      </c>
      <c r="O62" s="16">
        <v>0</v>
      </c>
      <c r="P62" s="16">
        <v>3</v>
      </c>
      <c r="Q62" s="16">
        <v>0</v>
      </c>
      <c r="R62" s="16">
        <v>1</v>
      </c>
      <c r="S62" s="16">
        <v>3</v>
      </c>
      <c r="T62" s="16">
        <v>0</v>
      </c>
      <c r="U62" s="16">
        <v>1</v>
      </c>
      <c r="V62" s="16">
        <v>0</v>
      </c>
      <c r="W62" s="16">
        <v>0</v>
      </c>
      <c r="X62" s="16">
        <v>0</v>
      </c>
      <c r="Y62" s="16">
        <v>1</v>
      </c>
      <c r="Z62" s="16">
        <v>0</v>
      </c>
      <c r="AA62" s="16">
        <v>3</v>
      </c>
      <c r="AB62" s="16">
        <v>1</v>
      </c>
      <c r="AC62" s="16">
        <v>1</v>
      </c>
      <c r="AD62" s="16">
        <v>0</v>
      </c>
      <c r="AE62" s="16">
        <v>2</v>
      </c>
      <c r="AF62" s="16">
        <v>2</v>
      </c>
      <c r="AG62" s="16">
        <v>3</v>
      </c>
      <c r="AH62" s="16">
        <v>0</v>
      </c>
      <c r="AI62" s="13">
        <f t="shared" si="16"/>
        <v>38</v>
      </c>
    </row>
    <row r="63" spans="1:35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0</v>
      </c>
      <c r="G63" s="16">
        <v>0</v>
      </c>
      <c r="H63" s="16">
        <v>1</v>
      </c>
      <c r="I63" s="16">
        <v>0</v>
      </c>
      <c r="J63" s="16">
        <v>0</v>
      </c>
      <c r="K63" s="16">
        <v>0</v>
      </c>
      <c r="L63" s="16">
        <v>0</v>
      </c>
      <c r="M63" s="16">
        <v>0</v>
      </c>
      <c r="N63" s="16">
        <v>0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2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6">
        <v>1</v>
      </c>
      <c r="AF63" s="16">
        <v>0</v>
      </c>
      <c r="AG63" s="16">
        <v>0</v>
      </c>
      <c r="AH63" s="16">
        <v>0</v>
      </c>
      <c r="AI63" s="13">
        <f t="shared" si="16"/>
        <v>4</v>
      </c>
    </row>
    <row r="64" spans="1:35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13">
        <f t="shared" si="16"/>
        <v>0</v>
      </c>
    </row>
    <row r="65" spans="1:35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13">
        <f t="shared" si="16"/>
        <v>0</v>
      </c>
    </row>
    <row r="66" spans="1:35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13">
        <f t="shared" si="16"/>
        <v>0</v>
      </c>
    </row>
    <row r="67" spans="1:35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AI67" si="17">SUM(E57:E66)</f>
        <v>43</v>
      </c>
      <c r="F67" s="13">
        <f t="shared" si="17"/>
        <v>24</v>
      </c>
      <c r="G67" s="13">
        <f t="shared" si="17"/>
        <v>21</v>
      </c>
      <c r="H67" s="13">
        <f t="shared" si="17"/>
        <v>29</v>
      </c>
      <c r="I67" s="13">
        <f t="shared" si="17"/>
        <v>31</v>
      </c>
      <c r="J67" s="13">
        <f t="shared" si="17"/>
        <v>31</v>
      </c>
      <c r="K67" s="13">
        <f t="shared" si="17"/>
        <v>36</v>
      </c>
      <c r="L67" s="13">
        <f t="shared" si="17"/>
        <v>13</v>
      </c>
      <c r="M67" s="13">
        <f t="shared" si="17"/>
        <v>55</v>
      </c>
      <c r="N67" s="13">
        <f t="shared" si="17"/>
        <v>97</v>
      </c>
      <c r="O67" s="13">
        <f t="shared" si="17"/>
        <v>85</v>
      </c>
      <c r="P67" s="13">
        <f t="shared" si="17"/>
        <v>28</v>
      </c>
      <c r="Q67" s="13">
        <f t="shared" si="17"/>
        <v>21</v>
      </c>
      <c r="R67" s="13">
        <f t="shared" si="17"/>
        <v>26</v>
      </c>
      <c r="S67" s="13">
        <f t="shared" si="17"/>
        <v>24</v>
      </c>
      <c r="T67" s="13">
        <f t="shared" si="17"/>
        <v>26</v>
      </c>
      <c r="U67" s="13">
        <f t="shared" si="17"/>
        <v>19</v>
      </c>
      <c r="V67" s="13">
        <f t="shared" si="17"/>
        <v>44</v>
      </c>
      <c r="W67" s="13">
        <f t="shared" si="17"/>
        <v>34</v>
      </c>
      <c r="X67" s="13">
        <f t="shared" si="17"/>
        <v>54</v>
      </c>
      <c r="Y67" s="13">
        <f t="shared" si="17"/>
        <v>43</v>
      </c>
      <c r="Z67" s="13">
        <f t="shared" si="17"/>
        <v>25</v>
      </c>
      <c r="AA67" s="13">
        <f t="shared" si="17"/>
        <v>19</v>
      </c>
      <c r="AB67" s="13">
        <f t="shared" si="17"/>
        <v>18</v>
      </c>
      <c r="AC67" s="13">
        <f t="shared" si="17"/>
        <v>25</v>
      </c>
      <c r="AD67" s="13">
        <f t="shared" si="17"/>
        <v>20</v>
      </c>
      <c r="AE67" s="13">
        <f t="shared" si="17"/>
        <v>26</v>
      </c>
      <c r="AF67" s="13">
        <f t="shared" si="17"/>
        <v>12</v>
      </c>
      <c r="AG67" s="13">
        <f t="shared" si="17"/>
        <v>17</v>
      </c>
      <c r="AH67" s="13">
        <f t="shared" si="17"/>
        <v>17</v>
      </c>
      <c r="AI67" s="13">
        <f t="shared" si="17"/>
        <v>963</v>
      </c>
    </row>
    <row r="68" spans="1:35" ht="12.75" customHeight="1" x14ac:dyDescent="0.4">
      <c r="A68" s="86"/>
      <c r="B68" s="68"/>
      <c r="C68" s="68"/>
      <c r="D68" s="68"/>
      <c r="E68" s="68"/>
    </row>
    <row r="69" spans="1:35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4</v>
      </c>
      <c r="F69" s="16">
        <v>10</v>
      </c>
      <c r="G69" s="16">
        <v>13</v>
      </c>
      <c r="H69" s="16">
        <v>2</v>
      </c>
      <c r="I69" s="16">
        <v>7</v>
      </c>
      <c r="J69" s="16">
        <v>4</v>
      </c>
      <c r="K69" s="16">
        <v>5</v>
      </c>
      <c r="L69" s="16">
        <v>9</v>
      </c>
      <c r="M69" s="16">
        <v>1</v>
      </c>
      <c r="N69" s="16">
        <v>4</v>
      </c>
      <c r="O69" s="16">
        <v>2</v>
      </c>
      <c r="P69" s="16">
        <v>3</v>
      </c>
      <c r="Q69" s="16">
        <v>13</v>
      </c>
      <c r="R69" s="16">
        <v>6</v>
      </c>
      <c r="S69" s="16">
        <v>7</v>
      </c>
      <c r="T69" s="16">
        <v>5</v>
      </c>
      <c r="U69" s="16">
        <v>10</v>
      </c>
      <c r="V69" s="16">
        <v>4</v>
      </c>
      <c r="W69" s="16">
        <v>8</v>
      </c>
      <c r="X69" s="16">
        <v>14</v>
      </c>
      <c r="Y69" s="16">
        <v>8</v>
      </c>
      <c r="Z69" s="16">
        <v>10</v>
      </c>
      <c r="AA69" s="16">
        <v>13</v>
      </c>
      <c r="AB69" s="16">
        <v>8</v>
      </c>
      <c r="AC69" s="16">
        <v>13</v>
      </c>
      <c r="AD69" s="16">
        <v>9</v>
      </c>
      <c r="AE69" s="16">
        <v>19</v>
      </c>
      <c r="AF69" s="16">
        <v>12</v>
      </c>
      <c r="AG69" s="16">
        <v>14</v>
      </c>
      <c r="AH69" s="16">
        <v>10</v>
      </c>
      <c r="AI69" s="13">
        <f t="shared" ref="AI69:AI78" si="18">SUM(E69:AH69)</f>
        <v>247</v>
      </c>
    </row>
    <row r="70" spans="1:35" ht="12.75" customHeight="1" x14ac:dyDescent="0.4">
      <c r="A70" s="20" t="s">
        <v>38</v>
      </c>
      <c r="B70" s="28"/>
      <c r="C70" s="29" t="s">
        <v>54</v>
      </c>
      <c r="D70" s="30"/>
      <c r="E70" s="16">
        <v>1</v>
      </c>
      <c r="F70" s="16">
        <v>2</v>
      </c>
      <c r="G70" s="16">
        <v>6</v>
      </c>
      <c r="H70" s="16">
        <v>6</v>
      </c>
      <c r="I70" s="16">
        <v>5</v>
      </c>
      <c r="J70" s="16">
        <v>1</v>
      </c>
      <c r="K70" s="16">
        <v>1</v>
      </c>
      <c r="L70" s="16">
        <v>1</v>
      </c>
      <c r="M70" s="16">
        <v>3</v>
      </c>
      <c r="N70" s="16">
        <v>9</v>
      </c>
      <c r="O70" s="16">
        <v>2</v>
      </c>
      <c r="P70" s="16">
        <v>0</v>
      </c>
      <c r="Q70" s="16">
        <v>17</v>
      </c>
      <c r="R70" s="16">
        <v>3</v>
      </c>
      <c r="S70" s="16">
        <v>3</v>
      </c>
      <c r="T70" s="16">
        <v>2</v>
      </c>
      <c r="U70" s="16">
        <v>2</v>
      </c>
      <c r="V70" s="16">
        <v>2</v>
      </c>
      <c r="W70" s="16">
        <v>4</v>
      </c>
      <c r="X70" s="16">
        <v>1</v>
      </c>
      <c r="Y70" s="16">
        <v>2</v>
      </c>
      <c r="Z70" s="16">
        <v>6</v>
      </c>
      <c r="AA70" s="16">
        <v>3</v>
      </c>
      <c r="AB70" s="16">
        <v>8</v>
      </c>
      <c r="AC70" s="16">
        <v>2</v>
      </c>
      <c r="AD70" s="16">
        <v>0</v>
      </c>
      <c r="AE70" s="16">
        <v>2</v>
      </c>
      <c r="AF70" s="16">
        <v>1</v>
      </c>
      <c r="AG70" s="16">
        <v>3</v>
      </c>
      <c r="AH70" s="16">
        <v>1</v>
      </c>
      <c r="AI70" s="13">
        <f t="shared" si="18"/>
        <v>99</v>
      </c>
    </row>
    <row r="71" spans="1:35" ht="12.75" customHeight="1" x14ac:dyDescent="0.4">
      <c r="A71" s="15"/>
      <c r="B71" s="28"/>
      <c r="C71" s="29" t="s">
        <v>55</v>
      </c>
      <c r="D71" s="30"/>
      <c r="E71" s="16">
        <v>4</v>
      </c>
      <c r="F71" s="16">
        <v>7</v>
      </c>
      <c r="G71" s="16">
        <v>4</v>
      </c>
      <c r="H71" s="16">
        <v>2</v>
      </c>
      <c r="I71" s="16">
        <v>7</v>
      </c>
      <c r="J71" s="16">
        <v>5</v>
      </c>
      <c r="K71" s="16">
        <v>2</v>
      </c>
      <c r="L71" s="16">
        <v>4</v>
      </c>
      <c r="M71" s="16">
        <v>10</v>
      </c>
      <c r="N71" s="16">
        <v>6</v>
      </c>
      <c r="O71" s="16">
        <v>1</v>
      </c>
      <c r="P71" s="16">
        <v>1</v>
      </c>
      <c r="Q71" s="16">
        <v>0</v>
      </c>
      <c r="R71" s="16">
        <v>3</v>
      </c>
      <c r="S71" s="16">
        <v>4</v>
      </c>
      <c r="T71" s="16">
        <v>3</v>
      </c>
      <c r="U71" s="16">
        <v>10</v>
      </c>
      <c r="V71" s="16">
        <v>27</v>
      </c>
      <c r="W71" s="16">
        <v>28</v>
      </c>
      <c r="X71" s="16">
        <v>1</v>
      </c>
      <c r="Y71" s="16">
        <v>9</v>
      </c>
      <c r="Z71" s="16">
        <v>20</v>
      </c>
      <c r="AA71" s="16">
        <v>24</v>
      </c>
      <c r="AB71" s="16">
        <v>18</v>
      </c>
      <c r="AC71" s="16">
        <v>12</v>
      </c>
      <c r="AD71" s="16">
        <v>13</v>
      </c>
      <c r="AE71" s="16">
        <v>2</v>
      </c>
      <c r="AF71" s="16">
        <v>2</v>
      </c>
      <c r="AG71" s="16">
        <v>1</v>
      </c>
      <c r="AH71" s="16">
        <v>3</v>
      </c>
      <c r="AI71" s="13">
        <f t="shared" si="18"/>
        <v>233</v>
      </c>
    </row>
    <row r="72" spans="1:35" ht="12.75" customHeight="1" x14ac:dyDescent="0.4">
      <c r="A72" s="15"/>
      <c r="B72" s="28"/>
      <c r="C72" s="29" t="s">
        <v>56</v>
      </c>
      <c r="D72" s="30"/>
      <c r="E72" s="16">
        <v>7</v>
      </c>
      <c r="F72" s="16">
        <v>3</v>
      </c>
      <c r="G72" s="16">
        <v>4</v>
      </c>
      <c r="H72" s="16">
        <v>10</v>
      </c>
      <c r="I72" s="16">
        <v>4</v>
      </c>
      <c r="J72" s="16">
        <v>4</v>
      </c>
      <c r="K72" s="16">
        <v>14</v>
      </c>
      <c r="L72" s="16">
        <v>3</v>
      </c>
      <c r="M72" s="16">
        <v>10</v>
      </c>
      <c r="N72" s="16">
        <v>4</v>
      </c>
      <c r="O72" s="16">
        <v>7</v>
      </c>
      <c r="P72" s="16">
        <v>3</v>
      </c>
      <c r="Q72" s="16">
        <v>16</v>
      </c>
      <c r="R72" s="16">
        <v>37</v>
      </c>
      <c r="S72" s="16">
        <v>20</v>
      </c>
      <c r="T72" s="16">
        <v>13</v>
      </c>
      <c r="U72" s="16">
        <v>12</v>
      </c>
      <c r="V72" s="16">
        <v>13</v>
      </c>
      <c r="W72" s="16">
        <v>4</v>
      </c>
      <c r="X72" s="16">
        <v>6</v>
      </c>
      <c r="Y72" s="16">
        <v>9</v>
      </c>
      <c r="Z72" s="16">
        <v>8</v>
      </c>
      <c r="AA72" s="16">
        <v>20</v>
      </c>
      <c r="AB72" s="16">
        <v>10</v>
      </c>
      <c r="AC72" s="16">
        <v>8</v>
      </c>
      <c r="AD72" s="16">
        <v>4</v>
      </c>
      <c r="AE72" s="16">
        <v>7</v>
      </c>
      <c r="AF72" s="16">
        <v>1</v>
      </c>
      <c r="AG72" s="16">
        <v>4</v>
      </c>
      <c r="AH72" s="16">
        <v>3</v>
      </c>
      <c r="AI72" s="13">
        <f t="shared" si="18"/>
        <v>268</v>
      </c>
    </row>
    <row r="73" spans="1:35" ht="12.75" customHeight="1" x14ac:dyDescent="0.4">
      <c r="A73" s="15"/>
      <c r="B73" s="28"/>
      <c r="C73" s="29" t="s">
        <v>57</v>
      </c>
      <c r="D73" s="30"/>
      <c r="E73" s="16">
        <v>3</v>
      </c>
      <c r="F73" s="16">
        <v>2</v>
      </c>
      <c r="G73" s="16">
        <v>3</v>
      </c>
      <c r="H73" s="16">
        <v>2</v>
      </c>
      <c r="I73" s="16">
        <v>0</v>
      </c>
      <c r="J73" s="16">
        <v>2</v>
      </c>
      <c r="K73" s="16">
        <v>2</v>
      </c>
      <c r="L73" s="16">
        <v>0</v>
      </c>
      <c r="M73" s="16">
        <v>0</v>
      </c>
      <c r="N73" s="16">
        <v>0</v>
      </c>
      <c r="O73" s="16">
        <v>0</v>
      </c>
      <c r="P73" s="16">
        <v>0</v>
      </c>
      <c r="Q73" s="16">
        <v>0</v>
      </c>
      <c r="R73" s="16">
        <v>2</v>
      </c>
      <c r="S73" s="16">
        <v>1</v>
      </c>
      <c r="T73" s="16">
        <v>1</v>
      </c>
      <c r="U73" s="16">
        <v>1</v>
      </c>
      <c r="V73" s="16">
        <v>1</v>
      </c>
      <c r="W73" s="16">
        <v>0</v>
      </c>
      <c r="X73" s="16">
        <v>1</v>
      </c>
      <c r="Y73" s="16">
        <v>3</v>
      </c>
      <c r="Z73" s="16">
        <v>2</v>
      </c>
      <c r="AA73" s="16">
        <v>6</v>
      </c>
      <c r="AB73" s="16">
        <v>5</v>
      </c>
      <c r="AC73" s="16">
        <v>3</v>
      </c>
      <c r="AD73" s="16">
        <v>0</v>
      </c>
      <c r="AE73" s="16">
        <v>2</v>
      </c>
      <c r="AF73" s="16">
        <v>1</v>
      </c>
      <c r="AG73" s="16">
        <v>0</v>
      </c>
      <c r="AH73" s="16">
        <v>0</v>
      </c>
      <c r="AI73" s="13">
        <f t="shared" si="18"/>
        <v>43</v>
      </c>
    </row>
    <row r="74" spans="1:35" ht="12.75" customHeight="1" x14ac:dyDescent="0.4">
      <c r="A74" s="15"/>
      <c r="B74" s="28"/>
      <c r="C74" s="29" t="s">
        <v>58</v>
      </c>
      <c r="D74" s="30"/>
      <c r="E74" s="16">
        <v>7</v>
      </c>
      <c r="F74" s="16">
        <v>10</v>
      </c>
      <c r="G74" s="16">
        <v>3</v>
      </c>
      <c r="H74" s="16">
        <v>1</v>
      </c>
      <c r="I74" s="16">
        <v>3</v>
      </c>
      <c r="J74" s="16">
        <v>7</v>
      </c>
      <c r="K74" s="16">
        <v>11</v>
      </c>
      <c r="L74" s="16">
        <v>11</v>
      </c>
      <c r="M74" s="16">
        <v>3</v>
      </c>
      <c r="N74" s="16">
        <v>6</v>
      </c>
      <c r="O74" s="16">
        <v>3</v>
      </c>
      <c r="P74" s="16">
        <v>4</v>
      </c>
      <c r="Q74" s="16">
        <v>2</v>
      </c>
      <c r="R74" s="16">
        <v>3</v>
      </c>
      <c r="S74" s="16">
        <v>2</v>
      </c>
      <c r="T74" s="16">
        <v>3</v>
      </c>
      <c r="U74" s="16">
        <v>3</v>
      </c>
      <c r="V74" s="16">
        <v>0</v>
      </c>
      <c r="W74" s="16">
        <v>5</v>
      </c>
      <c r="X74" s="16">
        <v>11</v>
      </c>
      <c r="Y74" s="16">
        <v>24</v>
      </c>
      <c r="Z74" s="16">
        <v>3</v>
      </c>
      <c r="AA74" s="16">
        <v>24</v>
      </c>
      <c r="AB74" s="16">
        <v>12</v>
      </c>
      <c r="AC74" s="16">
        <v>43</v>
      </c>
      <c r="AD74" s="16">
        <v>85</v>
      </c>
      <c r="AE74" s="16">
        <v>116</v>
      </c>
      <c r="AF74" s="16">
        <v>100</v>
      </c>
      <c r="AG74" s="16">
        <v>126</v>
      </c>
      <c r="AH74" s="16">
        <v>72</v>
      </c>
      <c r="AI74" s="13">
        <f t="shared" si="18"/>
        <v>703</v>
      </c>
    </row>
    <row r="75" spans="1:35" ht="12.75" customHeight="1" x14ac:dyDescent="0.4">
      <c r="A75" s="15"/>
      <c r="B75" s="28"/>
      <c r="C75" s="29" t="s">
        <v>59</v>
      </c>
      <c r="D75" s="30"/>
      <c r="E75" s="16">
        <v>2</v>
      </c>
      <c r="F75" s="16">
        <v>1</v>
      </c>
      <c r="G75" s="16">
        <v>5</v>
      </c>
      <c r="H75" s="16">
        <v>1</v>
      </c>
      <c r="I75" s="16">
        <v>0</v>
      </c>
      <c r="J75" s="16">
        <v>1</v>
      </c>
      <c r="K75" s="16">
        <v>6</v>
      </c>
      <c r="L75" s="16">
        <v>4</v>
      </c>
      <c r="M75" s="16">
        <v>2</v>
      </c>
      <c r="N75" s="16">
        <v>0</v>
      </c>
      <c r="O75" s="16">
        <v>0</v>
      </c>
      <c r="P75" s="16">
        <v>2</v>
      </c>
      <c r="Q75" s="16">
        <v>0</v>
      </c>
      <c r="R75" s="16">
        <v>4</v>
      </c>
      <c r="S75" s="16">
        <v>5</v>
      </c>
      <c r="T75" s="16">
        <v>4</v>
      </c>
      <c r="U75" s="16">
        <v>2</v>
      </c>
      <c r="V75" s="16">
        <v>1</v>
      </c>
      <c r="W75" s="16">
        <v>1</v>
      </c>
      <c r="X75" s="16">
        <v>9</v>
      </c>
      <c r="Y75" s="16">
        <v>4</v>
      </c>
      <c r="Z75" s="16">
        <v>1</v>
      </c>
      <c r="AA75" s="16">
        <v>1</v>
      </c>
      <c r="AB75" s="16">
        <v>5</v>
      </c>
      <c r="AC75" s="16">
        <v>2</v>
      </c>
      <c r="AD75" s="16">
        <v>1</v>
      </c>
      <c r="AE75" s="16">
        <v>1</v>
      </c>
      <c r="AF75" s="16">
        <v>0</v>
      </c>
      <c r="AG75" s="16">
        <v>0</v>
      </c>
      <c r="AH75" s="16">
        <v>4</v>
      </c>
      <c r="AI75" s="13">
        <f t="shared" si="18"/>
        <v>69</v>
      </c>
    </row>
    <row r="76" spans="1:35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13">
        <f t="shared" si="18"/>
        <v>0</v>
      </c>
    </row>
    <row r="77" spans="1:35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13">
        <f t="shared" si="18"/>
        <v>0</v>
      </c>
    </row>
    <row r="78" spans="1:35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13">
        <f t="shared" si="18"/>
        <v>0</v>
      </c>
    </row>
    <row r="79" spans="1:35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AI79" si="19">SUM(E69:E78)</f>
        <v>28</v>
      </c>
      <c r="F79" s="13">
        <f t="shared" si="19"/>
        <v>35</v>
      </c>
      <c r="G79" s="13">
        <f t="shared" si="19"/>
        <v>38</v>
      </c>
      <c r="H79" s="13">
        <f t="shared" si="19"/>
        <v>24</v>
      </c>
      <c r="I79" s="13">
        <f t="shared" si="19"/>
        <v>26</v>
      </c>
      <c r="J79" s="13">
        <f t="shared" si="19"/>
        <v>24</v>
      </c>
      <c r="K79" s="13">
        <f t="shared" si="19"/>
        <v>41</v>
      </c>
      <c r="L79" s="13">
        <f t="shared" si="19"/>
        <v>32</v>
      </c>
      <c r="M79" s="13">
        <f t="shared" si="19"/>
        <v>29</v>
      </c>
      <c r="N79" s="13">
        <f t="shared" si="19"/>
        <v>29</v>
      </c>
      <c r="O79" s="13">
        <f t="shared" si="19"/>
        <v>15</v>
      </c>
      <c r="P79" s="13">
        <f t="shared" si="19"/>
        <v>13</v>
      </c>
      <c r="Q79" s="13">
        <f t="shared" si="19"/>
        <v>48</v>
      </c>
      <c r="R79" s="13">
        <f t="shared" si="19"/>
        <v>58</v>
      </c>
      <c r="S79" s="13">
        <f t="shared" si="19"/>
        <v>42</v>
      </c>
      <c r="T79" s="13">
        <f t="shared" si="19"/>
        <v>31</v>
      </c>
      <c r="U79" s="13">
        <f t="shared" si="19"/>
        <v>40</v>
      </c>
      <c r="V79" s="13">
        <f t="shared" si="19"/>
        <v>48</v>
      </c>
      <c r="W79" s="13">
        <f t="shared" si="19"/>
        <v>50</v>
      </c>
      <c r="X79" s="13">
        <f t="shared" si="19"/>
        <v>43</v>
      </c>
      <c r="Y79" s="13">
        <f t="shared" si="19"/>
        <v>59</v>
      </c>
      <c r="Z79" s="13">
        <f t="shared" si="19"/>
        <v>50</v>
      </c>
      <c r="AA79" s="13">
        <f t="shared" si="19"/>
        <v>91</v>
      </c>
      <c r="AB79" s="13">
        <f t="shared" si="19"/>
        <v>66</v>
      </c>
      <c r="AC79" s="13">
        <f t="shared" si="19"/>
        <v>83</v>
      </c>
      <c r="AD79" s="13">
        <f t="shared" si="19"/>
        <v>112</v>
      </c>
      <c r="AE79" s="13">
        <f t="shared" si="19"/>
        <v>149</v>
      </c>
      <c r="AF79" s="13">
        <f t="shared" si="19"/>
        <v>117</v>
      </c>
      <c r="AG79" s="13">
        <f t="shared" si="19"/>
        <v>148</v>
      </c>
      <c r="AH79" s="13">
        <f t="shared" si="19"/>
        <v>93</v>
      </c>
      <c r="AI79" s="13">
        <f t="shared" si="19"/>
        <v>1662</v>
      </c>
    </row>
    <row r="80" spans="1:35" ht="12.75" customHeight="1" x14ac:dyDescent="0.4">
      <c r="A80" s="86"/>
      <c r="B80" s="68"/>
      <c r="C80" s="68"/>
      <c r="D80" s="68"/>
      <c r="E80" s="68"/>
    </row>
    <row r="81" spans="1:35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2</v>
      </c>
      <c r="F81" s="16">
        <v>9</v>
      </c>
      <c r="G81" s="16">
        <v>3</v>
      </c>
      <c r="H81" s="16">
        <v>1</v>
      </c>
      <c r="I81" s="16">
        <v>7</v>
      </c>
      <c r="J81" s="16">
        <v>5</v>
      </c>
      <c r="K81" s="16">
        <v>4</v>
      </c>
      <c r="L81" s="16">
        <v>3</v>
      </c>
      <c r="M81" s="16">
        <v>0</v>
      </c>
      <c r="N81" s="16">
        <v>2</v>
      </c>
      <c r="O81" s="16">
        <v>1</v>
      </c>
      <c r="P81" s="16">
        <v>0</v>
      </c>
      <c r="Q81" s="16">
        <v>4</v>
      </c>
      <c r="R81" s="16">
        <v>3</v>
      </c>
      <c r="S81" s="16">
        <v>9</v>
      </c>
      <c r="T81" s="16">
        <v>4</v>
      </c>
      <c r="U81" s="16">
        <v>1</v>
      </c>
      <c r="V81" s="16">
        <v>4</v>
      </c>
      <c r="W81" s="16">
        <v>0</v>
      </c>
      <c r="X81" s="16">
        <v>1</v>
      </c>
      <c r="Y81" s="16">
        <v>1</v>
      </c>
      <c r="Z81" s="16">
        <v>2</v>
      </c>
      <c r="AA81" s="16">
        <v>3</v>
      </c>
      <c r="AB81" s="16">
        <v>4</v>
      </c>
      <c r="AC81" s="16">
        <v>2</v>
      </c>
      <c r="AD81" s="16">
        <v>1</v>
      </c>
      <c r="AE81" s="16">
        <v>2</v>
      </c>
      <c r="AF81" s="16">
        <v>3</v>
      </c>
      <c r="AG81" s="16">
        <v>2</v>
      </c>
      <c r="AH81" s="16">
        <v>0</v>
      </c>
      <c r="AI81" s="13">
        <f t="shared" ref="AI81:AI90" si="20">SUM(E81:AH81)</f>
        <v>83</v>
      </c>
    </row>
    <row r="82" spans="1:35" ht="12.75" customHeight="1" x14ac:dyDescent="0.4">
      <c r="A82" s="20" t="s">
        <v>38</v>
      </c>
      <c r="B82" s="28"/>
      <c r="C82" s="29" t="s">
        <v>61</v>
      </c>
      <c r="D82" s="30"/>
      <c r="E82" s="16">
        <v>13</v>
      </c>
      <c r="F82" s="16">
        <v>6</v>
      </c>
      <c r="G82" s="16">
        <v>18</v>
      </c>
      <c r="H82" s="16">
        <v>7</v>
      </c>
      <c r="I82" s="16">
        <v>18</v>
      </c>
      <c r="J82" s="16">
        <v>9</v>
      </c>
      <c r="K82" s="16">
        <v>7</v>
      </c>
      <c r="L82" s="16">
        <v>3</v>
      </c>
      <c r="M82" s="16">
        <v>2</v>
      </c>
      <c r="N82" s="16">
        <v>1</v>
      </c>
      <c r="O82" s="16">
        <v>4</v>
      </c>
      <c r="P82" s="16">
        <v>4</v>
      </c>
      <c r="Q82" s="16">
        <v>1</v>
      </c>
      <c r="R82" s="16">
        <v>9</v>
      </c>
      <c r="S82" s="16">
        <v>1</v>
      </c>
      <c r="T82" s="16">
        <v>8</v>
      </c>
      <c r="U82" s="16">
        <v>2</v>
      </c>
      <c r="V82" s="16">
        <v>2</v>
      </c>
      <c r="W82" s="16">
        <v>2</v>
      </c>
      <c r="X82" s="16">
        <v>2</v>
      </c>
      <c r="Y82" s="16">
        <v>1</v>
      </c>
      <c r="Z82" s="16">
        <v>0</v>
      </c>
      <c r="AA82" s="16">
        <v>0</v>
      </c>
      <c r="AB82" s="16">
        <v>3</v>
      </c>
      <c r="AC82" s="16">
        <v>4</v>
      </c>
      <c r="AD82" s="16">
        <v>5</v>
      </c>
      <c r="AE82" s="16">
        <v>1</v>
      </c>
      <c r="AF82" s="16">
        <v>1</v>
      </c>
      <c r="AG82" s="16">
        <v>0</v>
      </c>
      <c r="AH82" s="16">
        <v>3</v>
      </c>
      <c r="AI82" s="13">
        <f t="shared" si="20"/>
        <v>137</v>
      </c>
    </row>
    <row r="83" spans="1:35" ht="12.75" customHeight="1" x14ac:dyDescent="0.4">
      <c r="A83" s="15"/>
      <c r="B83" s="28"/>
      <c r="C83" s="29" t="s">
        <v>62</v>
      </c>
      <c r="D83" s="30"/>
      <c r="E83" s="16">
        <v>0</v>
      </c>
      <c r="F83" s="16">
        <v>1</v>
      </c>
      <c r="G83" s="16">
        <v>3</v>
      </c>
      <c r="H83" s="16">
        <v>1</v>
      </c>
      <c r="I83" s="16">
        <v>0</v>
      </c>
      <c r="J83" s="16">
        <v>1</v>
      </c>
      <c r="K83" s="16">
        <v>2</v>
      </c>
      <c r="L83" s="16">
        <v>1</v>
      </c>
      <c r="M83" s="16">
        <v>0</v>
      </c>
      <c r="N83" s="16">
        <v>0</v>
      </c>
      <c r="O83" s="16">
        <v>0</v>
      </c>
      <c r="P83" s="16">
        <v>0</v>
      </c>
      <c r="Q83" s="16">
        <v>2</v>
      </c>
      <c r="R83" s="16">
        <v>0</v>
      </c>
      <c r="S83" s="16">
        <v>1</v>
      </c>
      <c r="T83" s="16">
        <v>0</v>
      </c>
      <c r="U83" s="16">
        <v>2</v>
      </c>
      <c r="V83" s="16">
        <v>0</v>
      </c>
      <c r="W83" s="16">
        <v>1</v>
      </c>
      <c r="X83" s="16">
        <v>0</v>
      </c>
      <c r="Y83" s="16">
        <v>1</v>
      </c>
      <c r="Z83" s="16">
        <v>0</v>
      </c>
      <c r="AA83" s="16">
        <v>2</v>
      </c>
      <c r="AB83" s="16">
        <v>0</v>
      </c>
      <c r="AC83" s="16">
        <v>0</v>
      </c>
      <c r="AD83" s="16">
        <v>0</v>
      </c>
      <c r="AE83" s="16">
        <v>0</v>
      </c>
      <c r="AF83" s="16">
        <v>2</v>
      </c>
      <c r="AG83" s="16">
        <v>0</v>
      </c>
      <c r="AH83" s="16">
        <v>0</v>
      </c>
      <c r="AI83" s="13">
        <f t="shared" si="20"/>
        <v>20</v>
      </c>
    </row>
    <row r="84" spans="1:35" ht="12.75" customHeight="1" x14ac:dyDescent="0.4">
      <c r="A84" s="15"/>
      <c r="B84" s="28"/>
      <c r="C84" s="29" t="s">
        <v>63</v>
      </c>
      <c r="D84" s="30"/>
      <c r="E84" s="16">
        <v>2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0</v>
      </c>
      <c r="N84" s="16">
        <v>0</v>
      </c>
      <c r="O84" s="16">
        <v>0</v>
      </c>
      <c r="P84" s="16">
        <v>2</v>
      </c>
      <c r="Q84" s="16">
        <v>0</v>
      </c>
      <c r="R84" s="16">
        <v>0</v>
      </c>
      <c r="S84" s="16">
        <v>2</v>
      </c>
      <c r="T84" s="16">
        <v>3</v>
      </c>
      <c r="U84" s="16">
        <v>2</v>
      </c>
      <c r="V84" s="16">
        <v>0</v>
      </c>
      <c r="W84" s="16">
        <v>0</v>
      </c>
      <c r="X84" s="16">
        <v>0</v>
      </c>
      <c r="Y84" s="16">
        <v>1</v>
      </c>
      <c r="Z84" s="16">
        <v>0</v>
      </c>
      <c r="AA84" s="16">
        <v>1</v>
      </c>
      <c r="AB84" s="16">
        <v>0</v>
      </c>
      <c r="AC84" s="16">
        <v>0</v>
      </c>
      <c r="AD84" s="16">
        <v>1</v>
      </c>
      <c r="AE84" s="16">
        <v>1</v>
      </c>
      <c r="AF84" s="16">
        <v>1</v>
      </c>
      <c r="AG84" s="16">
        <v>0</v>
      </c>
      <c r="AH84" s="16">
        <v>62</v>
      </c>
      <c r="AI84" s="13">
        <f t="shared" si="20"/>
        <v>85</v>
      </c>
    </row>
    <row r="85" spans="1:35" ht="12.75" customHeight="1" x14ac:dyDescent="0.4">
      <c r="A85" s="15"/>
      <c r="B85" s="28"/>
      <c r="C85" s="29" t="s">
        <v>64</v>
      </c>
      <c r="D85" s="30"/>
      <c r="E85" s="16">
        <v>3</v>
      </c>
      <c r="F85" s="16">
        <v>0</v>
      </c>
      <c r="G85" s="16">
        <v>4</v>
      </c>
      <c r="H85" s="16">
        <v>1</v>
      </c>
      <c r="I85" s="16">
        <v>4</v>
      </c>
      <c r="J85" s="16">
        <v>2</v>
      </c>
      <c r="K85" s="16">
        <v>5</v>
      </c>
      <c r="L85" s="16">
        <v>47</v>
      </c>
      <c r="M85" s="16">
        <v>2</v>
      </c>
      <c r="N85" s="16">
        <v>0</v>
      </c>
      <c r="O85" s="16">
        <v>1</v>
      </c>
      <c r="P85" s="16">
        <v>1</v>
      </c>
      <c r="Q85" s="16">
        <v>7</v>
      </c>
      <c r="R85" s="16">
        <v>6</v>
      </c>
      <c r="S85" s="16">
        <v>8</v>
      </c>
      <c r="T85" s="16">
        <v>4</v>
      </c>
      <c r="U85" s="16">
        <v>2</v>
      </c>
      <c r="V85" s="16">
        <v>5</v>
      </c>
      <c r="W85" s="16">
        <v>2</v>
      </c>
      <c r="X85" s="16">
        <v>2</v>
      </c>
      <c r="Y85" s="16">
        <v>1</v>
      </c>
      <c r="Z85" s="16">
        <v>0</v>
      </c>
      <c r="AA85" s="16">
        <v>0</v>
      </c>
      <c r="AB85" s="16">
        <v>6</v>
      </c>
      <c r="AC85" s="16">
        <v>0</v>
      </c>
      <c r="AD85" s="16">
        <v>0</v>
      </c>
      <c r="AE85" s="16">
        <v>0</v>
      </c>
      <c r="AF85" s="16">
        <v>0</v>
      </c>
      <c r="AG85" s="16">
        <v>0</v>
      </c>
      <c r="AH85" s="16">
        <v>4</v>
      </c>
      <c r="AI85" s="13">
        <f t="shared" si="20"/>
        <v>117</v>
      </c>
    </row>
    <row r="86" spans="1:35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0</v>
      </c>
      <c r="H86" s="16">
        <v>0</v>
      </c>
      <c r="I86" s="16">
        <v>1</v>
      </c>
      <c r="J86" s="16">
        <v>0</v>
      </c>
      <c r="K86" s="16">
        <v>1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1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1</v>
      </c>
      <c r="AA86" s="16">
        <v>0</v>
      </c>
      <c r="AB86" s="16">
        <v>2</v>
      </c>
      <c r="AC86" s="16">
        <v>0</v>
      </c>
      <c r="AD86" s="16">
        <v>1</v>
      </c>
      <c r="AE86" s="16">
        <v>0</v>
      </c>
      <c r="AF86" s="16">
        <v>0</v>
      </c>
      <c r="AG86" s="16">
        <v>0</v>
      </c>
      <c r="AH86" s="16">
        <v>0</v>
      </c>
      <c r="AI86" s="13">
        <f t="shared" si="20"/>
        <v>7</v>
      </c>
    </row>
    <row r="87" spans="1:35" ht="12.75" customHeight="1" x14ac:dyDescent="0.4">
      <c r="A87" s="15"/>
      <c r="B87" s="28"/>
      <c r="C87" s="29" t="s">
        <v>66</v>
      </c>
      <c r="D87" s="30"/>
      <c r="E87" s="16">
        <v>1</v>
      </c>
      <c r="F87" s="16">
        <v>1</v>
      </c>
      <c r="G87" s="16">
        <v>1</v>
      </c>
      <c r="H87" s="16">
        <v>1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3</v>
      </c>
      <c r="O87" s="16">
        <v>2</v>
      </c>
      <c r="P87" s="16">
        <v>0</v>
      </c>
      <c r="Q87" s="16">
        <v>1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2</v>
      </c>
      <c r="X87" s="16">
        <v>1</v>
      </c>
      <c r="Y87" s="16">
        <v>1</v>
      </c>
      <c r="Z87" s="16">
        <v>0</v>
      </c>
      <c r="AA87" s="16">
        <v>0</v>
      </c>
      <c r="AB87" s="16">
        <v>1</v>
      </c>
      <c r="AC87" s="16">
        <v>1</v>
      </c>
      <c r="AD87" s="16">
        <v>1</v>
      </c>
      <c r="AE87" s="16">
        <v>0</v>
      </c>
      <c r="AF87" s="16">
        <v>0</v>
      </c>
      <c r="AG87" s="16">
        <v>0</v>
      </c>
      <c r="AH87" s="16">
        <v>0</v>
      </c>
      <c r="AI87" s="13">
        <f t="shared" si="20"/>
        <v>19</v>
      </c>
    </row>
    <row r="88" spans="1:35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13">
        <f t="shared" si="20"/>
        <v>0</v>
      </c>
    </row>
    <row r="89" spans="1:35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13">
        <f t="shared" si="20"/>
        <v>0</v>
      </c>
    </row>
    <row r="90" spans="1:35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13">
        <f t="shared" si="20"/>
        <v>0</v>
      </c>
    </row>
    <row r="91" spans="1:35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AI91" si="21">SUM(E81:E90)</f>
        <v>21</v>
      </c>
      <c r="F91" s="13">
        <f t="shared" si="21"/>
        <v>18</v>
      </c>
      <c r="G91" s="13">
        <f t="shared" si="21"/>
        <v>30</v>
      </c>
      <c r="H91" s="13">
        <f t="shared" si="21"/>
        <v>12</v>
      </c>
      <c r="I91" s="13">
        <f t="shared" si="21"/>
        <v>31</v>
      </c>
      <c r="J91" s="13">
        <f t="shared" si="21"/>
        <v>19</v>
      </c>
      <c r="K91" s="13">
        <f t="shared" si="21"/>
        <v>20</v>
      </c>
      <c r="L91" s="13">
        <f t="shared" si="21"/>
        <v>55</v>
      </c>
      <c r="M91" s="13">
        <f t="shared" si="21"/>
        <v>5</v>
      </c>
      <c r="N91" s="13">
        <f t="shared" si="21"/>
        <v>6</v>
      </c>
      <c r="O91" s="13">
        <f t="shared" si="21"/>
        <v>8</v>
      </c>
      <c r="P91" s="13">
        <f t="shared" si="21"/>
        <v>7</v>
      </c>
      <c r="Q91" s="13">
        <f t="shared" si="21"/>
        <v>15</v>
      </c>
      <c r="R91" s="13">
        <f t="shared" si="21"/>
        <v>18</v>
      </c>
      <c r="S91" s="13">
        <f t="shared" si="21"/>
        <v>22</v>
      </c>
      <c r="T91" s="13">
        <f t="shared" si="21"/>
        <v>19</v>
      </c>
      <c r="U91" s="13">
        <f t="shared" si="21"/>
        <v>9</v>
      </c>
      <c r="V91" s="13">
        <f t="shared" si="21"/>
        <v>11</v>
      </c>
      <c r="W91" s="13">
        <f t="shared" si="21"/>
        <v>7</v>
      </c>
      <c r="X91" s="13">
        <f t="shared" si="21"/>
        <v>6</v>
      </c>
      <c r="Y91" s="13">
        <f t="shared" si="21"/>
        <v>6</v>
      </c>
      <c r="Z91" s="13">
        <f t="shared" si="21"/>
        <v>3</v>
      </c>
      <c r="AA91" s="13">
        <f t="shared" si="21"/>
        <v>6</v>
      </c>
      <c r="AB91" s="13">
        <f t="shared" si="21"/>
        <v>16</v>
      </c>
      <c r="AC91" s="13">
        <f t="shared" si="21"/>
        <v>7</v>
      </c>
      <c r="AD91" s="13">
        <f t="shared" si="21"/>
        <v>9</v>
      </c>
      <c r="AE91" s="13">
        <f t="shared" si="21"/>
        <v>4</v>
      </c>
      <c r="AF91" s="13">
        <f t="shared" si="21"/>
        <v>7</v>
      </c>
      <c r="AG91" s="13">
        <f t="shared" si="21"/>
        <v>2</v>
      </c>
      <c r="AH91" s="13">
        <f t="shared" si="21"/>
        <v>69</v>
      </c>
      <c r="AI91" s="13">
        <f t="shared" si="21"/>
        <v>468</v>
      </c>
    </row>
    <row r="92" spans="1:35" ht="12.75" customHeight="1" x14ac:dyDescent="0.4">
      <c r="A92" s="86"/>
      <c r="B92" s="68"/>
      <c r="C92" s="68"/>
      <c r="D92" s="68"/>
      <c r="E92" s="68"/>
    </row>
    <row r="93" spans="1:35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3</v>
      </c>
      <c r="F93" s="16">
        <v>0</v>
      </c>
      <c r="G93" s="16">
        <v>1</v>
      </c>
      <c r="H93" s="16">
        <v>0</v>
      </c>
      <c r="I93" s="16">
        <v>0</v>
      </c>
      <c r="J93" s="16">
        <v>1</v>
      </c>
      <c r="K93" s="16">
        <v>1</v>
      </c>
      <c r="L93" s="16">
        <v>0</v>
      </c>
      <c r="M93" s="16">
        <v>0</v>
      </c>
      <c r="N93" s="16">
        <v>1</v>
      </c>
      <c r="O93" s="16">
        <v>0</v>
      </c>
      <c r="P93" s="16">
        <v>2</v>
      </c>
      <c r="Q93" s="16">
        <v>5</v>
      </c>
      <c r="R93" s="16">
        <v>2</v>
      </c>
      <c r="S93" s="16">
        <v>1</v>
      </c>
      <c r="T93" s="16">
        <v>1</v>
      </c>
      <c r="U93" s="16">
        <v>3</v>
      </c>
      <c r="V93" s="16">
        <v>1</v>
      </c>
      <c r="W93" s="16">
        <v>0</v>
      </c>
      <c r="X93" s="16">
        <v>1</v>
      </c>
      <c r="Y93" s="16">
        <v>1</v>
      </c>
      <c r="Z93" s="16">
        <v>0</v>
      </c>
      <c r="AA93" s="16">
        <v>4</v>
      </c>
      <c r="AB93" s="16">
        <v>3</v>
      </c>
      <c r="AC93" s="16">
        <v>5</v>
      </c>
      <c r="AD93" s="16">
        <v>5</v>
      </c>
      <c r="AE93" s="16">
        <v>9</v>
      </c>
      <c r="AF93" s="16">
        <v>6</v>
      </c>
      <c r="AG93" s="16">
        <v>6</v>
      </c>
      <c r="AH93" s="16">
        <v>4</v>
      </c>
      <c r="AI93" s="13">
        <f t="shared" ref="AI93:AI102" si="22">SUM(E93:AH93)</f>
        <v>66</v>
      </c>
    </row>
    <row r="94" spans="1:35" ht="12.75" customHeight="1" x14ac:dyDescent="0.4">
      <c r="A94" s="20" t="s">
        <v>38</v>
      </c>
      <c r="B94" s="28"/>
      <c r="C94" s="29" t="s">
        <v>69</v>
      </c>
      <c r="D94" s="30"/>
      <c r="E94" s="16">
        <v>1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3</v>
      </c>
      <c r="L94" s="16">
        <v>0</v>
      </c>
      <c r="M94" s="16">
        <v>1</v>
      </c>
      <c r="N94" s="16">
        <v>0</v>
      </c>
      <c r="O94" s="16">
        <v>0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1</v>
      </c>
      <c r="W94" s="16">
        <v>2</v>
      </c>
      <c r="X94" s="16">
        <v>5</v>
      </c>
      <c r="Y94" s="16">
        <v>2</v>
      </c>
      <c r="Z94" s="16">
        <v>2</v>
      </c>
      <c r="AA94" s="16">
        <v>1</v>
      </c>
      <c r="AB94" s="16">
        <v>0</v>
      </c>
      <c r="AC94" s="16">
        <v>0</v>
      </c>
      <c r="AD94" s="16">
        <v>1</v>
      </c>
      <c r="AE94" s="16">
        <v>1</v>
      </c>
      <c r="AF94" s="16">
        <v>1</v>
      </c>
      <c r="AG94" s="16">
        <v>0</v>
      </c>
      <c r="AH94" s="16">
        <v>0</v>
      </c>
      <c r="AI94" s="13">
        <f t="shared" si="22"/>
        <v>23</v>
      </c>
    </row>
    <row r="95" spans="1:35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0</v>
      </c>
      <c r="G95" s="16">
        <v>4</v>
      </c>
      <c r="H95" s="16">
        <v>1</v>
      </c>
      <c r="I95" s="16">
        <v>0</v>
      </c>
      <c r="J95" s="16">
        <v>0</v>
      </c>
      <c r="K95" s="16">
        <v>0</v>
      </c>
      <c r="L95" s="16">
        <v>2</v>
      </c>
      <c r="M95" s="16">
        <v>0</v>
      </c>
      <c r="N95" s="16">
        <v>0</v>
      </c>
      <c r="O95" s="16">
        <v>0</v>
      </c>
      <c r="P95" s="16">
        <v>0</v>
      </c>
      <c r="Q95" s="16">
        <v>0</v>
      </c>
      <c r="R95" s="16">
        <v>0</v>
      </c>
      <c r="S95" s="16">
        <v>1</v>
      </c>
      <c r="T95" s="16">
        <v>0</v>
      </c>
      <c r="U95" s="16">
        <v>0</v>
      </c>
      <c r="V95" s="16">
        <v>0</v>
      </c>
      <c r="W95" s="16">
        <v>0</v>
      </c>
      <c r="X95" s="16">
        <v>2</v>
      </c>
      <c r="Y95" s="16">
        <v>0</v>
      </c>
      <c r="Z95" s="16">
        <v>0</v>
      </c>
      <c r="AA95" s="16">
        <v>0</v>
      </c>
      <c r="AB95" s="16">
        <v>1</v>
      </c>
      <c r="AC95" s="16">
        <v>0</v>
      </c>
      <c r="AD95" s="16">
        <v>0</v>
      </c>
      <c r="AE95" s="16">
        <v>0</v>
      </c>
      <c r="AF95" s="16">
        <v>0</v>
      </c>
      <c r="AG95" s="16">
        <v>0</v>
      </c>
      <c r="AH95" s="16">
        <v>0</v>
      </c>
      <c r="AI95" s="13">
        <f t="shared" si="22"/>
        <v>11</v>
      </c>
    </row>
    <row r="96" spans="1:35" ht="12.75" customHeight="1" x14ac:dyDescent="0.4">
      <c r="A96" s="15"/>
      <c r="B96" s="28"/>
      <c r="C96" s="29" t="s">
        <v>71</v>
      </c>
      <c r="D96" s="30"/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2</v>
      </c>
      <c r="K96" s="16">
        <v>0</v>
      </c>
      <c r="L96" s="16">
        <v>0</v>
      </c>
      <c r="M96" s="16">
        <v>1</v>
      </c>
      <c r="N96" s="16">
        <v>1</v>
      </c>
      <c r="O96" s="16">
        <v>0</v>
      </c>
      <c r="P96" s="16">
        <v>1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2</v>
      </c>
      <c r="X96" s="16">
        <v>0</v>
      </c>
      <c r="Y96" s="16">
        <v>0</v>
      </c>
      <c r="Z96" s="16">
        <v>0</v>
      </c>
      <c r="AA96" s="16">
        <v>1</v>
      </c>
      <c r="AB96" s="16">
        <v>0</v>
      </c>
      <c r="AC96" s="16">
        <v>0</v>
      </c>
      <c r="AD96" s="16">
        <v>0</v>
      </c>
      <c r="AE96" s="16">
        <v>0</v>
      </c>
      <c r="AF96" s="16">
        <v>1</v>
      </c>
      <c r="AG96" s="16">
        <v>0</v>
      </c>
      <c r="AH96" s="16">
        <v>4</v>
      </c>
      <c r="AI96" s="13">
        <f t="shared" si="22"/>
        <v>13</v>
      </c>
    </row>
    <row r="97" spans="1:35" ht="12.75" customHeight="1" x14ac:dyDescent="0.4">
      <c r="A97" s="15"/>
      <c r="B97" s="28"/>
      <c r="C97" s="29" t="s">
        <v>72</v>
      </c>
      <c r="D97" s="30"/>
      <c r="E97" s="16">
        <v>4</v>
      </c>
      <c r="F97" s="16">
        <v>1</v>
      </c>
      <c r="G97" s="16">
        <v>0</v>
      </c>
      <c r="H97" s="16">
        <v>1</v>
      </c>
      <c r="I97" s="16">
        <v>2</v>
      </c>
      <c r="J97" s="16">
        <v>7</v>
      </c>
      <c r="K97" s="16">
        <v>0</v>
      </c>
      <c r="L97" s="16">
        <v>0</v>
      </c>
      <c r="M97" s="16">
        <v>2</v>
      </c>
      <c r="N97" s="16">
        <v>0</v>
      </c>
      <c r="O97" s="16">
        <v>0</v>
      </c>
      <c r="P97" s="16">
        <v>3</v>
      </c>
      <c r="Q97" s="16">
        <v>2</v>
      </c>
      <c r="R97" s="16">
        <v>0</v>
      </c>
      <c r="S97" s="16">
        <v>2</v>
      </c>
      <c r="T97" s="16">
        <v>4</v>
      </c>
      <c r="U97" s="16">
        <v>3</v>
      </c>
      <c r="V97" s="16">
        <v>2</v>
      </c>
      <c r="W97" s="16">
        <v>2</v>
      </c>
      <c r="X97" s="16">
        <v>2</v>
      </c>
      <c r="Y97" s="16">
        <v>1</v>
      </c>
      <c r="Z97" s="16">
        <v>5</v>
      </c>
      <c r="AA97" s="16">
        <v>0</v>
      </c>
      <c r="AB97" s="16">
        <v>0</v>
      </c>
      <c r="AC97" s="16">
        <v>0</v>
      </c>
      <c r="AD97" s="16">
        <v>1</v>
      </c>
      <c r="AE97" s="16">
        <v>0</v>
      </c>
      <c r="AF97" s="16">
        <v>0</v>
      </c>
      <c r="AG97" s="16">
        <v>0</v>
      </c>
      <c r="AH97" s="16">
        <v>0</v>
      </c>
      <c r="AI97" s="13">
        <f t="shared" si="22"/>
        <v>44</v>
      </c>
    </row>
    <row r="98" spans="1:35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0</v>
      </c>
      <c r="G98" s="16">
        <v>0</v>
      </c>
      <c r="H98" s="16">
        <v>0</v>
      </c>
      <c r="I98" s="16">
        <v>1</v>
      </c>
      <c r="J98" s="16">
        <v>0</v>
      </c>
      <c r="K98" s="16">
        <v>0</v>
      </c>
      <c r="L98" s="16">
        <v>1</v>
      </c>
      <c r="M98" s="16">
        <v>1</v>
      </c>
      <c r="N98" s="16">
        <v>0</v>
      </c>
      <c r="O98" s="16">
        <v>0</v>
      </c>
      <c r="P98" s="16">
        <v>0</v>
      </c>
      <c r="Q98" s="16">
        <v>0</v>
      </c>
      <c r="R98" s="16">
        <v>0</v>
      </c>
      <c r="S98" s="16">
        <v>0</v>
      </c>
      <c r="T98" s="16">
        <v>1</v>
      </c>
      <c r="U98" s="16">
        <v>2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1</v>
      </c>
      <c r="AB98" s="16">
        <v>0</v>
      </c>
      <c r="AC98" s="16">
        <v>0</v>
      </c>
      <c r="AD98" s="16">
        <v>0</v>
      </c>
      <c r="AE98" s="16">
        <v>0</v>
      </c>
      <c r="AF98" s="16">
        <v>0</v>
      </c>
      <c r="AG98" s="16">
        <v>0</v>
      </c>
      <c r="AH98" s="16">
        <v>0</v>
      </c>
      <c r="AI98" s="13">
        <f t="shared" si="22"/>
        <v>7</v>
      </c>
    </row>
    <row r="99" spans="1:35" ht="12.75" customHeight="1" x14ac:dyDescent="0.4">
      <c r="A99" s="15"/>
      <c r="B99" s="28"/>
      <c r="C99" s="29" t="s">
        <v>74</v>
      </c>
      <c r="D99" s="30"/>
      <c r="E99" s="16">
        <v>0</v>
      </c>
      <c r="F99" s="16">
        <v>0</v>
      </c>
      <c r="G99" s="16">
        <v>1</v>
      </c>
      <c r="H99" s="16">
        <v>2</v>
      </c>
      <c r="I99" s="16">
        <v>0</v>
      </c>
      <c r="J99" s="16">
        <v>0</v>
      </c>
      <c r="K99" s="16">
        <v>2</v>
      </c>
      <c r="L99" s="16">
        <v>0</v>
      </c>
      <c r="M99" s="16">
        <v>0</v>
      </c>
      <c r="N99" s="16">
        <v>0</v>
      </c>
      <c r="O99" s="16">
        <v>0</v>
      </c>
      <c r="P99" s="16">
        <v>0</v>
      </c>
      <c r="Q99" s="16">
        <v>0</v>
      </c>
      <c r="R99" s="16">
        <v>1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0</v>
      </c>
      <c r="AA99" s="16">
        <v>0</v>
      </c>
      <c r="AB99" s="16">
        <v>0</v>
      </c>
      <c r="AC99" s="16">
        <v>0</v>
      </c>
      <c r="AD99" s="16">
        <v>0</v>
      </c>
      <c r="AE99" s="16">
        <v>0</v>
      </c>
      <c r="AF99" s="16">
        <v>0</v>
      </c>
      <c r="AG99" s="16">
        <v>0</v>
      </c>
      <c r="AH99" s="16">
        <v>0</v>
      </c>
      <c r="AI99" s="13">
        <f t="shared" si="22"/>
        <v>6</v>
      </c>
    </row>
    <row r="100" spans="1:35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13">
        <f t="shared" si="22"/>
        <v>0</v>
      </c>
    </row>
    <row r="101" spans="1:35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13">
        <f t="shared" si="22"/>
        <v>0</v>
      </c>
    </row>
    <row r="102" spans="1:35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13">
        <f t="shared" si="22"/>
        <v>0</v>
      </c>
    </row>
    <row r="103" spans="1:35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AI103" si="23">SUM(E93:E102)</f>
        <v>8</v>
      </c>
      <c r="F103" s="13">
        <f t="shared" si="23"/>
        <v>1</v>
      </c>
      <c r="G103" s="13">
        <f t="shared" si="23"/>
        <v>6</v>
      </c>
      <c r="H103" s="13">
        <f t="shared" si="23"/>
        <v>4</v>
      </c>
      <c r="I103" s="13">
        <f t="shared" si="23"/>
        <v>3</v>
      </c>
      <c r="J103" s="13">
        <f t="shared" si="23"/>
        <v>11</v>
      </c>
      <c r="K103" s="13">
        <f t="shared" si="23"/>
        <v>6</v>
      </c>
      <c r="L103" s="13">
        <f t="shared" si="23"/>
        <v>3</v>
      </c>
      <c r="M103" s="13">
        <f t="shared" si="23"/>
        <v>5</v>
      </c>
      <c r="N103" s="13">
        <f t="shared" si="23"/>
        <v>2</v>
      </c>
      <c r="O103" s="13">
        <f t="shared" si="23"/>
        <v>0</v>
      </c>
      <c r="P103" s="13">
        <f t="shared" si="23"/>
        <v>6</v>
      </c>
      <c r="Q103" s="13">
        <f t="shared" si="23"/>
        <v>7</v>
      </c>
      <c r="R103" s="13">
        <f t="shared" si="23"/>
        <v>3</v>
      </c>
      <c r="S103" s="13">
        <f t="shared" si="23"/>
        <v>4</v>
      </c>
      <c r="T103" s="13">
        <f t="shared" si="23"/>
        <v>7</v>
      </c>
      <c r="U103" s="13">
        <f t="shared" si="23"/>
        <v>8</v>
      </c>
      <c r="V103" s="13">
        <f t="shared" si="23"/>
        <v>4</v>
      </c>
      <c r="W103" s="13">
        <f t="shared" si="23"/>
        <v>6</v>
      </c>
      <c r="X103" s="13">
        <f t="shared" si="23"/>
        <v>10</v>
      </c>
      <c r="Y103" s="13">
        <f t="shared" si="23"/>
        <v>4</v>
      </c>
      <c r="Z103" s="13">
        <f t="shared" si="23"/>
        <v>7</v>
      </c>
      <c r="AA103" s="13">
        <f t="shared" si="23"/>
        <v>7</v>
      </c>
      <c r="AB103" s="13">
        <f t="shared" si="23"/>
        <v>4</v>
      </c>
      <c r="AC103" s="13">
        <f t="shared" si="23"/>
        <v>5</v>
      </c>
      <c r="AD103" s="13">
        <f t="shared" si="23"/>
        <v>7</v>
      </c>
      <c r="AE103" s="13">
        <f t="shared" si="23"/>
        <v>10</v>
      </c>
      <c r="AF103" s="13">
        <f t="shared" si="23"/>
        <v>8</v>
      </c>
      <c r="AG103" s="13">
        <f t="shared" si="23"/>
        <v>6</v>
      </c>
      <c r="AH103" s="13">
        <f t="shared" si="23"/>
        <v>8</v>
      </c>
      <c r="AI103" s="13">
        <f t="shared" si="23"/>
        <v>170</v>
      </c>
    </row>
    <row r="104" spans="1:35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</row>
    <row r="105" spans="1:35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0</v>
      </c>
      <c r="H105" s="16">
        <v>0</v>
      </c>
      <c r="I105" s="16">
        <v>1</v>
      </c>
      <c r="J105" s="16">
        <v>1</v>
      </c>
      <c r="K105" s="16">
        <v>0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2</v>
      </c>
      <c r="T105" s="16">
        <v>0</v>
      </c>
      <c r="U105" s="16">
        <v>0</v>
      </c>
      <c r="V105" s="16">
        <v>0</v>
      </c>
      <c r="W105" s="16">
        <v>0</v>
      </c>
      <c r="X105" s="16">
        <v>2</v>
      </c>
      <c r="Y105" s="16">
        <v>0</v>
      </c>
      <c r="Z105" s="16">
        <v>1</v>
      </c>
      <c r="AA105" s="16">
        <v>0</v>
      </c>
      <c r="AB105" s="16">
        <v>1</v>
      </c>
      <c r="AC105" s="16">
        <v>0</v>
      </c>
      <c r="AD105" s="16">
        <v>0</v>
      </c>
      <c r="AE105" s="16">
        <v>0</v>
      </c>
      <c r="AF105" s="16">
        <v>0</v>
      </c>
      <c r="AG105" s="16">
        <v>1</v>
      </c>
      <c r="AH105" s="16">
        <v>1</v>
      </c>
      <c r="AI105" s="13">
        <f t="shared" ref="AI105:AI114" si="24">SUM(E105:AH105)</f>
        <v>10</v>
      </c>
    </row>
    <row r="106" spans="1:35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0</v>
      </c>
      <c r="G106" s="16">
        <v>0</v>
      </c>
      <c r="H106" s="16">
        <v>1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0</v>
      </c>
      <c r="Q106" s="16">
        <v>0</v>
      </c>
      <c r="R106" s="16">
        <v>1</v>
      </c>
      <c r="S106" s="16">
        <v>1</v>
      </c>
      <c r="T106" s="16">
        <v>1</v>
      </c>
      <c r="U106" s="16">
        <v>1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0</v>
      </c>
      <c r="AB106" s="16">
        <v>0</v>
      </c>
      <c r="AC106" s="16">
        <v>0</v>
      </c>
      <c r="AD106" s="16">
        <v>1</v>
      </c>
      <c r="AE106" s="16">
        <v>0</v>
      </c>
      <c r="AF106" s="16">
        <v>0</v>
      </c>
      <c r="AG106" s="16">
        <v>0</v>
      </c>
      <c r="AH106" s="16">
        <v>0</v>
      </c>
      <c r="AI106" s="13">
        <f t="shared" si="24"/>
        <v>7</v>
      </c>
    </row>
    <row r="107" spans="1:35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13">
        <f t="shared" si="24"/>
        <v>0</v>
      </c>
    </row>
    <row r="108" spans="1:35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53"/>
      <c r="AI108" s="13">
        <f t="shared" si="24"/>
        <v>0</v>
      </c>
    </row>
    <row r="109" spans="1:35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13">
        <f t="shared" si="24"/>
        <v>0</v>
      </c>
    </row>
    <row r="110" spans="1:35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13">
        <f t="shared" si="24"/>
        <v>0</v>
      </c>
    </row>
    <row r="111" spans="1:35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13">
        <f t="shared" si="24"/>
        <v>0</v>
      </c>
    </row>
    <row r="112" spans="1:35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13">
        <f t="shared" si="24"/>
        <v>0</v>
      </c>
    </row>
    <row r="113" spans="1:35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13">
        <f t="shared" si="24"/>
        <v>0</v>
      </c>
    </row>
    <row r="114" spans="1:35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53"/>
      <c r="AI114" s="13">
        <f t="shared" si="24"/>
        <v>0</v>
      </c>
    </row>
    <row r="115" spans="1:35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AI115" si="25">SUM(E105:E114)</f>
        <v>0</v>
      </c>
      <c r="F115" s="13">
        <f t="shared" si="25"/>
        <v>0</v>
      </c>
      <c r="G115" s="13">
        <f t="shared" si="25"/>
        <v>0</v>
      </c>
      <c r="H115" s="13">
        <f t="shared" si="25"/>
        <v>1</v>
      </c>
      <c r="I115" s="13">
        <f t="shared" si="25"/>
        <v>1</v>
      </c>
      <c r="J115" s="13">
        <f t="shared" si="25"/>
        <v>1</v>
      </c>
      <c r="K115" s="13">
        <f t="shared" si="25"/>
        <v>1</v>
      </c>
      <c r="L115" s="13">
        <f t="shared" si="25"/>
        <v>0</v>
      </c>
      <c r="M115" s="13">
        <f t="shared" si="25"/>
        <v>0</v>
      </c>
      <c r="N115" s="13">
        <f t="shared" si="25"/>
        <v>0</v>
      </c>
      <c r="O115" s="13">
        <f t="shared" si="25"/>
        <v>0</v>
      </c>
      <c r="P115" s="13">
        <f t="shared" si="25"/>
        <v>0</v>
      </c>
      <c r="Q115" s="13">
        <f t="shared" si="25"/>
        <v>0</v>
      </c>
      <c r="R115" s="13">
        <f t="shared" si="25"/>
        <v>1</v>
      </c>
      <c r="S115" s="13">
        <f t="shared" si="25"/>
        <v>3</v>
      </c>
      <c r="T115" s="13">
        <f t="shared" si="25"/>
        <v>1</v>
      </c>
      <c r="U115" s="13">
        <f t="shared" si="25"/>
        <v>1</v>
      </c>
      <c r="V115" s="13">
        <f t="shared" si="25"/>
        <v>0</v>
      </c>
      <c r="W115" s="13">
        <f t="shared" si="25"/>
        <v>0</v>
      </c>
      <c r="X115" s="13">
        <f t="shared" si="25"/>
        <v>2</v>
      </c>
      <c r="Y115" s="13">
        <f t="shared" si="25"/>
        <v>0</v>
      </c>
      <c r="Z115" s="13">
        <f t="shared" si="25"/>
        <v>1</v>
      </c>
      <c r="AA115" s="13">
        <f t="shared" si="25"/>
        <v>0</v>
      </c>
      <c r="AB115" s="13">
        <f t="shared" si="25"/>
        <v>1</v>
      </c>
      <c r="AC115" s="13">
        <f t="shared" si="25"/>
        <v>0</v>
      </c>
      <c r="AD115" s="13">
        <f t="shared" si="25"/>
        <v>1</v>
      </c>
      <c r="AE115" s="13">
        <f t="shared" si="25"/>
        <v>0</v>
      </c>
      <c r="AF115" s="13">
        <f t="shared" si="25"/>
        <v>0</v>
      </c>
      <c r="AG115" s="13">
        <f t="shared" si="25"/>
        <v>1</v>
      </c>
      <c r="AH115" s="13">
        <f t="shared" si="25"/>
        <v>1</v>
      </c>
      <c r="AI115" s="13">
        <f t="shared" si="25"/>
        <v>17</v>
      </c>
    </row>
    <row r="116" spans="1:35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Y116" s="54"/>
      <c r="Z116" s="54"/>
      <c r="AA116" s="54"/>
      <c r="AB116" s="54"/>
      <c r="AC116" s="54"/>
      <c r="AD116" s="54"/>
      <c r="AE116" s="54"/>
      <c r="AI116" s="13"/>
    </row>
    <row r="117" spans="1:35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0</v>
      </c>
      <c r="F117" s="16">
        <v>0</v>
      </c>
      <c r="G117" s="16">
        <v>0</v>
      </c>
      <c r="H117" s="16">
        <v>1</v>
      </c>
      <c r="I117" s="16">
        <v>1</v>
      </c>
      <c r="J117" s="16">
        <v>1</v>
      </c>
      <c r="K117" s="16">
        <v>1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3</v>
      </c>
      <c r="S117" s="16">
        <v>2</v>
      </c>
      <c r="T117" s="16">
        <v>0</v>
      </c>
      <c r="U117" s="16">
        <v>1</v>
      </c>
      <c r="V117" s="16">
        <v>0</v>
      </c>
      <c r="W117" s="16">
        <v>0</v>
      </c>
      <c r="X117" s="16">
        <v>1</v>
      </c>
      <c r="Y117" s="16">
        <v>0</v>
      </c>
      <c r="Z117" s="16">
        <v>0</v>
      </c>
      <c r="AA117" s="16">
        <v>0</v>
      </c>
      <c r="AB117" s="16">
        <v>0</v>
      </c>
      <c r="AC117" s="16">
        <v>1</v>
      </c>
      <c r="AD117" s="16">
        <v>0</v>
      </c>
      <c r="AE117" s="16">
        <v>1</v>
      </c>
      <c r="AF117" s="16">
        <v>2</v>
      </c>
      <c r="AG117" s="16">
        <v>0</v>
      </c>
      <c r="AH117" s="16">
        <v>0</v>
      </c>
      <c r="AI117" s="13">
        <f t="shared" ref="AI117:AI126" si="26">SUM(E117:AH117)</f>
        <v>16</v>
      </c>
    </row>
    <row r="118" spans="1:35" ht="12.75" customHeight="1" x14ac:dyDescent="0.4">
      <c r="A118" s="20" t="s">
        <v>38</v>
      </c>
      <c r="B118" s="28"/>
      <c r="C118" s="29" t="s">
        <v>80</v>
      </c>
      <c r="D118" s="30"/>
      <c r="E118" s="16">
        <v>1</v>
      </c>
      <c r="F118" s="16">
        <v>0</v>
      </c>
      <c r="G118" s="16">
        <v>0</v>
      </c>
      <c r="H118" s="16">
        <v>2</v>
      </c>
      <c r="I118" s="16">
        <v>7</v>
      </c>
      <c r="J118" s="16">
        <v>5</v>
      </c>
      <c r="K118" s="16">
        <v>6</v>
      </c>
      <c r="L118" s="16">
        <v>1</v>
      </c>
      <c r="M118" s="16">
        <v>0</v>
      </c>
      <c r="N118" s="16">
        <v>0</v>
      </c>
      <c r="O118" s="16">
        <v>3</v>
      </c>
      <c r="P118" s="16">
        <v>2</v>
      </c>
      <c r="Q118" s="16">
        <v>0</v>
      </c>
      <c r="R118" s="16">
        <v>0</v>
      </c>
      <c r="S118" s="16">
        <v>0</v>
      </c>
      <c r="T118" s="16">
        <v>2</v>
      </c>
      <c r="U118" s="16">
        <v>17</v>
      </c>
      <c r="V118" s="16">
        <v>6</v>
      </c>
      <c r="W118" s="16">
        <v>3</v>
      </c>
      <c r="X118" s="16">
        <v>1</v>
      </c>
      <c r="Y118" s="16">
        <v>0</v>
      </c>
      <c r="Z118" s="16">
        <v>1</v>
      </c>
      <c r="AA118" s="16">
        <v>0</v>
      </c>
      <c r="AB118" s="16">
        <v>2</v>
      </c>
      <c r="AC118" s="16">
        <v>0</v>
      </c>
      <c r="AD118" s="16">
        <v>2</v>
      </c>
      <c r="AE118" s="16">
        <v>3</v>
      </c>
      <c r="AF118" s="16">
        <v>0</v>
      </c>
      <c r="AG118" s="16">
        <v>1</v>
      </c>
      <c r="AH118" s="16">
        <v>4</v>
      </c>
      <c r="AI118" s="13">
        <f t="shared" si="26"/>
        <v>69</v>
      </c>
    </row>
    <row r="119" spans="1:35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0</v>
      </c>
      <c r="H119" s="16">
        <v>0</v>
      </c>
      <c r="I119" s="16">
        <v>12</v>
      </c>
      <c r="J119" s="16">
        <v>3</v>
      </c>
      <c r="K119" s="16">
        <v>0</v>
      </c>
      <c r="L119" s="16">
        <v>0</v>
      </c>
      <c r="M119" s="16">
        <v>0</v>
      </c>
      <c r="N119" s="16">
        <v>0</v>
      </c>
      <c r="O119" s="16">
        <v>0</v>
      </c>
      <c r="P119" s="16">
        <v>0</v>
      </c>
      <c r="Q119" s="16">
        <v>0</v>
      </c>
      <c r="R119" s="16">
        <v>0</v>
      </c>
      <c r="S119" s="16">
        <v>1</v>
      </c>
      <c r="T119" s="16">
        <v>1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1</v>
      </c>
      <c r="AB119" s="16">
        <v>1</v>
      </c>
      <c r="AC119" s="16">
        <v>2</v>
      </c>
      <c r="AD119" s="16">
        <v>0</v>
      </c>
      <c r="AE119" s="16">
        <v>0</v>
      </c>
      <c r="AF119" s="16">
        <v>0</v>
      </c>
      <c r="AG119" s="16">
        <v>1</v>
      </c>
      <c r="AH119" s="16">
        <v>1</v>
      </c>
      <c r="AI119" s="13">
        <f t="shared" si="26"/>
        <v>23</v>
      </c>
    </row>
    <row r="120" spans="1:35" ht="12.75" customHeight="1" x14ac:dyDescent="0.4">
      <c r="A120" s="15"/>
      <c r="B120" s="28"/>
      <c r="C120" s="29" t="s">
        <v>82</v>
      </c>
      <c r="D120" s="30"/>
      <c r="E120" s="16">
        <v>1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1</v>
      </c>
      <c r="L120" s="16">
        <v>1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2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6">
        <v>0</v>
      </c>
      <c r="AF120" s="16">
        <v>0</v>
      </c>
      <c r="AG120" s="16">
        <v>0</v>
      </c>
      <c r="AH120" s="16">
        <v>0</v>
      </c>
      <c r="AI120" s="13">
        <f t="shared" si="26"/>
        <v>5</v>
      </c>
    </row>
    <row r="121" spans="1:35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53">
        <v>1</v>
      </c>
      <c r="U121" s="53">
        <v>0</v>
      </c>
      <c r="V121" s="53">
        <v>0</v>
      </c>
      <c r="W121" s="53">
        <v>0</v>
      </c>
      <c r="X121" s="53">
        <v>0</v>
      </c>
      <c r="Y121" s="53">
        <v>0</v>
      </c>
      <c r="Z121" s="53">
        <v>0</v>
      </c>
      <c r="AA121" s="53">
        <v>0</v>
      </c>
      <c r="AB121" s="53">
        <v>0</v>
      </c>
      <c r="AC121" s="53">
        <v>0</v>
      </c>
      <c r="AD121" s="53">
        <v>0</v>
      </c>
      <c r="AE121" s="53">
        <v>0</v>
      </c>
      <c r="AF121" s="53">
        <v>0</v>
      </c>
      <c r="AG121" s="53">
        <v>0</v>
      </c>
      <c r="AH121" s="53">
        <v>0</v>
      </c>
      <c r="AI121" s="13">
        <f t="shared" si="26"/>
        <v>1</v>
      </c>
    </row>
    <row r="122" spans="1:35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0</v>
      </c>
      <c r="G122" s="53">
        <v>2</v>
      </c>
      <c r="H122" s="53">
        <v>0</v>
      </c>
      <c r="I122" s="53">
        <v>1</v>
      </c>
      <c r="J122" s="53">
        <v>1</v>
      </c>
      <c r="K122" s="53">
        <v>0</v>
      </c>
      <c r="L122" s="53">
        <v>1</v>
      </c>
      <c r="M122" s="53">
        <v>1</v>
      </c>
      <c r="N122" s="53">
        <v>1</v>
      </c>
      <c r="O122" s="53">
        <v>0</v>
      </c>
      <c r="P122" s="16">
        <v>0</v>
      </c>
      <c r="Q122" s="53">
        <v>0</v>
      </c>
      <c r="R122" s="53">
        <v>0</v>
      </c>
      <c r="S122" s="53">
        <v>2</v>
      </c>
      <c r="T122" s="53">
        <v>0</v>
      </c>
      <c r="U122" s="53">
        <v>0</v>
      </c>
      <c r="V122" s="53">
        <v>1</v>
      </c>
      <c r="W122" s="53">
        <v>0</v>
      </c>
      <c r="X122" s="53">
        <v>0</v>
      </c>
      <c r="Y122" s="53">
        <v>0</v>
      </c>
      <c r="Z122" s="53">
        <v>0</v>
      </c>
      <c r="AA122" s="53">
        <v>0</v>
      </c>
      <c r="AB122" s="53">
        <v>0</v>
      </c>
      <c r="AC122" s="53">
        <v>0</v>
      </c>
      <c r="AD122" s="53">
        <v>0</v>
      </c>
      <c r="AE122" s="53">
        <v>0</v>
      </c>
      <c r="AF122" s="53">
        <v>0</v>
      </c>
      <c r="AG122" s="53">
        <v>0</v>
      </c>
      <c r="AH122" s="53">
        <v>1</v>
      </c>
      <c r="AI122" s="13">
        <f t="shared" si="26"/>
        <v>11</v>
      </c>
    </row>
    <row r="123" spans="1:35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1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41">
        <v>1</v>
      </c>
      <c r="S123" s="41">
        <v>0</v>
      </c>
      <c r="T123" s="41">
        <v>0</v>
      </c>
      <c r="U123" s="41">
        <v>0</v>
      </c>
      <c r="V123" s="41">
        <v>0</v>
      </c>
      <c r="W123" s="41">
        <v>0</v>
      </c>
      <c r="X123" s="41">
        <v>0</v>
      </c>
      <c r="Y123" s="41">
        <v>0</v>
      </c>
      <c r="Z123" s="41">
        <v>0</v>
      </c>
      <c r="AA123" s="41">
        <v>0</v>
      </c>
      <c r="AB123" s="41">
        <v>0</v>
      </c>
      <c r="AC123" s="41">
        <v>0</v>
      </c>
      <c r="AD123" s="41">
        <v>0</v>
      </c>
      <c r="AE123" s="41">
        <v>0</v>
      </c>
      <c r="AF123" s="41">
        <v>0</v>
      </c>
      <c r="AG123" s="41">
        <v>0</v>
      </c>
      <c r="AH123" s="41">
        <v>0</v>
      </c>
      <c r="AI123" s="13">
        <f t="shared" si="26"/>
        <v>2</v>
      </c>
    </row>
    <row r="124" spans="1:35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13">
        <f t="shared" si="26"/>
        <v>0</v>
      </c>
    </row>
    <row r="125" spans="1:35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13">
        <f t="shared" si="26"/>
        <v>0</v>
      </c>
    </row>
    <row r="126" spans="1:35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13">
        <f t="shared" si="26"/>
        <v>0</v>
      </c>
    </row>
    <row r="127" spans="1:35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AI127" si="27">SUM(E117:E126)</f>
        <v>2</v>
      </c>
      <c r="F127" s="13">
        <f t="shared" si="27"/>
        <v>0</v>
      </c>
      <c r="G127" s="13">
        <f t="shared" si="27"/>
        <v>3</v>
      </c>
      <c r="H127" s="13">
        <f t="shared" si="27"/>
        <v>3</v>
      </c>
      <c r="I127" s="13">
        <f t="shared" si="27"/>
        <v>21</v>
      </c>
      <c r="J127" s="13">
        <f t="shared" si="27"/>
        <v>10</v>
      </c>
      <c r="K127" s="13">
        <f t="shared" si="27"/>
        <v>8</v>
      </c>
      <c r="L127" s="13">
        <f t="shared" si="27"/>
        <v>3</v>
      </c>
      <c r="M127" s="13">
        <f t="shared" si="27"/>
        <v>1</v>
      </c>
      <c r="N127" s="13">
        <f t="shared" si="27"/>
        <v>2</v>
      </c>
      <c r="O127" s="13">
        <f t="shared" si="27"/>
        <v>3</v>
      </c>
      <c r="P127" s="13">
        <f t="shared" si="27"/>
        <v>2</v>
      </c>
      <c r="Q127" s="13">
        <f t="shared" si="27"/>
        <v>0</v>
      </c>
      <c r="R127" s="13">
        <f t="shared" si="27"/>
        <v>4</v>
      </c>
      <c r="S127" s="13">
        <f t="shared" si="27"/>
        <v>5</v>
      </c>
      <c r="T127" s="13">
        <f t="shared" si="27"/>
        <v>4</v>
      </c>
      <c r="U127" s="13">
        <f t="shared" si="27"/>
        <v>18</v>
      </c>
      <c r="V127" s="13">
        <f t="shared" si="27"/>
        <v>9</v>
      </c>
      <c r="W127" s="13">
        <f t="shared" si="27"/>
        <v>3</v>
      </c>
      <c r="X127" s="13">
        <f t="shared" si="27"/>
        <v>2</v>
      </c>
      <c r="Y127" s="13">
        <f t="shared" si="27"/>
        <v>0</v>
      </c>
      <c r="Z127" s="13">
        <f t="shared" si="27"/>
        <v>1</v>
      </c>
      <c r="AA127" s="13">
        <f t="shared" si="27"/>
        <v>1</v>
      </c>
      <c r="AB127" s="13">
        <f t="shared" si="27"/>
        <v>3</v>
      </c>
      <c r="AC127" s="13">
        <f t="shared" si="27"/>
        <v>3</v>
      </c>
      <c r="AD127" s="13">
        <f t="shared" si="27"/>
        <v>2</v>
      </c>
      <c r="AE127" s="13">
        <f t="shared" si="27"/>
        <v>4</v>
      </c>
      <c r="AF127" s="13">
        <f t="shared" si="27"/>
        <v>2</v>
      </c>
      <c r="AG127" s="13">
        <f t="shared" si="27"/>
        <v>2</v>
      </c>
      <c r="AH127" s="13">
        <f t="shared" si="27"/>
        <v>6</v>
      </c>
      <c r="AI127" s="13">
        <f t="shared" si="27"/>
        <v>127</v>
      </c>
    </row>
    <row r="128" spans="1:35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</row>
    <row r="129" spans="1:35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0</v>
      </c>
      <c r="F129" s="16">
        <v>0</v>
      </c>
      <c r="G129" s="16">
        <v>2</v>
      </c>
      <c r="H129" s="16">
        <v>5</v>
      </c>
      <c r="I129" s="16">
        <v>3</v>
      </c>
      <c r="J129" s="16">
        <v>5</v>
      </c>
      <c r="K129" s="16">
        <v>0</v>
      </c>
      <c r="L129" s="16">
        <v>0</v>
      </c>
      <c r="M129" s="16">
        <v>1</v>
      </c>
      <c r="N129" s="16">
        <v>2</v>
      </c>
      <c r="O129" s="16">
        <v>1</v>
      </c>
      <c r="P129" s="16">
        <v>0</v>
      </c>
      <c r="Q129" s="16">
        <v>0</v>
      </c>
      <c r="R129" s="16">
        <v>1</v>
      </c>
      <c r="S129" s="16">
        <v>5</v>
      </c>
      <c r="T129" s="16">
        <v>2</v>
      </c>
      <c r="U129" s="16">
        <v>0</v>
      </c>
      <c r="V129" s="16">
        <v>0</v>
      </c>
      <c r="W129" s="16">
        <v>1</v>
      </c>
      <c r="X129" s="16">
        <v>1</v>
      </c>
      <c r="Y129" s="16">
        <v>0</v>
      </c>
      <c r="Z129" s="16">
        <v>0</v>
      </c>
      <c r="AA129" s="16">
        <v>1</v>
      </c>
      <c r="AB129" s="16">
        <v>4</v>
      </c>
      <c r="AC129" s="16">
        <v>1</v>
      </c>
      <c r="AD129" s="16">
        <v>1</v>
      </c>
      <c r="AE129" s="16">
        <v>0</v>
      </c>
      <c r="AF129" s="16">
        <v>0</v>
      </c>
      <c r="AG129" s="16">
        <v>1</v>
      </c>
      <c r="AH129" s="16">
        <v>0</v>
      </c>
      <c r="AI129" s="13">
        <f t="shared" ref="AI129:AI138" si="28">SUM(E129:AH129)</f>
        <v>37</v>
      </c>
    </row>
    <row r="130" spans="1:35" ht="12.75" customHeight="1" x14ac:dyDescent="0.4">
      <c r="A130" s="20" t="s">
        <v>38</v>
      </c>
      <c r="B130" s="28"/>
      <c r="C130" s="29" t="s">
        <v>88</v>
      </c>
      <c r="D130" s="30"/>
      <c r="E130" s="16">
        <v>0</v>
      </c>
      <c r="F130" s="16">
        <v>0</v>
      </c>
      <c r="G130" s="16">
        <v>2</v>
      </c>
      <c r="H130" s="16">
        <v>3</v>
      </c>
      <c r="I130" s="16">
        <v>11</v>
      </c>
      <c r="J130" s="16">
        <v>15</v>
      </c>
      <c r="K130" s="16">
        <v>8</v>
      </c>
      <c r="L130" s="16">
        <v>2</v>
      </c>
      <c r="M130" s="16">
        <v>1</v>
      </c>
      <c r="N130" s="16">
        <v>2</v>
      </c>
      <c r="O130" s="16">
        <v>2</v>
      </c>
      <c r="P130" s="16">
        <v>1</v>
      </c>
      <c r="Q130" s="16">
        <v>2</v>
      </c>
      <c r="R130" s="16">
        <v>0</v>
      </c>
      <c r="S130" s="16">
        <v>9</v>
      </c>
      <c r="T130" s="16">
        <v>3</v>
      </c>
      <c r="U130" s="16">
        <v>2</v>
      </c>
      <c r="V130" s="16">
        <v>0</v>
      </c>
      <c r="W130" s="16">
        <v>4</v>
      </c>
      <c r="X130" s="16">
        <v>3</v>
      </c>
      <c r="Y130" s="16">
        <v>3</v>
      </c>
      <c r="Z130" s="16">
        <v>2</v>
      </c>
      <c r="AA130" s="16">
        <v>6</v>
      </c>
      <c r="AB130" s="16">
        <v>6</v>
      </c>
      <c r="AC130" s="16">
        <v>3</v>
      </c>
      <c r="AD130" s="16">
        <v>3</v>
      </c>
      <c r="AE130" s="16">
        <v>1</v>
      </c>
      <c r="AF130" s="16">
        <v>4</v>
      </c>
      <c r="AG130" s="16">
        <v>0</v>
      </c>
      <c r="AH130" s="16">
        <v>1</v>
      </c>
      <c r="AI130" s="13">
        <f t="shared" si="28"/>
        <v>99</v>
      </c>
    </row>
    <row r="131" spans="1:35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0</v>
      </c>
      <c r="G131" s="16">
        <v>1</v>
      </c>
      <c r="H131" s="16">
        <v>0</v>
      </c>
      <c r="I131" s="16">
        <v>0</v>
      </c>
      <c r="J131" s="16">
        <v>1</v>
      </c>
      <c r="K131" s="16">
        <v>0</v>
      </c>
      <c r="L131" s="16">
        <v>0</v>
      </c>
      <c r="M131" s="16">
        <v>1</v>
      </c>
      <c r="N131" s="16">
        <v>0</v>
      </c>
      <c r="O131" s="16">
        <v>0</v>
      </c>
      <c r="P131" s="16">
        <v>0</v>
      </c>
      <c r="Q131" s="16">
        <v>0</v>
      </c>
      <c r="R131" s="16">
        <v>0</v>
      </c>
      <c r="S131" s="16">
        <v>0</v>
      </c>
      <c r="T131" s="16">
        <v>1</v>
      </c>
      <c r="U131" s="16">
        <v>0</v>
      </c>
      <c r="V131" s="16">
        <v>0</v>
      </c>
      <c r="W131" s="16">
        <v>0</v>
      </c>
      <c r="X131" s="16">
        <v>0</v>
      </c>
      <c r="Y131" s="16">
        <v>1</v>
      </c>
      <c r="Z131" s="16">
        <v>0</v>
      </c>
      <c r="AA131" s="16">
        <v>0</v>
      </c>
      <c r="AB131" s="16">
        <v>1</v>
      </c>
      <c r="AC131" s="16">
        <v>0</v>
      </c>
      <c r="AD131" s="16">
        <v>0</v>
      </c>
      <c r="AE131" s="16">
        <v>0</v>
      </c>
      <c r="AF131" s="16">
        <v>1</v>
      </c>
      <c r="AG131" s="16">
        <v>0</v>
      </c>
      <c r="AH131" s="16">
        <v>0</v>
      </c>
      <c r="AI131" s="13">
        <f t="shared" si="28"/>
        <v>7</v>
      </c>
    </row>
    <row r="132" spans="1:35" ht="12.75" customHeight="1" x14ac:dyDescent="0.4">
      <c r="A132" s="15"/>
      <c r="B132" s="28"/>
      <c r="C132" s="29" t="s">
        <v>90</v>
      </c>
      <c r="D132" s="30"/>
      <c r="E132" s="16">
        <v>1</v>
      </c>
      <c r="F132" s="16">
        <v>0</v>
      </c>
      <c r="G132" s="16">
        <v>0</v>
      </c>
      <c r="H132" s="16">
        <v>0</v>
      </c>
      <c r="I132" s="16">
        <v>1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0</v>
      </c>
      <c r="Q132" s="16">
        <v>0</v>
      </c>
      <c r="R132" s="16">
        <v>0</v>
      </c>
      <c r="S132" s="16">
        <v>0</v>
      </c>
      <c r="T132" s="16">
        <v>0</v>
      </c>
      <c r="U132" s="16">
        <v>0</v>
      </c>
      <c r="V132" s="16">
        <v>0</v>
      </c>
      <c r="W132" s="16">
        <v>0</v>
      </c>
      <c r="X132" s="16">
        <v>0</v>
      </c>
      <c r="Y132" s="16">
        <v>1</v>
      </c>
      <c r="Z132" s="16">
        <v>0</v>
      </c>
      <c r="AA132" s="16">
        <v>0</v>
      </c>
      <c r="AB132" s="16">
        <v>1</v>
      </c>
      <c r="AC132" s="16">
        <v>0</v>
      </c>
      <c r="AD132" s="16">
        <v>0</v>
      </c>
      <c r="AE132" s="16">
        <v>0</v>
      </c>
      <c r="AF132" s="16">
        <v>0</v>
      </c>
      <c r="AG132" s="16">
        <v>0</v>
      </c>
      <c r="AH132" s="16">
        <v>0</v>
      </c>
      <c r="AI132" s="13">
        <f t="shared" si="28"/>
        <v>4</v>
      </c>
    </row>
    <row r="133" spans="1:35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0</v>
      </c>
      <c r="G133" s="16">
        <v>0</v>
      </c>
      <c r="H133" s="16">
        <v>1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0</v>
      </c>
      <c r="Q133" s="16">
        <v>0</v>
      </c>
      <c r="R133" s="16">
        <v>0</v>
      </c>
      <c r="S133" s="16">
        <v>0</v>
      </c>
      <c r="T133" s="16">
        <v>0</v>
      </c>
      <c r="U133" s="16">
        <v>1</v>
      </c>
      <c r="V133" s="16">
        <v>2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1</v>
      </c>
      <c r="AC133" s="16">
        <v>0</v>
      </c>
      <c r="AD133" s="16">
        <v>0</v>
      </c>
      <c r="AE133" s="16">
        <v>0</v>
      </c>
      <c r="AF133" s="16">
        <v>0</v>
      </c>
      <c r="AG133" s="16">
        <v>0</v>
      </c>
      <c r="AH133" s="16">
        <v>0</v>
      </c>
      <c r="AI133" s="13">
        <f t="shared" si="28"/>
        <v>5</v>
      </c>
    </row>
    <row r="134" spans="1:35" ht="12.75" customHeight="1" x14ac:dyDescent="0.4">
      <c r="A134" s="15"/>
      <c r="B134" s="28"/>
      <c r="C134" s="29" t="s">
        <v>92</v>
      </c>
      <c r="D134" s="30"/>
      <c r="E134" s="16">
        <v>0</v>
      </c>
      <c r="F134" s="16">
        <v>0</v>
      </c>
      <c r="G134" s="16">
        <v>1</v>
      </c>
      <c r="H134" s="16">
        <v>3</v>
      </c>
      <c r="I134" s="16">
        <v>2</v>
      </c>
      <c r="J134" s="16">
        <v>0</v>
      </c>
      <c r="K134" s="16">
        <v>1</v>
      </c>
      <c r="L134" s="16">
        <v>0</v>
      </c>
      <c r="M134" s="16">
        <v>0</v>
      </c>
      <c r="N134" s="16">
        <v>0</v>
      </c>
      <c r="O134" s="16">
        <v>1</v>
      </c>
      <c r="P134" s="16">
        <v>0</v>
      </c>
      <c r="Q134" s="16">
        <v>3</v>
      </c>
      <c r="R134" s="16">
        <v>0</v>
      </c>
      <c r="S134" s="16">
        <v>1</v>
      </c>
      <c r="T134" s="16">
        <v>0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0</v>
      </c>
      <c r="AA134" s="16">
        <v>1</v>
      </c>
      <c r="AB134" s="16">
        <v>2</v>
      </c>
      <c r="AC134" s="16">
        <v>0</v>
      </c>
      <c r="AD134" s="16">
        <v>1</v>
      </c>
      <c r="AE134" s="16">
        <v>1</v>
      </c>
      <c r="AF134" s="16">
        <v>1</v>
      </c>
      <c r="AG134" s="16">
        <v>0</v>
      </c>
      <c r="AH134" s="16">
        <v>4</v>
      </c>
      <c r="AI134" s="13">
        <f t="shared" si="28"/>
        <v>22</v>
      </c>
    </row>
    <row r="135" spans="1:35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3</v>
      </c>
      <c r="N135" s="16">
        <v>0</v>
      </c>
      <c r="O135" s="16">
        <v>1</v>
      </c>
      <c r="P135" s="16">
        <v>0</v>
      </c>
      <c r="Q135" s="16">
        <v>0</v>
      </c>
      <c r="R135" s="16">
        <v>0</v>
      </c>
      <c r="S135" s="16">
        <v>1</v>
      </c>
      <c r="T135" s="16">
        <v>3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0</v>
      </c>
      <c r="AB135" s="16">
        <v>0</v>
      </c>
      <c r="AC135" s="16">
        <v>2</v>
      </c>
      <c r="AD135" s="16">
        <v>0</v>
      </c>
      <c r="AE135" s="16">
        <v>0</v>
      </c>
      <c r="AF135" s="16">
        <v>0</v>
      </c>
      <c r="AG135" s="16">
        <v>0</v>
      </c>
      <c r="AH135" s="16">
        <v>0</v>
      </c>
      <c r="AI135" s="13">
        <f t="shared" si="28"/>
        <v>10</v>
      </c>
    </row>
    <row r="136" spans="1:35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13">
        <f t="shared" si="28"/>
        <v>0</v>
      </c>
    </row>
    <row r="137" spans="1:35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13">
        <f t="shared" si="28"/>
        <v>0</v>
      </c>
    </row>
    <row r="138" spans="1:35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13">
        <f t="shared" si="28"/>
        <v>0</v>
      </c>
    </row>
    <row r="139" spans="1:35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AI139" si="29">SUM(E129:E138)</f>
        <v>1</v>
      </c>
      <c r="F139" s="13">
        <f t="shared" si="29"/>
        <v>0</v>
      </c>
      <c r="G139" s="13">
        <f t="shared" si="29"/>
        <v>6</v>
      </c>
      <c r="H139" s="13">
        <f t="shared" si="29"/>
        <v>12</v>
      </c>
      <c r="I139" s="13">
        <f t="shared" si="29"/>
        <v>17</v>
      </c>
      <c r="J139" s="13">
        <f t="shared" si="29"/>
        <v>21</v>
      </c>
      <c r="K139" s="13">
        <f t="shared" si="29"/>
        <v>9</v>
      </c>
      <c r="L139" s="13">
        <f t="shared" si="29"/>
        <v>2</v>
      </c>
      <c r="M139" s="13">
        <f t="shared" si="29"/>
        <v>6</v>
      </c>
      <c r="N139" s="13">
        <f t="shared" si="29"/>
        <v>4</v>
      </c>
      <c r="O139" s="13">
        <f t="shared" si="29"/>
        <v>5</v>
      </c>
      <c r="P139" s="13">
        <f t="shared" si="29"/>
        <v>1</v>
      </c>
      <c r="Q139" s="13">
        <f t="shared" si="29"/>
        <v>5</v>
      </c>
      <c r="R139" s="13">
        <f t="shared" si="29"/>
        <v>1</v>
      </c>
      <c r="S139" s="13">
        <f t="shared" si="29"/>
        <v>16</v>
      </c>
      <c r="T139" s="13">
        <f t="shared" si="29"/>
        <v>9</v>
      </c>
      <c r="U139" s="13">
        <f t="shared" si="29"/>
        <v>3</v>
      </c>
      <c r="V139" s="13">
        <f t="shared" si="29"/>
        <v>2</v>
      </c>
      <c r="W139" s="13">
        <f t="shared" si="29"/>
        <v>5</v>
      </c>
      <c r="X139" s="13">
        <f t="shared" si="29"/>
        <v>4</v>
      </c>
      <c r="Y139" s="13">
        <f t="shared" si="29"/>
        <v>5</v>
      </c>
      <c r="Z139" s="13">
        <f t="shared" si="29"/>
        <v>2</v>
      </c>
      <c r="AA139" s="13">
        <f t="shared" si="29"/>
        <v>8</v>
      </c>
      <c r="AB139" s="13">
        <f t="shared" si="29"/>
        <v>15</v>
      </c>
      <c r="AC139" s="13">
        <f t="shared" si="29"/>
        <v>6</v>
      </c>
      <c r="AD139" s="13">
        <f t="shared" si="29"/>
        <v>5</v>
      </c>
      <c r="AE139" s="13">
        <f t="shared" si="29"/>
        <v>2</v>
      </c>
      <c r="AF139" s="13">
        <f t="shared" si="29"/>
        <v>6</v>
      </c>
      <c r="AG139" s="13">
        <f t="shared" si="29"/>
        <v>1</v>
      </c>
      <c r="AH139" s="13">
        <f t="shared" si="29"/>
        <v>5</v>
      </c>
      <c r="AI139" s="13">
        <f t="shared" si="29"/>
        <v>184</v>
      </c>
    </row>
    <row r="140" spans="1:35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</row>
    <row r="141" spans="1:35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6">
        <v>0</v>
      </c>
      <c r="U141" s="16">
        <v>0</v>
      </c>
      <c r="V141" s="16">
        <v>1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6">
        <v>0</v>
      </c>
      <c r="AF141" s="16">
        <v>0</v>
      </c>
      <c r="AG141" s="16">
        <v>0</v>
      </c>
      <c r="AH141" s="16">
        <v>1</v>
      </c>
      <c r="AI141" s="13">
        <f t="shared" ref="AI141:AI150" si="30">SUM(E141:AH141)</f>
        <v>2</v>
      </c>
    </row>
    <row r="142" spans="1:35" ht="12.75" customHeight="1" x14ac:dyDescent="0.4">
      <c r="A142" s="20" t="s">
        <v>38</v>
      </c>
      <c r="B142" s="27"/>
      <c r="C142" s="29" t="s">
        <v>96</v>
      </c>
      <c r="D142" s="40"/>
      <c r="E142" s="16">
        <v>1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6">
        <v>0</v>
      </c>
      <c r="T142" s="16">
        <v>0</v>
      </c>
      <c r="U142" s="16">
        <v>0</v>
      </c>
      <c r="V142" s="16">
        <v>0</v>
      </c>
      <c r="W142" s="16">
        <v>1</v>
      </c>
      <c r="X142" s="16">
        <v>0</v>
      </c>
      <c r="Y142" s="16">
        <v>0</v>
      </c>
      <c r="Z142" s="16">
        <v>0</v>
      </c>
      <c r="AA142" s="16">
        <v>0</v>
      </c>
      <c r="AB142" s="16">
        <v>0</v>
      </c>
      <c r="AC142" s="16">
        <v>0</v>
      </c>
      <c r="AD142" s="16">
        <v>0</v>
      </c>
      <c r="AE142" s="16">
        <v>0</v>
      </c>
      <c r="AF142" s="16">
        <v>0</v>
      </c>
      <c r="AG142" s="16">
        <v>0</v>
      </c>
      <c r="AH142" s="16">
        <v>1</v>
      </c>
      <c r="AI142" s="13">
        <f t="shared" si="30"/>
        <v>3</v>
      </c>
    </row>
    <row r="143" spans="1:35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13">
        <f t="shared" si="30"/>
        <v>0</v>
      </c>
    </row>
    <row r="144" spans="1:35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13">
        <f t="shared" si="30"/>
        <v>0</v>
      </c>
    </row>
    <row r="145" spans="1:35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13">
        <f t="shared" si="30"/>
        <v>0</v>
      </c>
    </row>
    <row r="146" spans="1:35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13">
        <f t="shared" si="30"/>
        <v>0</v>
      </c>
    </row>
    <row r="147" spans="1:35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13">
        <f t="shared" si="30"/>
        <v>0</v>
      </c>
    </row>
    <row r="148" spans="1:35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13">
        <f t="shared" si="30"/>
        <v>0</v>
      </c>
    </row>
    <row r="149" spans="1:35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13">
        <f t="shared" si="30"/>
        <v>0</v>
      </c>
    </row>
    <row r="150" spans="1:35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13">
        <f t="shared" si="30"/>
        <v>0</v>
      </c>
    </row>
    <row r="151" spans="1:35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AI151" si="31">SUM(E141:E150)</f>
        <v>1</v>
      </c>
      <c r="F151" s="13">
        <f t="shared" si="31"/>
        <v>0</v>
      </c>
      <c r="G151" s="13">
        <f t="shared" si="31"/>
        <v>0</v>
      </c>
      <c r="H151" s="13">
        <f t="shared" si="31"/>
        <v>0</v>
      </c>
      <c r="I151" s="13">
        <f t="shared" si="31"/>
        <v>0</v>
      </c>
      <c r="J151" s="13">
        <f t="shared" si="31"/>
        <v>0</v>
      </c>
      <c r="K151" s="13">
        <f t="shared" si="31"/>
        <v>0</v>
      </c>
      <c r="L151" s="13">
        <f t="shared" si="31"/>
        <v>0</v>
      </c>
      <c r="M151" s="13">
        <f t="shared" si="31"/>
        <v>0</v>
      </c>
      <c r="N151" s="13">
        <f t="shared" si="31"/>
        <v>0</v>
      </c>
      <c r="O151" s="13">
        <f t="shared" si="31"/>
        <v>0</v>
      </c>
      <c r="P151" s="13">
        <f t="shared" si="31"/>
        <v>0</v>
      </c>
      <c r="Q151" s="13">
        <f t="shared" si="31"/>
        <v>0</v>
      </c>
      <c r="R151" s="13">
        <f t="shared" si="31"/>
        <v>0</v>
      </c>
      <c r="S151" s="13">
        <f t="shared" si="31"/>
        <v>0</v>
      </c>
      <c r="T151" s="13">
        <f t="shared" si="31"/>
        <v>0</v>
      </c>
      <c r="U151" s="13">
        <f t="shared" si="31"/>
        <v>0</v>
      </c>
      <c r="V151" s="13">
        <f t="shared" si="31"/>
        <v>1</v>
      </c>
      <c r="W151" s="13">
        <f t="shared" si="31"/>
        <v>1</v>
      </c>
      <c r="X151" s="13">
        <f t="shared" si="31"/>
        <v>0</v>
      </c>
      <c r="Y151" s="13">
        <f t="shared" si="31"/>
        <v>0</v>
      </c>
      <c r="Z151" s="13">
        <f t="shared" si="31"/>
        <v>0</v>
      </c>
      <c r="AA151" s="13">
        <f t="shared" si="31"/>
        <v>0</v>
      </c>
      <c r="AB151" s="13">
        <f t="shared" si="31"/>
        <v>0</v>
      </c>
      <c r="AC151" s="13">
        <f t="shared" si="31"/>
        <v>0</v>
      </c>
      <c r="AD151" s="13">
        <f t="shared" si="31"/>
        <v>0</v>
      </c>
      <c r="AE151" s="13">
        <f t="shared" si="31"/>
        <v>0</v>
      </c>
      <c r="AF151" s="13">
        <f t="shared" si="31"/>
        <v>0</v>
      </c>
      <c r="AG151" s="13">
        <f t="shared" si="31"/>
        <v>0</v>
      </c>
      <c r="AH151" s="13">
        <f t="shared" si="31"/>
        <v>2</v>
      </c>
      <c r="AI151" s="13">
        <f t="shared" si="31"/>
        <v>5</v>
      </c>
    </row>
    <row r="152" spans="1:35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13"/>
    </row>
    <row r="153" spans="1:35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2</v>
      </c>
      <c r="F153" s="16">
        <v>0</v>
      </c>
      <c r="G153" s="16">
        <v>0</v>
      </c>
      <c r="H153" s="16">
        <v>1</v>
      </c>
      <c r="I153" s="16">
        <v>0</v>
      </c>
      <c r="J153" s="16">
        <v>0</v>
      </c>
      <c r="K153" s="16">
        <v>5</v>
      </c>
      <c r="L153" s="16">
        <v>0</v>
      </c>
      <c r="M153" s="16">
        <v>0</v>
      </c>
      <c r="N153" s="16">
        <v>0</v>
      </c>
      <c r="O153" s="16">
        <v>2</v>
      </c>
      <c r="P153" s="16">
        <v>2</v>
      </c>
      <c r="Q153" s="16">
        <v>4</v>
      </c>
      <c r="R153" s="16">
        <v>1</v>
      </c>
      <c r="S153" s="16">
        <v>1</v>
      </c>
      <c r="T153" s="16">
        <v>0</v>
      </c>
      <c r="U153" s="16">
        <v>1</v>
      </c>
      <c r="V153" s="16">
        <v>1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0</v>
      </c>
      <c r="AC153" s="16">
        <v>0</v>
      </c>
      <c r="AD153" s="16">
        <v>0</v>
      </c>
      <c r="AE153" s="16">
        <v>1</v>
      </c>
      <c r="AF153" s="16">
        <v>0</v>
      </c>
      <c r="AG153" s="16">
        <v>0</v>
      </c>
      <c r="AH153" s="16">
        <v>0</v>
      </c>
      <c r="AI153" s="13">
        <f t="shared" ref="AI153:AI162" si="32">SUM(E153:AH153)</f>
        <v>21</v>
      </c>
    </row>
    <row r="154" spans="1:35" ht="12.75" customHeight="1" x14ac:dyDescent="0.4">
      <c r="A154" s="42" t="s">
        <v>38</v>
      </c>
      <c r="B154" s="28"/>
      <c r="C154" s="29" t="s">
        <v>99</v>
      </c>
      <c r="D154" s="30"/>
      <c r="E154" s="55">
        <v>2</v>
      </c>
      <c r="F154" s="16">
        <v>1</v>
      </c>
      <c r="G154" s="16">
        <v>5</v>
      </c>
      <c r="H154" s="16">
        <v>0</v>
      </c>
      <c r="I154" s="16">
        <v>0</v>
      </c>
      <c r="J154" s="16">
        <v>8</v>
      </c>
      <c r="K154" s="16">
        <v>23</v>
      </c>
      <c r="L154" s="16">
        <v>12</v>
      </c>
      <c r="M154" s="16">
        <v>2</v>
      </c>
      <c r="N154" s="16">
        <v>0</v>
      </c>
      <c r="O154" s="16">
        <v>2</v>
      </c>
      <c r="P154" s="16">
        <v>1</v>
      </c>
      <c r="Q154" s="16">
        <v>0</v>
      </c>
      <c r="R154" s="16">
        <v>0</v>
      </c>
      <c r="S154" s="16">
        <v>1</v>
      </c>
      <c r="T154" s="16">
        <v>1</v>
      </c>
      <c r="U154" s="16">
        <v>1</v>
      </c>
      <c r="V154" s="16">
        <v>1</v>
      </c>
      <c r="W154" s="16">
        <v>1</v>
      </c>
      <c r="X154" s="16">
        <v>0</v>
      </c>
      <c r="Y154" s="16">
        <v>3</v>
      </c>
      <c r="Z154" s="16">
        <v>0</v>
      </c>
      <c r="AA154" s="16">
        <v>0</v>
      </c>
      <c r="AB154" s="16">
        <v>3</v>
      </c>
      <c r="AC154" s="16">
        <v>2</v>
      </c>
      <c r="AD154" s="16">
        <v>4</v>
      </c>
      <c r="AE154" s="16">
        <v>0</v>
      </c>
      <c r="AF154" s="16">
        <v>0</v>
      </c>
      <c r="AG154" s="16">
        <v>0</v>
      </c>
      <c r="AH154" s="16">
        <v>0</v>
      </c>
      <c r="AI154" s="13">
        <f t="shared" si="32"/>
        <v>73</v>
      </c>
    </row>
    <row r="155" spans="1:35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1</v>
      </c>
      <c r="J155" s="16">
        <v>1</v>
      </c>
      <c r="K155" s="16">
        <v>0</v>
      </c>
      <c r="L155" s="16">
        <v>1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1</v>
      </c>
      <c r="S155" s="16">
        <v>0</v>
      </c>
      <c r="T155" s="16">
        <v>1</v>
      </c>
      <c r="U155" s="16">
        <v>0</v>
      </c>
      <c r="V155" s="16">
        <v>0</v>
      </c>
      <c r="W155" s="16">
        <v>0</v>
      </c>
      <c r="X155" s="16">
        <v>0</v>
      </c>
      <c r="Y155" s="16">
        <v>0</v>
      </c>
      <c r="Z155" s="16">
        <v>0</v>
      </c>
      <c r="AA155" s="16">
        <v>0</v>
      </c>
      <c r="AB155" s="16">
        <v>0</v>
      </c>
      <c r="AC155" s="16">
        <v>0</v>
      </c>
      <c r="AD155" s="16">
        <v>0</v>
      </c>
      <c r="AE155" s="16">
        <v>0</v>
      </c>
      <c r="AF155" s="16">
        <v>0</v>
      </c>
      <c r="AG155" s="16">
        <v>0</v>
      </c>
      <c r="AH155" s="16">
        <v>0</v>
      </c>
      <c r="AI155" s="13">
        <f t="shared" si="32"/>
        <v>5</v>
      </c>
    </row>
    <row r="156" spans="1:35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0</v>
      </c>
      <c r="I156" s="16">
        <v>2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1</v>
      </c>
      <c r="Q156" s="16">
        <v>0</v>
      </c>
      <c r="R156" s="16">
        <v>0</v>
      </c>
      <c r="S156" s="16">
        <v>0</v>
      </c>
      <c r="T156" s="16">
        <v>0</v>
      </c>
      <c r="U156" s="16">
        <v>2</v>
      </c>
      <c r="V156" s="16">
        <v>0</v>
      </c>
      <c r="W156" s="16">
        <v>0</v>
      </c>
      <c r="X156" s="16">
        <v>2</v>
      </c>
      <c r="Y156" s="16">
        <v>0</v>
      </c>
      <c r="Z156" s="16">
        <v>3</v>
      </c>
      <c r="AA156" s="16">
        <v>0</v>
      </c>
      <c r="AB156" s="16">
        <v>0</v>
      </c>
      <c r="AC156" s="16">
        <v>1</v>
      </c>
      <c r="AD156" s="16">
        <v>2</v>
      </c>
      <c r="AE156" s="16">
        <v>1</v>
      </c>
      <c r="AF156" s="16">
        <v>0</v>
      </c>
      <c r="AG156" s="16">
        <v>1</v>
      </c>
      <c r="AH156" s="16">
        <v>0</v>
      </c>
      <c r="AI156" s="13">
        <f t="shared" si="32"/>
        <v>15</v>
      </c>
    </row>
    <row r="157" spans="1:35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1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0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0</v>
      </c>
      <c r="AA157" s="16">
        <v>0</v>
      </c>
      <c r="AB157" s="16">
        <v>0</v>
      </c>
      <c r="AC157" s="16">
        <v>0</v>
      </c>
      <c r="AD157" s="16">
        <v>0</v>
      </c>
      <c r="AE157" s="16">
        <v>0</v>
      </c>
      <c r="AF157" s="16">
        <v>0</v>
      </c>
      <c r="AG157" s="16">
        <v>0</v>
      </c>
      <c r="AH157" s="16">
        <v>1</v>
      </c>
      <c r="AI157" s="13">
        <f t="shared" si="32"/>
        <v>2</v>
      </c>
    </row>
    <row r="158" spans="1:35" ht="12.75" customHeight="1" x14ac:dyDescent="0.4">
      <c r="A158" s="52"/>
      <c r="B158" s="28"/>
      <c r="C158" s="29" t="s">
        <v>103</v>
      </c>
      <c r="D158" s="30"/>
      <c r="E158" s="56">
        <v>6</v>
      </c>
      <c r="F158" s="53">
        <v>1</v>
      </c>
      <c r="G158" s="53">
        <v>3</v>
      </c>
      <c r="H158" s="53">
        <v>4</v>
      </c>
      <c r="I158" s="53">
        <v>3</v>
      </c>
      <c r="J158" s="53">
        <v>0</v>
      </c>
      <c r="K158" s="53">
        <v>5</v>
      </c>
      <c r="L158" s="53">
        <v>1</v>
      </c>
      <c r="M158" s="53">
        <v>6</v>
      </c>
      <c r="N158" s="53">
        <v>4</v>
      </c>
      <c r="O158" s="53">
        <v>16</v>
      </c>
      <c r="P158" s="16">
        <v>83</v>
      </c>
      <c r="Q158" s="53">
        <v>0</v>
      </c>
      <c r="R158" s="53">
        <v>6</v>
      </c>
      <c r="S158" s="53">
        <v>10</v>
      </c>
      <c r="T158" s="53">
        <v>27</v>
      </c>
      <c r="U158" s="53">
        <v>9</v>
      </c>
      <c r="V158" s="53">
        <v>14</v>
      </c>
      <c r="W158" s="53">
        <v>8</v>
      </c>
      <c r="X158" s="53">
        <v>8</v>
      </c>
      <c r="Y158" s="53">
        <v>4</v>
      </c>
      <c r="Z158" s="53">
        <v>4</v>
      </c>
      <c r="AA158" s="53">
        <v>3</v>
      </c>
      <c r="AB158" s="53">
        <v>12</v>
      </c>
      <c r="AC158" s="53">
        <v>2</v>
      </c>
      <c r="AD158" s="53">
        <v>0</v>
      </c>
      <c r="AE158" s="53">
        <v>2</v>
      </c>
      <c r="AF158" s="53">
        <v>3</v>
      </c>
      <c r="AG158" s="53">
        <v>5</v>
      </c>
      <c r="AH158" s="53">
        <v>7</v>
      </c>
      <c r="AI158" s="13">
        <f t="shared" si="32"/>
        <v>256</v>
      </c>
    </row>
    <row r="159" spans="1:35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62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0</v>
      </c>
      <c r="Y159" s="53">
        <v>0</v>
      </c>
      <c r="Z159" s="53">
        <v>0</v>
      </c>
      <c r="AA159" s="53">
        <v>0</v>
      </c>
      <c r="AB159" s="53">
        <v>0</v>
      </c>
      <c r="AC159" s="53">
        <v>0</v>
      </c>
      <c r="AD159" s="53">
        <v>0</v>
      </c>
      <c r="AE159" s="53">
        <v>0</v>
      </c>
      <c r="AF159" s="53">
        <v>0</v>
      </c>
      <c r="AG159" s="53">
        <v>0</v>
      </c>
      <c r="AH159" s="53">
        <v>0</v>
      </c>
      <c r="AI159" s="13">
        <f t="shared" si="32"/>
        <v>62</v>
      </c>
    </row>
    <row r="160" spans="1:35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13">
        <f t="shared" si="32"/>
        <v>0</v>
      </c>
    </row>
    <row r="161" spans="1:35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13">
        <f t="shared" si="32"/>
        <v>0</v>
      </c>
    </row>
    <row r="162" spans="1:35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13">
        <f t="shared" si="32"/>
        <v>0</v>
      </c>
    </row>
    <row r="163" spans="1:35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AI163" si="33">SUM(E153:E162)</f>
        <v>10</v>
      </c>
      <c r="F163" s="13">
        <f t="shared" si="33"/>
        <v>2</v>
      </c>
      <c r="G163" s="13">
        <f t="shared" si="33"/>
        <v>8</v>
      </c>
      <c r="H163" s="13">
        <f t="shared" si="33"/>
        <v>6</v>
      </c>
      <c r="I163" s="13">
        <f t="shared" si="33"/>
        <v>6</v>
      </c>
      <c r="J163" s="13">
        <f t="shared" si="33"/>
        <v>9</v>
      </c>
      <c r="K163" s="13">
        <f t="shared" si="33"/>
        <v>33</v>
      </c>
      <c r="L163" s="13">
        <f t="shared" si="33"/>
        <v>14</v>
      </c>
      <c r="M163" s="13">
        <f t="shared" si="33"/>
        <v>8</v>
      </c>
      <c r="N163" s="13">
        <f t="shared" si="33"/>
        <v>4</v>
      </c>
      <c r="O163" s="13">
        <f t="shared" si="33"/>
        <v>20</v>
      </c>
      <c r="P163" s="13">
        <f t="shared" si="33"/>
        <v>87</v>
      </c>
      <c r="Q163" s="13">
        <f t="shared" si="33"/>
        <v>66</v>
      </c>
      <c r="R163" s="13">
        <f t="shared" si="33"/>
        <v>8</v>
      </c>
      <c r="S163" s="13">
        <f t="shared" si="33"/>
        <v>12</v>
      </c>
      <c r="T163" s="13">
        <f t="shared" si="33"/>
        <v>29</v>
      </c>
      <c r="U163" s="13">
        <f t="shared" si="33"/>
        <v>13</v>
      </c>
      <c r="V163" s="13">
        <f t="shared" si="33"/>
        <v>16</v>
      </c>
      <c r="W163" s="13">
        <f t="shared" si="33"/>
        <v>9</v>
      </c>
      <c r="X163" s="13">
        <f t="shared" si="33"/>
        <v>10</v>
      </c>
      <c r="Y163" s="13">
        <f t="shared" si="33"/>
        <v>7</v>
      </c>
      <c r="Z163" s="13">
        <f t="shared" si="33"/>
        <v>7</v>
      </c>
      <c r="AA163" s="13">
        <f t="shared" si="33"/>
        <v>3</v>
      </c>
      <c r="AB163" s="13">
        <f t="shared" si="33"/>
        <v>15</v>
      </c>
      <c r="AC163" s="13">
        <f t="shared" si="33"/>
        <v>5</v>
      </c>
      <c r="AD163" s="13">
        <f t="shared" si="33"/>
        <v>6</v>
      </c>
      <c r="AE163" s="13">
        <f t="shared" si="33"/>
        <v>4</v>
      </c>
      <c r="AF163" s="13">
        <f t="shared" si="33"/>
        <v>3</v>
      </c>
      <c r="AG163" s="13">
        <f t="shared" si="33"/>
        <v>6</v>
      </c>
      <c r="AH163" s="13">
        <f t="shared" si="33"/>
        <v>8</v>
      </c>
      <c r="AI163" s="13">
        <f t="shared" si="33"/>
        <v>434</v>
      </c>
    </row>
    <row r="164" spans="1:35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</row>
    <row r="165" spans="1:35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0</v>
      </c>
      <c r="G165" s="16">
        <v>0</v>
      </c>
      <c r="H165" s="16">
        <v>1</v>
      </c>
      <c r="I165" s="16">
        <v>0</v>
      </c>
      <c r="J165" s="16">
        <v>1</v>
      </c>
      <c r="K165" s="16">
        <v>1</v>
      </c>
      <c r="L165" s="16">
        <v>0</v>
      </c>
      <c r="M165" s="16">
        <v>1</v>
      </c>
      <c r="N165" s="16">
        <v>0</v>
      </c>
      <c r="O165" s="16">
        <v>0</v>
      </c>
      <c r="P165" s="16">
        <v>0</v>
      </c>
      <c r="Q165" s="16">
        <v>1</v>
      </c>
      <c r="R165" s="16">
        <v>0</v>
      </c>
      <c r="S165" s="16">
        <v>1</v>
      </c>
      <c r="T165" s="16">
        <v>0</v>
      </c>
      <c r="U165" s="16">
        <v>1</v>
      </c>
      <c r="V165" s="16">
        <v>0</v>
      </c>
      <c r="W165" s="16">
        <v>0</v>
      </c>
      <c r="X165" s="16">
        <v>1</v>
      </c>
      <c r="Y165" s="16">
        <v>0</v>
      </c>
      <c r="Z165" s="16">
        <v>0</v>
      </c>
      <c r="AA165" s="16">
        <v>0</v>
      </c>
      <c r="AB165" s="16">
        <v>0</v>
      </c>
      <c r="AC165" s="16">
        <v>1</v>
      </c>
      <c r="AD165" s="16">
        <v>0</v>
      </c>
      <c r="AE165" s="16">
        <v>0</v>
      </c>
      <c r="AF165" s="16">
        <v>0</v>
      </c>
      <c r="AG165" s="16">
        <v>0</v>
      </c>
      <c r="AH165" s="16">
        <v>0</v>
      </c>
      <c r="AI165" s="13">
        <f t="shared" ref="AI165:AI174" si="34">SUM(E165:AH165)</f>
        <v>9</v>
      </c>
    </row>
    <row r="166" spans="1:35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13">
        <f t="shared" si="34"/>
        <v>0</v>
      </c>
    </row>
    <row r="167" spans="1:35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13">
        <f t="shared" si="34"/>
        <v>0</v>
      </c>
    </row>
    <row r="168" spans="1:35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13">
        <f t="shared" si="34"/>
        <v>0</v>
      </c>
    </row>
    <row r="169" spans="1:35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13">
        <f t="shared" si="34"/>
        <v>0</v>
      </c>
    </row>
    <row r="170" spans="1:35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13">
        <f t="shared" si="34"/>
        <v>0</v>
      </c>
    </row>
    <row r="171" spans="1:35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13">
        <f t="shared" si="34"/>
        <v>0</v>
      </c>
    </row>
    <row r="172" spans="1:35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13">
        <f t="shared" si="34"/>
        <v>0</v>
      </c>
    </row>
    <row r="173" spans="1:35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13">
        <f t="shared" si="34"/>
        <v>0</v>
      </c>
    </row>
    <row r="174" spans="1:35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13">
        <f t="shared" si="34"/>
        <v>0</v>
      </c>
    </row>
    <row r="175" spans="1:35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AI175" si="35">SUM(E165:E174)</f>
        <v>0</v>
      </c>
      <c r="F175" s="13">
        <f t="shared" si="35"/>
        <v>0</v>
      </c>
      <c r="G175" s="13">
        <f t="shared" si="35"/>
        <v>0</v>
      </c>
      <c r="H175" s="13">
        <f t="shared" si="35"/>
        <v>1</v>
      </c>
      <c r="I175" s="13">
        <f t="shared" si="35"/>
        <v>0</v>
      </c>
      <c r="J175" s="13">
        <f t="shared" si="35"/>
        <v>1</v>
      </c>
      <c r="K175" s="13">
        <f t="shared" si="35"/>
        <v>1</v>
      </c>
      <c r="L175" s="13">
        <f t="shared" si="35"/>
        <v>0</v>
      </c>
      <c r="M175" s="13">
        <f t="shared" si="35"/>
        <v>1</v>
      </c>
      <c r="N175" s="13">
        <f t="shared" si="35"/>
        <v>0</v>
      </c>
      <c r="O175" s="13">
        <f t="shared" si="35"/>
        <v>0</v>
      </c>
      <c r="P175" s="13">
        <f t="shared" si="35"/>
        <v>0</v>
      </c>
      <c r="Q175" s="13">
        <f t="shared" si="35"/>
        <v>1</v>
      </c>
      <c r="R175" s="13">
        <f t="shared" si="35"/>
        <v>0</v>
      </c>
      <c r="S175" s="13">
        <f t="shared" si="35"/>
        <v>1</v>
      </c>
      <c r="T175" s="13">
        <f t="shared" si="35"/>
        <v>0</v>
      </c>
      <c r="U175" s="13">
        <f t="shared" si="35"/>
        <v>1</v>
      </c>
      <c r="V175" s="13">
        <f t="shared" si="35"/>
        <v>0</v>
      </c>
      <c r="W175" s="13">
        <f t="shared" si="35"/>
        <v>0</v>
      </c>
      <c r="X175" s="13">
        <f t="shared" si="35"/>
        <v>1</v>
      </c>
      <c r="Y175" s="13">
        <f t="shared" si="35"/>
        <v>0</v>
      </c>
      <c r="Z175" s="13">
        <f t="shared" si="35"/>
        <v>0</v>
      </c>
      <c r="AA175" s="13">
        <f t="shared" si="35"/>
        <v>0</v>
      </c>
      <c r="AB175" s="13">
        <f t="shared" si="35"/>
        <v>0</v>
      </c>
      <c r="AC175" s="13">
        <f t="shared" si="35"/>
        <v>1</v>
      </c>
      <c r="AD175" s="13">
        <f t="shared" si="35"/>
        <v>0</v>
      </c>
      <c r="AE175" s="13">
        <f t="shared" si="35"/>
        <v>0</v>
      </c>
      <c r="AF175" s="13">
        <f t="shared" si="35"/>
        <v>0</v>
      </c>
      <c r="AG175" s="13">
        <f t="shared" si="35"/>
        <v>0</v>
      </c>
      <c r="AH175" s="13">
        <f t="shared" si="35"/>
        <v>0</v>
      </c>
      <c r="AI175" s="13">
        <f t="shared" si="35"/>
        <v>9</v>
      </c>
    </row>
    <row r="176" spans="1:35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</row>
    <row r="177" spans="1:35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1</v>
      </c>
      <c r="F177" s="16">
        <v>0</v>
      </c>
      <c r="G177" s="16">
        <v>1</v>
      </c>
      <c r="H177" s="16">
        <v>1</v>
      </c>
      <c r="I177" s="16">
        <v>2</v>
      </c>
      <c r="J177" s="16">
        <v>0</v>
      </c>
      <c r="K177" s="16">
        <v>1</v>
      </c>
      <c r="L177" s="16">
        <v>0</v>
      </c>
      <c r="M177" s="16">
        <v>1</v>
      </c>
      <c r="N177" s="16">
        <v>0</v>
      </c>
      <c r="O177" s="16">
        <v>0</v>
      </c>
      <c r="P177" s="16">
        <v>1</v>
      </c>
      <c r="Q177" s="16">
        <v>0</v>
      </c>
      <c r="R177" s="16">
        <v>0</v>
      </c>
      <c r="S177" s="16">
        <v>1</v>
      </c>
      <c r="T177" s="16">
        <v>0</v>
      </c>
      <c r="U177" s="16">
        <v>1</v>
      </c>
      <c r="V177" s="16">
        <v>0</v>
      </c>
      <c r="W177" s="16">
        <v>1</v>
      </c>
      <c r="X177" s="16">
        <v>1</v>
      </c>
      <c r="Y177" s="16">
        <v>0</v>
      </c>
      <c r="Z177" s="16">
        <v>1</v>
      </c>
      <c r="AA177" s="16">
        <v>1</v>
      </c>
      <c r="AB177" s="16">
        <v>1</v>
      </c>
      <c r="AC177" s="16">
        <v>1</v>
      </c>
      <c r="AD177" s="16">
        <v>0</v>
      </c>
      <c r="AE177" s="16">
        <v>0</v>
      </c>
      <c r="AF177" s="16">
        <v>0</v>
      </c>
      <c r="AG177" s="16">
        <v>0</v>
      </c>
      <c r="AH177" s="16">
        <v>0</v>
      </c>
      <c r="AI177" s="13">
        <f t="shared" ref="AI177:AI186" si="36">SUM(E177:AH177)</f>
        <v>16</v>
      </c>
    </row>
    <row r="178" spans="1:35" ht="12.75" customHeight="1" x14ac:dyDescent="0.4">
      <c r="A178" s="20" t="s">
        <v>38</v>
      </c>
      <c r="B178" s="28"/>
      <c r="C178" s="29" t="s">
        <v>109</v>
      </c>
      <c r="D178" s="30"/>
      <c r="E178" s="16">
        <v>1</v>
      </c>
      <c r="F178" s="16">
        <v>0</v>
      </c>
      <c r="G178" s="16">
        <v>0</v>
      </c>
      <c r="H178" s="16">
        <v>0</v>
      </c>
      <c r="I178" s="16">
        <v>0</v>
      </c>
      <c r="J178" s="16">
        <v>1</v>
      </c>
      <c r="K178" s="16">
        <v>1</v>
      </c>
      <c r="L178" s="16">
        <v>0</v>
      </c>
      <c r="M178" s="16">
        <v>1</v>
      </c>
      <c r="N178" s="16">
        <v>0</v>
      </c>
      <c r="O178" s="16">
        <v>0</v>
      </c>
      <c r="P178" s="16">
        <v>0</v>
      </c>
      <c r="Q178" s="16">
        <v>1</v>
      </c>
      <c r="R178" s="16">
        <v>0</v>
      </c>
      <c r="S178" s="16">
        <v>2</v>
      </c>
      <c r="T178" s="16">
        <v>0</v>
      </c>
      <c r="U178" s="16">
        <v>4</v>
      </c>
      <c r="V178" s="16">
        <v>2</v>
      </c>
      <c r="W178" s="16">
        <v>0</v>
      </c>
      <c r="X178" s="16">
        <v>1</v>
      </c>
      <c r="Y178" s="16">
        <v>0</v>
      </c>
      <c r="Z178" s="16">
        <v>2</v>
      </c>
      <c r="AA178" s="16">
        <v>0</v>
      </c>
      <c r="AB178" s="16">
        <v>0</v>
      </c>
      <c r="AC178" s="16">
        <v>0</v>
      </c>
      <c r="AD178" s="16">
        <v>1</v>
      </c>
      <c r="AE178" s="16">
        <v>0</v>
      </c>
      <c r="AF178" s="16">
        <v>0</v>
      </c>
      <c r="AG178" s="16">
        <v>0</v>
      </c>
      <c r="AH178" s="16">
        <v>1</v>
      </c>
      <c r="AI178" s="13">
        <f t="shared" si="36"/>
        <v>18</v>
      </c>
    </row>
    <row r="179" spans="1:35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4</v>
      </c>
      <c r="G179" s="16">
        <v>1</v>
      </c>
      <c r="H179" s="16">
        <v>1</v>
      </c>
      <c r="I179" s="16">
        <v>0</v>
      </c>
      <c r="J179" s="16">
        <v>0</v>
      </c>
      <c r="K179" s="16">
        <v>0</v>
      </c>
      <c r="L179" s="16">
        <v>0</v>
      </c>
      <c r="M179" s="16">
        <v>1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3</v>
      </c>
      <c r="AC179" s="16">
        <v>0</v>
      </c>
      <c r="AD179" s="16">
        <v>1</v>
      </c>
      <c r="AE179" s="16">
        <v>0</v>
      </c>
      <c r="AF179" s="16">
        <v>0</v>
      </c>
      <c r="AG179" s="16">
        <v>0</v>
      </c>
      <c r="AH179" s="16">
        <v>2</v>
      </c>
      <c r="AI179" s="13">
        <f t="shared" si="36"/>
        <v>13</v>
      </c>
    </row>
    <row r="180" spans="1:35" ht="12.75" customHeight="1" x14ac:dyDescent="0.4">
      <c r="A180" s="15"/>
      <c r="B180" s="28"/>
      <c r="C180" s="29" t="s">
        <v>111</v>
      </c>
      <c r="D180" s="30"/>
      <c r="E180" s="16">
        <v>1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1</v>
      </c>
      <c r="M180" s="16">
        <v>0</v>
      </c>
      <c r="N180" s="16">
        <v>1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1</v>
      </c>
      <c r="V180" s="16">
        <v>0</v>
      </c>
      <c r="W180" s="16">
        <v>0</v>
      </c>
      <c r="X180" s="16">
        <v>1</v>
      </c>
      <c r="Y180" s="16">
        <v>0</v>
      </c>
      <c r="Z180" s="16">
        <v>0</v>
      </c>
      <c r="AA180" s="16">
        <v>0</v>
      </c>
      <c r="AB180" s="16">
        <v>1</v>
      </c>
      <c r="AC180" s="16">
        <v>0</v>
      </c>
      <c r="AD180" s="16">
        <v>0</v>
      </c>
      <c r="AE180" s="16">
        <v>0</v>
      </c>
      <c r="AF180" s="16">
        <v>0</v>
      </c>
      <c r="AG180" s="16">
        <v>0</v>
      </c>
      <c r="AH180" s="16">
        <v>0</v>
      </c>
      <c r="AI180" s="13">
        <f t="shared" si="36"/>
        <v>6</v>
      </c>
    </row>
    <row r="181" spans="1:35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1</v>
      </c>
      <c r="H181" s="16">
        <v>1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1</v>
      </c>
      <c r="AC181" s="16">
        <v>0</v>
      </c>
      <c r="AD181" s="16">
        <v>0</v>
      </c>
      <c r="AE181" s="16">
        <v>0</v>
      </c>
      <c r="AF181" s="16">
        <v>0</v>
      </c>
      <c r="AG181" s="16">
        <v>0</v>
      </c>
      <c r="AH181" s="16">
        <v>0</v>
      </c>
      <c r="AI181" s="13">
        <f t="shared" si="36"/>
        <v>3</v>
      </c>
    </row>
    <row r="182" spans="1:35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1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1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1</v>
      </c>
      <c r="Y182" s="16">
        <v>0</v>
      </c>
      <c r="Z182" s="16">
        <v>0</v>
      </c>
      <c r="AA182" s="16">
        <v>0</v>
      </c>
      <c r="AB182" s="16">
        <v>0</v>
      </c>
      <c r="AC182" s="16">
        <v>0</v>
      </c>
      <c r="AD182" s="16">
        <v>0</v>
      </c>
      <c r="AE182" s="16">
        <v>0</v>
      </c>
      <c r="AF182" s="16">
        <v>1</v>
      </c>
      <c r="AG182" s="16">
        <v>1</v>
      </c>
      <c r="AH182" s="16">
        <v>0</v>
      </c>
      <c r="AI182" s="13">
        <f t="shared" si="36"/>
        <v>5</v>
      </c>
    </row>
    <row r="183" spans="1:35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0</v>
      </c>
      <c r="AC183" s="16">
        <v>0</v>
      </c>
      <c r="AD183" s="16">
        <v>0</v>
      </c>
      <c r="AE183" s="16">
        <v>0</v>
      </c>
      <c r="AF183" s="16">
        <v>0</v>
      </c>
      <c r="AG183" s="16">
        <v>0</v>
      </c>
      <c r="AH183" s="16">
        <v>0</v>
      </c>
      <c r="AI183" s="13">
        <f t="shared" si="36"/>
        <v>0</v>
      </c>
    </row>
    <row r="184" spans="1:35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13">
        <f t="shared" si="36"/>
        <v>0</v>
      </c>
    </row>
    <row r="185" spans="1:35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13">
        <f t="shared" si="36"/>
        <v>0</v>
      </c>
    </row>
    <row r="186" spans="1:35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13">
        <f t="shared" si="36"/>
        <v>0</v>
      </c>
    </row>
    <row r="187" spans="1:35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AI187" si="37">SUM(E177:E186)</f>
        <v>3</v>
      </c>
      <c r="F187" s="13">
        <f t="shared" si="37"/>
        <v>4</v>
      </c>
      <c r="G187" s="13">
        <f t="shared" si="37"/>
        <v>4</v>
      </c>
      <c r="H187" s="13">
        <f t="shared" si="37"/>
        <v>3</v>
      </c>
      <c r="I187" s="13">
        <f t="shared" si="37"/>
        <v>2</v>
      </c>
      <c r="J187" s="13">
        <f t="shared" si="37"/>
        <v>1</v>
      </c>
      <c r="K187" s="13">
        <f t="shared" si="37"/>
        <v>2</v>
      </c>
      <c r="L187" s="13">
        <f t="shared" si="37"/>
        <v>1</v>
      </c>
      <c r="M187" s="13">
        <f t="shared" si="37"/>
        <v>4</v>
      </c>
      <c r="N187" s="13">
        <f t="shared" si="37"/>
        <v>1</v>
      </c>
      <c r="O187" s="13">
        <f t="shared" si="37"/>
        <v>0</v>
      </c>
      <c r="P187" s="13">
        <f t="shared" si="37"/>
        <v>1</v>
      </c>
      <c r="Q187" s="13">
        <f t="shared" si="37"/>
        <v>1</v>
      </c>
      <c r="R187" s="13">
        <f t="shared" si="37"/>
        <v>0</v>
      </c>
      <c r="S187" s="13">
        <f t="shared" si="37"/>
        <v>3</v>
      </c>
      <c r="T187" s="13">
        <f t="shared" si="37"/>
        <v>0</v>
      </c>
      <c r="U187" s="13">
        <f t="shared" si="37"/>
        <v>6</v>
      </c>
      <c r="V187" s="13">
        <f t="shared" si="37"/>
        <v>2</v>
      </c>
      <c r="W187" s="13">
        <f t="shared" si="37"/>
        <v>1</v>
      </c>
      <c r="X187" s="13">
        <f t="shared" si="37"/>
        <v>4</v>
      </c>
      <c r="Y187" s="13">
        <f t="shared" si="37"/>
        <v>0</v>
      </c>
      <c r="Z187" s="13">
        <f t="shared" si="37"/>
        <v>3</v>
      </c>
      <c r="AA187" s="13">
        <f t="shared" si="37"/>
        <v>1</v>
      </c>
      <c r="AB187" s="13">
        <f t="shared" si="37"/>
        <v>6</v>
      </c>
      <c r="AC187" s="13">
        <f t="shared" si="37"/>
        <v>1</v>
      </c>
      <c r="AD187" s="13">
        <f t="shared" si="37"/>
        <v>2</v>
      </c>
      <c r="AE187" s="13">
        <f t="shared" si="37"/>
        <v>0</v>
      </c>
      <c r="AF187" s="13">
        <f t="shared" si="37"/>
        <v>1</v>
      </c>
      <c r="AG187" s="13">
        <f t="shared" si="37"/>
        <v>1</v>
      </c>
      <c r="AH187" s="13">
        <f t="shared" si="37"/>
        <v>3</v>
      </c>
      <c r="AI187" s="13">
        <f t="shared" si="37"/>
        <v>61</v>
      </c>
    </row>
    <row r="188" spans="1:35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AI188" s="13"/>
    </row>
    <row r="189" spans="1:35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0</v>
      </c>
      <c r="G189" s="16">
        <v>2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3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3</v>
      </c>
      <c r="T189" s="16">
        <v>0</v>
      </c>
      <c r="U189" s="16">
        <v>0</v>
      </c>
      <c r="V189" s="16">
        <v>0</v>
      </c>
      <c r="W189" s="16">
        <v>3</v>
      </c>
      <c r="X189" s="16">
        <v>0</v>
      </c>
      <c r="Y189" s="16">
        <v>0</v>
      </c>
      <c r="Z189" s="16">
        <v>2</v>
      </c>
      <c r="AA189" s="16">
        <v>1</v>
      </c>
      <c r="AB189" s="16">
        <v>1</v>
      </c>
      <c r="AC189" s="16">
        <v>0</v>
      </c>
      <c r="AD189" s="16">
        <v>0</v>
      </c>
      <c r="AE189" s="16">
        <v>0</v>
      </c>
      <c r="AF189" s="16">
        <v>0</v>
      </c>
      <c r="AG189" s="16">
        <v>0</v>
      </c>
      <c r="AH189" s="16">
        <v>0</v>
      </c>
      <c r="AI189" s="13">
        <f t="shared" ref="AI189:AI198" si="38">SUM(E189:AH189)</f>
        <v>15</v>
      </c>
    </row>
    <row r="190" spans="1:35" ht="12.75" customHeight="1" x14ac:dyDescent="0.4">
      <c r="A190" s="20" t="s">
        <v>38</v>
      </c>
      <c r="B190" s="28"/>
      <c r="C190" s="29" t="s">
        <v>117</v>
      </c>
      <c r="D190" s="30"/>
      <c r="E190" s="16">
        <v>7</v>
      </c>
      <c r="F190" s="16">
        <v>2</v>
      </c>
      <c r="G190" s="16">
        <v>6</v>
      </c>
      <c r="H190" s="16">
        <v>2</v>
      </c>
      <c r="I190" s="16">
        <v>0</v>
      </c>
      <c r="J190" s="16">
        <v>0</v>
      </c>
      <c r="K190" s="16">
        <v>0</v>
      </c>
      <c r="L190" s="16">
        <v>0</v>
      </c>
      <c r="M190" s="16">
        <v>1</v>
      </c>
      <c r="N190" s="16">
        <v>0</v>
      </c>
      <c r="O190" s="16">
        <v>3</v>
      </c>
      <c r="P190" s="16">
        <v>0</v>
      </c>
      <c r="Q190" s="16">
        <v>0</v>
      </c>
      <c r="R190" s="16">
        <v>1</v>
      </c>
      <c r="S190" s="16">
        <v>0</v>
      </c>
      <c r="T190" s="16">
        <v>0</v>
      </c>
      <c r="U190" s="16">
        <v>1</v>
      </c>
      <c r="V190" s="16">
        <v>0</v>
      </c>
      <c r="W190" s="16">
        <v>1</v>
      </c>
      <c r="X190" s="16">
        <v>0</v>
      </c>
      <c r="Y190" s="16">
        <v>0</v>
      </c>
      <c r="Z190" s="16">
        <v>0</v>
      </c>
      <c r="AA190" s="16">
        <v>0</v>
      </c>
      <c r="AB190" s="16">
        <v>1</v>
      </c>
      <c r="AC190" s="16">
        <v>0</v>
      </c>
      <c r="AD190" s="16">
        <v>0</v>
      </c>
      <c r="AE190" s="16">
        <v>0</v>
      </c>
      <c r="AF190" s="16">
        <v>0</v>
      </c>
      <c r="AG190" s="16">
        <v>0</v>
      </c>
      <c r="AH190" s="16">
        <v>0</v>
      </c>
      <c r="AI190" s="13">
        <f t="shared" si="38"/>
        <v>25</v>
      </c>
    </row>
    <row r="191" spans="1:35" ht="12.75" customHeight="1" x14ac:dyDescent="0.4">
      <c r="A191" s="15"/>
      <c r="B191" s="28"/>
      <c r="C191" s="29" t="s">
        <v>118</v>
      </c>
      <c r="D191" s="30"/>
      <c r="E191" s="16">
        <v>1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1</v>
      </c>
      <c r="V191" s="16">
        <v>0</v>
      </c>
      <c r="W191" s="16">
        <v>1</v>
      </c>
      <c r="X191" s="16">
        <v>0</v>
      </c>
      <c r="Y191" s="16">
        <v>0</v>
      </c>
      <c r="Z191" s="16">
        <v>1</v>
      </c>
      <c r="AA191" s="16">
        <v>0</v>
      </c>
      <c r="AB191" s="16">
        <v>0</v>
      </c>
      <c r="AC191" s="16">
        <v>0</v>
      </c>
      <c r="AD191" s="16">
        <v>0</v>
      </c>
      <c r="AE191" s="16">
        <v>0</v>
      </c>
      <c r="AF191" s="16">
        <v>0</v>
      </c>
      <c r="AG191" s="16">
        <v>0</v>
      </c>
      <c r="AH191" s="16">
        <v>0</v>
      </c>
      <c r="AI191" s="13">
        <f t="shared" si="38"/>
        <v>4</v>
      </c>
    </row>
    <row r="192" spans="1:35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1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9</v>
      </c>
      <c r="N192" s="16">
        <v>11</v>
      </c>
      <c r="O192" s="16">
        <v>4</v>
      </c>
      <c r="P192" s="16">
        <v>0</v>
      </c>
      <c r="Q192" s="16">
        <v>0</v>
      </c>
      <c r="R192" s="16">
        <v>0</v>
      </c>
      <c r="S192" s="16">
        <v>3</v>
      </c>
      <c r="T192" s="16">
        <v>1</v>
      </c>
      <c r="U192" s="16">
        <v>3</v>
      </c>
      <c r="V192" s="16">
        <v>0</v>
      </c>
      <c r="W192" s="16">
        <v>0</v>
      </c>
      <c r="X192" s="16">
        <v>4</v>
      </c>
      <c r="Y192" s="16">
        <v>2</v>
      </c>
      <c r="Z192" s="16">
        <v>0</v>
      </c>
      <c r="AA192" s="16">
        <v>0</v>
      </c>
      <c r="AB192" s="16">
        <v>1</v>
      </c>
      <c r="AC192" s="16">
        <v>0</v>
      </c>
      <c r="AD192" s="16">
        <v>0</v>
      </c>
      <c r="AE192" s="16">
        <v>0</v>
      </c>
      <c r="AF192" s="16">
        <v>0</v>
      </c>
      <c r="AG192" s="16">
        <v>0</v>
      </c>
      <c r="AH192" s="16">
        <v>0</v>
      </c>
      <c r="AI192" s="13">
        <f t="shared" si="38"/>
        <v>39</v>
      </c>
    </row>
    <row r="193" spans="1:35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6">
        <v>0</v>
      </c>
      <c r="AF193" s="16">
        <v>0</v>
      </c>
      <c r="AG193" s="16">
        <v>0</v>
      </c>
      <c r="AH193" s="16">
        <v>0</v>
      </c>
      <c r="AI193" s="13">
        <f t="shared" si="38"/>
        <v>0</v>
      </c>
    </row>
    <row r="194" spans="1:35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6">
        <v>0</v>
      </c>
      <c r="AF194" s="16">
        <v>0</v>
      </c>
      <c r="AG194" s="16">
        <v>0</v>
      </c>
      <c r="AH194" s="16">
        <v>0</v>
      </c>
      <c r="AI194" s="13">
        <f t="shared" si="38"/>
        <v>0</v>
      </c>
    </row>
    <row r="195" spans="1:35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0</v>
      </c>
      <c r="G195" s="16">
        <v>0</v>
      </c>
      <c r="H195" s="16">
        <v>0</v>
      </c>
      <c r="I195" s="16">
        <v>2</v>
      </c>
      <c r="J195" s="16">
        <v>0</v>
      </c>
      <c r="K195" s="16">
        <v>2</v>
      </c>
      <c r="L195" s="16">
        <v>0</v>
      </c>
      <c r="M195" s="16">
        <v>9</v>
      </c>
      <c r="N195" s="16">
        <v>4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2</v>
      </c>
      <c r="U195" s="16">
        <v>13</v>
      </c>
      <c r="V195" s="16">
        <v>2</v>
      </c>
      <c r="W195" s="16">
        <v>15</v>
      </c>
      <c r="X195" s="16">
        <v>5</v>
      </c>
      <c r="Y195" s="16">
        <v>3</v>
      </c>
      <c r="Z195" s="16">
        <v>37</v>
      </c>
      <c r="AA195" s="16">
        <v>5</v>
      </c>
      <c r="AB195" s="16">
        <v>1</v>
      </c>
      <c r="AC195" s="16">
        <v>0</v>
      </c>
      <c r="AD195" s="16">
        <v>0</v>
      </c>
      <c r="AE195" s="16">
        <v>0</v>
      </c>
      <c r="AF195" s="16">
        <v>1</v>
      </c>
      <c r="AG195" s="16">
        <v>1</v>
      </c>
      <c r="AH195" s="16">
        <v>0</v>
      </c>
      <c r="AI195" s="13">
        <f t="shared" si="38"/>
        <v>102</v>
      </c>
    </row>
    <row r="196" spans="1:35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13">
        <f t="shared" si="38"/>
        <v>0</v>
      </c>
    </row>
    <row r="197" spans="1:35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13">
        <f t="shared" si="38"/>
        <v>0</v>
      </c>
    </row>
    <row r="198" spans="1:35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13">
        <f t="shared" si="38"/>
        <v>0</v>
      </c>
    </row>
    <row r="199" spans="1:35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AI199" si="39">SUM(E189:E198)</f>
        <v>8</v>
      </c>
      <c r="F199" s="13">
        <f t="shared" si="39"/>
        <v>2</v>
      </c>
      <c r="G199" s="13">
        <f t="shared" si="39"/>
        <v>9</v>
      </c>
      <c r="H199" s="13">
        <f t="shared" si="39"/>
        <v>2</v>
      </c>
      <c r="I199" s="13">
        <f t="shared" si="39"/>
        <v>2</v>
      </c>
      <c r="J199" s="13">
        <f t="shared" si="39"/>
        <v>0</v>
      </c>
      <c r="K199" s="13">
        <f t="shared" si="39"/>
        <v>2</v>
      </c>
      <c r="L199" s="13">
        <f t="shared" si="39"/>
        <v>0</v>
      </c>
      <c r="M199" s="13">
        <f t="shared" si="39"/>
        <v>22</v>
      </c>
      <c r="N199" s="13">
        <f t="shared" si="39"/>
        <v>15</v>
      </c>
      <c r="O199" s="13">
        <f t="shared" si="39"/>
        <v>7</v>
      </c>
      <c r="P199" s="13">
        <f t="shared" si="39"/>
        <v>0</v>
      </c>
      <c r="Q199" s="13">
        <f t="shared" si="39"/>
        <v>0</v>
      </c>
      <c r="R199" s="13">
        <f t="shared" si="39"/>
        <v>1</v>
      </c>
      <c r="S199" s="13">
        <f t="shared" si="39"/>
        <v>6</v>
      </c>
      <c r="T199" s="13">
        <f t="shared" si="39"/>
        <v>3</v>
      </c>
      <c r="U199" s="13">
        <f t="shared" si="39"/>
        <v>18</v>
      </c>
      <c r="V199" s="13">
        <f t="shared" si="39"/>
        <v>2</v>
      </c>
      <c r="W199" s="13">
        <f t="shared" si="39"/>
        <v>20</v>
      </c>
      <c r="X199" s="13">
        <f t="shared" si="39"/>
        <v>9</v>
      </c>
      <c r="Y199" s="13">
        <f t="shared" si="39"/>
        <v>5</v>
      </c>
      <c r="Z199" s="13">
        <f t="shared" si="39"/>
        <v>40</v>
      </c>
      <c r="AA199" s="13">
        <f t="shared" si="39"/>
        <v>6</v>
      </c>
      <c r="AB199" s="13">
        <f t="shared" si="39"/>
        <v>4</v>
      </c>
      <c r="AC199" s="13">
        <f t="shared" si="39"/>
        <v>0</v>
      </c>
      <c r="AD199" s="13">
        <f t="shared" si="39"/>
        <v>0</v>
      </c>
      <c r="AE199" s="13">
        <f t="shared" si="39"/>
        <v>0</v>
      </c>
      <c r="AF199" s="13">
        <f t="shared" si="39"/>
        <v>1</v>
      </c>
      <c r="AG199" s="13">
        <f t="shared" si="39"/>
        <v>1</v>
      </c>
      <c r="AH199" s="13">
        <f t="shared" si="39"/>
        <v>0</v>
      </c>
      <c r="AI199" s="13">
        <f t="shared" si="39"/>
        <v>185</v>
      </c>
    </row>
    <row r="200" spans="1:35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</row>
    <row r="201" spans="1:35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1</v>
      </c>
      <c r="F201" s="16">
        <v>0</v>
      </c>
      <c r="G201" s="16">
        <v>5</v>
      </c>
      <c r="H201" s="16">
        <v>5</v>
      </c>
      <c r="I201" s="16">
        <v>4</v>
      </c>
      <c r="J201" s="16">
        <v>2</v>
      </c>
      <c r="K201" s="16">
        <v>1</v>
      </c>
      <c r="L201" s="16">
        <v>1</v>
      </c>
      <c r="M201" s="16">
        <v>2</v>
      </c>
      <c r="N201" s="16">
        <v>4</v>
      </c>
      <c r="O201" s="16">
        <v>0</v>
      </c>
      <c r="P201" s="16">
        <v>1</v>
      </c>
      <c r="Q201" s="16">
        <v>1</v>
      </c>
      <c r="R201" s="16">
        <v>4</v>
      </c>
      <c r="S201" s="16">
        <v>2</v>
      </c>
      <c r="T201" s="16">
        <v>3</v>
      </c>
      <c r="U201" s="16">
        <v>0</v>
      </c>
      <c r="V201" s="16">
        <v>2</v>
      </c>
      <c r="W201" s="16">
        <v>7</v>
      </c>
      <c r="X201" s="16">
        <v>1</v>
      </c>
      <c r="Y201" s="16">
        <v>3</v>
      </c>
      <c r="Z201" s="16">
        <v>7</v>
      </c>
      <c r="AA201" s="16">
        <v>1</v>
      </c>
      <c r="AB201" s="16">
        <v>2</v>
      </c>
      <c r="AC201" s="16">
        <v>1</v>
      </c>
      <c r="AD201" s="16">
        <v>3</v>
      </c>
      <c r="AE201" s="16">
        <v>0</v>
      </c>
      <c r="AF201" s="16">
        <v>1</v>
      </c>
      <c r="AG201" s="16">
        <v>0</v>
      </c>
      <c r="AH201" s="16">
        <v>0</v>
      </c>
      <c r="AI201" s="13">
        <f t="shared" ref="AI201:AI210" si="40">SUM(E201:AH201)</f>
        <v>64</v>
      </c>
    </row>
    <row r="202" spans="1:35" ht="12.75" customHeight="1" x14ac:dyDescent="0.4">
      <c r="A202" s="20" t="s">
        <v>38</v>
      </c>
      <c r="B202" s="28"/>
      <c r="C202" s="29" t="s">
        <v>125</v>
      </c>
      <c r="D202" s="30"/>
      <c r="E202" s="16">
        <v>2</v>
      </c>
      <c r="F202" s="16">
        <v>3</v>
      </c>
      <c r="G202" s="16">
        <v>0</v>
      </c>
      <c r="H202" s="16">
        <v>24</v>
      </c>
      <c r="I202" s="16">
        <v>12</v>
      </c>
      <c r="J202" s="16">
        <v>3</v>
      </c>
      <c r="K202" s="16">
        <v>3</v>
      </c>
      <c r="L202" s="16">
        <v>2</v>
      </c>
      <c r="M202" s="16">
        <v>3</v>
      </c>
      <c r="N202" s="16">
        <v>8</v>
      </c>
      <c r="O202" s="16">
        <v>2</v>
      </c>
      <c r="P202" s="16">
        <v>3</v>
      </c>
      <c r="Q202" s="16">
        <v>2</v>
      </c>
      <c r="R202" s="16">
        <v>8</v>
      </c>
      <c r="S202" s="16">
        <v>16</v>
      </c>
      <c r="T202" s="16">
        <v>15</v>
      </c>
      <c r="U202" s="16">
        <v>6</v>
      </c>
      <c r="V202" s="16">
        <v>6</v>
      </c>
      <c r="W202" s="16">
        <v>5</v>
      </c>
      <c r="X202" s="16">
        <v>6</v>
      </c>
      <c r="Y202" s="16">
        <v>9</v>
      </c>
      <c r="Z202" s="16">
        <v>3</v>
      </c>
      <c r="AA202" s="16">
        <v>3</v>
      </c>
      <c r="AB202" s="16">
        <v>16</v>
      </c>
      <c r="AC202" s="16">
        <v>3</v>
      </c>
      <c r="AD202" s="16">
        <v>10</v>
      </c>
      <c r="AE202" s="16">
        <v>0</v>
      </c>
      <c r="AF202" s="16">
        <v>2</v>
      </c>
      <c r="AG202" s="16">
        <v>5</v>
      </c>
      <c r="AH202" s="16">
        <v>1</v>
      </c>
      <c r="AI202" s="13">
        <f t="shared" si="40"/>
        <v>181</v>
      </c>
    </row>
    <row r="203" spans="1:35" ht="12.75" customHeight="1" x14ac:dyDescent="0.4">
      <c r="A203" s="15"/>
      <c r="B203" s="28"/>
      <c r="C203" s="29" t="s">
        <v>126</v>
      </c>
      <c r="D203" s="30"/>
      <c r="E203" s="16">
        <v>1</v>
      </c>
      <c r="F203" s="16">
        <v>0</v>
      </c>
      <c r="G203" s="16">
        <v>2</v>
      </c>
      <c r="H203" s="16">
        <v>3</v>
      </c>
      <c r="I203" s="16">
        <v>2</v>
      </c>
      <c r="J203" s="16">
        <v>1</v>
      </c>
      <c r="K203" s="16">
        <v>0</v>
      </c>
      <c r="L203" s="16">
        <v>13</v>
      </c>
      <c r="M203" s="16">
        <v>1</v>
      </c>
      <c r="N203" s="16">
        <v>0</v>
      </c>
      <c r="O203" s="16">
        <v>3</v>
      </c>
      <c r="P203" s="16">
        <v>0</v>
      </c>
      <c r="Q203" s="16">
        <v>2</v>
      </c>
      <c r="R203" s="16">
        <v>4</v>
      </c>
      <c r="S203" s="16">
        <v>1</v>
      </c>
      <c r="T203" s="16">
        <v>4</v>
      </c>
      <c r="U203" s="16">
        <v>4</v>
      </c>
      <c r="V203" s="16">
        <v>5</v>
      </c>
      <c r="W203" s="16">
        <v>4</v>
      </c>
      <c r="X203" s="16">
        <v>13</v>
      </c>
      <c r="Y203" s="16">
        <v>9</v>
      </c>
      <c r="Z203" s="16">
        <v>0</v>
      </c>
      <c r="AA203" s="16">
        <v>1</v>
      </c>
      <c r="AB203" s="16">
        <v>0</v>
      </c>
      <c r="AC203" s="16">
        <v>2</v>
      </c>
      <c r="AD203" s="16">
        <v>4</v>
      </c>
      <c r="AE203" s="16">
        <v>0</v>
      </c>
      <c r="AF203" s="16">
        <v>1</v>
      </c>
      <c r="AG203" s="16">
        <v>2</v>
      </c>
      <c r="AH203" s="16">
        <v>3</v>
      </c>
      <c r="AI203" s="13">
        <f t="shared" si="40"/>
        <v>85</v>
      </c>
    </row>
    <row r="204" spans="1:35" ht="12.75" customHeight="1" x14ac:dyDescent="0.4">
      <c r="A204" s="15"/>
      <c r="B204" s="28"/>
      <c r="C204" s="29" t="s">
        <v>127</v>
      </c>
      <c r="D204" s="30"/>
      <c r="E204" s="16">
        <v>6</v>
      </c>
      <c r="F204" s="16">
        <v>2</v>
      </c>
      <c r="G204" s="16">
        <v>16</v>
      </c>
      <c r="H204" s="16">
        <v>22</v>
      </c>
      <c r="I204" s="16">
        <v>4</v>
      </c>
      <c r="J204" s="16">
        <v>1</v>
      </c>
      <c r="K204" s="16">
        <v>3</v>
      </c>
      <c r="L204" s="16">
        <v>0</v>
      </c>
      <c r="M204" s="16">
        <v>2</v>
      </c>
      <c r="N204" s="16">
        <v>1</v>
      </c>
      <c r="O204" s="16">
        <v>11</v>
      </c>
      <c r="P204" s="16">
        <v>10</v>
      </c>
      <c r="Q204" s="16">
        <v>2</v>
      </c>
      <c r="R204" s="16">
        <v>17</v>
      </c>
      <c r="S204" s="16">
        <v>11</v>
      </c>
      <c r="T204" s="16">
        <v>6</v>
      </c>
      <c r="U204" s="16">
        <v>3</v>
      </c>
      <c r="V204" s="16">
        <v>1</v>
      </c>
      <c r="W204" s="16">
        <v>6</v>
      </c>
      <c r="X204" s="16">
        <v>3</v>
      </c>
      <c r="Y204" s="16">
        <v>3</v>
      </c>
      <c r="Z204" s="16">
        <v>12</v>
      </c>
      <c r="AA204" s="16">
        <v>5</v>
      </c>
      <c r="AB204" s="16">
        <v>1</v>
      </c>
      <c r="AC204" s="16">
        <v>0</v>
      </c>
      <c r="AD204" s="16">
        <v>2</v>
      </c>
      <c r="AE204" s="16">
        <v>0</v>
      </c>
      <c r="AF204" s="16">
        <v>5</v>
      </c>
      <c r="AG204" s="16">
        <v>0</v>
      </c>
      <c r="AH204" s="16">
        <v>3</v>
      </c>
      <c r="AI204" s="13">
        <f t="shared" si="40"/>
        <v>158</v>
      </c>
    </row>
    <row r="205" spans="1:35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>
        <v>3</v>
      </c>
      <c r="K205" s="16">
        <v>11</v>
      </c>
      <c r="L205" s="16">
        <v>1</v>
      </c>
      <c r="M205" s="16">
        <v>1</v>
      </c>
      <c r="N205" s="16">
        <v>0</v>
      </c>
      <c r="O205" s="16">
        <v>1</v>
      </c>
      <c r="P205" s="16">
        <v>0</v>
      </c>
      <c r="Q205" s="16">
        <v>0</v>
      </c>
      <c r="R205" s="16">
        <v>0</v>
      </c>
      <c r="S205" s="16">
        <v>0</v>
      </c>
      <c r="T205" s="16">
        <v>0</v>
      </c>
      <c r="U205" s="16">
        <v>0</v>
      </c>
      <c r="V205" s="16">
        <v>0</v>
      </c>
      <c r="W205" s="16">
        <v>0</v>
      </c>
      <c r="X205" s="16">
        <v>0</v>
      </c>
      <c r="Y205" s="16">
        <v>2</v>
      </c>
      <c r="Z205" s="16">
        <v>0</v>
      </c>
      <c r="AA205" s="16">
        <v>3</v>
      </c>
      <c r="AB205" s="16">
        <v>0</v>
      </c>
      <c r="AC205" s="16">
        <v>0</v>
      </c>
      <c r="AD205" s="16">
        <v>1</v>
      </c>
      <c r="AE205" s="16">
        <v>0</v>
      </c>
      <c r="AF205" s="16">
        <v>0</v>
      </c>
      <c r="AG205" s="16">
        <v>0</v>
      </c>
      <c r="AH205" s="16">
        <v>0</v>
      </c>
      <c r="AI205" s="13">
        <f t="shared" si="40"/>
        <v>23</v>
      </c>
    </row>
    <row r="206" spans="1:35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0</v>
      </c>
      <c r="M206" s="16">
        <v>0</v>
      </c>
      <c r="N206" s="16">
        <v>0</v>
      </c>
      <c r="O206" s="16">
        <v>1</v>
      </c>
      <c r="P206" s="16">
        <v>1</v>
      </c>
      <c r="Q206" s="16">
        <v>0</v>
      </c>
      <c r="R206" s="16">
        <v>0</v>
      </c>
      <c r="S206" s="16">
        <v>0</v>
      </c>
      <c r="T206" s="16">
        <v>0</v>
      </c>
      <c r="U206" s="16">
        <v>0</v>
      </c>
      <c r="V206" s="16">
        <v>0</v>
      </c>
      <c r="W206" s="16">
        <v>1</v>
      </c>
      <c r="X206" s="16">
        <v>0</v>
      </c>
      <c r="Y206" s="16">
        <v>0</v>
      </c>
      <c r="Z206" s="16">
        <v>0</v>
      </c>
      <c r="AA206" s="16">
        <v>0</v>
      </c>
      <c r="AB206" s="16">
        <v>1</v>
      </c>
      <c r="AC206" s="16">
        <v>0</v>
      </c>
      <c r="AD206" s="16">
        <v>0</v>
      </c>
      <c r="AE206" s="16">
        <v>0</v>
      </c>
      <c r="AF206" s="16">
        <v>0</v>
      </c>
      <c r="AG206" s="16">
        <v>0</v>
      </c>
      <c r="AH206" s="16">
        <v>0</v>
      </c>
      <c r="AI206" s="13">
        <f t="shared" si="40"/>
        <v>4</v>
      </c>
    </row>
    <row r="207" spans="1:35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1</v>
      </c>
      <c r="G207" s="16">
        <v>1</v>
      </c>
      <c r="H207" s="16">
        <v>0</v>
      </c>
      <c r="I207" s="16">
        <v>0</v>
      </c>
      <c r="J207" s="16">
        <v>0</v>
      </c>
      <c r="K207" s="16">
        <v>2</v>
      </c>
      <c r="L207" s="16">
        <v>0</v>
      </c>
      <c r="M207" s="16">
        <v>0</v>
      </c>
      <c r="N207" s="16">
        <v>0</v>
      </c>
      <c r="O207" s="16">
        <v>0</v>
      </c>
      <c r="P207" s="16">
        <v>0</v>
      </c>
      <c r="Q207" s="16">
        <v>0</v>
      </c>
      <c r="R207" s="16">
        <v>0</v>
      </c>
      <c r="S207" s="16">
        <v>1</v>
      </c>
      <c r="T207" s="16">
        <v>0</v>
      </c>
      <c r="U207" s="16">
        <v>0</v>
      </c>
      <c r="V207" s="16">
        <v>0</v>
      </c>
      <c r="W207" s="16">
        <v>0</v>
      </c>
      <c r="X207" s="16">
        <v>0</v>
      </c>
      <c r="Y207" s="16">
        <v>0</v>
      </c>
      <c r="Z207" s="16">
        <v>0</v>
      </c>
      <c r="AA207" s="16">
        <v>0</v>
      </c>
      <c r="AB207" s="16">
        <v>0</v>
      </c>
      <c r="AC207" s="16">
        <v>0</v>
      </c>
      <c r="AD207" s="16">
        <v>0</v>
      </c>
      <c r="AE207" s="16">
        <v>1</v>
      </c>
      <c r="AF207" s="16">
        <v>0</v>
      </c>
      <c r="AG207" s="16">
        <v>0</v>
      </c>
      <c r="AH207" s="16">
        <v>1</v>
      </c>
      <c r="AI207" s="13">
        <f t="shared" si="40"/>
        <v>7</v>
      </c>
    </row>
    <row r="208" spans="1:35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13">
        <f t="shared" si="40"/>
        <v>0</v>
      </c>
    </row>
    <row r="209" spans="1:35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13">
        <f t="shared" si="40"/>
        <v>0</v>
      </c>
    </row>
    <row r="210" spans="1:35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13">
        <f t="shared" si="40"/>
        <v>0</v>
      </c>
    </row>
    <row r="211" spans="1:35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AI211" si="41">SUM(E201:E210)</f>
        <v>10</v>
      </c>
      <c r="F211" s="13">
        <f t="shared" si="41"/>
        <v>6</v>
      </c>
      <c r="G211" s="13">
        <f t="shared" si="41"/>
        <v>24</v>
      </c>
      <c r="H211" s="13">
        <f t="shared" si="41"/>
        <v>54</v>
      </c>
      <c r="I211" s="13">
        <f t="shared" si="41"/>
        <v>22</v>
      </c>
      <c r="J211" s="13">
        <f t="shared" si="41"/>
        <v>10</v>
      </c>
      <c r="K211" s="13">
        <f t="shared" si="41"/>
        <v>20</v>
      </c>
      <c r="L211" s="13">
        <f t="shared" si="41"/>
        <v>17</v>
      </c>
      <c r="M211" s="13">
        <f t="shared" si="41"/>
        <v>9</v>
      </c>
      <c r="N211" s="13">
        <f t="shared" si="41"/>
        <v>13</v>
      </c>
      <c r="O211" s="13">
        <f t="shared" si="41"/>
        <v>18</v>
      </c>
      <c r="P211" s="13">
        <f t="shared" si="41"/>
        <v>15</v>
      </c>
      <c r="Q211" s="13">
        <f t="shared" si="41"/>
        <v>7</v>
      </c>
      <c r="R211" s="13">
        <f t="shared" si="41"/>
        <v>33</v>
      </c>
      <c r="S211" s="13">
        <f t="shared" si="41"/>
        <v>31</v>
      </c>
      <c r="T211" s="13">
        <f t="shared" si="41"/>
        <v>28</v>
      </c>
      <c r="U211" s="13">
        <f t="shared" si="41"/>
        <v>13</v>
      </c>
      <c r="V211" s="13">
        <f t="shared" si="41"/>
        <v>14</v>
      </c>
      <c r="W211" s="13">
        <f t="shared" si="41"/>
        <v>23</v>
      </c>
      <c r="X211" s="13">
        <f t="shared" si="41"/>
        <v>23</v>
      </c>
      <c r="Y211" s="13">
        <f t="shared" si="41"/>
        <v>26</v>
      </c>
      <c r="Z211" s="13">
        <f t="shared" si="41"/>
        <v>22</v>
      </c>
      <c r="AA211" s="13">
        <f t="shared" si="41"/>
        <v>13</v>
      </c>
      <c r="AB211" s="13">
        <f t="shared" si="41"/>
        <v>20</v>
      </c>
      <c r="AC211" s="13">
        <f t="shared" si="41"/>
        <v>6</v>
      </c>
      <c r="AD211" s="13">
        <f t="shared" si="41"/>
        <v>20</v>
      </c>
      <c r="AE211" s="13">
        <f t="shared" si="41"/>
        <v>1</v>
      </c>
      <c r="AF211" s="13">
        <f t="shared" si="41"/>
        <v>9</v>
      </c>
      <c r="AG211" s="13">
        <f t="shared" si="41"/>
        <v>7</v>
      </c>
      <c r="AH211" s="13">
        <f t="shared" si="41"/>
        <v>8</v>
      </c>
      <c r="AI211" s="13">
        <f t="shared" si="41"/>
        <v>522</v>
      </c>
    </row>
    <row r="212" spans="1:35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</row>
    <row r="213" spans="1:35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1</v>
      </c>
      <c r="F213" s="16">
        <v>2</v>
      </c>
      <c r="G213" s="16">
        <v>4</v>
      </c>
      <c r="H213" s="16">
        <v>3</v>
      </c>
      <c r="I213" s="16">
        <v>2</v>
      </c>
      <c r="J213" s="16">
        <v>2</v>
      </c>
      <c r="K213" s="16">
        <v>5</v>
      </c>
      <c r="L213" s="16">
        <v>1</v>
      </c>
      <c r="M213" s="16">
        <v>1</v>
      </c>
      <c r="N213" s="16">
        <v>0</v>
      </c>
      <c r="O213" s="16">
        <v>1</v>
      </c>
      <c r="P213" s="16">
        <v>0</v>
      </c>
      <c r="Q213" s="16">
        <v>3</v>
      </c>
      <c r="R213" s="16">
        <v>2</v>
      </c>
      <c r="S213" s="16">
        <v>1</v>
      </c>
      <c r="T213" s="16">
        <v>0</v>
      </c>
      <c r="U213" s="16">
        <v>0</v>
      </c>
      <c r="V213" s="16">
        <v>1</v>
      </c>
      <c r="W213" s="16">
        <v>1</v>
      </c>
      <c r="X213" s="16">
        <v>1</v>
      </c>
      <c r="Y213" s="16">
        <v>0</v>
      </c>
      <c r="Z213" s="16">
        <v>0</v>
      </c>
      <c r="AA213" s="16">
        <v>2</v>
      </c>
      <c r="AB213" s="16">
        <v>2</v>
      </c>
      <c r="AC213" s="16">
        <v>0</v>
      </c>
      <c r="AD213" s="16">
        <v>4</v>
      </c>
      <c r="AE213" s="16">
        <v>0</v>
      </c>
      <c r="AF213" s="16">
        <v>1</v>
      </c>
      <c r="AG213" s="16">
        <v>0</v>
      </c>
      <c r="AH213" s="16">
        <v>1</v>
      </c>
      <c r="AI213" s="13">
        <f t="shared" ref="AI213:AI222" si="42">SUM(E213:AH213)</f>
        <v>41</v>
      </c>
    </row>
    <row r="214" spans="1:35" ht="12.75" customHeight="1" x14ac:dyDescent="0.4">
      <c r="A214" s="20" t="s">
        <v>38</v>
      </c>
      <c r="B214" s="27"/>
      <c r="C214" s="29" t="s">
        <v>133</v>
      </c>
      <c r="D214" s="40"/>
      <c r="E214" s="16">
        <v>3</v>
      </c>
      <c r="F214" s="16">
        <v>0</v>
      </c>
      <c r="G214" s="16">
        <v>2</v>
      </c>
      <c r="H214" s="16">
        <v>1</v>
      </c>
      <c r="I214" s="16">
        <v>3</v>
      </c>
      <c r="J214" s="16">
        <v>3</v>
      </c>
      <c r="K214" s="16">
        <v>2</v>
      </c>
      <c r="L214" s="16">
        <v>2</v>
      </c>
      <c r="M214" s="16">
        <v>0</v>
      </c>
      <c r="N214" s="16">
        <v>0</v>
      </c>
      <c r="O214" s="16">
        <v>0</v>
      </c>
      <c r="P214" s="16">
        <v>0</v>
      </c>
      <c r="Q214" s="16">
        <v>1</v>
      </c>
      <c r="R214" s="16">
        <v>1</v>
      </c>
      <c r="S214" s="16">
        <v>0</v>
      </c>
      <c r="T214" s="16">
        <v>0</v>
      </c>
      <c r="U214" s="16">
        <v>0</v>
      </c>
      <c r="V214" s="16">
        <v>0</v>
      </c>
      <c r="W214" s="16">
        <v>1</v>
      </c>
      <c r="X214" s="16">
        <v>2</v>
      </c>
      <c r="Y214" s="16">
        <v>2</v>
      </c>
      <c r="Z214" s="16">
        <v>0</v>
      </c>
      <c r="AA214" s="16">
        <v>0</v>
      </c>
      <c r="AB214" s="16">
        <v>0</v>
      </c>
      <c r="AC214" s="16">
        <v>1</v>
      </c>
      <c r="AD214" s="16">
        <v>2</v>
      </c>
      <c r="AE214" s="16">
        <v>0</v>
      </c>
      <c r="AF214" s="16">
        <v>1</v>
      </c>
      <c r="AG214" s="16">
        <v>0</v>
      </c>
      <c r="AH214" s="16">
        <v>0</v>
      </c>
      <c r="AI214" s="13">
        <f t="shared" si="42"/>
        <v>27</v>
      </c>
    </row>
    <row r="215" spans="1:35" ht="12.75" customHeight="1" x14ac:dyDescent="0.4">
      <c r="A215" s="15"/>
      <c r="B215" s="27"/>
      <c r="C215" s="29" t="s">
        <v>134</v>
      </c>
      <c r="D215" s="40"/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>
        <v>1</v>
      </c>
      <c r="K215" s="16">
        <v>1</v>
      </c>
      <c r="L215" s="16">
        <v>0</v>
      </c>
      <c r="M215" s="16">
        <v>0</v>
      </c>
      <c r="N215" s="16">
        <v>0</v>
      </c>
      <c r="O215" s="16">
        <v>0</v>
      </c>
      <c r="P215" s="16">
        <v>0</v>
      </c>
      <c r="Q215" s="16">
        <v>0</v>
      </c>
      <c r="R215" s="16">
        <v>1</v>
      </c>
      <c r="S215" s="16">
        <v>0</v>
      </c>
      <c r="T215" s="16">
        <v>0</v>
      </c>
      <c r="U215" s="16">
        <v>0</v>
      </c>
      <c r="V215" s="16">
        <v>0</v>
      </c>
      <c r="W215" s="16">
        <v>0</v>
      </c>
      <c r="X215" s="16">
        <v>0</v>
      </c>
      <c r="Y215" s="16">
        <v>0</v>
      </c>
      <c r="Z215" s="16">
        <v>1</v>
      </c>
      <c r="AA215" s="16">
        <v>1</v>
      </c>
      <c r="AB215" s="16">
        <v>0</v>
      </c>
      <c r="AC215" s="16">
        <v>0</v>
      </c>
      <c r="AD215" s="16">
        <v>1</v>
      </c>
      <c r="AE215" s="16">
        <v>2</v>
      </c>
      <c r="AF215" s="16">
        <v>0</v>
      </c>
      <c r="AG215" s="16">
        <v>0</v>
      </c>
      <c r="AH215" s="16">
        <v>0</v>
      </c>
      <c r="AI215" s="13">
        <f t="shared" si="42"/>
        <v>8</v>
      </c>
    </row>
    <row r="216" spans="1:35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0</v>
      </c>
      <c r="G216" s="16">
        <v>0</v>
      </c>
      <c r="H216" s="16">
        <v>1</v>
      </c>
      <c r="I216" s="16">
        <v>1</v>
      </c>
      <c r="J216" s="16">
        <v>0</v>
      </c>
      <c r="K216" s="16">
        <v>0</v>
      </c>
      <c r="L216" s="16">
        <v>0</v>
      </c>
      <c r="M216" s="16">
        <v>1</v>
      </c>
      <c r="N216" s="16">
        <v>2</v>
      </c>
      <c r="O216" s="16">
        <v>0</v>
      </c>
      <c r="P216" s="16">
        <v>0</v>
      </c>
      <c r="Q216" s="16">
        <v>0</v>
      </c>
      <c r="R216" s="16">
        <v>1</v>
      </c>
      <c r="S216" s="16">
        <v>0</v>
      </c>
      <c r="T216" s="16">
        <v>0</v>
      </c>
      <c r="U216" s="16">
        <v>0</v>
      </c>
      <c r="V216" s="16">
        <v>0</v>
      </c>
      <c r="W216" s="16">
        <v>0</v>
      </c>
      <c r="X216" s="16">
        <v>0</v>
      </c>
      <c r="Y216" s="16">
        <v>0</v>
      </c>
      <c r="Z216" s="16">
        <v>1</v>
      </c>
      <c r="AA216" s="16">
        <v>0</v>
      </c>
      <c r="AB216" s="16">
        <v>0</v>
      </c>
      <c r="AC216" s="16">
        <v>1</v>
      </c>
      <c r="AD216" s="16">
        <v>1</v>
      </c>
      <c r="AE216" s="16">
        <v>0</v>
      </c>
      <c r="AF216" s="16">
        <v>0</v>
      </c>
      <c r="AG216" s="16">
        <v>0</v>
      </c>
      <c r="AH216" s="16">
        <v>2</v>
      </c>
      <c r="AI216" s="13">
        <f t="shared" si="42"/>
        <v>11</v>
      </c>
    </row>
    <row r="217" spans="1:35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0</v>
      </c>
      <c r="L217" s="16">
        <v>0</v>
      </c>
      <c r="M217" s="16">
        <v>0</v>
      </c>
      <c r="N217" s="16">
        <v>0</v>
      </c>
      <c r="O217" s="16">
        <v>0</v>
      </c>
      <c r="P217" s="16">
        <v>0</v>
      </c>
      <c r="Q217" s="16">
        <v>0</v>
      </c>
      <c r="R217" s="16">
        <v>0</v>
      </c>
      <c r="S217" s="16">
        <v>0</v>
      </c>
      <c r="T217" s="16">
        <v>0</v>
      </c>
      <c r="U217" s="16">
        <v>0</v>
      </c>
      <c r="V217" s="16">
        <v>0</v>
      </c>
      <c r="W217" s="16">
        <v>0</v>
      </c>
      <c r="X217" s="16">
        <v>0</v>
      </c>
      <c r="Y217" s="16">
        <v>0</v>
      </c>
      <c r="Z217" s="16">
        <v>0</v>
      </c>
      <c r="AA217" s="16">
        <v>1</v>
      </c>
      <c r="AB217" s="16">
        <v>1</v>
      </c>
      <c r="AC217" s="16">
        <v>0</v>
      </c>
      <c r="AD217" s="16">
        <v>0</v>
      </c>
      <c r="AE217" s="16">
        <v>0</v>
      </c>
      <c r="AF217" s="16">
        <v>0</v>
      </c>
      <c r="AG217" s="16">
        <v>0</v>
      </c>
      <c r="AH217" s="16">
        <v>0</v>
      </c>
      <c r="AI217" s="13">
        <f t="shared" si="42"/>
        <v>2</v>
      </c>
    </row>
    <row r="218" spans="1:35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0</v>
      </c>
      <c r="G218" s="16">
        <v>0</v>
      </c>
      <c r="H218" s="16">
        <v>1</v>
      </c>
      <c r="I218" s="16">
        <v>0</v>
      </c>
      <c r="J218" s="16">
        <v>1</v>
      </c>
      <c r="K218" s="16">
        <v>0</v>
      </c>
      <c r="L218" s="16">
        <v>0</v>
      </c>
      <c r="M218" s="16">
        <v>0</v>
      </c>
      <c r="N218" s="16">
        <v>0</v>
      </c>
      <c r="O218" s="16">
        <v>1</v>
      </c>
      <c r="P218" s="16">
        <v>0</v>
      </c>
      <c r="Q218" s="16">
        <v>0</v>
      </c>
      <c r="R218" s="16">
        <v>0</v>
      </c>
      <c r="S218" s="16">
        <v>1</v>
      </c>
      <c r="T218" s="16">
        <v>1</v>
      </c>
      <c r="U218" s="16">
        <v>0</v>
      </c>
      <c r="V218" s="16">
        <v>1</v>
      </c>
      <c r="W218" s="16">
        <v>1</v>
      </c>
      <c r="X218" s="16">
        <v>0</v>
      </c>
      <c r="Y218" s="16">
        <v>1</v>
      </c>
      <c r="Z218" s="16">
        <v>1</v>
      </c>
      <c r="AA218" s="16">
        <v>0</v>
      </c>
      <c r="AB218" s="16">
        <v>0</v>
      </c>
      <c r="AC218" s="16">
        <v>1</v>
      </c>
      <c r="AD218" s="16">
        <v>0</v>
      </c>
      <c r="AE218" s="16">
        <v>0</v>
      </c>
      <c r="AF218" s="16">
        <v>0</v>
      </c>
      <c r="AG218" s="16">
        <v>0</v>
      </c>
      <c r="AH218" s="16">
        <v>0</v>
      </c>
      <c r="AI218" s="13">
        <f t="shared" si="42"/>
        <v>10</v>
      </c>
    </row>
    <row r="219" spans="1:35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13">
        <f t="shared" si="42"/>
        <v>0</v>
      </c>
    </row>
    <row r="220" spans="1:35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13">
        <f t="shared" si="42"/>
        <v>0</v>
      </c>
    </row>
    <row r="221" spans="1:35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13">
        <f t="shared" si="42"/>
        <v>0</v>
      </c>
    </row>
    <row r="222" spans="1:35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13">
        <f t="shared" si="42"/>
        <v>0</v>
      </c>
    </row>
    <row r="223" spans="1:35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AI223" si="43">SUM(E213:E222)</f>
        <v>4</v>
      </c>
      <c r="F223" s="13">
        <f t="shared" si="43"/>
        <v>2</v>
      </c>
      <c r="G223" s="13">
        <f t="shared" si="43"/>
        <v>6</v>
      </c>
      <c r="H223" s="13">
        <f t="shared" si="43"/>
        <v>6</v>
      </c>
      <c r="I223" s="13">
        <f t="shared" si="43"/>
        <v>6</v>
      </c>
      <c r="J223" s="13">
        <f t="shared" si="43"/>
        <v>7</v>
      </c>
      <c r="K223" s="13">
        <f t="shared" si="43"/>
        <v>8</v>
      </c>
      <c r="L223" s="13">
        <f t="shared" si="43"/>
        <v>3</v>
      </c>
      <c r="M223" s="13">
        <f t="shared" si="43"/>
        <v>2</v>
      </c>
      <c r="N223" s="13">
        <f t="shared" si="43"/>
        <v>2</v>
      </c>
      <c r="O223" s="13">
        <f t="shared" si="43"/>
        <v>2</v>
      </c>
      <c r="P223" s="13">
        <f t="shared" si="43"/>
        <v>0</v>
      </c>
      <c r="Q223" s="13">
        <f t="shared" si="43"/>
        <v>4</v>
      </c>
      <c r="R223" s="13">
        <f t="shared" si="43"/>
        <v>5</v>
      </c>
      <c r="S223" s="13">
        <f t="shared" si="43"/>
        <v>2</v>
      </c>
      <c r="T223" s="13">
        <f t="shared" si="43"/>
        <v>1</v>
      </c>
      <c r="U223" s="13">
        <f t="shared" si="43"/>
        <v>0</v>
      </c>
      <c r="V223" s="13">
        <f t="shared" si="43"/>
        <v>2</v>
      </c>
      <c r="W223" s="13">
        <f t="shared" si="43"/>
        <v>3</v>
      </c>
      <c r="X223" s="13">
        <f t="shared" si="43"/>
        <v>3</v>
      </c>
      <c r="Y223" s="13">
        <f t="shared" si="43"/>
        <v>3</v>
      </c>
      <c r="Z223" s="13">
        <f t="shared" si="43"/>
        <v>3</v>
      </c>
      <c r="AA223" s="13">
        <f t="shared" si="43"/>
        <v>4</v>
      </c>
      <c r="AB223" s="13">
        <f t="shared" si="43"/>
        <v>3</v>
      </c>
      <c r="AC223" s="13">
        <f t="shared" si="43"/>
        <v>3</v>
      </c>
      <c r="AD223" s="13">
        <f t="shared" si="43"/>
        <v>8</v>
      </c>
      <c r="AE223" s="13">
        <f t="shared" si="43"/>
        <v>2</v>
      </c>
      <c r="AF223" s="13">
        <f t="shared" si="43"/>
        <v>2</v>
      </c>
      <c r="AG223" s="13">
        <f t="shared" si="43"/>
        <v>0</v>
      </c>
      <c r="AH223" s="13">
        <f t="shared" si="43"/>
        <v>3</v>
      </c>
      <c r="AI223" s="13">
        <f t="shared" si="43"/>
        <v>99</v>
      </c>
    </row>
    <row r="224" spans="1:35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</row>
    <row r="225" spans="1:35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0</v>
      </c>
      <c r="H225" s="16">
        <v>1</v>
      </c>
      <c r="I225" s="16">
        <v>0</v>
      </c>
      <c r="J225" s="16">
        <v>0</v>
      </c>
      <c r="K225" s="16">
        <v>0</v>
      </c>
      <c r="L225" s="16">
        <v>1</v>
      </c>
      <c r="M225" s="16">
        <v>1</v>
      </c>
      <c r="N225" s="16">
        <v>0</v>
      </c>
      <c r="O225" s="16">
        <v>0</v>
      </c>
      <c r="P225" s="16">
        <v>2</v>
      </c>
      <c r="Q225" s="16">
        <v>0</v>
      </c>
      <c r="R225" s="16">
        <v>0</v>
      </c>
      <c r="S225" s="16">
        <v>0</v>
      </c>
      <c r="T225" s="16">
        <v>0</v>
      </c>
      <c r="U225" s="16">
        <v>0</v>
      </c>
      <c r="V225" s="16">
        <v>0</v>
      </c>
      <c r="W225" s="16">
        <v>1</v>
      </c>
      <c r="X225" s="16">
        <v>1</v>
      </c>
      <c r="Y225" s="16">
        <v>2</v>
      </c>
      <c r="Z225" s="16">
        <v>1</v>
      </c>
      <c r="AA225" s="16">
        <v>0</v>
      </c>
      <c r="AB225" s="16">
        <v>0</v>
      </c>
      <c r="AC225" s="16">
        <v>0</v>
      </c>
      <c r="AD225" s="16">
        <v>0</v>
      </c>
      <c r="AE225" s="16">
        <v>0</v>
      </c>
      <c r="AF225" s="16">
        <v>0</v>
      </c>
      <c r="AG225" s="16">
        <v>0</v>
      </c>
      <c r="AH225" s="16">
        <v>0</v>
      </c>
      <c r="AI225" s="13">
        <f t="shared" ref="AI225:AI234" si="44">SUM(E225:AH225)</f>
        <v>10</v>
      </c>
    </row>
    <row r="226" spans="1:35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0</v>
      </c>
      <c r="L226" s="16">
        <v>0</v>
      </c>
      <c r="M226" s="16">
        <v>0</v>
      </c>
      <c r="N226" s="16">
        <v>0</v>
      </c>
      <c r="O226" s="16">
        <v>0</v>
      </c>
      <c r="P226" s="16">
        <v>0</v>
      </c>
      <c r="Q226" s="16">
        <v>0</v>
      </c>
      <c r="R226" s="16">
        <v>0</v>
      </c>
      <c r="S226" s="16">
        <v>0</v>
      </c>
      <c r="T226" s="16">
        <v>0</v>
      </c>
      <c r="U226" s="16">
        <v>0</v>
      </c>
      <c r="V226" s="16">
        <v>1</v>
      </c>
      <c r="W226" s="16">
        <v>0</v>
      </c>
      <c r="X226" s="16">
        <v>0</v>
      </c>
      <c r="Y226" s="16">
        <v>0</v>
      </c>
      <c r="Z226" s="16">
        <v>0</v>
      </c>
      <c r="AA226" s="16">
        <v>0</v>
      </c>
      <c r="AB226" s="16">
        <v>0</v>
      </c>
      <c r="AC226" s="16">
        <v>0</v>
      </c>
      <c r="AD226" s="16">
        <v>0</v>
      </c>
      <c r="AE226" s="16">
        <v>0</v>
      </c>
      <c r="AF226" s="16">
        <v>0</v>
      </c>
      <c r="AG226" s="16">
        <v>0</v>
      </c>
      <c r="AH226" s="16">
        <v>0</v>
      </c>
      <c r="AI226" s="13">
        <f t="shared" si="44"/>
        <v>1</v>
      </c>
    </row>
    <row r="227" spans="1:35" ht="12.75" customHeight="1" x14ac:dyDescent="0.4">
      <c r="A227" s="15"/>
      <c r="B227" s="27"/>
      <c r="C227" s="29" t="s">
        <v>141</v>
      </c>
      <c r="D227" s="40"/>
      <c r="E227" s="16">
        <v>1</v>
      </c>
      <c r="F227" s="16">
        <v>0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6">
        <v>3</v>
      </c>
      <c r="M227" s="16">
        <v>1</v>
      </c>
      <c r="N227" s="16">
        <v>0</v>
      </c>
      <c r="O227" s="16">
        <v>0</v>
      </c>
      <c r="P227" s="16">
        <v>1</v>
      </c>
      <c r="Q227" s="16">
        <v>0</v>
      </c>
      <c r="R227" s="16">
        <v>0</v>
      </c>
      <c r="S227" s="16">
        <v>3</v>
      </c>
      <c r="T227" s="16">
        <v>0</v>
      </c>
      <c r="U227" s="16">
        <v>0</v>
      </c>
      <c r="V227" s="16">
        <v>0</v>
      </c>
      <c r="W227" s="16">
        <v>0</v>
      </c>
      <c r="X227" s="16">
        <v>1</v>
      </c>
      <c r="Y227" s="16">
        <v>0</v>
      </c>
      <c r="Z227" s="16">
        <v>0</v>
      </c>
      <c r="AA227" s="16">
        <v>0</v>
      </c>
      <c r="AB227" s="16">
        <v>1</v>
      </c>
      <c r="AC227" s="16">
        <v>0</v>
      </c>
      <c r="AD227" s="16">
        <v>0</v>
      </c>
      <c r="AE227" s="16">
        <v>0</v>
      </c>
      <c r="AF227" s="16">
        <v>0</v>
      </c>
      <c r="AG227" s="16">
        <v>0</v>
      </c>
      <c r="AH227" s="16">
        <v>0</v>
      </c>
      <c r="AI227" s="13">
        <f t="shared" si="44"/>
        <v>11</v>
      </c>
    </row>
    <row r="228" spans="1:35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6">
        <v>0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6">
        <v>0</v>
      </c>
      <c r="AA228" s="16">
        <v>0</v>
      </c>
      <c r="AB228" s="16">
        <v>0</v>
      </c>
      <c r="AC228" s="16">
        <v>0</v>
      </c>
      <c r="AD228" s="16">
        <v>0</v>
      </c>
      <c r="AE228" s="16">
        <v>0</v>
      </c>
      <c r="AF228" s="16">
        <v>0</v>
      </c>
      <c r="AG228" s="16">
        <v>0</v>
      </c>
      <c r="AH228" s="16">
        <v>0</v>
      </c>
      <c r="AI228" s="13">
        <f t="shared" si="44"/>
        <v>0</v>
      </c>
    </row>
    <row r="229" spans="1:35" ht="12.75" customHeight="1" x14ac:dyDescent="0.4">
      <c r="A229" s="15"/>
      <c r="B229" s="28"/>
      <c r="C229" s="29" t="s">
        <v>143</v>
      </c>
      <c r="D229" s="30"/>
      <c r="E229" s="16">
        <v>1</v>
      </c>
      <c r="F229" s="16">
        <v>0</v>
      </c>
      <c r="G229" s="16">
        <v>0</v>
      </c>
      <c r="H229" s="16">
        <v>0</v>
      </c>
      <c r="I229" s="16">
        <v>0</v>
      </c>
      <c r="J229" s="16">
        <v>2</v>
      </c>
      <c r="K229" s="16">
        <v>0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0</v>
      </c>
      <c r="T229" s="16">
        <v>0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6">
        <v>0</v>
      </c>
      <c r="AA229" s="16">
        <v>0</v>
      </c>
      <c r="AB229" s="16">
        <v>0</v>
      </c>
      <c r="AC229" s="16">
        <v>0</v>
      </c>
      <c r="AD229" s="16">
        <v>0</v>
      </c>
      <c r="AE229" s="16">
        <v>1</v>
      </c>
      <c r="AF229" s="16">
        <v>0</v>
      </c>
      <c r="AG229" s="16">
        <v>0</v>
      </c>
      <c r="AH229" s="16">
        <v>0</v>
      </c>
      <c r="AI229" s="13">
        <f t="shared" si="44"/>
        <v>4</v>
      </c>
    </row>
    <row r="230" spans="1:35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0</v>
      </c>
      <c r="G230" s="16">
        <v>1</v>
      </c>
      <c r="H230" s="16">
        <v>4</v>
      </c>
      <c r="I230" s="16">
        <v>0</v>
      </c>
      <c r="J230" s="16">
        <v>0</v>
      </c>
      <c r="K230" s="16">
        <v>0</v>
      </c>
      <c r="L230" s="16">
        <v>0</v>
      </c>
      <c r="M230" s="16">
        <v>1</v>
      </c>
      <c r="N230" s="16">
        <v>0</v>
      </c>
      <c r="O230" s="16">
        <v>0</v>
      </c>
      <c r="P230" s="16">
        <v>0</v>
      </c>
      <c r="Q230" s="16">
        <v>0</v>
      </c>
      <c r="R230" s="16">
        <v>0</v>
      </c>
      <c r="S230" s="16">
        <v>0</v>
      </c>
      <c r="T230" s="16">
        <v>0</v>
      </c>
      <c r="U230" s="16">
        <v>0</v>
      </c>
      <c r="V230" s="16">
        <v>0</v>
      </c>
      <c r="W230" s="16">
        <v>1</v>
      </c>
      <c r="X230" s="16">
        <v>0</v>
      </c>
      <c r="Y230" s="16">
        <v>0</v>
      </c>
      <c r="Z230" s="16">
        <v>0</v>
      </c>
      <c r="AA230" s="16">
        <v>0</v>
      </c>
      <c r="AB230" s="16">
        <v>0</v>
      </c>
      <c r="AC230" s="16">
        <v>0</v>
      </c>
      <c r="AD230" s="16">
        <v>0</v>
      </c>
      <c r="AE230" s="16">
        <v>0</v>
      </c>
      <c r="AF230" s="16">
        <v>0</v>
      </c>
      <c r="AG230" s="16">
        <v>0</v>
      </c>
      <c r="AH230" s="16">
        <v>0</v>
      </c>
      <c r="AI230" s="13">
        <f t="shared" si="44"/>
        <v>7</v>
      </c>
    </row>
    <row r="231" spans="1:35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0</v>
      </c>
      <c r="R231" s="16">
        <v>0</v>
      </c>
      <c r="S231" s="16">
        <v>0</v>
      </c>
      <c r="T231" s="16">
        <v>0</v>
      </c>
      <c r="U231" s="16">
        <v>0</v>
      </c>
      <c r="V231" s="16">
        <v>0</v>
      </c>
      <c r="W231" s="16">
        <v>0</v>
      </c>
      <c r="X231" s="16">
        <v>0</v>
      </c>
      <c r="Y231" s="16">
        <v>0</v>
      </c>
      <c r="Z231" s="16">
        <v>0</v>
      </c>
      <c r="AA231" s="16">
        <v>0</v>
      </c>
      <c r="AB231" s="16">
        <v>0</v>
      </c>
      <c r="AC231" s="16">
        <v>1</v>
      </c>
      <c r="AD231" s="16">
        <v>0</v>
      </c>
      <c r="AE231" s="16">
        <v>0</v>
      </c>
      <c r="AF231" s="16">
        <v>0</v>
      </c>
      <c r="AG231" s="16">
        <v>0</v>
      </c>
      <c r="AH231" s="16">
        <v>0</v>
      </c>
      <c r="AI231" s="13">
        <f t="shared" si="44"/>
        <v>1</v>
      </c>
    </row>
    <row r="232" spans="1:35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13">
        <f t="shared" si="44"/>
        <v>0</v>
      </c>
    </row>
    <row r="233" spans="1:35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13">
        <f t="shared" si="44"/>
        <v>0</v>
      </c>
    </row>
    <row r="234" spans="1:35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13">
        <f t="shared" si="44"/>
        <v>0</v>
      </c>
    </row>
    <row r="235" spans="1:35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K235" si="45">SUM(E225:E234)</f>
        <v>2</v>
      </c>
      <c r="F235" s="13">
        <f t="shared" si="45"/>
        <v>0</v>
      </c>
      <c r="G235" s="13">
        <f t="shared" si="45"/>
        <v>1</v>
      </c>
      <c r="H235" s="13">
        <f t="shared" si="45"/>
        <v>5</v>
      </c>
      <c r="I235" s="13">
        <f t="shared" si="45"/>
        <v>0</v>
      </c>
      <c r="J235" s="13">
        <f t="shared" si="45"/>
        <v>2</v>
      </c>
      <c r="K235" s="13">
        <f t="shared" si="45"/>
        <v>0</v>
      </c>
      <c r="L235" s="13">
        <v>4</v>
      </c>
      <c r="M235" s="13">
        <f t="shared" ref="M235:AI235" si="46">SUM(M225:M234)</f>
        <v>3</v>
      </c>
      <c r="N235" s="13">
        <f t="shared" si="46"/>
        <v>0</v>
      </c>
      <c r="O235" s="13">
        <f t="shared" si="46"/>
        <v>0</v>
      </c>
      <c r="P235" s="13">
        <f t="shared" si="46"/>
        <v>3</v>
      </c>
      <c r="Q235" s="13">
        <f t="shared" si="46"/>
        <v>0</v>
      </c>
      <c r="R235" s="13">
        <f t="shared" si="46"/>
        <v>0</v>
      </c>
      <c r="S235" s="13">
        <f t="shared" si="46"/>
        <v>3</v>
      </c>
      <c r="T235" s="13">
        <f t="shared" si="46"/>
        <v>0</v>
      </c>
      <c r="U235" s="13">
        <f t="shared" si="46"/>
        <v>0</v>
      </c>
      <c r="V235" s="13">
        <f t="shared" si="46"/>
        <v>1</v>
      </c>
      <c r="W235" s="13">
        <f t="shared" si="46"/>
        <v>2</v>
      </c>
      <c r="X235" s="13">
        <f t="shared" si="46"/>
        <v>2</v>
      </c>
      <c r="Y235" s="13">
        <f t="shared" si="46"/>
        <v>2</v>
      </c>
      <c r="Z235" s="13">
        <f t="shared" si="46"/>
        <v>1</v>
      </c>
      <c r="AA235" s="13">
        <f t="shared" si="46"/>
        <v>0</v>
      </c>
      <c r="AB235" s="13">
        <f t="shared" si="46"/>
        <v>1</v>
      </c>
      <c r="AC235" s="13">
        <f t="shared" si="46"/>
        <v>1</v>
      </c>
      <c r="AD235" s="13">
        <f t="shared" si="46"/>
        <v>0</v>
      </c>
      <c r="AE235" s="13">
        <f t="shared" si="46"/>
        <v>1</v>
      </c>
      <c r="AF235" s="13">
        <f t="shared" si="46"/>
        <v>0</v>
      </c>
      <c r="AG235" s="13">
        <f t="shared" si="46"/>
        <v>0</v>
      </c>
      <c r="AH235" s="13">
        <f t="shared" si="46"/>
        <v>0</v>
      </c>
      <c r="AI235" s="13">
        <f t="shared" si="46"/>
        <v>34</v>
      </c>
    </row>
    <row r="236" spans="1:35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</row>
    <row r="237" spans="1:35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1</v>
      </c>
      <c r="G237" s="16">
        <v>2</v>
      </c>
      <c r="H237" s="16">
        <v>0</v>
      </c>
      <c r="I237" s="16">
        <v>4</v>
      </c>
      <c r="J237" s="16">
        <v>3</v>
      </c>
      <c r="K237" s="16">
        <v>0</v>
      </c>
      <c r="L237" s="16">
        <v>0</v>
      </c>
      <c r="M237" s="16">
        <v>1</v>
      </c>
      <c r="N237" s="16">
        <v>0</v>
      </c>
      <c r="O237" s="16">
        <v>1</v>
      </c>
      <c r="P237" s="16">
        <v>0</v>
      </c>
      <c r="Q237" s="16">
        <v>0</v>
      </c>
      <c r="R237" s="16">
        <v>1</v>
      </c>
      <c r="S237" s="16">
        <v>1</v>
      </c>
      <c r="T237" s="16">
        <v>0</v>
      </c>
      <c r="U237" s="16">
        <v>2</v>
      </c>
      <c r="V237" s="16">
        <v>3</v>
      </c>
      <c r="W237" s="16">
        <v>0</v>
      </c>
      <c r="X237" s="16">
        <v>1</v>
      </c>
      <c r="Y237" s="16">
        <v>0</v>
      </c>
      <c r="Z237" s="16">
        <v>0</v>
      </c>
      <c r="AA237" s="16">
        <v>4</v>
      </c>
      <c r="AB237" s="16">
        <v>0</v>
      </c>
      <c r="AC237" s="16">
        <v>0</v>
      </c>
      <c r="AD237" s="16">
        <v>0</v>
      </c>
      <c r="AE237" s="16">
        <v>1</v>
      </c>
      <c r="AF237" s="16">
        <v>0</v>
      </c>
      <c r="AG237" s="16">
        <v>0</v>
      </c>
      <c r="AH237" s="16">
        <v>0</v>
      </c>
      <c r="AI237" s="13">
        <f t="shared" ref="AI237:AI246" si="47">SUM(E237:AH237)</f>
        <v>25</v>
      </c>
    </row>
    <row r="238" spans="1:35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0</v>
      </c>
      <c r="G238" s="16">
        <v>0</v>
      </c>
      <c r="H238" s="16">
        <v>0</v>
      </c>
      <c r="I238" s="16">
        <v>0</v>
      </c>
      <c r="J238" s="16">
        <v>1</v>
      </c>
      <c r="K238" s="16">
        <v>0</v>
      </c>
      <c r="L238" s="16">
        <v>0</v>
      </c>
      <c r="M238" s="16">
        <v>0</v>
      </c>
      <c r="N238" s="16">
        <v>2</v>
      </c>
      <c r="O238" s="16">
        <v>0</v>
      </c>
      <c r="P238" s="16">
        <v>0</v>
      </c>
      <c r="Q238" s="16">
        <v>0</v>
      </c>
      <c r="R238" s="16">
        <v>1</v>
      </c>
      <c r="S238" s="16">
        <v>0</v>
      </c>
      <c r="T238" s="16">
        <v>0</v>
      </c>
      <c r="U238" s="16">
        <v>0</v>
      </c>
      <c r="V238" s="16">
        <v>0</v>
      </c>
      <c r="W238" s="16">
        <v>0</v>
      </c>
      <c r="X238" s="16">
        <v>0</v>
      </c>
      <c r="Y238" s="16">
        <v>0</v>
      </c>
      <c r="Z238" s="16">
        <v>0</v>
      </c>
      <c r="AA238" s="16">
        <v>0</v>
      </c>
      <c r="AB238" s="16">
        <v>2</v>
      </c>
      <c r="AC238" s="16">
        <v>0</v>
      </c>
      <c r="AD238" s="16">
        <v>0</v>
      </c>
      <c r="AE238" s="16">
        <v>0</v>
      </c>
      <c r="AF238" s="16">
        <v>0</v>
      </c>
      <c r="AG238" s="16">
        <v>0</v>
      </c>
      <c r="AH238" s="16">
        <v>0</v>
      </c>
      <c r="AI238" s="13">
        <f t="shared" si="47"/>
        <v>6</v>
      </c>
    </row>
    <row r="239" spans="1:35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0</v>
      </c>
      <c r="G239" s="16">
        <v>0</v>
      </c>
      <c r="H239" s="16">
        <v>1</v>
      </c>
      <c r="I239" s="16">
        <v>1</v>
      </c>
      <c r="J239" s="16">
        <v>6</v>
      </c>
      <c r="K239" s="16">
        <v>1</v>
      </c>
      <c r="L239" s="16">
        <v>3</v>
      </c>
      <c r="M239" s="16">
        <v>0</v>
      </c>
      <c r="N239" s="16">
        <v>0</v>
      </c>
      <c r="O239" s="16">
        <v>0</v>
      </c>
      <c r="P239" s="16">
        <v>2</v>
      </c>
      <c r="Q239" s="16">
        <v>1</v>
      </c>
      <c r="R239" s="16">
        <v>1</v>
      </c>
      <c r="S239" s="16">
        <v>1</v>
      </c>
      <c r="T239" s="16">
        <v>0</v>
      </c>
      <c r="U239" s="16">
        <v>2</v>
      </c>
      <c r="V239" s="16">
        <v>2</v>
      </c>
      <c r="W239" s="16">
        <v>0</v>
      </c>
      <c r="X239" s="16">
        <v>0</v>
      </c>
      <c r="Y239" s="16">
        <v>0</v>
      </c>
      <c r="Z239" s="16">
        <v>0</v>
      </c>
      <c r="AA239" s="16">
        <v>0</v>
      </c>
      <c r="AB239" s="16">
        <v>3</v>
      </c>
      <c r="AC239" s="16">
        <v>0</v>
      </c>
      <c r="AD239" s="16">
        <v>0</v>
      </c>
      <c r="AE239" s="16">
        <v>0</v>
      </c>
      <c r="AF239" s="16">
        <v>4</v>
      </c>
      <c r="AG239" s="16">
        <v>0</v>
      </c>
      <c r="AH239" s="16">
        <v>0</v>
      </c>
      <c r="AI239" s="13">
        <f t="shared" si="47"/>
        <v>28</v>
      </c>
    </row>
    <row r="240" spans="1:35" ht="12.75" customHeight="1" x14ac:dyDescent="0.4">
      <c r="A240" s="15"/>
      <c r="B240" s="28"/>
      <c r="C240" s="29" t="s">
        <v>150</v>
      </c>
      <c r="D240" s="30"/>
      <c r="E240" s="16">
        <v>5</v>
      </c>
      <c r="F240" s="16">
        <v>1</v>
      </c>
      <c r="G240" s="16">
        <v>14</v>
      </c>
      <c r="H240" s="16">
        <v>3</v>
      </c>
      <c r="I240" s="16">
        <v>7</v>
      </c>
      <c r="J240" s="16">
        <v>10</v>
      </c>
      <c r="K240" s="16">
        <v>3</v>
      </c>
      <c r="L240" s="16">
        <v>23</v>
      </c>
      <c r="M240" s="16">
        <v>21</v>
      </c>
      <c r="N240" s="16">
        <v>2</v>
      </c>
      <c r="O240" s="16">
        <v>1</v>
      </c>
      <c r="P240" s="16">
        <v>7</v>
      </c>
      <c r="Q240" s="16">
        <v>16</v>
      </c>
      <c r="R240" s="16">
        <v>7</v>
      </c>
      <c r="S240" s="16">
        <v>7</v>
      </c>
      <c r="T240" s="16">
        <v>3</v>
      </c>
      <c r="U240" s="16">
        <v>25</v>
      </c>
      <c r="V240" s="16">
        <v>23</v>
      </c>
      <c r="W240" s="16">
        <v>4</v>
      </c>
      <c r="X240" s="16">
        <v>2</v>
      </c>
      <c r="Y240" s="16">
        <v>0</v>
      </c>
      <c r="Z240" s="16">
        <v>3</v>
      </c>
      <c r="AA240" s="16">
        <v>3</v>
      </c>
      <c r="AB240" s="16">
        <v>13</v>
      </c>
      <c r="AC240" s="16">
        <v>1</v>
      </c>
      <c r="AD240" s="16">
        <v>4</v>
      </c>
      <c r="AE240" s="16">
        <v>5</v>
      </c>
      <c r="AF240" s="16">
        <v>6</v>
      </c>
      <c r="AG240" s="16">
        <v>4</v>
      </c>
      <c r="AH240" s="16">
        <v>2</v>
      </c>
      <c r="AI240" s="13">
        <f t="shared" si="47"/>
        <v>225</v>
      </c>
    </row>
    <row r="241" spans="1:35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2</v>
      </c>
      <c r="J241" s="16">
        <v>0</v>
      </c>
      <c r="K241" s="16">
        <v>0</v>
      </c>
      <c r="L241" s="16">
        <v>0</v>
      </c>
      <c r="M241" s="16">
        <v>0</v>
      </c>
      <c r="N241" s="16">
        <v>0</v>
      </c>
      <c r="O241" s="16">
        <v>0</v>
      </c>
      <c r="P241" s="16">
        <v>0</v>
      </c>
      <c r="Q241" s="16">
        <v>0</v>
      </c>
      <c r="R241" s="16">
        <v>0</v>
      </c>
      <c r="S241" s="16">
        <v>0</v>
      </c>
      <c r="T241" s="16">
        <v>0</v>
      </c>
      <c r="U241" s="16">
        <v>0</v>
      </c>
      <c r="V241" s="16">
        <v>0</v>
      </c>
      <c r="W241" s="16">
        <v>1</v>
      </c>
      <c r="X241" s="16">
        <v>0</v>
      </c>
      <c r="Y241" s="16">
        <v>0</v>
      </c>
      <c r="Z241" s="16">
        <v>0</v>
      </c>
      <c r="AA241" s="16">
        <v>0</v>
      </c>
      <c r="AB241" s="16">
        <v>0</v>
      </c>
      <c r="AC241" s="16">
        <v>0</v>
      </c>
      <c r="AD241" s="16">
        <v>0</v>
      </c>
      <c r="AE241" s="16">
        <v>0</v>
      </c>
      <c r="AF241" s="16">
        <v>0</v>
      </c>
      <c r="AG241" s="16">
        <v>0</v>
      </c>
      <c r="AH241" s="16">
        <v>1</v>
      </c>
      <c r="AI241" s="13">
        <f t="shared" si="47"/>
        <v>4</v>
      </c>
    </row>
    <row r="242" spans="1:35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1</v>
      </c>
      <c r="H242" s="16">
        <v>0</v>
      </c>
      <c r="I242" s="16">
        <v>0</v>
      </c>
      <c r="J242" s="16">
        <v>0</v>
      </c>
      <c r="K242" s="16">
        <v>0</v>
      </c>
      <c r="L242" s="16">
        <v>1</v>
      </c>
      <c r="M242" s="16">
        <v>0</v>
      </c>
      <c r="N242" s="16">
        <v>0</v>
      </c>
      <c r="O242" s="16">
        <v>0</v>
      </c>
      <c r="P242" s="16">
        <v>0</v>
      </c>
      <c r="Q242" s="16">
        <v>0</v>
      </c>
      <c r="R242" s="16">
        <v>0</v>
      </c>
      <c r="S242" s="16">
        <v>0</v>
      </c>
      <c r="T242" s="16">
        <v>0</v>
      </c>
      <c r="U242" s="16">
        <v>0</v>
      </c>
      <c r="V242" s="16">
        <v>0</v>
      </c>
      <c r="W242" s="16">
        <v>0</v>
      </c>
      <c r="X242" s="16">
        <v>0</v>
      </c>
      <c r="Y242" s="16">
        <v>0</v>
      </c>
      <c r="Z242" s="16">
        <v>1</v>
      </c>
      <c r="AA242" s="16">
        <v>0</v>
      </c>
      <c r="AB242" s="16">
        <v>0</v>
      </c>
      <c r="AC242" s="16">
        <v>1</v>
      </c>
      <c r="AD242" s="16">
        <v>0</v>
      </c>
      <c r="AE242" s="16">
        <v>0</v>
      </c>
      <c r="AF242" s="16">
        <v>0</v>
      </c>
      <c r="AG242" s="16">
        <v>0</v>
      </c>
      <c r="AH242" s="16">
        <v>0</v>
      </c>
      <c r="AI242" s="13">
        <f t="shared" si="47"/>
        <v>4</v>
      </c>
    </row>
    <row r="243" spans="1:35" ht="12.75" customHeight="1" x14ac:dyDescent="0.4">
      <c r="A243" s="15"/>
      <c r="B243" s="28"/>
      <c r="C243" s="29" t="s">
        <v>153</v>
      </c>
      <c r="D243" s="30"/>
      <c r="E243" s="16">
        <v>1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1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  <c r="R243" s="16">
        <v>0</v>
      </c>
      <c r="S243" s="16">
        <v>0</v>
      </c>
      <c r="T243" s="16">
        <v>0</v>
      </c>
      <c r="U243" s="16">
        <v>0</v>
      </c>
      <c r="V243" s="16">
        <v>0</v>
      </c>
      <c r="W243" s="16">
        <v>0</v>
      </c>
      <c r="X243" s="16">
        <v>0</v>
      </c>
      <c r="Y243" s="16">
        <v>0</v>
      </c>
      <c r="Z243" s="16">
        <v>0</v>
      </c>
      <c r="AA243" s="16">
        <v>0</v>
      </c>
      <c r="AB243" s="16">
        <v>0</v>
      </c>
      <c r="AC243" s="16">
        <v>0</v>
      </c>
      <c r="AD243" s="16">
        <v>0</v>
      </c>
      <c r="AE243" s="16">
        <v>0</v>
      </c>
      <c r="AF243" s="16">
        <v>0</v>
      </c>
      <c r="AG243" s="16">
        <v>0</v>
      </c>
      <c r="AH243" s="16">
        <v>0</v>
      </c>
      <c r="AI243" s="13">
        <f t="shared" si="47"/>
        <v>2</v>
      </c>
    </row>
    <row r="244" spans="1:35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13">
        <f t="shared" si="47"/>
        <v>0</v>
      </c>
    </row>
    <row r="245" spans="1:35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13">
        <f t="shared" si="47"/>
        <v>0</v>
      </c>
    </row>
    <row r="246" spans="1:35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13">
        <f t="shared" si="47"/>
        <v>0</v>
      </c>
    </row>
    <row r="247" spans="1:35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AI247" si="48">SUM(E237:E246)</f>
        <v>6</v>
      </c>
      <c r="F247" s="13">
        <f t="shared" si="48"/>
        <v>2</v>
      </c>
      <c r="G247" s="13">
        <f t="shared" si="48"/>
        <v>17</v>
      </c>
      <c r="H247" s="13">
        <f t="shared" si="48"/>
        <v>4</v>
      </c>
      <c r="I247" s="13">
        <f t="shared" si="48"/>
        <v>14</v>
      </c>
      <c r="J247" s="13">
        <f t="shared" si="48"/>
        <v>20</v>
      </c>
      <c r="K247" s="13">
        <f t="shared" si="48"/>
        <v>5</v>
      </c>
      <c r="L247" s="13">
        <f t="shared" si="48"/>
        <v>27</v>
      </c>
      <c r="M247" s="13">
        <f t="shared" si="48"/>
        <v>22</v>
      </c>
      <c r="N247" s="13">
        <f t="shared" si="48"/>
        <v>4</v>
      </c>
      <c r="O247" s="13">
        <f t="shared" si="48"/>
        <v>2</v>
      </c>
      <c r="P247" s="13">
        <f t="shared" si="48"/>
        <v>9</v>
      </c>
      <c r="Q247" s="13">
        <f t="shared" si="48"/>
        <v>17</v>
      </c>
      <c r="R247" s="13">
        <f t="shared" si="48"/>
        <v>10</v>
      </c>
      <c r="S247" s="13">
        <f t="shared" si="48"/>
        <v>9</v>
      </c>
      <c r="T247" s="13">
        <f t="shared" si="48"/>
        <v>3</v>
      </c>
      <c r="U247" s="13">
        <f t="shared" si="48"/>
        <v>29</v>
      </c>
      <c r="V247" s="13">
        <f t="shared" si="48"/>
        <v>28</v>
      </c>
      <c r="W247" s="13">
        <f t="shared" si="48"/>
        <v>5</v>
      </c>
      <c r="X247" s="13">
        <f t="shared" si="48"/>
        <v>3</v>
      </c>
      <c r="Y247" s="13">
        <f t="shared" si="48"/>
        <v>0</v>
      </c>
      <c r="Z247" s="13">
        <f t="shared" si="48"/>
        <v>4</v>
      </c>
      <c r="AA247" s="13">
        <f t="shared" si="48"/>
        <v>7</v>
      </c>
      <c r="AB247" s="13">
        <f t="shared" si="48"/>
        <v>18</v>
      </c>
      <c r="AC247" s="13">
        <f t="shared" si="48"/>
        <v>2</v>
      </c>
      <c r="AD247" s="13">
        <f t="shared" si="48"/>
        <v>4</v>
      </c>
      <c r="AE247" s="13">
        <f t="shared" si="48"/>
        <v>6</v>
      </c>
      <c r="AF247" s="13">
        <f t="shared" si="48"/>
        <v>10</v>
      </c>
      <c r="AG247" s="13">
        <f t="shared" si="48"/>
        <v>4</v>
      </c>
      <c r="AH247" s="13">
        <f t="shared" si="48"/>
        <v>3</v>
      </c>
      <c r="AI247" s="13">
        <f t="shared" si="48"/>
        <v>294</v>
      </c>
    </row>
    <row r="248" spans="1:35" ht="12.75" customHeight="1" x14ac:dyDescent="0.4">
      <c r="A248" s="63"/>
      <c r="B248" s="61"/>
      <c r="C248" s="61"/>
      <c r="D248" s="61"/>
      <c r="E248" s="62"/>
    </row>
    <row r="249" spans="1:35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2</v>
      </c>
      <c r="F249" s="16">
        <v>0</v>
      </c>
      <c r="G249" s="16">
        <v>0</v>
      </c>
      <c r="H249" s="16">
        <v>0</v>
      </c>
      <c r="I249" s="16">
        <v>0</v>
      </c>
      <c r="J249" s="16">
        <v>0</v>
      </c>
      <c r="K249" s="16">
        <v>0</v>
      </c>
      <c r="L249" s="16">
        <v>0</v>
      </c>
      <c r="M249" s="16">
        <v>0</v>
      </c>
      <c r="N249" s="16">
        <v>0</v>
      </c>
      <c r="O249" s="16">
        <v>0</v>
      </c>
      <c r="P249" s="16">
        <v>0</v>
      </c>
      <c r="Q249" s="16">
        <v>0</v>
      </c>
      <c r="R249" s="16">
        <v>0</v>
      </c>
      <c r="S249" s="16">
        <v>0</v>
      </c>
      <c r="T249" s="16">
        <v>0</v>
      </c>
      <c r="U249" s="16">
        <v>0</v>
      </c>
      <c r="V249" s="16">
        <v>1</v>
      </c>
      <c r="W249" s="16">
        <v>0</v>
      </c>
      <c r="X249" s="16">
        <v>0</v>
      </c>
      <c r="Y249" s="16">
        <v>0</v>
      </c>
      <c r="Z249" s="16">
        <v>2</v>
      </c>
      <c r="AA249" s="16">
        <v>0</v>
      </c>
      <c r="AB249" s="16">
        <v>0</v>
      </c>
      <c r="AC249" s="16">
        <v>0</v>
      </c>
      <c r="AD249" s="16">
        <v>0</v>
      </c>
      <c r="AE249" s="16">
        <v>0</v>
      </c>
      <c r="AF249" s="16">
        <v>1</v>
      </c>
      <c r="AG249" s="16">
        <v>0</v>
      </c>
      <c r="AH249" s="16">
        <v>0</v>
      </c>
      <c r="AI249" s="13">
        <f t="shared" ref="AI249:AI258" si="49">SUM(E249:AH249)</f>
        <v>6</v>
      </c>
    </row>
    <row r="250" spans="1:35" ht="12.75" customHeight="1" x14ac:dyDescent="0.4">
      <c r="A250" s="20" t="s">
        <v>38</v>
      </c>
      <c r="B250" s="27"/>
      <c r="C250" s="29" t="s">
        <v>156</v>
      </c>
      <c r="D250" s="40"/>
      <c r="E250" s="16">
        <v>0</v>
      </c>
      <c r="F250" s="16">
        <v>0</v>
      </c>
      <c r="G250" s="16">
        <v>0</v>
      </c>
      <c r="H250" s="16">
        <v>4</v>
      </c>
      <c r="I250" s="16">
        <v>0</v>
      </c>
      <c r="J250" s="16">
        <v>0</v>
      </c>
      <c r="K250" s="16">
        <v>1</v>
      </c>
      <c r="L250" s="16">
        <v>0</v>
      </c>
      <c r="M250" s="16">
        <v>1</v>
      </c>
      <c r="N250" s="16">
        <v>0</v>
      </c>
      <c r="O250" s="16">
        <v>0</v>
      </c>
      <c r="P250" s="16">
        <v>0</v>
      </c>
      <c r="Q250" s="16">
        <v>0</v>
      </c>
      <c r="R250" s="16">
        <v>0</v>
      </c>
      <c r="S250" s="16">
        <v>3</v>
      </c>
      <c r="T250" s="16">
        <v>0</v>
      </c>
      <c r="U250" s="16">
        <v>0</v>
      </c>
      <c r="V250" s="16">
        <v>0</v>
      </c>
      <c r="W250" s="16">
        <v>0</v>
      </c>
      <c r="X250" s="16">
        <v>0</v>
      </c>
      <c r="Y250" s="16">
        <v>0</v>
      </c>
      <c r="Z250" s="16">
        <v>0</v>
      </c>
      <c r="AA250" s="16">
        <v>1</v>
      </c>
      <c r="AB250" s="16">
        <v>0</v>
      </c>
      <c r="AC250" s="16">
        <v>0</v>
      </c>
      <c r="AD250" s="16">
        <v>0</v>
      </c>
      <c r="AE250" s="16">
        <v>0</v>
      </c>
      <c r="AF250" s="16">
        <v>0</v>
      </c>
      <c r="AG250" s="16">
        <v>0</v>
      </c>
      <c r="AH250" s="16">
        <v>0</v>
      </c>
      <c r="AI250" s="13">
        <f t="shared" si="49"/>
        <v>10</v>
      </c>
    </row>
    <row r="251" spans="1:35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1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6">
        <v>0</v>
      </c>
      <c r="T251" s="16">
        <v>0</v>
      </c>
      <c r="U251" s="16">
        <v>0</v>
      </c>
      <c r="V251" s="16">
        <v>2</v>
      </c>
      <c r="W251" s="16">
        <v>0</v>
      </c>
      <c r="X251" s="16">
        <v>0</v>
      </c>
      <c r="Y251" s="16">
        <v>0</v>
      </c>
      <c r="Z251" s="16">
        <v>0</v>
      </c>
      <c r="AA251" s="16">
        <v>0</v>
      </c>
      <c r="AB251" s="16">
        <v>0</v>
      </c>
      <c r="AC251" s="16">
        <v>0</v>
      </c>
      <c r="AD251" s="16">
        <v>0</v>
      </c>
      <c r="AE251" s="16">
        <v>0</v>
      </c>
      <c r="AF251" s="16">
        <v>0</v>
      </c>
      <c r="AG251" s="16">
        <v>1</v>
      </c>
      <c r="AH251" s="16">
        <v>0</v>
      </c>
      <c r="AI251" s="13">
        <f t="shared" si="49"/>
        <v>4</v>
      </c>
    </row>
    <row r="252" spans="1:35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6">
        <v>2</v>
      </c>
      <c r="T252" s="16">
        <v>0</v>
      </c>
      <c r="U252" s="16">
        <v>0</v>
      </c>
      <c r="V252" s="16">
        <v>0</v>
      </c>
      <c r="W252" s="16">
        <v>0</v>
      </c>
      <c r="X252" s="16">
        <v>0</v>
      </c>
      <c r="Y252" s="16">
        <v>0</v>
      </c>
      <c r="Z252" s="16">
        <v>0</v>
      </c>
      <c r="AA252" s="16">
        <v>0</v>
      </c>
      <c r="AB252" s="16">
        <v>0</v>
      </c>
      <c r="AC252" s="16">
        <v>0</v>
      </c>
      <c r="AD252" s="16">
        <v>0</v>
      </c>
      <c r="AE252" s="16">
        <v>0</v>
      </c>
      <c r="AF252" s="16">
        <v>0</v>
      </c>
      <c r="AG252" s="16">
        <v>0</v>
      </c>
      <c r="AH252" s="16">
        <v>0</v>
      </c>
      <c r="AI252" s="13">
        <f t="shared" si="49"/>
        <v>2</v>
      </c>
    </row>
    <row r="253" spans="1:35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2</v>
      </c>
      <c r="M253" s="16">
        <v>0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6">
        <v>0</v>
      </c>
      <c r="U253" s="16">
        <v>0</v>
      </c>
      <c r="V253" s="16">
        <v>0</v>
      </c>
      <c r="W253" s="16">
        <v>0</v>
      </c>
      <c r="X253" s="16">
        <v>0</v>
      </c>
      <c r="Y253" s="16">
        <v>1</v>
      </c>
      <c r="Z253" s="16">
        <v>0</v>
      </c>
      <c r="AA253" s="16">
        <v>0</v>
      </c>
      <c r="AB253" s="16">
        <v>0</v>
      </c>
      <c r="AC253" s="16">
        <v>0</v>
      </c>
      <c r="AD253" s="16">
        <v>0</v>
      </c>
      <c r="AE253" s="16">
        <v>1</v>
      </c>
      <c r="AF253" s="16">
        <v>0</v>
      </c>
      <c r="AG253" s="16">
        <v>0</v>
      </c>
      <c r="AH253" s="16">
        <v>0</v>
      </c>
      <c r="AI253" s="13">
        <f t="shared" si="49"/>
        <v>4</v>
      </c>
    </row>
    <row r="254" spans="1:35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13">
        <f t="shared" si="49"/>
        <v>0</v>
      </c>
    </row>
    <row r="255" spans="1:35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13">
        <f t="shared" si="49"/>
        <v>0</v>
      </c>
    </row>
    <row r="256" spans="1:35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13">
        <f t="shared" si="49"/>
        <v>0</v>
      </c>
    </row>
    <row r="257" spans="1:35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13">
        <f t="shared" si="49"/>
        <v>0</v>
      </c>
    </row>
    <row r="258" spans="1:35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13">
        <f t="shared" si="49"/>
        <v>0</v>
      </c>
    </row>
    <row r="259" spans="1:35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AI259" si="50">SUM(E249:E258)</f>
        <v>2</v>
      </c>
      <c r="F259" s="13">
        <f t="shared" si="50"/>
        <v>0</v>
      </c>
      <c r="G259" s="13">
        <f t="shared" si="50"/>
        <v>0</v>
      </c>
      <c r="H259" s="13">
        <f t="shared" si="50"/>
        <v>4</v>
      </c>
      <c r="I259" s="13">
        <f t="shared" si="50"/>
        <v>0</v>
      </c>
      <c r="J259" s="13">
        <f t="shared" si="50"/>
        <v>0</v>
      </c>
      <c r="K259" s="13">
        <f t="shared" si="50"/>
        <v>1</v>
      </c>
      <c r="L259" s="13">
        <f t="shared" si="50"/>
        <v>3</v>
      </c>
      <c r="M259" s="13">
        <f t="shared" si="50"/>
        <v>1</v>
      </c>
      <c r="N259" s="13">
        <f t="shared" si="50"/>
        <v>0</v>
      </c>
      <c r="O259" s="13">
        <f t="shared" si="50"/>
        <v>0</v>
      </c>
      <c r="P259" s="13">
        <f t="shared" si="50"/>
        <v>0</v>
      </c>
      <c r="Q259" s="13">
        <f t="shared" si="50"/>
        <v>0</v>
      </c>
      <c r="R259" s="13">
        <f t="shared" si="50"/>
        <v>0</v>
      </c>
      <c r="S259" s="13">
        <f t="shared" si="50"/>
        <v>5</v>
      </c>
      <c r="T259" s="13">
        <f t="shared" si="50"/>
        <v>0</v>
      </c>
      <c r="U259" s="13">
        <f t="shared" si="50"/>
        <v>0</v>
      </c>
      <c r="V259" s="13">
        <f t="shared" si="50"/>
        <v>3</v>
      </c>
      <c r="W259" s="13">
        <f t="shared" si="50"/>
        <v>0</v>
      </c>
      <c r="X259" s="13">
        <f t="shared" si="50"/>
        <v>0</v>
      </c>
      <c r="Y259" s="13">
        <f t="shared" si="50"/>
        <v>1</v>
      </c>
      <c r="Z259" s="13">
        <f t="shared" si="50"/>
        <v>2</v>
      </c>
      <c r="AA259" s="13">
        <f t="shared" si="50"/>
        <v>1</v>
      </c>
      <c r="AB259" s="13">
        <f t="shared" si="50"/>
        <v>0</v>
      </c>
      <c r="AC259" s="13">
        <f t="shared" si="50"/>
        <v>0</v>
      </c>
      <c r="AD259" s="13">
        <f t="shared" si="50"/>
        <v>0</v>
      </c>
      <c r="AE259" s="13">
        <f t="shared" si="50"/>
        <v>1</v>
      </c>
      <c r="AF259" s="13">
        <f t="shared" si="50"/>
        <v>1</v>
      </c>
      <c r="AG259" s="13">
        <f t="shared" si="50"/>
        <v>1</v>
      </c>
      <c r="AH259" s="13">
        <f t="shared" si="50"/>
        <v>0</v>
      </c>
      <c r="AI259" s="13">
        <f t="shared" si="50"/>
        <v>26</v>
      </c>
    </row>
    <row r="260" spans="1:35" ht="12.75" customHeight="1" x14ac:dyDescent="0.4"/>
    <row r="261" spans="1:35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13"/>
    </row>
    <row r="262" spans="1:35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AH262" si="51">E55+E67+E79+E91+E103+E115+E127+E139+E151+E163+E175+E187+E199+E211+E223+E235+E247+E259</f>
        <v>162</v>
      </c>
      <c r="F262" s="16">
        <f t="shared" si="51"/>
        <v>101</v>
      </c>
      <c r="G262" s="16">
        <f t="shared" si="51"/>
        <v>187</v>
      </c>
      <c r="H262" s="16">
        <f t="shared" si="51"/>
        <v>192</v>
      </c>
      <c r="I262" s="16">
        <f t="shared" si="51"/>
        <v>192</v>
      </c>
      <c r="J262" s="16">
        <f t="shared" si="51"/>
        <v>184</v>
      </c>
      <c r="K262" s="16">
        <f t="shared" si="51"/>
        <v>215</v>
      </c>
      <c r="L262" s="16">
        <f t="shared" si="51"/>
        <v>182</v>
      </c>
      <c r="M262" s="16">
        <f t="shared" si="51"/>
        <v>184</v>
      </c>
      <c r="N262" s="16">
        <f t="shared" si="51"/>
        <v>186</v>
      </c>
      <c r="O262" s="16">
        <f t="shared" si="51"/>
        <v>169</v>
      </c>
      <c r="P262" s="16">
        <f t="shared" si="51"/>
        <v>183</v>
      </c>
      <c r="Q262" s="16">
        <f t="shared" si="51"/>
        <v>201</v>
      </c>
      <c r="R262" s="16">
        <f t="shared" si="51"/>
        <v>174</v>
      </c>
      <c r="S262" s="16">
        <f t="shared" si="51"/>
        <v>210</v>
      </c>
      <c r="T262" s="16">
        <f t="shared" si="51"/>
        <v>175</v>
      </c>
      <c r="U262" s="16">
        <f t="shared" si="51"/>
        <v>186</v>
      </c>
      <c r="V262" s="16">
        <f t="shared" si="51"/>
        <v>202</v>
      </c>
      <c r="W262" s="16">
        <f t="shared" si="51"/>
        <v>174</v>
      </c>
      <c r="X262" s="16">
        <f t="shared" si="51"/>
        <v>183</v>
      </c>
      <c r="Y262" s="16">
        <f t="shared" si="51"/>
        <v>170</v>
      </c>
      <c r="Z262" s="16">
        <f t="shared" si="51"/>
        <v>184</v>
      </c>
      <c r="AA262" s="16">
        <f t="shared" si="51"/>
        <v>173</v>
      </c>
      <c r="AB262" s="16">
        <f t="shared" si="51"/>
        <v>196</v>
      </c>
      <c r="AC262" s="16">
        <f t="shared" si="51"/>
        <v>164</v>
      </c>
      <c r="AD262" s="16">
        <f t="shared" si="51"/>
        <v>203</v>
      </c>
      <c r="AE262" s="16">
        <f t="shared" si="51"/>
        <v>215</v>
      </c>
      <c r="AF262" s="16">
        <f t="shared" si="51"/>
        <v>193</v>
      </c>
      <c r="AG262" s="16">
        <f t="shared" si="51"/>
        <v>202</v>
      </c>
      <c r="AH262" s="16">
        <f t="shared" si="51"/>
        <v>230</v>
      </c>
      <c r="AI262" s="13">
        <f t="shared" ref="AI262:AI264" si="52">SUM(E262:AH262)</f>
        <v>5572</v>
      </c>
    </row>
    <row r="263" spans="1:35" ht="12.75" customHeight="1" x14ac:dyDescent="0.4">
      <c r="A263" s="22"/>
      <c r="B263" s="45" t="s">
        <v>164</v>
      </c>
      <c r="C263" s="71" t="s">
        <v>165</v>
      </c>
      <c r="D263" s="62"/>
      <c r="E263" s="16">
        <v>20</v>
      </c>
      <c r="F263" s="16">
        <v>26</v>
      </c>
      <c r="G263" s="16">
        <v>22</v>
      </c>
      <c r="H263" s="16">
        <v>11</v>
      </c>
      <c r="I263" s="16">
        <v>18</v>
      </c>
      <c r="J263" s="16">
        <v>21</v>
      </c>
      <c r="K263" s="16">
        <v>20</v>
      </c>
      <c r="L263" s="16">
        <v>16</v>
      </c>
      <c r="M263" s="16">
        <v>14</v>
      </c>
      <c r="N263" s="16">
        <v>15</v>
      </c>
      <c r="O263" s="16">
        <v>8</v>
      </c>
      <c r="P263" s="16">
        <v>15</v>
      </c>
      <c r="Q263" s="16">
        <v>18</v>
      </c>
      <c r="R263" s="16">
        <v>29</v>
      </c>
      <c r="S263" s="16">
        <v>16</v>
      </c>
      <c r="T263" s="16">
        <v>14</v>
      </c>
      <c r="U263" s="16">
        <v>23</v>
      </c>
      <c r="V263" s="16">
        <v>14</v>
      </c>
      <c r="W263" s="16">
        <v>12</v>
      </c>
      <c r="X263" s="16">
        <v>19</v>
      </c>
      <c r="Y263" s="16">
        <v>20</v>
      </c>
      <c r="Z263" s="16">
        <v>28</v>
      </c>
      <c r="AA263" s="16">
        <v>33</v>
      </c>
      <c r="AB263" s="16">
        <v>26</v>
      </c>
      <c r="AC263" s="16">
        <v>23</v>
      </c>
      <c r="AD263" s="16">
        <v>17</v>
      </c>
      <c r="AE263" s="16">
        <v>28</v>
      </c>
      <c r="AF263" s="16">
        <v>14</v>
      </c>
      <c r="AG263" s="16">
        <v>17</v>
      </c>
      <c r="AH263" s="16">
        <v>8</v>
      </c>
      <c r="AI263" s="13">
        <f t="shared" si="52"/>
        <v>565</v>
      </c>
    </row>
    <row r="264" spans="1:35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AH264" si="53">SUM(E262:E263)</f>
        <v>182</v>
      </c>
      <c r="F264" s="13">
        <f t="shared" si="53"/>
        <v>127</v>
      </c>
      <c r="G264" s="13">
        <f t="shared" si="53"/>
        <v>209</v>
      </c>
      <c r="H264" s="13">
        <f t="shared" si="53"/>
        <v>203</v>
      </c>
      <c r="I264" s="13">
        <f t="shared" si="53"/>
        <v>210</v>
      </c>
      <c r="J264" s="13">
        <f t="shared" si="53"/>
        <v>205</v>
      </c>
      <c r="K264" s="13">
        <f t="shared" si="53"/>
        <v>235</v>
      </c>
      <c r="L264" s="13">
        <f t="shared" si="53"/>
        <v>198</v>
      </c>
      <c r="M264" s="13">
        <f t="shared" si="53"/>
        <v>198</v>
      </c>
      <c r="N264" s="13">
        <f t="shared" si="53"/>
        <v>201</v>
      </c>
      <c r="O264" s="13">
        <f t="shared" si="53"/>
        <v>177</v>
      </c>
      <c r="P264" s="13">
        <f t="shared" si="53"/>
        <v>198</v>
      </c>
      <c r="Q264" s="13">
        <f t="shared" si="53"/>
        <v>219</v>
      </c>
      <c r="R264" s="13">
        <f t="shared" si="53"/>
        <v>203</v>
      </c>
      <c r="S264" s="13">
        <f t="shared" si="53"/>
        <v>226</v>
      </c>
      <c r="T264" s="13">
        <f t="shared" si="53"/>
        <v>189</v>
      </c>
      <c r="U264" s="13">
        <f t="shared" si="53"/>
        <v>209</v>
      </c>
      <c r="V264" s="13">
        <f t="shared" si="53"/>
        <v>216</v>
      </c>
      <c r="W264" s="13">
        <f t="shared" si="53"/>
        <v>186</v>
      </c>
      <c r="X264" s="13">
        <f t="shared" si="53"/>
        <v>202</v>
      </c>
      <c r="Y264" s="13">
        <f t="shared" si="53"/>
        <v>190</v>
      </c>
      <c r="Z264" s="13">
        <f t="shared" si="53"/>
        <v>212</v>
      </c>
      <c r="AA264" s="13">
        <f t="shared" si="53"/>
        <v>206</v>
      </c>
      <c r="AB264" s="13">
        <f t="shared" si="53"/>
        <v>222</v>
      </c>
      <c r="AC264" s="13">
        <f t="shared" si="53"/>
        <v>187</v>
      </c>
      <c r="AD264" s="13">
        <f t="shared" si="53"/>
        <v>220</v>
      </c>
      <c r="AE264" s="13">
        <f t="shared" si="53"/>
        <v>243</v>
      </c>
      <c r="AF264" s="13">
        <f t="shared" si="53"/>
        <v>207</v>
      </c>
      <c r="AG264" s="13">
        <f t="shared" si="53"/>
        <v>219</v>
      </c>
      <c r="AH264" s="13">
        <f t="shared" si="53"/>
        <v>238</v>
      </c>
      <c r="AI264" s="13">
        <f t="shared" si="52"/>
        <v>6137</v>
      </c>
    </row>
    <row r="265" spans="1:35" ht="12.75" customHeight="1" x14ac:dyDescent="0.4"/>
    <row r="266" spans="1:35" ht="12.75" customHeight="1" x14ac:dyDescent="0.4"/>
    <row r="267" spans="1:35" ht="12.75" customHeight="1" x14ac:dyDescent="0.4"/>
    <row r="268" spans="1:35" ht="12.75" customHeight="1" x14ac:dyDescent="0.4"/>
    <row r="269" spans="1:35" ht="12.75" customHeight="1" x14ac:dyDescent="0.4"/>
    <row r="270" spans="1:35" ht="12.75" customHeight="1" x14ac:dyDescent="0.4"/>
    <row r="271" spans="1:35" ht="12.75" customHeight="1" x14ac:dyDescent="0.4"/>
    <row r="272" spans="1:35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AH12"/>
    <mergeCell ref="AI12:AI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34:T34 Y34:AC34">
    <cfRule type="expression" dxfId="461" priority="1">
      <formula>E34&lt;&gt;E64</formula>
    </cfRule>
  </conditionalFormatting>
  <conditionalFormatting sqref="E13:AH13">
    <cfRule type="expression" dxfId="460" priority="31">
      <formula>E30=E264</formula>
    </cfRule>
  </conditionalFormatting>
  <conditionalFormatting sqref="E14:AH15">
    <cfRule type="containsBlanks" dxfId="459" priority="2">
      <formula>LEN(TRIM(E14))=0</formula>
    </cfRule>
  </conditionalFormatting>
  <conditionalFormatting sqref="E19:AH20">
    <cfRule type="containsBlanks" dxfId="458" priority="3">
      <formula>LEN(TRIM(E19))=0</formula>
    </cfRule>
  </conditionalFormatting>
  <conditionalFormatting sqref="E22:AH23 E25:AH26 E33:AH33 E35:AH35 E39:AH40">
    <cfRule type="containsBlanks" dxfId="457" priority="4">
      <formula>LEN(TRIM(E22))=0</formula>
    </cfRule>
  </conditionalFormatting>
  <conditionalFormatting sqref="E30:AH30">
    <cfRule type="expression" dxfId="456" priority="5">
      <formula>E30&lt;&gt;E47</formula>
    </cfRule>
    <cfRule type="expression" dxfId="455" priority="6">
      <formula>E30&lt;&gt;E34</formula>
    </cfRule>
  </conditionalFormatting>
  <conditionalFormatting sqref="E34:AH34">
    <cfRule type="expression" dxfId="454" priority="7">
      <formula>E30&lt;&gt;E34</formula>
    </cfRule>
    <cfRule type="expression" dxfId="453" priority="8">
      <formula>E30=E34</formula>
    </cfRule>
    <cfRule type="expression" dxfId="452" priority="9">
      <formula>E34&lt;&gt;E30</formula>
    </cfRule>
  </conditionalFormatting>
  <conditionalFormatting sqref="E45:AH54">
    <cfRule type="containsBlanks" dxfId="451" priority="10">
      <formula>LEN(TRIM(E45))=0</formula>
    </cfRule>
  </conditionalFormatting>
  <conditionalFormatting sqref="E57:AH66">
    <cfRule type="containsBlanks" dxfId="450" priority="11">
      <formula>LEN(TRIM(E57))=0</formula>
    </cfRule>
  </conditionalFormatting>
  <conditionalFormatting sqref="E69:AH78">
    <cfRule type="containsBlanks" dxfId="449" priority="12">
      <formula>LEN(TRIM(E69))=0</formula>
    </cfRule>
  </conditionalFormatting>
  <conditionalFormatting sqref="E81:AH90">
    <cfRule type="containsBlanks" dxfId="448" priority="13">
      <formula>LEN(TRIM(E81))=0</formula>
    </cfRule>
  </conditionalFormatting>
  <conditionalFormatting sqref="E93:AH102">
    <cfRule type="containsBlanks" dxfId="447" priority="14">
      <formula>LEN(TRIM(E93))=0</formula>
    </cfRule>
  </conditionalFormatting>
  <conditionalFormatting sqref="E105:AH114">
    <cfRule type="containsBlanks" dxfId="446" priority="15">
      <formula>LEN(TRIM(E105))=0</formula>
    </cfRule>
  </conditionalFormatting>
  <conditionalFormatting sqref="E117:AH126">
    <cfRule type="containsBlanks" dxfId="445" priority="16">
      <formula>LEN(TRIM(E117))=0</formula>
    </cfRule>
  </conditionalFormatting>
  <conditionalFormatting sqref="E129:AH138">
    <cfRule type="containsBlanks" dxfId="444" priority="17">
      <formula>LEN(TRIM(E129))=0</formula>
    </cfRule>
  </conditionalFormatting>
  <conditionalFormatting sqref="E141:AH150">
    <cfRule type="containsBlanks" dxfId="443" priority="18">
      <formula>LEN(TRIM(E141))=0</formula>
    </cfRule>
  </conditionalFormatting>
  <conditionalFormatting sqref="E153:AH162">
    <cfRule type="containsBlanks" dxfId="442" priority="19">
      <formula>LEN(TRIM(E153))=0</formula>
    </cfRule>
  </conditionalFormatting>
  <conditionalFormatting sqref="E165:AH174">
    <cfRule type="containsBlanks" dxfId="441" priority="20">
      <formula>LEN(TRIM(E165))=0</formula>
    </cfRule>
  </conditionalFormatting>
  <conditionalFormatting sqref="E177:AH186">
    <cfRule type="containsBlanks" dxfId="440" priority="21">
      <formula>LEN(TRIM(E177))=0</formula>
    </cfRule>
  </conditionalFormatting>
  <conditionalFormatting sqref="E189:AH198">
    <cfRule type="containsBlanks" dxfId="439" priority="22">
      <formula>LEN(TRIM(E189))=0</formula>
    </cfRule>
  </conditionalFormatting>
  <conditionalFormatting sqref="E201:AH210">
    <cfRule type="containsBlanks" dxfId="438" priority="23">
      <formula>LEN(TRIM(E201))=0</formula>
    </cfRule>
  </conditionalFormatting>
  <conditionalFormatting sqref="E213:AH222">
    <cfRule type="containsBlanks" dxfId="437" priority="24">
      <formula>LEN(TRIM(E213))=0</formula>
    </cfRule>
  </conditionalFormatting>
  <conditionalFormatting sqref="E225:AH234">
    <cfRule type="containsBlanks" dxfId="436" priority="25">
      <formula>LEN(TRIM(E225))=0</formula>
    </cfRule>
  </conditionalFormatting>
  <conditionalFormatting sqref="E237:AH246">
    <cfRule type="containsBlanks" dxfId="435" priority="26">
      <formula>LEN(TRIM(E237))=0</formula>
    </cfRule>
  </conditionalFormatting>
  <conditionalFormatting sqref="E249:AH258">
    <cfRule type="containsBlanks" dxfId="434" priority="27">
      <formula>LEN(TRIM(E249))=0</formula>
    </cfRule>
  </conditionalFormatting>
  <conditionalFormatting sqref="E262:AH263">
    <cfRule type="containsBlanks" dxfId="433" priority="28">
      <formula>LEN(TRIM(E262))=0</formula>
    </cfRule>
  </conditionalFormatting>
  <conditionalFormatting sqref="U34:X34">
    <cfRule type="expression" dxfId="432" priority="29">
      <formula>U34&lt;&gt;U47</formula>
    </cfRule>
  </conditionalFormatting>
  <conditionalFormatting sqref="AD34:AH34">
    <cfRule type="expression" dxfId="431" priority="30">
      <formula>AD34&lt;&gt;AD47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FF00"/>
  </sheetPr>
  <dimension ref="A1:AH1000"/>
  <sheetViews>
    <sheetView topLeftCell="U1" workbookViewId="0">
      <selection activeCell="Z16" sqref="Z16"/>
    </sheetView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33" width="8.7109375" customWidth="1"/>
    <col min="34" max="34" width="13.28515625" customWidth="1"/>
  </cols>
  <sheetData>
    <row r="1" spans="1:34" ht="12.75" customHeight="1" x14ac:dyDescent="0.4"/>
    <row r="2" spans="1:34" ht="12.75" customHeight="1" x14ac:dyDescent="0.4">
      <c r="C2" s="8" t="s">
        <v>0</v>
      </c>
      <c r="D2" s="8" t="s">
        <v>1</v>
      </c>
    </row>
    <row r="3" spans="1:34" ht="12.75" customHeight="1" x14ac:dyDescent="0.4">
      <c r="C3" s="8" t="s">
        <v>2</v>
      </c>
      <c r="D3" s="8" t="s">
        <v>1</v>
      </c>
    </row>
    <row r="4" spans="1:34" ht="12.75" customHeight="1" x14ac:dyDescent="0.4">
      <c r="C4" s="8" t="s">
        <v>3</v>
      </c>
      <c r="D4" s="8" t="s">
        <v>4</v>
      </c>
    </row>
    <row r="5" spans="1:34" ht="12.75" customHeight="1" x14ac:dyDescent="0.4">
      <c r="C5" s="8"/>
      <c r="D5" s="8"/>
    </row>
    <row r="6" spans="1:34" ht="12.75" customHeight="1" x14ac:dyDescent="0.4">
      <c r="C6" s="8"/>
      <c r="D6" s="8"/>
    </row>
    <row r="7" spans="1:34" ht="12.75" customHeight="1" x14ac:dyDescent="0.4">
      <c r="C7" s="8"/>
      <c r="D7" s="8"/>
    </row>
    <row r="8" spans="1:34" ht="12.75" customHeight="1" x14ac:dyDescent="0.4">
      <c r="C8" s="8"/>
      <c r="D8" s="8"/>
    </row>
    <row r="9" spans="1:34" ht="12.75" customHeight="1" x14ac:dyDescent="0.4">
      <c r="C9" s="8" t="s">
        <v>168</v>
      </c>
      <c r="D9" s="8" t="s">
        <v>202</v>
      </c>
    </row>
    <row r="10" spans="1:34" ht="12.75" customHeight="1" x14ac:dyDescent="0.4"/>
    <row r="11" spans="1:34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34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90" t="s">
        <v>7</v>
      </c>
    </row>
    <row r="13" spans="1:34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13" t="s">
        <v>188</v>
      </c>
      <c r="V13" s="13" t="s">
        <v>189</v>
      </c>
      <c r="W13" s="13" t="s">
        <v>190</v>
      </c>
      <c r="X13" s="13" t="s">
        <v>191</v>
      </c>
      <c r="Y13" s="13" t="s">
        <v>192</v>
      </c>
      <c r="Z13" s="13" t="s">
        <v>193</v>
      </c>
      <c r="AA13" s="13" t="s">
        <v>194</v>
      </c>
      <c r="AB13" s="13" t="s">
        <v>195</v>
      </c>
      <c r="AC13" s="13" t="s">
        <v>196</v>
      </c>
      <c r="AD13" s="13" t="s">
        <v>197</v>
      </c>
      <c r="AE13" s="13" t="s">
        <v>198</v>
      </c>
      <c r="AF13" s="13" t="s">
        <v>199</v>
      </c>
      <c r="AG13" s="13" t="s">
        <v>200</v>
      </c>
      <c r="AH13" s="80"/>
    </row>
    <row r="14" spans="1:34" ht="12.75" customHeight="1" x14ac:dyDescent="0.4">
      <c r="A14" s="15"/>
      <c r="B14" s="75" t="s">
        <v>10</v>
      </c>
      <c r="C14" s="66"/>
      <c r="D14" s="16" t="s">
        <v>11</v>
      </c>
      <c r="E14" s="16">
        <v>135</v>
      </c>
      <c r="F14" s="16">
        <v>150</v>
      </c>
      <c r="G14" s="16">
        <v>140</v>
      </c>
      <c r="H14" s="16">
        <v>130</v>
      </c>
      <c r="I14" s="16">
        <v>145</v>
      </c>
      <c r="J14" s="16">
        <v>139</v>
      </c>
      <c r="K14" s="16">
        <v>138</v>
      </c>
      <c r="L14" s="16">
        <v>138</v>
      </c>
      <c r="M14" s="16">
        <v>146</v>
      </c>
      <c r="N14" s="16">
        <v>141</v>
      </c>
      <c r="O14" s="16">
        <v>134</v>
      </c>
      <c r="P14" s="16">
        <v>136</v>
      </c>
      <c r="Q14" s="16">
        <v>135</v>
      </c>
      <c r="R14" s="16">
        <v>127</v>
      </c>
      <c r="S14" s="16">
        <v>124</v>
      </c>
      <c r="T14" s="16">
        <v>127</v>
      </c>
      <c r="U14" s="16">
        <v>138</v>
      </c>
      <c r="V14" s="16">
        <v>147</v>
      </c>
      <c r="W14" s="16">
        <v>129</v>
      </c>
      <c r="X14" s="16">
        <v>120</v>
      </c>
      <c r="Y14" s="16">
        <v>130</v>
      </c>
      <c r="Z14" s="16">
        <v>135</v>
      </c>
      <c r="AA14" s="16">
        <v>136</v>
      </c>
      <c r="AB14" s="16">
        <v>125</v>
      </c>
      <c r="AC14" s="16">
        <v>136</v>
      </c>
      <c r="AD14" s="16">
        <v>135</v>
      </c>
      <c r="AE14" s="16">
        <v>82</v>
      </c>
      <c r="AF14" s="16">
        <v>74</v>
      </c>
      <c r="AG14" s="16">
        <v>148</v>
      </c>
      <c r="AH14" s="13">
        <f t="shared" ref="AH14:AH16" si="0">SUM(E14:AG14)</f>
        <v>3820</v>
      </c>
    </row>
    <row r="15" spans="1:34" ht="12.75" customHeight="1" x14ac:dyDescent="0.4">
      <c r="A15" s="15"/>
      <c r="B15" s="76"/>
      <c r="C15" s="77"/>
      <c r="D15" s="16" t="s">
        <v>12</v>
      </c>
      <c r="E15" s="16">
        <v>155</v>
      </c>
      <c r="F15" s="16">
        <v>142</v>
      </c>
      <c r="G15" s="16">
        <v>154</v>
      </c>
      <c r="H15" s="16">
        <v>159</v>
      </c>
      <c r="I15" s="16">
        <v>146</v>
      </c>
      <c r="J15" s="16">
        <v>140</v>
      </c>
      <c r="K15" s="16">
        <v>149</v>
      </c>
      <c r="L15" s="16">
        <v>154</v>
      </c>
      <c r="M15" s="16">
        <v>144</v>
      </c>
      <c r="N15" s="16">
        <v>155</v>
      </c>
      <c r="O15" s="16">
        <v>162</v>
      </c>
      <c r="P15" s="16">
        <v>143</v>
      </c>
      <c r="Q15" s="16">
        <v>129</v>
      </c>
      <c r="R15" s="16">
        <v>147</v>
      </c>
      <c r="S15" s="16">
        <v>144</v>
      </c>
      <c r="T15" s="16">
        <v>143</v>
      </c>
      <c r="U15" s="16">
        <v>153</v>
      </c>
      <c r="V15" s="16">
        <v>146</v>
      </c>
      <c r="W15" s="16">
        <v>146</v>
      </c>
      <c r="X15" s="16">
        <v>150</v>
      </c>
      <c r="Y15" s="16">
        <v>153</v>
      </c>
      <c r="Z15" s="16">
        <v>149</v>
      </c>
      <c r="AA15" s="16">
        <v>154</v>
      </c>
      <c r="AB15" s="16">
        <v>152</v>
      </c>
      <c r="AC15" s="16">
        <v>160</v>
      </c>
      <c r="AD15" s="16">
        <v>148</v>
      </c>
      <c r="AE15" s="16">
        <v>96</v>
      </c>
      <c r="AF15" s="16">
        <v>83</v>
      </c>
      <c r="AG15" s="16">
        <v>150</v>
      </c>
      <c r="AH15" s="13">
        <f t="shared" si="0"/>
        <v>4206</v>
      </c>
    </row>
    <row r="16" spans="1:34" ht="12.75" customHeight="1" x14ac:dyDescent="0.4">
      <c r="A16" s="18"/>
      <c r="B16" s="73"/>
      <c r="C16" s="69"/>
      <c r="D16" s="13" t="s">
        <v>13</v>
      </c>
      <c r="E16" s="13">
        <f t="shared" ref="E16:AG16" si="1">SUM(E14:E15)</f>
        <v>290</v>
      </c>
      <c r="F16" s="13">
        <f t="shared" si="1"/>
        <v>292</v>
      </c>
      <c r="G16" s="13">
        <f t="shared" si="1"/>
        <v>294</v>
      </c>
      <c r="H16" s="13">
        <f t="shared" si="1"/>
        <v>289</v>
      </c>
      <c r="I16" s="13">
        <f t="shared" si="1"/>
        <v>291</v>
      </c>
      <c r="J16" s="13">
        <f t="shared" si="1"/>
        <v>279</v>
      </c>
      <c r="K16" s="13">
        <f t="shared" si="1"/>
        <v>287</v>
      </c>
      <c r="L16" s="13">
        <f t="shared" si="1"/>
        <v>292</v>
      </c>
      <c r="M16" s="13">
        <f t="shared" si="1"/>
        <v>290</v>
      </c>
      <c r="N16" s="13">
        <f t="shared" si="1"/>
        <v>296</v>
      </c>
      <c r="O16" s="13">
        <f t="shared" si="1"/>
        <v>296</v>
      </c>
      <c r="P16" s="13">
        <f t="shared" si="1"/>
        <v>279</v>
      </c>
      <c r="Q16" s="13">
        <f t="shared" si="1"/>
        <v>264</v>
      </c>
      <c r="R16" s="13">
        <f t="shared" si="1"/>
        <v>274</v>
      </c>
      <c r="S16" s="13">
        <f t="shared" si="1"/>
        <v>268</v>
      </c>
      <c r="T16" s="13">
        <f t="shared" si="1"/>
        <v>270</v>
      </c>
      <c r="U16" s="13">
        <f t="shared" si="1"/>
        <v>291</v>
      </c>
      <c r="V16" s="13">
        <f t="shared" si="1"/>
        <v>293</v>
      </c>
      <c r="W16" s="13">
        <f t="shared" si="1"/>
        <v>275</v>
      </c>
      <c r="X16" s="13">
        <f t="shared" si="1"/>
        <v>270</v>
      </c>
      <c r="Y16" s="13">
        <f t="shared" si="1"/>
        <v>283</v>
      </c>
      <c r="Z16" s="13">
        <f t="shared" si="1"/>
        <v>284</v>
      </c>
      <c r="AA16" s="13">
        <f t="shared" si="1"/>
        <v>290</v>
      </c>
      <c r="AB16" s="13">
        <f t="shared" si="1"/>
        <v>277</v>
      </c>
      <c r="AC16" s="13">
        <f t="shared" si="1"/>
        <v>296</v>
      </c>
      <c r="AD16" s="13">
        <f t="shared" si="1"/>
        <v>283</v>
      </c>
      <c r="AE16" s="13">
        <f t="shared" si="1"/>
        <v>178</v>
      </c>
      <c r="AF16" s="13">
        <f t="shared" si="1"/>
        <v>157</v>
      </c>
      <c r="AG16" s="13">
        <f t="shared" si="1"/>
        <v>298</v>
      </c>
      <c r="AH16" s="13">
        <f t="shared" si="0"/>
        <v>8026</v>
      </c>
    </row>
    <row r="17" spans="1:34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9"/>
    </row>
    <row r="18" spans="1:34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9"/>
    </row>
    <row r="19" spans="1:34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94</v>
      </c>
      <c r="F19" s="16">
        <v>111</v>
      </c>
      <c r="G19" s="16">
        <v>95</v>
      </c>
      <c r="H19" s="16">
        <v>95</v>
      </c>
      <c r="I19" s="16">
        <v>112</v>
      </c>
      <c r="J19" s="16">
        <v>109</v>
      </c>
      <c r="K19" s="16">
        <v>103</v>
      </c>
      <c r="L19" s="16">
        <v>99</v>
      </c>
      <c r="M19" s="16">
        <v>113</v>
      </c>
      <c r="N19" s="16">
        <v>91</v>
      </c>
      <c r="O19" s="16">
        <v>101</v>
      </c>
      <c r="P19" s="16">
        <v>92</v>
      </c>
      <c r="Q19" s="16">
        <v>97</v>
      </c>
      <c r="R19" s="16">
        <v>92</v>
      </c>
      <c r="S19" s="16">
        <v>89</v>
      </c>
      <c r="T19" s="16">
        <v>92</v>
      </c>
      <c r="U19" s="16">
        <v>96</v>
      </c>
      <c r="V19" s="16">
        <v>118</v>
      </c>
      <c r="W19" s="16">
        <v>100</v>
      </c>
      <c r="X19" s="16">
        <v>88</v>
      </c>
      <c r="Y19" s="16">
        <v>93</v>
      </c>
      <c r="Z19" s="16">
        <v>94</v>
      </c>
      <c r="AA19" s="16">
        <v>101</v>
      </c>
      <c r="AB19" s="16">
        <v>87</v>
      </c>
      <c r="AC19" s="16">
        <v>102</v>
      </c>
      <c r="AD19" s="16">
        <v>96</v>
      </c>
      <c r="AE19" s="16">
        <v>56</v>
      </c>
      <c r="AF19" s="16">
        <v>53</v>
      </c>
      <c r="AG19" s="16">
        <v>123</v>
      </c>
      <c r="AH19" s="13">
        <f t="shared" ref="AH19:AH30" si="2">SUM(E19:AG19)</f>
        <v>2792</v>
      </c>
    </row>
    <row r="20" spans="1:34" ht="12.75" customHeight="1" x14ac:dyDescent="0.4">
      <c r="A20" s="21"/>
      <c r="B20" s="77"/>
      <c r="C20" s="79"/>
      <c r="D20" s="16" t="s">
        <v>12</v>
      </c>
      <c r="E20" s="16">
        <v>121</v>
      </c>
      <c r="F20" s="16">
        <v>112</v>
      </c>
      <c r="G20" s="16">
        <v>112</v>
      </c>
      <c r="H20" s="16">
        <v>127</v>
      </c>
      <c r="I20" s="16">
        <v>127</v>
      </c>
      <c r="J20" s="16">
        <v>104</v>
      </c>
      <c r="K20" s="16">
        <v>116</v>
      </c>
      <c r="L20" s="16">
        <v>126</v>
      </c>
      <c r="M20" s="16">
        <v>120</v>
      </c>
      <c r="N20" s="16">
        <v>111</v>
      </c>
      <c r="O20" s="16">
        <v>122</v>
      </c>
      <c r="P20" s="16">
        <v>116</v>
      </c>
      <c r="Q20" s="16">
        <v>112</v>
      </c>
      <c r="R20" s="16">
        <v>111</v>
      </c>
      <c r="S20" s="16">
        <v>117</v>
      </c>
      <c r="T20" s="16">
        <v>107</v>
      </c>
      <c r="U20" s="16">
        <v>124</v>
      </c>
      <c r="V20" s="16">
        <v>128</v>
      </c>
      <c r="W20" s="16">
        <v>120</v>
      </c>
      <c r="X20" s="16">
        <v>123</v>
      </c>
      <c r="Y20" s="16">
        <v>127</v>
      </c>
      <c r="Z20" s="16">
        <v>118</v>
      </c>
      <c r="AA20" s="16">
        <v>121</v>
      </c>
      <c r="AB20" s="16">
        <v>113</v>
      </c>
      <c r="AC20" s="16">
        <v>128</v>
      </c>
      <c r="AD20" s="16">
        <v>126</v>
      </c>
      <c r="AE20" s="16">
        <v>70</v>
      </c>
      <c r="AF20" s="16">
        <v>67</v>
      </c>
      <c r="AG20" s="16">
        <v>128</v>
      </c>
      <c r="AH20" s="13">
        <f t="shared" si="2"/>
        <v>3354</v>
      </c>
    </row>
    <row r="21" spans="1:34" ht="12.75" customHeight="1" x14ac:dyDescent="0.4">
      <c r="A21" s="22"/>
      <c r="B21" s="69"/>
      <c r="C21" s="80"/>
      <c r="D21" s="13" t="s">
        <v>13</v>
      </c>
      <c r="E21" s="13">
        <f t="shared" ref="E21:AG21" si="3">SUM(E19:E20)</f>
        <v>215</v>
      </c>
      <c r="F21" s="13">
        <f t="shared" si="3"/>
        <v>223</v>
      </c>
      <c r="G21" s="13">
        <f t="shared" si="3"/>
        <v>207</v>
      </c>
      <c r="H21" s="13">
        <f t="shared" si="3"/>
        <v>222</v>
      </c>
      <c r="I21" s="13">
        <f t="shared" si="3"/>
        <v>239</v>
      </c>
      <c r="J21" s="13">
        <f t="shared" si="3"/>
        <v>213</v>
      </c>
      <c r="K21" s="13">
        <f t="shared" si="3"/>
        <v>219</v>
      </c>
      <c r="L21" s="13">
        <f t="shared" si="3"/>
        <v>225</v>
      </c>
      <c r="M21" s="13">
        <f t="shared" si="3"/>
        <v>233</v>
      </c>
      <c r="N21" s="13">
        <f t="shared" si="3"/>
        <v>202</v>
      </c>
      <c r="O21" s="13">
        <f t="shared" si="3"/>
        <v>223</v>
      </c>
      <c r="P21" s="13">
        <f t="shared" si="3"/>
        <v>208</v>
      </c>
      <c r="Q21" s="13">
        <f t="shared" si="3"/>
        <v>209</v>
      </c>
      <c r="R21" s="13">
        <f t="shared" si="3"/>
        <v>203</v>
      </c>
      <c r="S21" s="13">
        <f t="shared" si="3"/>
        <v>206</v>
      </c>
      <c r="T21" s="13">
        <f t="shared" si="3"/>
        <v>199</v>
      </c>
      <c r="U21" s="13">
        <f t="shared" si="3"/>
        <v>220</v>
      </c>
      <c r="V21" s="13">
        <f t="shared" si="3"/>
        <v>246</v>
      </c>
      <c r="W21" s="13">
        <f t="shared" si="3"/>
        <v>220</v>
      </c>
      <c r="X21" s="13">
        <f t="shared" si="3"/>
        <v>211</v>
      </c>
      <c r="Y21" s="13">
        <f t="shared" si="3"/>
        <v>220</v>
      </c>
      <c r="Z21" s="13">
        <f t="shared" si="3"/>
        <v>212</v>
      </c>
      <c r="AA21" s="13">
        <f t="shared" si="3"/>
        <v>222</v>
      </c>
      <c r="AB21" s="13">
        <f t="shared" si="3"/>
        <v>200</v>
      </c>
      <c r="AC21" s="13">
        <f t="shared" si="3"/>
        <v>230</v>
      </c>
      <c r="AD21" s="13">
        <f t="shared" si="3"/>
        <v>222</v>
      </c>
      <c r="AE21" s="13">
        <f t="shared" si="3"/>
        <v>126</v>
      </c>
      <c r="AF21" s="13">
        <f t="shared" si="3"/>
        <v>120</v>
      </c>
      <c r="AG21" s="13">
        <f t="shared" si="3"/>
        <v>251</v>
      </c>
      <c r="AH21" s="13">
        <f t="shared" si="2"/>
        <v>6146</v>
      </c>
    </row>
    <row r="22" spans="1:34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1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1</v>
      </c>
      <c r="T22" s="16">
        <v>3</v>
      </c>
      <c r="U22" s="16">
        <v>2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11</v>
      </c>
      <c r="AE22" s="16">
        <v>0</v>
      </c>
      <c r="AF22" s="16">
        <v>0</v>
      </c>
      <c r="AG22" s="16">
        <v>0</v>
      </c>
      <c r="AH22" s="13">
        <f t="shared" si="2"/>
        <v>18</v>
      </c>
    </row>
    <row r="23" spans="1:34" ht="12.75" customHeight="1" x14ac:dyDescent="0.4">
      <c r="A23" s="21"/>
      <c r="B23" s="77"/>
      <c r="C23" s="79"/>
      <c r="D23" s="16" t="s">
        <v>12</v>
      </c>
      <c r="E23" s="16">
        <v>2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1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2</v>
      </c>
      <c r="T23" s="16">
        <v>1</v>
      </c>
      <c r="U23" s="16">
        <v>3</v>
      </c>
      <c r="V23" s="16">
        <v>0</v>
      </c>
      <c r="W23" s="16">
        <v>0</v>
      </c>
      <c r="X23" s="16">
        <v>0</v>
      </c>
      <c r="Y23" s="16">
        <v>2</v>
      </c>
      <c r="Z23" s="16">
        <v>1</v>
      </c>
      <c r="AA23" s="16">
        <v>0</v>
      </c>
      <c r="AB23" s="16">
        <v>0</v>
      </c>
      <c r="AC23" s="16">
        <v>0</v>
      </c>
      <c r="AD23" s="16">
        <v>1</v>
      </c>
      <c r="AE23" s="16">
        <v>0</v>
      </c>
      <c r="AF23" s="16">
        <v>0</v>
      </c>
      <c r="AG23" s="16">
        <v>0</v>
      </c>
      <c r="AH23" s="13">
        <f t="shared" si="2"/>
        <v>13</v>
      </c>
    </row>
    <row r="24" spans="1:34" ht="12.75" customHeight="1" x14ac:dyDescent="0.4">
      <c r="A24" s="22"/>
      <c r="B24" s="69"/>
      <c r="C24" s="80"/>
      <c r="D24" s="13" t="s">
        <v>13</v>
      </c>
      <c r="E24" s="13">
        <f t="shared" ref="E24:AG24" si="4">SUM(E22:E23)</f>
        <v>2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1</v>
      </c>
      <c r="M24" s="13">
        <f t="shared" si="4"/>
        <v>1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3</v>
      </c>
      <c r="T24" s="13">
        <f t="shared" si="4"/>
        <v>4</v>
      </c>
      <c r="U24" s="13">
        <f t="shared" si="4"/>
        <v>5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2</v>
      </c>
      <c r="Z24" s="13">
        <f t="shared" si="4"/>
        <v>1</v>
      </c>
      <c r="AA24" s="13">
        <f t="shared" si="4"/>
        <v>0</v>
      </c>
      <c r="AB24" s="13">
        <f t="shared" si="4"/>
        <v>0</v>
      </c>
      <c r="AC24" s="13">
        <f t="shared" si="4"/>
        <v>0</v>
      </c>
      <c r="AD24" s="13">
        <f t="shared" si="4"/>
        <v>12</v>
      </c>
      <c r="AE24" s="13">
        <f t="shared" si="4"/>
        <v>0</v>
      </c>
      <c r="AF24" s="13">
        <f t="shared" si="4"/>
        <v>0</v>
      </c>
      <c r="AG24" s="13">
        <f t="shared" si="4"/>
        <v>0</v>
      </c>
      <c r="AH24" s="13">
        <f t="shared" si="2"/>
        <v>31</v>
      </c>
    </row>
    <row r="25" spans="1:34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1</v>
      </c>
      <c r="F25" s="16">
        <v>0</v>
      </c>
      <c r="G25" s="16">
        <v>2</v>
      </c>
      <c r="H25" s="16">
        <v>1</v>
      </c>
      <c r="I25" s="16">
        <v>0</v>
      </c>
      <c r="J25" s="16">
        <v>0</v>
      </c>
      <c r="K25" s="16">
        <v>3</v>
      </c>
      <c r="L25" s="16">
        <v>2</v>
      </c>
      <c r="M25" s="16">
        <v>1</v>
      </c>
      <c r="N25" s="16">
        <v>1</v>
      </c>
      <c r="O25" s="16">
        <v>1</v>
      </c>
      <c r="P25" s="16">
        <v>0</v>
      </c>
      <c r="Q25" s="16">
        <v>4</v>
      </c>
      <c r="R25" s="16">
        <v>4</v>
      </c>
      <c r="S25" s="16">
        <v>4</v>
      </c>
      <c r="T25" s="16">
        <v>0</v>
      </c>
      <c r="U25" s="16">
        <v>0</v>
      </c>
      <c r="V25" s="16">
        <v>1</v>
      </c>
      <c r="W25" s="16">
        <v>0</v>
      </c>
      <c r="X25" s="16">
        <v>0</v>
      </c>
      <c r="Y25" s="16">
        <v>1</v>
      </c>
      <c r="Z25" s="16">
        <v>1</v>
      </c>
      <c r="AA25" s="16">
        <v>0</v>
      </c>
      <c r="AB25" s="16">
        <v>0</v>
      </c>
      <c r="AC25" s="16">
        <v>2</v>
      </c>
      <c r="AD25" s="16">
        <v>1</v>
      </c>
      <c r="AE25" s="16">
        <v>2</v>
      </c>
      <c r="AF25" s="16">
        <v>2</v>
      </c>
      <c r="AG25" s="16">
        <v>0</v>
      </c>
      <c r="AH25" s="13">
        <f t="shared" si="2"/>
        <v>34</v>
      </c>
    </row>
    <row r="26" spans="1:34" ht="12.75" customHeight="1" x14ac:dyDescent="0.4">
      <c r="A26" s="21"/>
      <c r="B26" s="77"/>
      <c r="C26" s="79"/>
      <c r="D26" s="16" t="s">
        <v>12</v>
      </c>
      <c r="E26" s="16">
        <v>0</v>
      </c>
      <c r="F26" s="16">
        <v>3</v>
      </c>
      <c r="G26" s="16">
        <v>2</v>
      </c>
      <c r="H26" s="16">
        <v>2</v>
      </c>
      <c r="I26" s="16">
        <v>0</v>
      </c>
      <c r="J26" s="16">
        <v>1</v>
      </c>
      <c r="K26" s="16">
        <v>4</v>
      </c>
      <c r="L26" s="16">
        <v>1</v>
      </c>
      <c r="M26" s="16">
        <v>5</v>
      </c>
      <c r="N26" s="16">
        <v>1</v>
      </c>
      <c r="O26" s="16">
        <v>1</v>
      </c>
      <c r="P26" s="16">
        <v>1</v>
      </c>
      <c r="Q26" s="16">
        <v>2</v>
      </c>
      <c r="R26" s="16">
        <v>2</v>
      </c>
      <c r="S26" s="16">
        <v>5</v>
      </c>
      <c r="T26" s="16">
        <v>2</v>
      </c>
      <c r="U26" s="16">
        <v>0</v>
      </c>
      <c r="V26" s="16">
        <v>1</v>
      </c>
      <c r="W26" s="16">
        <v>2</v>
      </c>
      <c r="X26" s="16">
        <v>4</v>
      </c>
      <c r="Y26" s="16">
        <v>2</v>
      </c>
      <c r="Z26" s="16">
        <v>1</v>
      </c>
      <c r="AA26" s="16">
        <v>0</v>
      </c>
      <c r="AB26" s="16">
        <v>0</v>
      </c>
      <c r="AC26" s="16">
        <v>0</v>
      </c>
      <c r="AD26" s="16">
        <v>2</v>
      </c>
      <c r="AE26" s="16">
        <v>3</v>
      </c>
      <c r="AF26" s="16">
        <v>5</v>
      </c>
      <c r="AG26" s="16">
        <v>0</v>
      </c>
      <c r="AH26" s="13">
        <f t="shared" si="2"/>
        <v>52</v>
      </c>
    </row>
    <row r="27" spans="1:34" ht="12.75" customHeight="1" x14ac:dyDescent="0.4">
      <c r="A27" s="22"/>
      <c r="B27" s="69"/>
      <c r="C27" s="80"/>
      <c r="D27" s="13" t="s">
        <v>13</v>
      </c>
      <c r="E27" s="13">
        <f t="shared" ref="E27:AG27" si="5">SUM(E25:E26)</f>
        <v>1</v>
      </c>
      <c r="F27" s="13">
        <f t="shared" si="5"/>
        <v>3</v>
      </c>
      <c r="G27" s="13">
        <f t="shared" si="5"/>
        <v>4</v>
      </c>
      <c r="H27" s="13">
        <f t="shared" si="5"/>
        <v>3</v>
      </c>
      <c r="I27" s="13">
        <f t="shared" si="5"/>
        <v>0</v>
      </c>
      <c r="J27" s="13">
        <f t="shared" si="5"/>
        <v>1</v>
      </c>
      <c r="K27" s="13">
        <f t="shared" si="5"/>
        <v>7</v>
      </c>
      <c r="L27" s="13">
        <f t="shared" si="5"/>
        <v>3</v>
      </c>
      <c r="M27" s="13">
        <f t="shared" si="5"/>
        <v>6</v>
      </c>
      <c r="N27" s="13">
        <f t="shared" si="5"/>
        <v>2</v>
      </c>
      <c r="O27" s="13">
        <f t="shared" si="5"/>
        <v>2</v>
      </c>
      <c r="P27" s="13">
        <f t="shared" si="5"/>
        <v>1</v>
      </c>
      <c r="Q27" s="13">
        <f t="shared" si="5"/>
        <v>6</v>
      </c>
      <c r="R27" s="13">
        <f t="shared" si="5"/>
        <v>6</v>
      </c>
      <c r="S27" s="13">
        <f t="shared" si="5"/>
        <v>9</v>
      </c>
      <c r="T27" s="13">
        <f t="shared" si="5"/>
        <v>2</v>
      </c>
      <c r="U27" s="13">
        <f t="shared" si="5"/>
        <v>0</v>
      </c>
      <c r="V27" s="13">
        <f t="shared" si="5"/>
        <v>2</v>
      </c>
      <c r="W27" s="13">
        <f t="shared" si="5"/>
        <v>2</v>
      </c>
      <c r="X27" s="13">
        <f t="shared" si="5"/>
        <v>4</v>
      </c>
      <c r="Y27" s="13">
        <f t="shared" si="5"/>
        <v>3</v>
      </c>
      <c r="Z27" s="13">
        <f t="shared" si="5"/>
        <v>2</v>
      </c>
      <c r="AA27" s="13">
        <f t="shared" si="5"/>
        <v>0</v>
      </c>
      <c r="AB27" s="13">
        <f t="shared" si="5"/>
        <v>0</v>
      </c>
      <c r="AC27" s="13">
        <f t="shared" si="5"/>
        <v>2</v>
      </c>
      <c r="AD27" s="13">
        <f t="shared" si="5"/>
        <v>3</v>
      </c>
      <c r="AE27" s="13">
        <f t="shared" si="5"/>
        <v>5</v>
      </c>
      <c r="AF27" s="13">
        <f t="shared" si="5"/>
        <v>7</v>
      </c>
      <c r="AG27" s="13">
        <f t="shared" si="5"/>
        <v>0</v>
      </c>
      <c r="AH27" s="13">
        <f t="shared" si="2"/>
        <v>86</v>
      </c>
    </row>
    <row r="28" spans="1:34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AG28" si="6">SUM(E19,E22,E25)</f>
        <v>95</v>
      </c>
      <c r="F28" s="13">
        <f t="shared" si="6"/>
        <v>111</v>
      </c>
      <c r="G28" s="13">
        <f t="shared" si="6"/>
        <v>97</v>
      </c>
      <c r="H28" s="13">
        <f t="shared" si="6"/>
        <v>96</v>
      </c>
      <c r="I28" s="13">
        <f t="shared" si="6"/>
        <v>112</v>
      </c>
      <c r="J28" s="13">
        <f t="shared" si="6"/>
        <v>109</v>
      </c>
      <c r="K28" s="13">
        <f t="shared" si="6"/>
        <v>106</v>
      </c>
      <c r="L28" s="13">
        <f t="shared" si="6"/>
        <v>101</v>
      </c>
      <c r="M28" s="13">
        <f t="shared" si="6"/>
        <v>115</v>
      </c>
      <c r="N28" s="13">
        <f t="shared" si="6"/>
        <v>92</v>
      </c>
      <c r="O28" s="13">
        <f t="shared" si="6"/>
        <v>102</v>
      </c>
      <c r="P28" s="13">
        <f t="shared" si="6"/>
        <v>92</v>
      </c>
      <c r="Q28" s="13">
        <f t="shared" si="6"/>
        <v>101</v>
      </c>
      <c r="R28" s="13">
        <f t="shared" si="6"/>
        <v>96</v>
      </c>
      <c r="S28" s="13">
        <f t="shared" si="6"/>
        <v>94</v>
      </c>
      <c r="T28" s="13">
        <f t="shared" si="6"/>
        <v>95</v>
      </c>
      <c r="U28" s="13">
        <f t="shared" si="6"/>
        <v>98</v>
      </c>
      <c r="V28" s="13">
        <f t="shared" si="6"/>
        <v>119</v>
      </c>
      <c r="W28" s="13">
        <f t="shared" si="6"/>
        <v>100</v>
      </c>
      <c r="X28" s="13">
        <f t="shared" si="6"/>
        <v>88</v>
      </c>
      <c r="Y28" s="13">
        <f t="shared" si="6"/>
        <v>94</v>
      </c>
      <c r="Z28" s="13">
        <f t="shared" si="6"/>
        <v>95</v>
      </c>
      <c r="AA28" s="13">
        <f t="shared" si="6"/>
        <v>101</v>
      </c>
      <c r="AB28" s="13">
        <f t="shared" si="6"/>
        <v>87</v>
      </c>
      <c r="AC28" s="13">
        <f t="shared" si="6"/>
        <v>104</v>
      </c>
      <c r="AD28" s="13">
        <f t="shared" si="6"/>
        <v>108</v>
      </c>
      <c r="AE28" s="13">
        <f t="shared" si="6"/>
        <v>58</v>
      </c>
      <c r="AF28" s="13">
        <f t="shared" si="6"/>
        <v>55</v>
      </c>
      <c r="AG28" s="13">
        <f t="shared" si="6"/>
        <v>123</v>
      </c>
      <c r="AH28" s="13">
        <f t="shared" si="2"/>
        <v>2844</v>
      </c>
    </row>
    <row r="29" spans="1:34" ht="12.75" customHeight="1" x14ac:dyDescent="0.4">
      <c r="A29" s="22"/>
      <c r="B29" s="77"/>
      <c r="C29" s="79"/>
      <c r="D29" s="13" t="s">
        <v>12</v>
      </c>
      <c r="E29" s="13">
        <f t="shared" ref="E29:AG29" si="7">SUM(E20,E23,E26)</f>
        <v>123</v>
      </c>
      <c r="F29" s="13">
        <f t="shared" si="7"/>
        <v>115</v>
      </c>
      <c r="G29" s="13">
        <f t="shared" si="7"/>
        <v>114</v>
      </c>
      <c r="H29" s="13">
        <f t="shared" si="7"/>
        <v>129</v>
      </c>
      <c r="I29" s="13">
        <f t="shared" si="7"/>
        <v>127</v>
      </c>
      <c r="J29" s="13">
        <f t="shared" si="7"/>
        <v>105</v>
      </c>
      <c r="K29" s="13">
        <f t="shared" si="7"/>
        <v>120</v>
      </c>
      <c r="L29" s="13">
        <f t="shared" si="7"/>
        <v>128</v>
      </c>
      <c r="M29" s="13">
        <f t="shared" si="7"/>
        <v>125</v>
      </c>
      <c r="N29" s="13">
        <f t="shared" si="7"/>
        <v>112</v>
      </c>
      <c r="O29" s="13">
        <f t="shared" si="7"/>
        <v>123</v>
      </c>
      <c r="P29" s="13">
        <f t="shared" si="7"/>
        <v>117</v>
      </c>
      <c r="Q29" s="13">
        <f t="shared" si="7"/>
        <v>114</v>
      </c>
      <c r="R29" s="13">
        <f t="shared" si="7"/>
        <v>113</v>
      </c>
      <c r="S29" s="13">
        <f t="shared" si="7"/>
        <v>124</v>
      </c>
      <c r="T29" s="13">
        <f t="shared" si="7"/>
        <v>110</v>
      </c>
      <c r="U29" s="13">
        <f t="shared" si="7"/>
        <v>127</v>
      </c>
      <c r="V29" s="13">
        <f t="shared" si="7"/>
        <v>129</v>
      </c>
      <c r="W29" s="13">
        <f t="shared" si="7"/>
        <v>122</v>
      </c>
      <c r="X29" s="13">
        <f t="shared" si="7"/>
        <v>127</v>
      </c>
      <c r="Y29" s="13">
        <f t="shared" si="7"/>
        <v>131</v>
      </c>
      <c r="Z29" s="13">
        <f t="shared" si="7"/>
        <v>120</v>
      </c>
      <c r="AA29" s="13">
        <f t="shared" si="7"/>
        <v>121</v>
      </c>
      <c r="AB29" s="13">
        <f t="shared" si="7"/>
        <v>113</v>
      </c>
      <c r="AC29" s="13">
        <f t="shared" si="7"/>
        <v>128</v>
      </c>
      <c r="AD29" s="13">
        <f t="shared" si="7"/>
        <v>129</v>
      </c>
      <c r="AE29" s="13">
        <f t="shared" si="7"/>
        <v>73</v>
      </c>
      <c r="AF29" s="13">
        <f t="shared" si="7"/>
        <v>72</v>
      </c>
      <c r="AG29" s="13">
        <f t="shared" si="7"/>
        <v>128</v>
      </c>
      <c r="AH29" s="13">
        <f t="shared" si="2"/>
        <v>3419</v>
      </c>
    </row>
    <row r="30" spans="1:34" ht="12.75" customHeight="1" x14ac:dyDescent="0.4">
      <c r="A30" s="22"/>
      <c r="B30" s="69"/>
      <c r="C30" s="80"/>
      <c r="D30" s="13" t="s">
        <v>13</v>
      </c>
      <c r="E30" s="13">
        <f t="shared" ref="E30:AG30" si="8">SUM(E28:E29)</f>
        <v>218</v>
      </c>
      <c r="F30" s="13">
        <f t="shared" si="8"/>
        <v>226</v>
      </c>
      <c r="G30" s="13">
        <f t="shared" si="8"/>
        <v>211</v>
      </c>
      <c r="H30" s="13">
        <f t="shared" si="8"/>
        <v>225</v>
      </c>
      <c r="I30" s="13">
        <f t="shared" si="8"/>
        <v>239</v>
      </c>
      <c r="J30" s="13">
        <f t="shared" si="8"/>
        <v>214</v>
      </c>
      <c r="K30" s="13">
        <f t="shared" si="8"/>
        <v>226</v>
      </c>
      <c r="L30" s="13">
        <f t="shared" si="8"/>
        <v>229</v>
      </c>
      <c r="M30" s="13">
        <f t="shared" si="8"/>
        <v>240</v>
      </c>
      <c r="N30" s="13">
        <f t="shared" si="8"/>
        <v>204</v>
      </c>
      <c r="O30" s="13">
        <f t="shared" si="8"/>
        <v>225</v>
      </c>
      <c r="P30" s="13">
        <f t="shared" si="8"/>
        <v>209</v>
      </c>
      <c r="Q30" s="13">
        <f t="shared" si="8"/>
        <v>215</v>
      </c>
      <c r="R30" s="13">
        <f t="shared" si="8"/>
        <v>209</v>
      </c>
      <c r="S30" s="13">
        <f t="shared" si="8"/>
        <v>218</v>
      </c>
      <c r="T30" s="13">
        <f t="shared" si="8"/>
        <v>205</v>
      </c>
      <c r="U30" s="13">
        <f t="shared" si="8"/>
        <v>225</v>
      </c>
      <c r="V30" s="13">
        <f t="shared" si="8"/>
        <v>248</v>
      </c>
      <c r="W30" s="13">
        <f t="shared" si="8"/>
        <v>222</v>
      </c>
      <c r="X30" s="13">
        <f t="shared" si="8"/>
        <v>215</v>
      </c>
      <c r="Y30" s="13">
        <f t="shared" si="8"/>
        <v>225</v>
      </c>
      <c r="Z30" s="13">
        <f t="shared" si="8"/>
        <v>215</v>
      </c>
      <c r="AA30" s="13">
        <f t="shared" si="8"/>
        <v>222</v>
      </c>
      <c r="AB30" s="13">
        <f t="shared" si="8"/>
        <v>200</v>
      </c>
      <c r="AC30" s="13">
        <f t="shared" si="8"/>
        <v>232</v>
      </c>
      <c r="AD30" s="13">
        <f t="shared" si="8"/>
        <v>237</v>
      </c>
      <c r="AE30" s="13">
        <f t="shared" si="8"/>
        <v>131</v>
      </c>
      <c r="AF30" s="13">
        <f t="shared" si="8"/>
        <v>127</v>
      </c>
      <c r="AG30" s="13">
        <f t="shared" si="8"/>
        <v>251</v>
      </c>
      <c r="AH30" s="13">
        <f t="shared" si="2"/>
        <v>6263</v>
      </c>
    </row>
    <row r="31" spans="1:34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9"/>
    </row>
    <row r="32" spans="1:34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49"/>
    </row>
    <row r="33" spans="1:34" ht="12.75" customHeight="1" x14ac:dyDescent="0.4">
      <c r="A33" s="16">
        <v>1</v>
      </c>
      <c r="B33" s="74" t="s">
        <v>26</v>
      </c>
      <c r="C33" s="61"/>
      <c r="D33" s="62"/>
      <c r="E33" s="16">
        <v>296</v>
      </c>
      <c r="F33" s="16">
        <v>286</v>
      </c>
      <c r="G33" s="16">
        <v>310</v>
      </c>
      <c r="H33" s="16">
        <v>295</v>
      </c>
      <c r="I33" s="16">
        <v>297</v>
      </c>
      <c r="J33" s="16">
        <v>275</v>
      </c>
      <c r="K33" s="16">
        <v>293</v>
      </c>
      <c r="L33" s="16">
        <v>298</v>
      </c>
      <c r="M33" s="16">
        <v>256</v>
      </c>
      <c r="N33" s="16">
        <v>304</v>
      </c>
      <c r="O33" s="16">
        <v>300</v>
      </c>
      <c r="P33" s="16">
        <v>295</v>
      </c>
      <c r="Q33" s="16">
        <v>270</v>
      </c>
      <c r="R33" s="16">
        <v>280</v>
      </c>
      <c r="S33" s="16">
        <v>274</v>
      </c>
      <c r="T33" s="16">
        <v>276</v>
      </c>
      <c r="U33" s="16">
        <v>297</v>
      </c>
      <c r="V33" s="16">
        <v>300</v>
      </c>
      <c r="W33" s="16">
        <v>282</v>
      </c>
      <c r="X33" s="16">
        <v>277</v>
      </c>
      <c r="Y33" s="16">
        <v>289</v>
      </c>
      <c r="Z33" s="16">
        <v>290</v>
      </c>
      <c r="AA33" s="16">
        <v>296</v>
      </c>
      <c r="AB33" s="16">
        <v>283</v>
      </c>
      <c r="AC33" s="16">
        <v>302</v>
      </c>
      <c r="AD33" s="16">
        <v>299</v>
      </c>
      <c r="AE33" s="16">
        <v>182</v>
      </c>
      <c r="AF33" s="16">
        <v>161</v>
      </c>
      <c r="AG33" s="16">
        <v>306</v>
      </c>
      <c r="AH33" s="13">
        <f t="shared" ref="AH33:AH36" si="9">SUM(E33:AG33)</f>
        <v>8169</v>
      </c>
    </row>
    <row r="34" spans="1:34" ht="12.75" customHeight="1" x14ac:dyDescent="0.4">
      <c r="A34" s="16">
        <v>2</v>
      </c>
      <c r="B34" s="74" t="s">
        <v>27</v>
      </c>
      <c r="C34" s="61"/>
      <c r="D34" s="62"/>
      <c r="E34" s="13">
        <v>218</v>
      </c>
      <c r="F34" s="13">
        <v>226</v>
      </c>
      <c r="G34" s="13">
        <v>211</v>
      </c>
      <c r="H34" s="13">
        <v>225</v>
      </c>
      <c r="I34" s="13">
        <v>239</v>
      </c>
      <c r="J34" s="13">
        <v>214</v>
      </c>
      <c r="K34" s="13">
        <v>226</v>
      </c>
      <c r="L34" s="13">
        <v>229</v>
      </c>
      <c r="M34" s="13">
        <v>240</v>
      </c>
      <c r="N34" s="13">
        <v>204</v>
      </c>
      <c r="O34" s="13">
        <v>225</v>
      </c>
      <c r="P34" s="13">
        <v>209</v>
      </c>
      <c r="Q34" s="13">
        <v>215</v>
      </c>
      <c r="R34" s="13">
        <v>209</v>
      </c>
      <c r="S34" s="13">
        <v>218</v>
      </c>
      <c r="T34" s="13">
        <v>205</v>
      </c>
      <c r="U34" s="13">
        <v>225</v>
      </c>
      <c r="V34" s="13">
        <v>248</v>
      </c>
      <c r="W34" s="13">
        <v>222</v>
      </c>
      <c r="X34" s="13">
        <v>215</v>
      </c>
      <c r="Y34" s="13">
        <v>225</v>
      </c>
      <c r="Z34" s="13">
        <v>215</v>
      </c>
      <c r="AA34" s="13">
        <v>222</v>
      </c>
      <c r="AB34" s="13">
        <v>200</v>
      </c>
      <c r="AC34" s="13">
        <v>232</v>
      </c>
      <c r="AD34" s="13">
        <v>237</v>
      </c>
      <c r="AE34" s="13">
        <v>131</v>
      </c>
      <c r="AF34" s="13">
        <v>127</v>
      </c>
      <c r="AG34" s="13">
        <v>251</v>
      </c>
      <c r="AH34" s="13">
        <f t="shared" si="9"/>
        <v>6263</v>
      </c>
    </row>
    <row r="35" spans="1:34" ht="12.75" customHeight="1" x14ac:dyDescent="0.4">
      <c r="A35" s="16">
        <v>3</v>
      </c>
      <c r="B35" s="74" t="s">
        <v>28</v>
      </c>
      <c r="C35" s="61"/>
      <c r="D35" s="62"/>
      <c r="E35" s="16">
        <v>14</v>
      </c>
      <c r="F35" s="16">
        <v>0</v>
      </c>
      <c r="G35" s="16">
        <v>0</v>
      </c>
      <c r="H35" s="16">
        <v>0</v>
      </c>
      <c r="I35" s="16">
        <v>1</v>
      </c>
      <c r="J35" s="16">
        <v>0</v>
      </c>
      <c r="K35" s="16">
        <v>1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2</v>
      </c>
      <c r="W35" s="16">
        <v>0</v>
      </c>
      <c r="X35" s="16">
        <v>1</v>
      </c>
      <c r="Y35" s="16">
        <v>0</v>
      </c>
      <c r="Z35" s="16">
        <v>0</v>
      </c>
      <c r="AA35" s="16">
        <v>3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3">
        <f t="shared" si="9"/>
        <v>22</v>
      </c>
    </row>
    <row r="36" spans="1:34" ht="12.75" customHeight="1" x14ac:dyDescent="0.4">
      <c r="A36" s="16">
        <v>4</v>
      </c>
      <c r="B36" s="74" t="s">
        <v>29</v>
      </c>
      <c r="C36" s="61"/>
      <c r="D36" s="62"/>
      <c r="E36" s="13">
        <f t="shared" ref="E36:AG36" si="10">E33-(E34+E35)</f>
        <v>64</v>
      </c>
      <c r="F36" s="13">
        <f t="shared" si="10"/>
        <v>60</v>
      </c>
      <c r="G36" s="13">
        <f t="shared" si="10"/>
        <v>99</v>
      </c>
      <c r="H36" s="13">
        <f t="shared" si="10"/>
        <v>70</v>
      </c>
      <c r="I36" s="13">
        <f t="shared" si="10"/>
        <v>57</v>
      </c>
      <c r="J36" s="13">
        <f t="shared" si="10"/>
        <v>61</v>
      </c>
      <c r="K36" s="13">
        <f t="shared" si="10"/>
        <v>66</v>
      </c>
      <c r="L36" s="13">
        <f t="shared" si="10"/>
        <v>69</v>
      </c>
      <c r="M36" s="13">
        <f t="shared" si="10"/>
        <v>16</v>
      </c>
      <c r="N36" s="13">
        <f t="shared" si="10"/>
        <v>100</v>
      </c>
      <c r="O36" s="13">
        <f t="shared" si="10"/>
        <v>75</v>
      </c>
      <c r="P36" s="13">
        <f t="shared" si="10"/>
        <v>86</v>
      </c>
      <c r="Q36" s="13">
        <f t="shared" si="10"/>
        <v>55</v>
      </c>
      <c r="R36" s="13">
        <f t="shared" si="10"/>
        <v>71</v>
      </c>
      <c r="S36" s="13">
        <f t="shared" si="10"/>
        <v>56</v>
      </c>
      <c r="T36" s="13">
        <f t="shared" si="10"/>
        <v>71</v>
      </c>
      <c r="U36" s="13">
        <f t="shared" si="10"/>
        <v>72</v>
      </c>
      <c r="V36" s="13">
        <f t="shared" si="10"/>
        <v>50</v>
      </c>
      <c r="W36" s="13">
        <f t="shared" si="10"/>
        <v>60</v>
      </c>
      <c r="X36" s="13">
        <f t="shared" si="10"/>
        <v>61</v>
      </c>
      <c r="Y36" s="13">
        <f t="shared" si="10"/>
        <v>64</v>
      </c>
      <c r="Z36" s="13">
        <f t="shared" si="10"/>
        <v>75</v>
      </c>
      <c r="AA36" s="13">
        <f t="shared" si="10"/>
        <v>71</v>
      </c>
      <c r="AB36" s="13">
        <f t="shared" si="10"/>
        <v>83</v>
      </c>
      <c r="AC36" s="13">
        <f t="shared" si="10"/>
        <v>70</v>
      </c>
      <c r="AD36" s="13">
        <f t="shared" si="10"/>
        <v>62</v>
      </c>
      <c r="AE36" s="13">
        <f t="shared" si="10"/>
        <v>51</v>
      </c>
      <c r="AF36" s="13">
        <f t="shared" si="10"/>
        <v>34</v>
      </c>
      <c r="AG36" s="13">
        <f t="shared" si="10"/>
        <v>55</v>
      </c>
      <c r="AH36" s="13">
        <f t="shared" si="9"/>
        <v>1884</v>
      </c>
    </row>
    <row r="37" spans="1:34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49"/>
    </row>
    <row r="38" spans="1:34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49"/>
    </row>
    <row r="39" spans="1:34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1</v>
      </c>
      <c r="M39" s="16">
        <v>0</v>
      </c>
      <c r="N39" s="16">
        <v>0</v>
      </c>
      <c r="O39" s="16">
        <v>1</v>
      </c>
      <c r="P39" s="16">
        <v>0</v>
      </c>
      <c r="Q39" s="16">
        <v>0</v>
      </c>
      <c r="R39" s="16">
        <v>2</v>
      </c>
      <c r="S39" s="16">
        <v>0</v>
      </c>
      <c r="T39" s="16">
        <v>0</v>
      </c>
      <c r="U39" s="16">
        <v>0</v>
      </c>
      <c r="V39" s="16">
        <v>0</v>
      </c>
      <c r="W39" s="16">
        <v>1</v>
      </c>
      <c r="X39" s="16">
        <v>0</v>
      </c>
      <c r="Y39" s="16">
        <v>0</v>
      </c>
      <c r="Z39" s="16">
        <v>0</v>
      </c>
      <c r="AA39" s="16">
        <v>0</v>
      </c>
      <c r="AB39" s="16">
        <v>1</v>
      </c>
      <c r="AC39" s="16">
        <v>1</v>
      </c>
      <c r="AD39" s="16">
        <v>0</v>
      </c>
      <c r="AE39" s="16">
        <v>0</v>
      </c>
      <c r="AF39" s="16">
        <v>0</v>
      </c>
      <c r="AG39" s="16"/>
      <c r="AH39" s="13">
        <f t="shared" ref="AH39:AH41" si="11">SUM(E39:AG39)</f>
        <v>7</v>
      </c>
    </row>
    <row r="40" spans="1:34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1</v>
      </c>
      <c r="S40" s="16">
        <v>0</v>
      </c>
      <c r="T40" s="16">
        <v>0</v>
      </c>
      <c r="U40" s="16">
        <v>1</v>
      </c>
      <c r="V40" s="16">
        <v>0</v>
      </c>
      <c r="W40" s="16">
        <v>0</v>
      </c>
      <c r="X40" s="16">
        <v>1</v>
      </c>
      <c r="Y40" s="16">
        <v>0</v>
      </c>
      <c r="Z40" s="16">
        <v>1</v>
      </c>
      <c r="AA40" s="16">
        <v>0</v>
      </c>
      <c r="AB40" s="16">
        <v>0</v>
      </c>
      <c r="AC40" s="16">
        <v>0</v>
      </c>
      <c r="AD40" s="16">
        <v>0</v>
      </c>
      <c r="AE40" s="16">
        <v>0</v>
      </c>
      <c r="AF40" s="16">
        <v>0</v>
      </c>
      <c r="AG40" s="16"/>
      <c r="AH40" s="13">
        <f t="shared" si="11"/>
        <v>5</v>
      </c>
    </row>
    <row r="41" spans="1:34" ht="12.75" customHeight="1" x14ac:dyDescent="0.4">
      <c r="A41" s="25"/>
      <c r="B41" s="68"/>
      <c r="C41" s="69"/>
      <c r="D41" s="13" t="s">
        <v>13</v>
      </c>
      <c r="E41" s="13">
        <f t="shared" ref="E41:AG41" si="12">SUM(E39:E40)</f>
        <v>0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2</v>
      </c>
      <c r="M41" s="13">
        <f t="shared" si="12"/>
        <v>0</v>
      </c>
      <c r="N41" s="13">
        <f t="shared" si="12"/>
        <v>0</v>
      </c>
      <c r="O41" s="13">
        <f t="shared" si="12"/>
        <v>1</v>
      </c>
      <c r="P41" s="13">
        <f t="shared" si="12"/>
        <v>0</v>
      </c>
      <c r="Q41" s="13">
        <f t="shared" si="12"/>
        <v>0</v>
      </c>
      <c r="R41" s="13">
        <f t="shared" si="12"/>
        <v>3</v>
      </c>
      <c r="S41" s="13">
        <f t="shared" si="12"/>
        <v>0</v>
      </c>
      <c r="T41" s="13">
        <f t="shared" si="12"/>
        <v>0</v>
      </c>
      <c r="U41" s="13">
        <f t="shared" si="12"/>
        <v>1</v>
      </c>
      <c r="V41" s="13">
        <f t="shared" si="12"/>
        <v>0</v>
      </c>
      <c r="W41" s="13">
        <f t="shared" si="12"/>
        <v>1</v>
      </c>
      <c r="X41" s="13">
        <f t="shared" si="12"/>
        <v>1</v>
      </c>
      <c r="Y41" s="13">
        <f t="shared" si="12"/>
        <v>0</v>
      </c>
      <c r="Z41" s="13">
        <f t="shared" si="12"/>
        <v>1</v>
      </c>
      <c r="AA41" s="13">
        <f t="shared" si="12"/>
        <v>0</v>
      </c>
      <c r="AB41" s="13">
        <f t="shared" si="12"/>
        <v>1</v>
      </c>
      <c r="AC41" s="13">
        <f t="shared" si="12"/>
        <v>1</v>
      </c>
      <c r="AD41" s="13">
        <f t="shared" si="12"/>
        <v>0</v>
      </c>
      <c r="AE41" s="13">
        <f t="shared" si="12"/>
        <v>0</v>
      </c>
      <c r="AF41" s="13">
        <f t="shared" si="12"/>
        <v>0</v>
      </c>
      <c r="AG41" s="13">
        <f t="shared" si="12"/>
        <v>0</v>
      </c>
      <c r="AH41" s="13">
        <f t="shared" si="11"/>
        <v>12</v>
      </c>
    </row>
    <row r="42" spans="1:34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48"/>
      <c r="U42" s="16"/>
      <c r="V42" s="48"/>
      <c r="W42" s="16"/>
      <c r="X42" s="48"/>
      <c r="Y42" s="16"/>
      <c r="Z42" s="48"/>
      <c r="AA42" s="16"/>
      <c r="AB42" s="48"/>
      <c r="AC42" s="16"/>
      <c r="AD42" s="48"/>
      <c r="AE42" s="16"/>
      <c r="AF42" s="48"/>
      <c r="AG42" s="16"/>
      <c r="AH42" s="13"/>
    </row>
    <row r="43" spans="1:34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50"/>
      <c r="U43" s="13"/>
      <c r="V43" s="50"/>
      <c r="W43" s="13"/>
      <c r="X43" s="50"/>
      <c r="Y43" s="13"/>
      <c r="Z43" s="50"/>
      <c r="AA43" s="13"/>
      <c r="AB43" s="50"/>
      <c r="AC43" s="13"/>
      <c r="AD43" s="50"/>
      <c r="AE43" s="13"/>
      <c r="AF43" s="50"/>
      <c r="AG43" s="13"/>
      <c r="AH43" s="13"/>
    </row>
    <row r="44" spans="1:34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48"/>
      <c r="U44" s="16"/>
      <c r="V44" s="48"/>
      <c r="W44" s="16"/>
      <c r="X44" s="48"/>
      <c r="Y44" s="16"/>
      <c r="Z44" s="48"/>
      <c r="AA44" s="16"/>
      <c r="AB44" s="48"/>
      <c r="AC44" s="16"/>
      <c r="AD44" s="48"/>
      <c r="AE44" s="16"/>
      <c r="AF44" s="48"/>
      <c r="AG44" s="16"/>
      <c r="AH44" s="13"/>
    </row>
    <row r="45" spans="1:34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6</v>
      </c>
      <c r="F45" s="16">
        <v>9</v>
      </c>
      <c r="G45" s="16">
        <v>6</v>
      </c>
      <c r="H45" s="16">
        <v>12</v>
      </c>
      <c r="I45" s="16">
        <v>7</v>
      </c>
      <c r="J45" s="16">
        <v>5</v>
      </c>
      <c r="K45" s="16">
        <v>2</v>
      </c>
      <c r="L45" s="16">
        <v>4</v>
      </c>
      <c r="M45" s="16">
        <v>4</v>
      </c>
      <c r="N45" s="16">
        <v>2</v>
      </c>
      <c r="O45" s="16">
        <v>1</v>
      </c>
      <c r="P45" s="16">
        <v>1</v>
      </c>
      <c r="Q45" s="16">
        <v>1</v>
      </c>
      <c r="R45" s="16">
        <v>5</v>
      </c>
      <c r="S45" s="16">
        <v>0</v>
      </c>
      <c r="T45" s="16">
        <v>3</v>
      </c>
      <c r="U45" s="16">
        <v>3</v>
      </c>
      <c r="V45" s="16">
        <v>4</v>
      </c>
      <c r="W45" s="16">
        <v>3</v>
      </c>
      <c r="X45" s="16">
        <v>1</v>
      </c>
      <c r="Y45" s="16">
        <v>0</v>
      </c>
      <c r="Z45" s="16">
        <v>3</v>
      </c>
      <c r="AA45" s="16">
        <v>1</v>
      </c>
      <c r="AB45" s="16">
        <v>4</v>
      </c>
      <c r="AC45" s="16">
        <v>3</v>
      </c>
      <c r="AD45" s="16">
        <v>1</v>
      </c>
      <c r="AE45" s="16">
        <v>0</v>
      </c>
      <c r="AF45" s="16">
        <v>2</v>
      </c>
      <c r="AG45" s="16">
        <v>1</v>
      </c>
      <c r="AH45" s="13">
        <f t="shared" ref="AH45:AH54" si="13">SUM(E45:AG45)</f>
        <v>94</v>
      </c>
    </row>
    <row r="46" spans="1:34" ht="12.75" customHeight="1" x14ac:dyDescent="0.4">
      <c r="A46" s="20" t="s">
        <v>38</v>
      </c>
      <c r="B46" s="28"/>
      <c r="C46" s="29" t="s">
        <v>39</v>
      </c>
      <c r="D46" s="30"/>
      <c r="E46" s="16">
        <v>4</v>
      </c>
      <c r="F46" s="16">
        <v>5</v>
      </c>
      <c r="G46" s="16">
        <v>6</v>
      </c>
      <c r="H46" s="16">
        <v>3</v>
      </c>
      <c r="I46" s="16">
        <v>7</v>
      </c>
      <c r="J46" s="16">
        <v>3</v>
      </c>
      <c r="K46" s="16">
        <v>1</v>
      </c>
      <c r="L46" s="16">
        <v>5</v>
      </c>
      <c r="M46" s="16">
        <v>1</v>
      </c>
      <c r="N46" s="16">
        <v>5</v>
      </c>
      <c r="O46" s="16">
        <v>3</v>
      </c>
      <c r="P46" s="16">
        <v>2</v>
      </c>
      <c r="Q46" s="16">
        <v>1</v>
      </c>
      <c r="R46" s="16">
        <v>2</v>
      </c>
      <c r="S46" s="16">
        <v>4</v>
      </c>
      <c r="T46" s="16">
        <v>3</v>
      </c>
      <c r="U46" s="16">
        <v>2</v>
      </c>
      <c r="V46" s="16">
        <v>5</v>
      </c>
      <c r="W46" s="16">
        <v>2</v>
      </c>
      <c r="X46" s="16">
        <v>19</v>
      </c>
      <c r="Y46" s="16">
        <v>6</v>
      </c>
      <c r="Z46" s="16">
        <v>11</v>
      </c>
      <c r="AA46" s="16">
        <v>5</v>
      </c>
      <c r="AB46" s="16">
        <v>5</v>
      </c>
      <c r="AC46" s="16">
        <v>6</v>
      </c>
      <c r="AD46" s="16">
        <v>1</v>
      </c>
      <c r="AE46" s="16">
        <v>0</v>
      </c>
      <c r="AF46" s="16">
        <v>1</v>
      </c>
      <c r="AG46" s="16">
        <v>1</v>
      </c>
      <c r="AH46" s="13">
        <f t="shared" si="13"/>
        <v>119</v>
      </c>
    </row>
    <row r="47" spans="1:34" ht="12.75" customHeight="1" x14ac:dyDescent="0.4">
      <c r="A47" s="15"/>
      <c r="B47" s="28"/>
      <c r="C47" s="29" t="s">
        <v>40</v>
      </c>
      <c r="D47" s="30"/>
      <c r="E47" s="16">
        <v>3</v>
      </c>
      <c r="F47" s="16">
        <v>6</v>
      </c>
      <c r="G47" s="16">
        <v>1</v>
      </c>
      <c r="H47" s="16">
        <v>7</v>
      </c>
      <c r="I47" s="16">
        <v>7</v>
      </c>
      <c r="J47" s="16">
        <v>2</v>
      </c>
      <c r="K47" s="16">
        <v>8</v>
      </c>
      <c r="L47" s="16">
        <v>5</v>
      </c>
      <c r="M47" s="16">
        <v>8</v>
      </c>
      <c r="N47" s="16">
        <v>1</v>
      </c>
      <c r="O47" s="16">
        <v>3</v>
      </c>
      <c r="P47" s="16">
        <v>1</v>
      </c>
      <c r="Q47" s="16">
        <v>3</v>
      </c>
      <c r="R47" s="16">
        <v>1</v>
      </c>
      <c r="S47" s="16">
        <v>0</v>
      </c>
      <c r="T47" s="16">
        <v>0</v>
      </c>
      <c r="U47" s="16">
        <v>5</v>
      </c>
      <c r="V47" s="16">
        <v>3</v>
      </c>
      <c r="W47" s="16">
        <v>0</v>
      </c>
      <c r="X47" s="16">
        <v>3</v>
      </c>
      <c r="Y47" s="16">
        <v>2</v>
      </c>
      <c r="Z47" s="16">
        <v>4</v>
      </c>
      <c r="AA47" s="16">
        <v>4</v>
      </c>
      <c r="AB47" s="16">
        <v>0</v>
      </c>
      <c r="AC47" s="16">
        <v>1</v>
      </c>
      <c r="AD47" s="16">
        <v>4</v>
      </c>
      <c r="AE47" s="16">
        <v>0</v>
      </c>
      <c r="AF47" s="16">
        <v>2</v>
      </c>
      <c r="AG47" s="16">
        <v>3</v>
      </c>
      <c r="AH47" s="13">
        <f t="shared" si="13"/>
        <v>87</v>
      </c>
    </row>
    <row r="48" spans="1:34" ht="12.75" customHeight="1" x14ac:dyDescent="0.4">
      <c r="A48" s="15"/>
      <c r="B48" s="28"/>
      <c r="C48" s="29" t="s">
        <v>41</v>
      </c>
      <c r="D48" s="30"/>
      <c r="E48" s="16">
        <v>0</v>
      </c>
      <c r="F48" s="16">
        <v>0</v>
      </c>
      <c r="G48" s="16">
        <v>0</v>
      </c>
      <c r="H48" s="16">
        <v>0</v>
      </c>
      <c r="I48" s="16">
        <v>1</v>
      </c>
      <c r="J48" s="16">
        <v>1</v>
      </c>
      <c r="K48" s="16">
        <v>0</v>
      </c>
      <c r="L48" s="16">
        <v>0</v>
      </c>
      <c r="M48" s="16">
        <v>1</v>
      </c>
      <c r="N48" s="16">
        <v>0</v>
      </c>
      <c r="O48" s="16">
        <v>3</v>
      </c>
      <c r="P48" s="16">
        <v>0</v>
      </c>
      <c r="Q48" s="16">
        <v>1</v>
      </c>
      <c r="R48" s="16">
        <v>0</v>
      </c>
      <c r="S48" s="16">
        <v>0</v>
      </c>
      <c r="T48" s="16">
        <v>0</v>
      </c>
      <c r="U48" s="16">
        <v>0</v>
      </c>
      <c r="V48" s="16">
        <v>0</v>
      </c>
      <c r="W48" s="16">
        <v>0</v>
      </c>
      <c r="X48" s="16">
        <v>1</v>
      </c>
      <c r="Y48" s="16">
        <v>1</v>
      </c>
      <c r="Z48" s="16">
        <v>0</v>
      </c>
      <c r="AA48" s="16">
        <v>1</v>
      </c>
      <c r="AB48" s="16">
        <v>0</v>
      </c>
      <c r="AC48" s="16">
        <v>1</v>
      </c>
      <c r="AD48" s="16">
        <v>0</v>
      </c>
      <c r="AE48" s="16">
        <v>0</v>
      </c>
      <c r="AF48" s="16">
        <v>0</v>
      </c>
      <c r="AG48" s="16">
        <v>1</v>
      </c>
      <c r="AH48" s="13">
        <f t="shared" si="13"/>
        <v>12</v>
      </c>
    </row>
    <row r="49" spans="1:34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1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3">
        <f t="shared" si="13"/>
        <v>2</v>
      </c>
    </row>
    <row r="50" spans="1:34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1</v>
      </c>
      <c r="H50" s="16">
        <v>0</v>
      </c>
      <c r="I50" s="16">
        <v>0</v>
      </c>
      <c r="J50" s="16">
        <v>1</v>
      </c>
      <c r="K50" s="16">
        <v>0</v>
      </c>
      <c r="L50" s="16">
        <v>0</v>
      </c>
      <c r="M50" s="16">
        <v>0</v>
      </c>
      <c r="N50" s="16">
        <v>0</v>
      </c>
      <c r="O50" s="16">
        <v>1</v>
      </c>
      <c r="P50" s="16">
        <v>0</v>
      </c>
      <c r="Q50" s="16">
        <v>2</v>
      </c>
      <c r="R50" s="16">
        <v>0</v>
      </c>
      <c r="S50" s="16">
        <v>0</v>
      </c>
      <c r="T50" s="16">
        <v>0</v>
      </c>
      <c r="U50" s="16">
        <v>0</v>
      </c>
      <c r="V50" s="16">
        <v>1</v>
      </c>
      <c r="W50" s="16">
        <v>0</v>
      </c>
      <c r="X50" s="16">
        <v>0</v>
      </c>
      <c r="Y50" s="16">
        <v>0</v>
      </c>
      <c r="Z50" s="16">
        <v>0</v>
      </c>
      <c r="AA50" s="16">
        <v>1</v>
      </c>
      <c r="AB50" s="16">
        <v>0</v>
      </c>
      <c r="AC50" s="16">
        <v>2</v>
      </c>
      <c r="AD50" s="16">
        <v>0</v>
      </c>
      <c r="AE50" s="16">
        <v>0</v>
      </c>
      <c r="AF50" s="16">
        <v>0</v>
      </c>
      <c r="AG50" s="16">
        <v>0</v>
      </c>
      <c r="AH50" s="13">
        <f t="shared" si="13"/>
        <v>9</v>
      </c>
    </row>
    <row r="51" spans="1:34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0</v>
      </c>
      <c r="Q51" s="16">
        <v>0</v>
      </c>
      <c r="R51" s="16">
        <v>0</v>
      </c>
      <c r="S51" s="16">
        <v>0</v>
      </c>
      <c r="T51" s="16">
        <v>0</v>
      </c>
      <c r="U51" s="16">
        <v>2</v>
      </c>
      <c r="V51" s="16">
        <v>0</v>
      </c>
      <c r="W51" s="16">
        <v>2</v>
      </c>
      <c r="X51" s="16">
        <v>0</v>
      </c>
      <c r="Y51" s="16">
        <v>0</v>
      </c>
      <c r="Z51" s="16">
        <v>0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0</v>
      </c>
      <c r="AG51" s="16">
        <v>0</v>
      </c>
      <c r="AH51" s="13">
        <f t="shared" si="13"/>
        <v>4</v>
      </c>
    </row>
    <row r="52" spans="1:34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13">
        <f t="shared" si="13"/>
        <v>0</v>
      </c>
    </row>
    <row r="53" spans="1:34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13">
        <f t="shared" si="13"/>
        <v>0</v>
      </c>
    </row>
    <row r="54" spans="1:34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13">
        <f t="shared" si="13"/>
        <v>0</v>
      </c>
    </row>
    <row r="55" spans="1:34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AH55" si="14">SUM(E45:E54)</f>
        <v>13</v>
      </c>
      <c r="F55" s="13">
        <f t="shared" si="14"/>
        <v>20</v>
      </c>
      <c r="G55" s="13">
        <f t="shared" si="14"/>
        <v>15</v>
      </c>
      <c r="H55" s="13">
        <f t="shared" si="14"/>
        <v>22</v>
      </c>
      <c r="I55" s="13">
        <f t="shared" si="14"/>
        <v>22</v>
      </c>
      <c r="J55" s="13">
        <f t="shared" si="14"/>
        <v>12</v>
      </c>
      <c r="K55" s="13">
        <f t="shared" si="14"/>
        <v>11</v>
      </c>
      <c r="L55" s="13">
        <f t="shared" si="14"/>
        <v>14</v>
      </c>
      <c r="M55" s="13">
        <f t="shared" si="14"/>
        <v>14</v>
      </c>
      <c r="N55" s="13">
        <f t="shared" si="14"/>
        <v>8</v>
      </c>
      <c r="O55" s="13">
        <f t="shared" si="14"/>
        <v>12</v>
      </c>
      <c r="P55" s="13">
        <f t="shared" si="14"/>
        <v>4</v>
      </c>
      <c r="Q55" s="13">
        <f t="shared" si="14"/>
        <v>8</v>
      </c>
      <c r="R55" s="13">
        <f t="shared" si="14"/>
        <v>8</v>
      </c>
      <c r="S55" s="13">
        <f t="shared" si="14"/>
        <v>4</v>
      </c>
      <c r="T55" s="13">
        <f t="shared" si="14"/>
        <v>6</v>
      </c>
      <c r="U55" s="13">
        <f t="shared" si="14"/>
        <v>12</v>
      </c>
      <c r="V55" s="13">
        <f t="shared" si="14"/>
        <v>13</v>
      </c>
      <c r="W55" s="13">
        <f t="shared" si="14"/>
        <v>7</v>
      </c>
      <c r="X55" s="13">
        <f t="shared" si="14"/>
        <v>24</v>
      </c>
      <c r="Y55" s="13">
        <f t="shared" si="14"/>
        <v>9</v>
      </c>
      <c r="Z55" s="13">
        <f t="shared" si="14"/>
        <v>18</v>
      </c>
      <c r="AA55" s="13">
        <f t="shared" si="14"/>
        <v>12</v>
      </c>
      <c r="AB55" s="13">
        <f t="shared" si="14"/>
        <v>9</v>
      </c>
      <c r="AC55" s="13">
        <f t="shared" si="14"/>
        <v>13</v>
      </c>
      <c r="AD55" s="13">
        <f t="shared" si="14"/>
        <v>6</v>
      </c>
      <c r="AE55" s="13">
        <f t="shared" si="14"/>
        <v>0</v>
      </c>
      <c r="AF55" s="13">
        <f t="shared" si="14"/>
        <v>5</v>
      </c>
      <c r="AG55" s="13">
        <f t="shared" si="14"/>
        <v>6</v>
      </c>
      <c r="AH55" s="13">
        <f t="shared" si="14"/>
        <v>327</v>
      </c>
    </row>
    <row r="56" spans="1:34" ht="12.75" customHeight="1" x14ac:dyDescent="0.4">
      <c r="A56" s="86"/>
      <c r="B56" s="68"/>
      <c r="C56" s="68"/>
      <c r="D56" s="68"/>
      <c r="E56" s="68"/>
      <c r="AH56" s="13"/>
    </row>
    <row r="57" spans="1:34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9</v>
      </c>
      <c r="F57" s="16">
        <v>10</v>
      </c>
      <c r="G57" s="16">
        <v>4</v>
      </c>
      <c r="H57" s="16">
        <v>5</v>
      </c>
      <c r="I57" s="16">
        <v>9</v>
      </c>
      <c r="J57" s="16">
        <v>1</v>
      </c>
      <c r="K57" s="16">
        <v>7</v>
      </c>
      <c r="L57" s="16">
        <v>8</v>
      </c>
      <c r="M57" s="16">
        <v>6</v>
      </c>
      <c r="N57" s="16">
        <v>8</v>
      </c>
      <c r="O57" s="16">
        <v>7</v>
      </c>
      <c r="P57" s="16">
        <v>3</v>
      </c>
      <c r="Q57" s="16">
        <v>8</v>
      </c>
      <c r="R57" s="16">
        <v>4</v>
      </c>
      <c r="S57" s="16">
        <v>4</v>
      </c>
      <c r="T57" s="16">
        <v>3</v>
      </c>
      <c r="U57" s="16">
        <v>1</v>
      </c>
      <c r="V57" s="16">
        <v>5</v>
      </c>
      <c r="W57" s="16">
        <v>5</v>
      </c>
      <c r="X57" s="16">
        <v>9</v>
      </c>
      <c r="Y57" s="16">
        <v>2</v>
      </c>
      <c r="Z57" s="16">
        <v>5</v>
      </c>
      <c r="AA57" s="16">
        <v>6</v>
      </c>
      <c r="AB57" s="16">
        <v>6</v>
      </c>
      <c r="AC57" s="16">
        <v>7</v>
      </c>
      <c r="AD57" s="16">
        <v>2</v>
      </c>
      <c r="AE57" s="16">
        <v>6</v>
      </c>
      <c r="AF57" s="16">
        <v>3</v>
      </c>
      <c r="AG57" s="16">
        <v>2</v>
      </c>
      <c r="AH57" s="13">
        <f t="shared" ref="AH57:AH66" si="15">SUM(E57:AG57)</f>
        <v>155</v>
      </c>
    </row>
    <row r="58" spans="1:34" ht="12.75" customHeight="1" x14ac:dyDescent="0.4">
      <c r="A58" s="20" t="s">
        <v>38</v>
      </c>
      <c r="B58" s="28"/>
      <c r="C58" s="29" t="s">
        <v>47</v>
      </c>
      <c r="D58" s="30"/>
      <c r="E58" s="16">
        <v>8</v>
      </c>
      <c r="F58" s="16">
        <v>9</v>
      </c>
      <c r="G58" s="16">
        <v>2</v>
      </c>
      <c r="H58" s="16">
        <v>2</v>
      </c>
      <c r="I58" s="16">
        <v>2</v>
      </c>
      <c r="J58" s="16">
        <v>2</v>
      </c>
      <c r="K58" s="16">
        <v>3</v>
      </c>
      <c r="L58" s="16">
        <v>9</v>
      </c>
      <c r="M58" s="16">
        <v>3</v>
      </c>
      <c r="N58" s="16">
        <v>2</v>
      </c>
      <c r="O58" s="16">
        <v>4</v>
      </c>
      <c r="P58" s="16">
        <v>4</v>
      </c>
      <c r="Q58" s="16">
        <v>5</v>
      </c>
      <c r="R58" s="16">
        <v>6</v>
      </c>
      <c r="S58" s="16">
        <v>3</v>
      </c>
      <c r="T58" s="16">
        <v>1</v>
      </c>
      <c r="U58" s="16">
        <v>2</v>
      </c>
      <c r="V58" s="16">
        <v>3</v>
      </c>
      <c r="W58" s="16">
        <v>2</v>
      </c>
      <c r="X58" s="16">
        <v>5</v>
      </c>
      <c r="Y58" s="16">
        <v>6</v>
      </c>
      <c r="Z58" s="16">
        <v>2</v>
      </c>
      <c r="AA58" s="16">
        <v>7</v>
      </c>
      <c r="AB58" s="16">
        <v>6</v>
      </c>
      <c r="AC58" s="16">
        <v>5</v>
      </c>
      <c r="AD58" s="16">
        <v>2</v>
      </c>
      <c r="AE58" s="16">
        <v>7</v>
      </c>
      <c r="AF58" s="16">
        <v>3</v>
      </c>
      <c r="AG58" s="16">
        <v>5</v>
      </c>
      <c r="AH58" s="13">
        <f t="shared" si="15"/>
        <v>120</v>
      </c>
    </row>
    <row r="59" spans="1:34" ht="12.75" customHeight="1" x14ac:dyDescent="0.4">
      <c r="A59" s="15"/>
      <c r="B59" s="28"/>
      <c r="C59" s="29" t="s">
        <v>48</v>
      </c>
      <c r="D59" s="30"/>
      <c r="E59" s="16">
        <v>2</v>
      </c>
      <c r="F59" s="16">
        <v>5</v>
      </c>
      <c r="G59" s="16">
        <v>0</v>
      </c>
      <c r="H59" s="16">
        <v>1</v>
      </c>
      <c r="I59" s="16">
        <v>1</v>
      </c>
      <c r="J59" s="16">
        <v>1</v>
      </c>
      <c r="K59" s="16">
        <v>0</v>
      </c>
      <c r="L59" s="16">
        <v>1</v>
      </c>
      <c r="M59" s="16">
        <v>0</v>
      </c>
      <c r="N59" s="16">
        <v>3</v>
      </c>
      <c r="O59" s="16">
        <v>1</v>
      </c>
      <c r="P59" s="16">
        <v>4</v>
      </c>
      <c r="Q59" s="16">
        <v>1</v>
      </c>
      <c r="R59" s="16">
        <v>2</v>
      </c>
      <c r="S59" s="16">
        <v>2</v>
      </c>
      <c r="T59" s="16">
        <v>1</v>
      </c>
      <c r="U59" s="16">
        <v>2</v>
      </c>
      <c r="V59" s="16">
        <v>2</v>
      </c>
      <c r="W59" s="16">
        <v>2</v>
      </c>
      <c r="X59" s="16">
        <v>3</v>
      </c>
      <c r="Y59" s="16">
        <v>2</v>
      </c>
      <c r="Z59" s="16">
        <v>0</v>
      </c>
      <c r="AA59" s="16">
        <v>0</v>
      </c>
      <c r="AB59" s="16">
        <v>4</v>
      </c>
      <c r="AC59" s="16">
        <v>2</v>
      </c>
      <c r="AD59" s="16">
        <v>0</v>
      </c>
      <c r="AE59" s="16">
        <v>1</v>
      </c>
      <c r="AF59" s="16">
        <v>1</v>
      </c>
      <c r="AG59" s="16">
        <v>0</v>
      </c>
      <c r="AH59" s="13">
        <f t="shared" si="15"/>
        <v>44</v>
      </c>
    </row>
    <row r="60" spans="1:34" ht="12.75" customHeight="1" x14ac:dyDescent="0.4">
      <c r="A60" s="15"/>
      <c r="B60" s="28"/>
      <c r="C60" s="29" t="s">
        <v>49</v>
      </c>
      <c r="D60" s="30"/>
      <c r="E60" s="16">
        <v>3</v>
      </c>
      <c r="F60" s="16">
        <v>1</v>
      </c>
      <c r="G60" s="16">
        <v>1</v>
      </c>
      <c r="H60" s="16">
        <v>0</v>
      </c>
      <c r="I60" s="16">
        <v>1</v>
      </c>
      <c r="J60" s="16">
        <v>2</v>
      </c>
      <c r="K60" s="16">
        <v>4</v>
      </c>
      <c r="L60" s="16">
        <v>4</v>
      </c>
      <c r="M60" s="16">
        <v>2</v>
      </c>
      <c r="N60" s="16">
        <v>1</v>
      </c>
      <c r="O60" s="16">
        <v>1</v>
      </c>
      <c r="P60" s="16">
        <v>1</v>
      </c>
      <c r="Q60" s="16">
        <v>0</v>
      </c>
      <c r="R60" s="16">
        <v>4</v>
      </c>
      <c r="S60" s="16">
        <v>0</v>
      </c>
      <c r="T60" s="16">
        <v>0</v>
      </c>
      <c r="U60" s="16">
        <v>1</v>
      </c>
      <c r="V60" s="16">
        <v>0</v>
      </c>
      <c r="W60" s="16">
        <v>1</v>
      </c>
      <c r="X60" s="16">
        <v>1</v>
      </c>
      <c r="Y60" s="16">
        <v>2</v>
      </c>
      <c r="Z60" s="16">
        <v>5</v>
      </c>
      <c r="AA60" s="16">
        <v>0</v>
      </c>
      <c r="AB60" s="16">
        <v>6</v>
      </c>
      <c r="AC60" s="16">
        <v>2</v>
      </c>
      <c r="AD60" s="16">
        <v>2</v>
      </c>
      <c r="AE60" s="16">
        <v>0</v>
      </c>
      <c r="AF60" s="16">
        <v>1</v>
      </c>
      <c r="AG60" s="16">
        <v>0</v>
      </c>
      <c r="AH60" s="13">
        <f t="shared" si="15"/>
        <v>46</v>
      </c>
    </row>
    <row r="61" spans="1:34" ht="12.75" customHeight="1" x14ac:dyDescent="0.4">
      <c r="A61" s="15"/>
      <c r="B61" s="28"/>
      <c r="C61" s="29" t="s">
        <v>50</v>
      </c>
      <c r="D61" s="30"/>
      <c r="E61" s="16">
        <v>2</v>
      </c>
      <c r="F61" s="16">
        <v>7</v>
      </c>
      <c r="G61" s="16">
        <v>3</v>
      </c>
      <c r="H61" s="16">
        <v>1</v>
      </c>
      <c r="I61" s="16">
        <v>1</v>
      </c>
      <c r="J61" s="16">
        <v>0</v>
      </c>
      <c r="K61" s="16">
        <v>0</v>
      </c>
      <c r="L61" s="16">
        <v>2</v>
      </c>
      <c r="M61" s="16">
        <v>2</v>
      </c>
      <c r="N61" s="16">
        <v>1</v>
      </c>
      <c r="O61" s="16">
        <v>2</v>
      </c>
      <c r="P61" s="16">
        <v>1</v>
      </c>
      <c r="Q61" s="16">
        <v>0</v>
      </c>
      <c r="R61" s="16">
        <v>0</v>
      </c>
      <c r="S61" s="16">
        <v>0</v>
      </c>
      <c r="T61" s="16">
        <v>0</v>
      </c>
      <c r="U61" s="16">
        <v>4</v>
      </c>
      <c r="V61" s="16">
        <v>1</v>
      </c>
      <c r="W61" s="16">
        <v>1</v>
      </c>
      <c r="X61" s="16">
        <v>2</v>
      </c>
      <c r="Y61" s="16">
        <v>1</v>
      </c>
      <c r="Z61" s="16">
        <v>1</v>
      </c>
      <c r="AA61" s="16">
        <v>1</v>
      </c>
      <c r="AB61" s="16">
        <v>1</v>
      </c>
      <c r="AC61" s="16">
        <v>3</v>
      </c>
      <c r="AD61" s="16">
        <v>1</v>
      </c>
      <c r="AE61" s="16">
        <v>1</v>
      </c>
      <c r="AF61" s="16">
        <v>0</v>
      </c>
      <c r="AG61" s="16">
        <v>0</v>
      </c>
      <c r="AH61" s="13">
        <f t="shared" si="15"/>
        <v>39</v>
      </c>
    </row>
    <row r="62" spans="1:34" ht="12.75" customHeight="1" x14ac:dyDescent="0.4">
      <c r="A62" s="15"/>
      <c r="B62" s="28"/>
      <c r="C62" s="29" t="s">
        <v>51</v>
      </c>
      <c r="D62" s="30"/>
      <c r="E62" s="16">
        <v>1</v>
      </c>
      <c r="F62" s="16">
        <v>1</v>
      </c>
      <c r="G62" s="16">
        <v>1</v>
      </c>
      <c r="H62" s="16">
        <v>1</v>
      </c>
      <c r="I62" s="16">
        <v>2</v>
      </c>
      <c r="J62" s="16">
        <v>1</v>
      </c>
      <c r="K62" s="16">
        <v>0</v>
      </c>
      <c r="L62" s="16">
        <v>0</v>
      </c>
      <c r="M62" s="16">
        <v>1</v>
      </c>
      <c r="N62" s="16">
        <v>0</v>
      </c>
      <c r="O62" s="16">
        <v>2</v>
      </c>
      <c r="P62" s="16">
        <v>1</v>
      </c>
      <c r="Q62" s="16">
        <v>1</v>
      </c>
      <c r="R62" s="16">
        <v>1</v>
      </c>
      <c r="S62" s="16">
        <v>0</v>
      </c>
      <c r="T62" s="16">
        <v>6</v>
      </c>
      <c r="U62" s="16">
        <v>0</v>
      </c>
      <c r="V62" s="16">
        <v>1</v>
      </c>
      <c r="W62" s="16">
        <v>0</v>
      </c>
      <c r="X62" s="16">
        <v>1</v>
      </c>
      <c r="Y62" s="16">
        <v>0</v>
      </c>
      <c r="Z62" s="16">
        <v>0</v>
      </c>
      <c r="AA62" s="16">
        <v>8</v>
      </c>
      <c r="AB62" s="16">
        <v>0</v>
      </c>
      <c r="AC62" s="16">
        <v>0</v>
      </c>
      <c r="AD62" s="16">
        <v>1</v>
      </c>
      <c r="AE62" s="16">
        <v>0</v>
      </c>
      <c r="AF62" s="16">
        <v>0</v>
      </c>
      <c r="AG62" s="16">
        <v>1</v>
      </c>
      <c r="AH62" s="13">
        <f t="shared" si="15"/>
        <v>31</v>
      </c>
    </row>
    <row r="63" spans="1:34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0</v>
      </c>
      <c r="G63" s="16">
        <v>0</v>
      </c>
      <c r="H63" s="16">
        <v>0</v>
      </c>
      <c r="I63" s="16">
        <v>0</v>
      </c>
      <c r="J63" s="16">
        <v>0</v>
      </c>
      <c r="K63" s="16">
        <v>1</v>
      </c>
      <c r="L63" s="16">
        <v>0</v>
      </c>
      <c r="M63" s="16">
        <v>0</v>
      </c>
      <c r="N63" s="16">
        <v>0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1</v>
      </c>
      <c r="U63" s="16">
        <v>1</v>
      </c>
      <c r="V63" s="16">
        <v>0</v>
      </c>
      <c r="W63" s="16">
        <v>0</v>
      </c>
      <c r="X63" s="16">
        <v>0</v>
      </c>
      <c r="Y63" s="16">
        <v>1</v>
      </c>
      <c r="Z63" s="16">
        <v>0</v>
      </c>
      <c r="AA63" s="16">
        <v>0</v>
      </c>
      <c r="AB63" s="16">
        <v>0</v>
      </c>
      <c r="AC63" s="16">
        <v>2</v>
      </c>
      <c r="AD63" s="16">
        <v>0</v>
      </c>
      <c r="AE63" s="16">
        <v>2</v>
      </c>
      <c r="AF63" s="16">
        <v>0</v>
      </c>
      <c r="AG63" s="16">
        <v>0</v>
      </c>
      <c r="AH63" s="13">
        <f t="shared" si="15"/>
        <v>8</v>
      </c>
    </row>
    <row r="64" spans="1:34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13">
        <f t="shared" si="15"/>
        <v>0</v>
      </c>
    </row>
    <row r="65" spans="1:34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13">
        <f t="shared" si="15"/>
        <v>0</v>
      </c>
    </row>
    <row r="66" spans="1:34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13">
        <f t="shared" si="15"/>
        <v>0</v>
      </c>
    </row>
    <row r="67" spans="1:34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AH67" si="16">SUM(E57:E66)</f>
        <v>25</v>
      </c>
      <c r="F67" s="13">
        <f t="shared" si="16"/>
        <v>33</v>
      </c>
      <c r="G67" s="13">
        <f t="shared" si="16"/>
        <v>11</v>
      </c>
      <c r="H67" s="13">
        <f t="shared" si="16"/>
        <v>10</v>
      </c>
      <c r="I67" s="13">
        <f t="shared" si="16"/>
        <v>16</v>
      </c>
      <c r="J67" s="13">
        <f t="shared" si="16"/>
        <v>7</v>
      </c>
      <c r="K67" s="13">
        <f t="shared" si="16"/>
        <v>15</v>
      </c>
      <c r="L67" s="13">
        <f t="shared" si="16"/>
        <v>24</v>
      </c>
      <c r="M67" s="13">
        <f t="shared" si="16"/>
        <v>14</v>
      </c>
      <c r="N67" s="13">
        <f t="shared" si="16"/>
        <v>15</v>
      </c>
      <c r="O67" s="13">
        <f t="shared" si="16"/>
        <v>17</v>
      </c>
      <c r="P67" s="13">
        <f t="shared" si="16"/>
        <v>14</v>
      </c>
      <c r="Q67" s="13">
        <f t="shared" si="16"/>
        <v>15</v>
      </c>
      <c r="R67" s="13">
        <f t="shared" si="16"/>
        <v>17</v>
      </c>
      <c r="S67" s="13">
        <f t="shared" si="16"/>
        <v>9</v>
      </c>
      <c r="T67" s="13">
        <f t="shared" si="16"/>
        <v>12</v>
      </c>
      <c r="U67" s="13">
        <f t="shared" si="16"/>
        <v>11</v>
      </c>
      <c r="V67" s="13">
        <f t="shared" si="16"/>
        <v>12</v>
      </c>
      <c r="W67" s="13">
        <f t="shared" si="16"/>
        <v>11</v>
      </c>
      <c r="X67" s="13">
        <f t="shared" si="16"/>
        <v>21</v>
      </c>
      <c r="Y67" s="13">
        <f t="shared" si="16"/>
        <v>14</v>
      </c>
      <c r="Z67" s="13">
        <f t="shared" si="16"/>
        <v>13</v>
      </c>
      <c r="AA67" s="13">
        <f t="shared" si="16"/>
        <v>22</v>
      </c>
      <c r="AB67" s="13">
        <f t="shared" si="16"/>
        <v>23</v>
      </c>
      <c r="AC67" s="13">
        <f t="shared" si="16"/>
        <v>21</v>
      </c>
      <c r="AD67" s="13">
        <f t="shared" si="16"/>
        <v>8</v>
      </c>
      <c r="AE67" s="13">
        <f t="shared" si="16"/>
        <v>17</v>
      </c>
      <c r="AF67" s="13">
        <f t="shared" si="16"/>
        <v>8</v>
      </c>
      <c r="AG67" s="13">
        <f t="shared" si="16"/>
        <v>8</v>
      </c>
      <c r="AH67" s="13">
        <f t="shared" si="16"/>
        <v>443</v>
      </c>
    </row>
    <row r="68" spans="1:34" ht="12.75" customHeight="1" x14ac:dyDescent="0.4">
      <c r="A68" s="86"/>
      <c r="B68" s="68"/>
      <c r="C68" s="68"/>
      <c r="D68" s="68"/>
      <c r="E68" s="68"/>
    </row>
    <row r="69" spans="1:34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7</v>
      </c>
      <c r="F69" s="16">
        <v>11</v>
      </c>
      <c r="G69" s="16">
        <v>13</v>
      </c>
      <c r="H69" s="16">
        <v>5</v>
      </c>
      <c r="I69" s="16">
        <v>9</v>
      </c>
      <c r="J69" s="16">
        <v>6</v>
      </c>
      <c r="K69" s="16">
        <v>3</v>
      </c>
      <c r="L69" s="16">
        <v>4</v>
      </c>
      <c r="M69" s="16">
        <v>7</v>
      </c>
      <c r="N69" s="16">
        <v>2</v>
      </c>
      <c r="O69" s="16">
        <v>5</v>
      </c>
      <c r="P69" s="16">
        <v>3</v>
      </c>
      <c r="Q69" s="16">
        <v>7</v>
      </c>
      <c r="R69" s="16">
        <v>4</v>
      </c>
      <c r="S69" s="16">
        <v>2</v>
      </c>
      <c r="T69" s="16">
        <v>7</v>
      </c>
      <c r="U69" s="16">
        <v>8</v>
      </c>
      <c r="V69" s="16">
        <v>8</v>
      </c>
      <c r="W69" s="16">
        <v>1</v>
      </c>
      <c r="X69" s="16">
        <v>8</v>
      </c>
      <c r="Y69" s="16">
        <v>6</v>
      </c>
      <c r="Z69" s="16">
        <v>8</v>
      </c>
      <c r="AA69" s="16">
        <v>5</v>
      </c>
      <c r="AB69" s="16">
        <v>2</v>
      </c>
      <c r="AC69" s="16">
        <v>10</v>
      </c>
      <c r="AD69" s="16">
        <v>1</v>
      </c>
      <c r="AE69" s="16">
        <v>2</v>
      </c>
      <c r="AF69" s="16">
        <v>4</v>
      </c>
      <c r="AG69" s="16">
        <v>2</v>
      </c>
      <c r="AH69" s="13">
        <f t="shared" ref="AH69:AH78" si="17">SUM(E69:AG69)</f>
        <v>160</v>
      </c>
    </row>
    <row r="70" spans="1:34" ht="12.75" customHeight="1" x14ac:dyDescent="0.4">
      <c r="A70" s="20" t="s">
        <v>38</v>
      </c>
      <c r="B70" s="28"/>
      <c r="C70" s="29" t="s">
        <v>54</v>
      </c>
      <c r="D70" s="30"/>
      <c r="E70" s="16">
        <v>2</v>
      </c>
      <c r="F70" s="16">
        <v>4</v>
      </c>
      <c r="G70" s="16">
        <v>3</v>
      </c>
      <c r="H70" s="16">
        <v>1</v>
      </c>
      <c r="I70" s="16">
        <v>7</v>
      </c>
      <c r="J70" s="16">
        <v>7</v>
      </c>
      <c r="K70" s="16">
        <v>3</v>
      </c>
      <c r="L70" s="16">
        <v>6</v>
      </c>
      <c r="M70" s="16">
        <v>9</v>
      </c>
      <c r="N70" s="16">
        <v>3</v>
      </c>
      <c r="O70" s="16">
        <v>5</v>
      </c>
      <c r="P70" s="16">
        <v>4</v>
      </c>
      <c r="Q70" s="16">
        <v>3</v>
      </c>
      <c r="R70" s="16">
        <v>5</v>
      </c>
      <c r="S70" s="16">
        <v>4</v>
      </c>
      <c r="T70" s="16">
        <v>1</v>
      </c>
      <c r="U70" s="16">
        <v>1</v>
      </c>
      <c r="V70" s="16">
        <v>3</v>
      </c>
      <c r="W70" s="16">
        <v>2</v>
      </c>
      <c r="X70" s="16">
        <v>5</v>
      </c>
      <c r="Y70" s="16">
        <v>4</v>
      </c>
      <c r="Z70" s="16">
        <v>7</v>
      </c>
      <c r="AA70" s="16">
        <v>0</v>
      </c>
      <c r="AB70" s="16">
        <v>8</v>
      </c>
      <c r="AC70" s="16">
        <v>0</v>
      </c>
      <c r="AD70" s="16">
        <v>1</v>
      </c>
      <c r="AE70" s="16">
        <v>2</v>
      </c>
      <c r="AF70" s="16">
        <v>1</v>
      </c>
      <c r="AG70" s="16">
        <v>2</v>
      </c>
      <c r="AH70" s="13">
        <f t="shared" si="17"/>
        <v>103</v>
      </c>
    </row>
    <row r="71" spans="1:34" ht="12.75" customHeight="1" x14ac:dyDescent="0.4">
      <c r="A71" s="15"/>
      <c r="B71" s="28"/>
      <c r="C71" s="29" t="s">
        <v>55</v>
      </c>
      <c r="D71" s="30"/>
      <c r="E71" s="16">
        <v>4</v>
      </c>
      <c r="F71" s="16">
        <v>10</v>
      </c>
      <c r="G71" s="16">
        <v>9</v>
      </c>
      <c r="H71" s="16">
        <v>4</v>
      </c>
      <c r="I71" s="16">
        <v>0</v>
      </c>
      <c r="J71" s="16">
        <v>4</v>
      </c>
      <c r="K71" s="16">
        <v>1</v>
      </c>
      <c r="L71" s="16">
        <v>5</v>
      </c>
      <c r="M71" s="16">
        <v>1</v>
      </c>
      <c r="N71" s="16">
        <v>1</v>
      </c>
      <c r="O71" s="16">
        <v>1</v>
      </c>
      <c r="P71" s="16">
        <v>3</v>
      </c>
      <c r="Q71" s="16">
        <v>2</v>
      </c>
      <c r="R71" s="16">
        <v>4</v>
      </c>
      <c r="S71" s="16">
        <v>3</v>
      </c>
      <c r="T71" s="16">
        <v>2</v>
      </c>
      <c r="U71" s="16">
        <v>1</v>
      </c>
      <c r="V71" s="16">
        <v>40</v>
      </c>
      <c r="W71" s="16">
        <v>3</v>
      </c>
      <c r="X71" s="16">
        <v>4</v>
      </c>
      <c r="Y71" s="16">
        <v>11</v>
      </c>
      <c r="Z71" s="16">
        <v>6</v>
      </c>
      <c r="AA71" s="16">
        <v>0</v>
      </c>
      <c r="AB71" s="16">
        <v>4</v>
      </c>
      <c r="AC71" s="16">
        <v>5</v>
      </c>
      <c r="AD71" s="16">
        <v>4</v>
      </c>
      <c r="AE71" s="16">
        <v>0</v>
      </c>
      <c r="AF71" s="16">
        <v>7</v>
      </c>
      <c r="AG71" s="16">
        <v>4</v>
      </c>
      <c r="AH71" s="13">
        <f t="shared" si="17"/>
        <v>143</v>
      </c>
    </row>
    <row r="72" spans="1:34" ht="12.75" customHeight="1" x14ac:dyDescent="0.4">
      <c r="A72" s="15"/>
      <c r="B72" s="28"/>
      <c r="C72" s="29" t="s">
        <v>56</v>
      </c>
      <c r="D72" s="30"/>
      <c r="E72" s="16">
        <v>9</v>
      </c>
      <c r="F72" s="16">
        <v>7</v>
      </c>
      <c r="G72" s="16">
        <v>31</v>
      </c>
      <c r="H72" s="16">
        <v>45</v>
      </c>
      <c r="I72" s="16">
        <v>1</v>
      </c>
      <c r="J72" s="16">
        <v>5</v>
      </c>
      <c r="K72" s="16">
        <v>9</v>
      </c>
      <c r="L72" s="16">
        <v>5</v>
      </c>
      <c r="M72" s="16">
        <v>9</v>
      </c>
      <c r="N72" s="16">
        <v>6</v>
      </c>
      <c r="O72" s="16">
        <v>3</v>
      </c>
      <c r="P72" s="16">
        <v>5</v>
      </c>
      <c r="Q72" s="16">
        <v>2</v>
      </c>
      <c r="R72" s="16">
        <v>6</v>
      </c>
      <c r="S72" s="16">
        <v>5</v>
      </c>
      <c r="T72" s="16">
        <v>5</v>
      </c>
      <c r="U72" s="16">
        <v>12</v>
      </c>
      <c r="V72" s="16">
        <v>3</v>
      </c>
      <c r="W72" s="16">
        <v>7</v>
      </c>
      <c r="X72" s="16">
        <v>6</v>
      </c>
      <c r="Y72" s="16">
        <v>7</v>
      </c>
      <c r="Z72" s="16">
        <v>1</v>
      </c>
      <c r="AA72" s="16">
        <v>31</v>
      </c>
      <c r="AB72" s="16">
        <v>2</v>
      </c>
      <c r="AC72" s="16">
        <v>8</v>
      </c>
      <c r="AD72" s="16">
        <v>3</v>
      </c>
      <c r="AE72" s="16">
        <v>3</v>
      </c>
      <c r="AF72" s="16">
        <v>1</v>
      </c>
      <c r="AG72" s="16">
        <v>2</v>
      </c>
      <c r="AH72" s="13">
        <f t="shared" si="17"/>
        <v>239</v>
      </c>
    </row>
    <row r="73" spans="1:34" ht="12.75" customHeight="1" x14ac:dyDescent="0.4">
      <c r="A73" s="15"/>
      <c r="B73" s="28"/>
      <c r="C73" s="29" t="s">
        <v>57</v>
      </c>
      <c r="D73" s="30"/>
      <c r="E73" s="16">
        <v>0</v>
      </c>
      <c r="F73" s="16">
        <v>3</v>
      </c>
      <c r="G73" s="16">
        <v>1</v>
      </c>
      <c r="H73" s="16">
        <v>0</v>
      </c>
      <c r="I73" s="16">
        <v>1</v>
      </c>
      <c r="J73" s="16">
        <v>0</v>
      </c>
      <c r="K73" s="16">
        <v>1</v>
      </c>
      <c r="L73" s="16">
        <v>5</v>
      </c>
      <c r="M73" s="16">
        <v>0</v>
      </c>
      <c r="N73" s="16">
        <v>0</v>
      </c>
      <c r="O73" s="16">
        <v>2</v>
      </c>
      <c r="P73" s="16">
        <v>3</v>
      </c>
      <c r="Q73" s="16">
        <v>2</v>
      </c>
      <c r="R73" s="16">
        <v>2</v>
      </c>
      <c r="S73" s="16">
        <v>0</v>
      </c>
      <c r="T73" s="16">
        <v>1</v>
      </c>
      <c r="U73" s="16">
        <v>0</v>
      </c>
      <c r="V73" s="16">
        <v>0</v>
      </c>
      <c r="W73" s="16">
        <v>1</v>
      </c>
      <c r="X73" s="16">
        <v>0</v>
      </c>
      <c r="Y73" s="16">
        <v>0</v>
      </c>
      <c r="Z73" s="16">
        <v>0</v>
      </c>
      <c r="AA73" s="16">
        <v>2</v>
      </c>
      <c r="AB73" s="16">
        <v>0</v>
      </c>
      <c r="AC73" s="16">
        <v>1</v>
      </c>
      <c r="AD73" s="16">
        <v>0</v>
      </c>
      <c r="AE73" s="16">
        <v>0</v>
      </c>
      <c r="AF73" s="16">
        <v>0</v>
      </c>
      <c r="AG73" s="16">
        <v>0</v>
      </c>
      <c r="AH73" s="13">
        <f t="shared" si="17"/>
        <v>25</v>
      </c>
    </row>
    <row r="74" spans="1:34" ht="12.75" customHeight="1" x14ac:dyDescent="0.4">
      <c r="A74" s="15"/>
      <c r="B74" s="28"/>
      <c r="C74" s="29" t="s">
        <v>58</v>
      </c>
      <c r="D74" s="30"/>
      <c r="E74" s="16">
        <v>5</v>
      </c>
      <c r="F74" s="16">
        <v>1</v>
      </c>
      <c r="G74" s="16">
        <v>7</v>
      </c>
      <c r="H74" s="16">
        <v>5</v>
      </c>
      <c r="I74" s="16">
        <v>0</v>
      </c>
      <c r="J74" s="16">
        <v>2</v>
      </c>
      <c r="K74" s="16">
        <v>2</v>
      </c>
      <c r="L74" s="16">
        <v>9</v>
      </c>
      <c r="M74" s="16">
        <v>3</v>
      </c>
      <c r="N74" s="16">
        <v>19</v>
      </c>
      <c r="O74" s="16">
        <v>5</v>
      </c>
      <c r="P74" s="16">
        <v>3</v>
      </c>
      <c r="Q74" s="16">
        <v>11</v>
      </c>
      <c r="R74" s="16">
        <v>7</v>
      </c>
      <c r="S74" s="16">
        <v>1</v>
      </c>
      <c r="T74" s="16">
        <v>3</v>
      </c>
      <c r="U74" s="16">
        <v>0</v>
      </c>
      <c r="V74" s="16">
        <v>1</v>
      </c>
      <c r="W74" s="16">
        <v>0</v>
      </c>
      <c r="X74" s="16">
        <v>5</v>
      </c>
      <c r="Y74" s="16">
        <v>16</v>
      </c>
      <c r="Z74" s="16">
        <v>7</v>
      </c>
      <c r="AA74" s="16">
        <v>2</v>
      </c>
      <c r="AB74" s="16">
        <v>2</v>
      </c>
      <c r="AC74" s="16">
        <v>8</v>
      </c>
      <c r="AD74" s="16">
        <v>5</v>
      </c>
      <c r="AE74" s="16">
        <v>5</v>
      </c>
      <c r="AF74" s="16">
        <v>2</v>
      </c>
      <c r="AG74" s="16">
        <v>0</v>
      </c>
      <c r="AH74" s="13">
        <f t="shared" si="17"/>
        <v>136</v>
      </c>
    </row>
    <row r="75" spans="1:34" ht="12.75" customHeight="1" x14ac:dyDescent="0.4">
      <c r="A75" s="15"/>
      <c r="B75" s="28"/>
      <c r="C75" s="29" t="s">
        <v>59</v>
      </c>
      <c r="D75" s="30"/>
      <c r="E75" s="16">
        <v>5</v>
      </c>
      <c r="F75" s="16">
        <v>0</v>
      </c>
      <c r="G75" s="16">
        <v>1</v>
      </c>
      <c r="H75" s="16">
        <v>1</v>
      </c>
      <c r="I75" s="16">
        <v>1</v>
      </c>
      <c r="J75" s="16">
        <v>1</v>
      </c>
      <c r="K75" s="16">
        <v>2</v>
      </c>
      <c r="L75" s="16">
        <v>4</v>
      </c>
      <c r="M75" s="16">
        <v>2</v>
      </c>
      <c r="N75" s="16">
        <v>1</v>
      </c>
      <c r="O75" s="16">
        <v>2</v>
      </c>
      <c r="P75" s="16">
        <v>5</v>
      </c>
      <c r="Q75" s="16">
        <v>4</v>
      </c>
      <c r="R75" s="16">
        <v>6</v>
      </c>
      <c r="S75" s="16">
        <v>5</v>
      </c>
      <c r="T75" s="16">
        <v>1</v>
      </c>
      <c r="U75" s="16">
        <v>2</v>
      </c>
      <c r="V75" s="16">
        <v>4</v>
      </c>
      <c r="W75" s="16">
        <v>1</v>
      </c>
      <c r="X75" s="16">
        <v>5</v>
      </c>
      <c r="Y75" s="16">
        <v>8</v>
      </c>
      <c r="Z75" s="16">
        <v>5</v>
      </c>
      <c r="AA75" s="16">
        <v>1</v>
      </c>
      <c r="AB75" s="16">
        <v>3</v>
      </c>
      <c r="AC75" s="16">
        <v>5</v>
      </c>
      <c r="AD75" s="16">
        <v>0</v>
      </c>
      <c r="AE75" s="16">
        <v>1</v>
      </c>
      <c r="AF75" s="16">
        <v>0</v>
      </c>
      <c r="AG75" s="16">
        <v>0</v>
      </c>
      <c r="AH75" s="13">
        <f t="shared" si="17"/>
        <v>76</v>
      </c>
    </row>
    <row r="76" spans="1:34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13">
        <f t="shared" si="17"/>
        <v>0</v>
      </c>
    </row>
    <row r="77" spans="1:34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13">
        <f t="shared" si="17"/>
        <v>0</v>
      </c>
    </row>
    <row r="78" spans="1:34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13">
        <f t="shared" si="17"/>
        <v>0</v>
      </c>
    </row>
    <row r="79" spans="1:34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AH79" si="18">SUM(E69:E78)</f>
        <v>32</v>
      </c>
      <c r="F79" s="13">
        <f t="shared" si="18"/>
        <v>36</v>
      </c>
      <c r="G79" s="13">
        <f t="shared" si="18"/>
        <v>65</v>
      </c>
      <c r="H79" s="13">
        <f t="shared" si="18"/>
        <v>61</v>
      </c>
      <c r="I79" s="13">
        <f t="shared" si="18"/>
        <v>19</v>
      </c>
      <c r="J79" s="13">
        <f t="shared" si="18"/>
        <v>25</v>
      </c>
      <c r="K79" s="13">
        <f t="shared" si="18"/>
        <v>21</v>
      </c>
      <c r="L79" s="13">
        <f t="shared" si="18"/>
        <v>38</v>
      </c>
      <c r="M79" s="13">
        <f t="shared" si="18"/>
        <v>31</v>
      </c>
      <c r="N79" s="13">
        <f t="shared" si="18"/>
        <v>32</v>
      </c>
      <c r="O79" s="13">
        <f t="shared" si="18"/>
        <v>23</v>
      </c>
      <c r="P79" s="13">
        <f t="shared" si="18"/>
        <v>26</v>
      </c>
      <c r="Q79" s="13">
        <f t="shared" si="18"/>
        <v>31</v>
      </c>
      <c r="R79" s="13">
        <f t="shared" si="18"/>
        <v>34</v>
      </c>
      <c r="S79" s="13">
        <f t="shared" si="18"/>
        <v>20</v>
      </c>
      <c r="T79" s="13">
        <f t="shared" si="18"/>
        <v>20</v>
      </c>
      <c r="U79" s="13">
        <f t="shared" si="18"/>
        <v>24</v>
      </c>
      <c r="V79" s="13">
        <f t="shared" si="18"/>
        <v>59</v>
      </c>
      <c r="W79" s="13">
        <f t="shared" si="18"/>
        <v>15</v>
      </c>
      <c r="X79" s="13">
        <f t="shared" si="18"/>
        <v>33</v>
      </c>
      <c r="Y79" s="13">
        <f t="shared" si="18"/>
        <v>52</v>
      </c>
      <c r="Z79" s="13">
        <f t="shared" si="18"/>
        <v>34</v>
      </c>
      <c r="AA79" s="13">
        <f t="shared" si="18"/>
        <v>41</v>
      </c>
      <c r="AB79" s="13">
        <f t="shared" si="18"/>
        <v>21</v>
      </c>
      <c r="AC79" s="13">
        <f t="shared" si="18"/>
        <v>37</v>
      </c>
      <c r="AD79" s="13">
        <f t="shared" si="18"/>
        <v>14</v>
      </c>
      <c r="AE79" s="13">
        <f t="shared" si="18"/>
        <v>13</v>
      </c>
      <c r="AF79" s="13">
        <f t="shared" si="18"/>
        <v>15</v>
      </c>
      <c r="AG79" s="13">
        <f t="shared" si="18"/>
        <v>10</v>
      </c>
      <c r="AH79" s="13">
        <f t="shared" si="18"/>
        <v>882</v>
      </c>
    </row>
    <row r="80" spans="1:34" ht="12.75" customHeight="1" x14ac:dyDescent="0.4">
      <c r="A80" s="86"/>
      <c r="B80" s="68"/>
      <c r="C80" s="68"/>
      <c r="D80" s="68"/>
      <c r="E80" s="68"/>
    </row>
    <row r="81" spans="1:34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4</v>
      </c>
      <c r="F81" s="16">
        <v>2</v>
      </c>
      <c r="G81" s="16">
        <v>4</v>
      </c>
      <c r="H81" s="16">
        <v>3</v>
      </c>
      <c r="I81" s="16">
        <v>2</v>
      </c>
      <c r="J81" s="16">
        <v>1</v>
      </c>
      <c r="K81" s="16">
        <v>0</v>
      </c>
      <c r="L81" s="16">
        <v>3</v>
      </c>
      <c r="M81" s="16">
        <v>1</v>
      </c>
      <c r="N81" s="16">
        <v>3</v>
      </c>
      <c r="O81" s="16">
        <v>3</v>
      </c>
      <c r="P81" s="16">
        <v>6</v>
      </c>
      <c r="Q81" s="16">
        <v>3</v>
      </c>
      <c r="R81" s="16">
        <v>2</v>
      </c>
      <c r="S81" s="16">
        <v>3</v>
      </c>
      <c r="T81" s="16">
        <v>2</v>
      </c>
      <c r="U81" s="16">
        <v>1</v>
      </c>
      <c r="V81" s="16">
        <v>4</v>
      </c>
      <c r="W81" s="16">
        <v>0</v>
      </c>
      <c r="X81" s="16">
        <v>5</v>
      </c>
      <c r="Y81" s="16">
        <v>3</v>
      </c>
      <c r="Z81" s="16">
        <v>3</v>
      </c>
      <c r="AA81" s="16">
        <v>1</v>
      </c>
      <c r="AB81" s="16">
        <v>8</v>
      </c>
      <c r="AC81" s="16">
        <v>4</v>
      </c>
      <c r="AD81" s="16">
        <v>2</v>
      </c>
      <c r="AE81" s="16">
        <v>2</v>
      </c>
      <c r="AF81" s="16">
        <v>0</v>
      </c>
      <c r="AG81" s="16">
        <v>0</v>
      </c>
      <c r="AH81" s="13">
        <f t="shared" ref="AH81:AH90" si="19">SUM(E81:AG81)</f>
        <v>75</v>
      </c>
    </row>
    <row r="82" spans="1:34" ht="12.75" customHeight="1" x14ac:dyDescent="0.4">
      <c r="A82" s="20" t="s">
        <v>38</v>
      </c>
      <c r="B82" s="28"/>
      <c r="C82" s="29" t="s">
        <v>61</v>
      </c>
      <c r="D82" s="30"/>
      <c r="E82" s="16">
        <v>4</v>
      </c>
      <c r="F82" s="16">
        <v>7</v>
      </c>
      <c r="G82" s="16">
        <v>3</v>
      </c>
      <c r="H82" s="16">
        <v>2</v>
      </c>
      <c r="I82" s="16">
        <v>1</v>
      </c>
      <c r="J82" s="16">
        <v>5</v>
      </c>
      <c r="K82" s="16">
        <v>7</v>
      </c>
      <c r="L82" s="16">
        <v>2</v>
      </c>
      <c r="M82" s="16">
        <v>8</v>
      </c>
      <c r="N82" s="16">
        <v>7</v>
      </c>
      <c r="O82" s="16">
        <v>24</v>
      </c>
      <c r="P82" s="16">
        <v>8</v>
      </c>
      <c r="Q82" s="16">
        <v>11</v>
      </c>
      <c r="R82" s="16">
        <v>3</v>
      </c>
      <c r="S82" s="16">
        <v>0</v>
      </c>
      <c r="T82" s="16">
        <v>2</v>
      </c>
      <c r="U82" s="16">
        <v>3</v>
      </c>
      <c r="V82" s="16">
        <v>1</v>
      </c>
      <c r="W82" s="16">
        <v>3</v>
      </c>
      <c r="X82" s="16">
        <v>11</v>
      </c>
      <c r="Y82" s="16">
        <v>10</v>
      </c>
      <c r="Z82" s="16">
        <v>12</v>
      </c>
      <c r="AA82" s="16">
        <v>2</v>
      </c>
      <c r="AB82" s="16">
        <v>5</v>
      </c>
      <c r="AC82" s="16">
        <v>5</v>
      </c>
      <c r="AD82" s="16">
        <v>3</v>
      </c>
      <c r="AE82" s="16">
        <v>2</v>
      </c>
      <c r="AF82" s="16">
        <v>3</v>
      </c>
      <c r="AG82" s="16">
        <v>0</v>
      </c>
      <c r="AH82" s="13">
        <f t="shared" si="19"/>
        <v>154</v>
      </c>
    </row>
    <row r="83" spans="1:34" ht="12.75" customHeight="1" x14ac:dyDescent="0.4">
      <c r="A83" s="15"/>
      <c r="B83" s="28"/>
      <c r="C83" s="29" t="s">
        <v>62</v>
      </c>
      <c r="D83" s="30"/>
      <c r="E83" s="16">
        <v>1</v>
      </c>
      <c r="F83" s="16">
        <v>0</v>
      </c>
      <c r="G83" s="16">
        <v>1</v>
      </c>
      <c r="H83" s="16">
        <v>0</v>
      </c>
      <c r="I83" s="16">
        <v>0</v>
      </c>
      <c r="J83" s="16">
        <v>2</v>
      </c>
      <c r="K83" s="16">
        <v>1</v>
      </c>
      <c r="L83" s="16">
        <v>0</v>
      </c>
      <c r="M83" s="16">
        <v>0</v>
      </c>
      <c r="N83" s="16">
        <v>1</v>
      </c>
      <c r="O83" s="16">
        <v>1</v>
      </c>
      <c r="P83" s="16">
        <v>3</v>
      </c>
      <c r="Q83" s="16">
        <v>0</v>
      </c>
      <c r="R83" s="16">
        <v>0</v>
      </c>
      <c r="S83" s="16">
        <v>1</v>
      </c>
      <c r="T83" s="16">
        <v>0</v>
      </c>
      <c r="U83" s="16">
        <v>0</v>
      </c>
      <c r="V83" s="16">
        <v>0</v>
      </c>
      <c r="W83" s="16">
        <v>0</v>
      </c>
      <c r="X83" s="16">
        <v>3</v>
      </c>
      <c r="Y83" s="16">
        <v>0</v>
      </c>
      <c r="Z83" s="16">
        <v>0</v>
      </c>
      <c r="AA83" s="16">
        <v>1</v>
      </c>
      <c r="AB83" s="16">
        <v>0</v>
      </c>
      <c r="AC83" s="16">
        <v>1</v>
      </c>
      <c r="AD83" s="16">
        <v>0</v>
      </c>
      <c r="AE83" s="16">
        <v>0</v>
      </c>
      <c r="AF83" s="16">
        <v>0</v>
      </c>
      <c r="AG83" s="16">
        <v>1</v>
      </c>
      <c r="AH83" s="13">
        <f t="shared" si="19"/>
        <v>17</v>
      </c>
    </row>
    <row r="84" spans="1:34" ht="12.75" customHeight="1" x14ac:dyDescent="0.4">
      <c r="A84" s="15"/>
      <c r="B84" s="28"/>
      <c r="C84" s="29" t="s">
        <v>63</v>
      </c>
      <c r="D84" s="30"/>
      <c r="E84" s="16">
        <v>0</v>
      </c>
      <c r="F84" s="16">
        <v>1</v>
      </c>
      <c r="G84" s="16">
        <v>1</v>
      </c>
      <c r="H84" s="16">
        <v>1</v>
      </c>
      <c r="I84" s="16">
        <v>0</v>
      </c>
      <c r="J84" s="16">
        <v>1</v>
      </c>
      <c r="K84" s="16">
        <v>0</v>
      </c>
      <c r="L84" s="16">
        <v>0</v>
      </c>
      <c r="M84" s="16">
        <v>0</v>
      </c>
      <c r="N84" s="16">
        <v>0</v>
      </c>
      <c r="O84" s="16">
        <v>1</v>
      </c>
      <c r="P84" s="16">
        <v>1</v>
      </c>
      <c r="Q84" s="16">
        <v>2</v>
      </c>
      <c r="R84" s="16">
        <v>0</v>
      </c>
      <c r="S84" s="16">
        <v>0</v>
      </c>
      <c r="T84" s="16">
        <v>0</v>
      </c>
      <c r="U84" s="16">
        <v>0</v>
      </c>
      <c r="V84" s="16">
        <v>1</v>
      </c>
      <c r="W84" s="16">
        <v>0</v>
      </c>
      <c r="X84" s="16">
        <v>2</v>
      </c>
      <c r="Y84" s="16">
        <v>2</v>
      </c>
      <c r="Z84" s="16">
        <v>5</v>
      </c>
      <c r="AA84" s="16">
        <v>0</v>
      </c>
      <c r="AB84" s="16">
        <v>1</v>
      </c>
      <c r="AC84" s="16">
        <v>0</v>
      </c>
      <c r="AD84" s="16">
        <v>0</v>
      </c>
      <c r="AE84" s="16">
        <v>1</v>
      </c>
      <c r="AF84" s="16">
        <v>1</v>
      </c>
      <c r="AG84" s="16">
        <v>0</v>
      </c>
      <c r="AH84" s="13">
        <f t="shared" si="19"/>
        <v>21</v>
      </c>
    </row>
    <row r="85" spans="1:34" ht="12.75" customHeight="1" x14ac:dyDescent="0.4">
      <c r="A85" s="15"/>
      <c r="B85" s="28"/>
      <c r="C85" s="29" t="s">
        <v>64</v>
      </c>
      <c r="D85" s="30"/>
      <c r="E85" s="16">
        <v>1</v>
      </c>
      <c r="F85" s="16">
        <v>1</v>
      </c>
      <c r="G85" s="16">
        <v>7</v>
      </c>
      <c r="H85" s="16">
        <v>4</v>
      </c>
      <c r="I85" s="16">
        <v>7</v>
      </c>
      <c r="J85" s="16">
        <v>0</v>
      </c>
      <c r="K85" s="16">
        <v>0</v>
      </c>
      <c r="L85" s="16">
        <v>1</v>
      </c>
      <c r="M85" s="16">
        <v>4</v>
      </c>
      <c r="N85" s="16">
        <v>2</v>
      </c>
      <c r="O85" s="16">
        <v>5</v>
      </c>
      <c r="P85" s="16">
        <v>1</v>
      </c>
      <c r="Q85" s="16">
        <v>3</v>
      </c>
      <c r="R85" s="16">
        <v>2</v>
      </c>
      <c r="S85" s="16">
        <v>2</v>
      </c>
      <c r="T85" s="16">
        <v>1</v>
      </c>
      <c r="U85" s="16">
        <v>0</v>
      </c>
      <c r="V85" s="16">
        <v>3</v>
      </c>
      <c r="W85" s="16">
        <v>1</v>
      </c>
      <c r="X85" s="16">
        <v>4</v>
      </c>
      <c r="Y85" s="16">
        <v>3</v>
      </c>
      <c r="Z85" s="16">
        <v>8</v>
      </c>
      <c r="AA85" s="16">
        <v>1</v>
      </c>
      <c r="AB85" s="16">
        <v>3</v>
      </c>
      <c r="AC85" s="16">
        <v>12</v>
      </c>
      <c r="AD85" s="16">
        <v>2</v>
      </c>
      <c r="AE85" s="16">
        <v>1</v>
      </c>
      <c r="AF85" s="16">
        <v>0</v>
      </c>
      <c r="AG85" s="16">
        <v>0</v>
      </c>
      <c r="AH85" s="13">
        <f t="shared" si="19"/>
        <v>79</v>
      </c>
    </row>
    <row r="86" spans="1:34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0</v>
      </c>
      <c r="H86" s="16">
        <v>1</v>
      </c>
      <c r="I86" s="16">
        <v>0</v>
      </c>
      <c r="J86" s="16">
        <v>0</v>
      </c>
      <c r="K86" s="16">
        <v>0</v>
      </c>
      <c r="L86" s="16">
        <v>1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1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6">
        <v>0</v>
      </c>
      <c r="AD86" s="16">
        <v>0</v>
      </c>
      <c r="AE86" s="16">
        <v>0</v>
      </c>
      <c r="AF86" s="16">
        <v>0</v>
      </c>
      <c r="AG86" s="16">
        <v>0</v>
      </c>
      <c r="AH86" s="13">
        <f t="shared" si="19"/>
        <v>3</v>
      </c>
    </row>
    <row r="87" spans="1:34" ht="12.75" customHeight="1" x14ac:dyDescent="0.4">
      <c r="A87" s="15"/>
      <c r="B87" s="28"/>
      <c r="C87" s="29" t="s">
        <v>66</v>
      </c>
      <c r="D87" s="30"/>
      <c r="E87" s="16">
        <v>3</v>
      </c>
      <c r="F87" s="16">
        <v>0</v>
      </c>
      <c r="G87" s="16">
        <v>4</v>
      </c>
      <c r="H87" s="16">
        <v>0</v>
      </c>
      <c r="I87" s="16">
        <v>0</v>
      </c>
      <c r="J87" s="16">
        <v>0</v>
      </c>
      <c r="K87" s="16">
        <v>3</v>
      </c>
      <c r="L87" s="16">
        <v>2</v>
      </c>
      <c r="M87" s="16">
        <v>2</v>
      </c>
      <c r="N87" s="16">
        <v>0</v>
      </c>
      <c r="O87" s="16">
        <v>2</v>
      </c>
      <c r="P87" s="16">
        <v>3</v>
      </c>
      <c r="Q87" s="16">
        <v>1</v>
      </c>
      <c r="R87" s="16">
        <v>5</v>
      </c>
      <c r="S87" s="16">
        <v>1</v>
      </c>
      <c r="T87" s="16">
        <v>0</v>
      </c>
      <c r="U87" s="16">
        <v>0</v>
      </c>
      <c r="V87" s="16">
        <v>2</v>
      </c>
      <c r="W87" s="16">
        <v>4</v>
      </c>
      <c r="X87" s="16">
        <v>2</v>
      </c>
      <c r="Y87" s="16">
        <v>2</v>
      </c>
      <c r="Z87" s="16">
        <v>1</v>
      </c>
      <c r="AA87" s="16">
        <v>2</v>
      </c>
      <c r="AB87" s="16">
        <v>0</v>
      </c>
      <c r="AC87" s="16">
        <v>2</v>
      </c>
      <c r="AD87" s="16">
        <v>2</v>
      </c>
      <c r="AE87" s="16">
        <v>0</v>
      </c>
      <c r="AF87" s="16">
        <v>0</v>
      </c>
      <c r="AG87" s="16">
        <v>1</v>
      </c>
      <c r="AH87" s="13">
        <f t="shared" si="19"/>
        <v>44</v>
      </c>
    </row>
    <row r="88" spans="1:34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13">
        <f t="shared" si="19"/>
        <v>0</v>
      </c>
    </row>
    <row r="89" spans="1:34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13">
        <f t="shared" si="19"/>
        <v>0</v>
      </c>
    </row>
    <row r="90" spans="1:34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13">
        <f t="shared" si="19"/>
        <v>0</v>
      </c>
    </row>
    <row r="91" spans="1:34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AH91" si="20">SUM(E81:E90)</f>
        <v>13</v>
      </c>
      <c r="F91" s="13">
        <f t="shared" si="20"/>
        <v>11</v>
      </c>
      <c r="G91" s="13">
        <f t="shared" si="20"/>
        <v>20</v>
      </c>
      <c r="H91" s="13">
        <f t="shared" si="20"/>
        <v>11</v>
      </c>
      <c r="I91" s="13">
        <f t="shared" si="20"/>
        <v>10</v>
      </c>
      <c r="J91" s="13">
        <f t="shared" si="20"/>
        <v>9</v>
      </c>
      <c r="K91" s="13">
        <f t="shared" si="20"/>
        <v>11</v>
      </c>
      <c r="L91" s="13">
        <f t="shared" si="20"/>
        <v>9</v>
      </c>
      <c r="M91" s="13">
        <f t="shared" si="20"/>
        <v>15</v>
      </c>
      <c r="N91" s="13">
        <f t="shared" si="20"/>
        <v>13</v>
      </c>
      <c r="O91" s="13">
        <f t="shared" si="20"/>
        <v>36</v>
      </c>
      <c r="P91" s="13">
        <f t="shared" si="20"/>
        <v>22</v>
      </c>
      <c r="Q91" s="13">
        <f t="shared" si="20"/>
        <v>20</v>
      </c>
      <c r="R91" s="13">
        <f t="shared" si="20"/>
        <v>12</v>
      </c>
      <c r="S91" s="13">
        <f t="shared" si="20"/>
        <v>8</v>
      </c>
      <c r="T91" s="13">
        <f t="shared" si="20"/>
        <v>5</v>
      </c>
      <c r="U91" s="13">
        <f t="shared" si="20"/>
        <v>4</v>
      </c>
      <c r="V91" s="13">
        <f t="shared" si="20"/>
        <v>11</v>
      </c>
      <c r="W91" s="13">
        <f t="shared" si="20"/>
        <v>8</v>
      </c>
      <c r="X91" s="13">
        <f t="shared" si="20"/>
        <v>27</v>
      </c>
      <c r="Y91" s="13">
        <f t="shared" si="20"/>
        <v>20</v>
      </c>
      <c r="Z91" s="13">
        <f t="shared" si="20"/>
        <v>29</v>
      </c>
      <c r="AA91" s="13">
        <f t="shared" si="20"/>
        <v>7</v>
      </c>
      <c r="AB91" s="13">
        <f t="shared" si="20"/>
        <v>17</v>
      </c>
      <c r="AC91" s="13">
        <f t="shared" si="20"/>
        <v>24</v>
      </c>
      <c r="AD91" s="13">
        <f t="shared" si="20"/>
        <v>9</v>
      </c>
      <c r="AE91" s="13">
        <f t="shared" si="20"/>
        <v>6</v>
      </c>
      <c r="AF91" s="13">
        <f t="shared" si="20"/>
        <v>4</v>
      </c>
      <c r="AG91" s="13">
        <f t="shared" si="20"/>
        <v>2</v>
      </c>
      <c r="AH91" s="13">
        <f t="shared" si="20"/>
        <v>393</v>
      </c>
    </row>
    <row r="92" spans="1:34" ht="12.75" customHeight="1" x14ac:dyDescent="0.4">
      <c r="A92" s="86"/>
      <c r="B92" s="68"/>
      <c r="C92" s="68"/>
      <c r="D92" s="68"/>
      <c r="E92" s="68"/>
    </row>
    <row r="93" spans="1:34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2</v>
      </c>
      <c r="F93" s="16">
        <v>1</v>
      </c>
      <c r="G93" s="16">
        <v>3</v>
      </c>
      <c r="H93" s="16">
        <v>1</v>
      </c>
      <c r="I93" s="16">
        <v>6</v>
      </c>
      <c r="J93" s="16">
        <v>1</v>
      </c>
      <c r="K93" s="16">
        <v>6</v>
      </c>
      <c r="L93" s="16">
        <v>1</v>
      </c>
      <c r="M93" s="16">
        <v>4</v>
      </c>
      <c r="N93" s="16">
        <v>0</v>
      </c>
      <c r="O93" s="16">
        <v>1</v>
      </c>
      <c r="P93" s="16">
        <v>1</v>
      </c>
      <c r="Q93" s="16">
        <v>1</v>
      </c>
      <c r="R93" s="16">
        <v>2</v>
      </c>
      <c r="S93" s="16">
        <v>0</v>
      </c>
      <c r="T93" s="16">
        <v>0</v>
      </c>
      <c r="U93" s="16">
        <v>1</v>
      </c>
      <c r="V93" s="16">
        <v>1</v>
      </c>
      <c r="W93" s="16">
        <v>2</v>
      </c>
      <c r="X93" s="16">
        <v>0</v>
      </c>
      <c r="Y93" s="16">
        <v>0</v>
      </c>
      <c r="Z93" s="16">
        <v>3</v>
      </c>
      <c r="AA93" s="16">
        <v>2</v>
      </c>
      <c r="AB93" s="16">
        <v>0</v>
      </c>
      <c r="AC93" s="16">
        <v>0</v>
      </c>
      <c r="AD93" s="16">
        <v>0</v>
      </c>
      <c r="AE93" s="16">
        <v>1</v>
      </c>
      <c r="AF93" s="16">
        <v>1</v>
      </c>
      <c r="AG93" s="16">
        <v>4</v>
      </c>
      <c r="AH93" s="13">
        <f t="shared" ref="AH93:AH102" si="21">SUM(E93:AG93)</f>
        <v>45</v>
      </c>
    </row>
    <row r="94" spans="1:34" ht="12.75" customHeight="1" x14ac:dyDescent="0.4">
      <c r="A94" s="20" t="s">
        <v>38</v>
      </c>
      <c r="B94" s="28"/>
      <c r="C94" s="29" t="s">
        <v>69</v>
      </c>
      <c r="D94" s="30"/>
      <c r="E94" s="16">
        <v>14</v>
      </c>
      <c r="F94" s="16">
        <v>10</v>
      </c>
      <c r="G94" s="16">
        <v>11</v>
      </c>
      <c r="H94" s="16">
        <v>32</v>
      </c>
      <c r="I94" s="16">
        <v>58</v>
      </c>
      <c r="J94" s="16">
        <v>40</v>
      </c>
      <c r="K94" s="16">
        <v>47</v>
      </c>
      <c r="L94" s="16">
        <v>5</v>
      </c>
      <c r="M94" s="16">
        <v>37</v>
      </c>
      <c r="N94" s="16">
        <v>4</v>
      </c>
      <c r="O94" s="16">
        <v>4</v>
      </c>
      <c r="P94" s="16">
        <v>1</v>
      </c>
      <c r="Q94" s="16">
        <v>6</v>
      </c>
      <c r="R94" s="16">
        <v>3</v>
      </c>
      <c r="S94" s="16">
        <v>0</v>
      </c>
      <c r="T94" s="16">
        <v>4</v>
      </c>
      <c r="U94" s="16">
        <v>10</v>
      </c>
      <c r="V94" s="16">
        <v>4</v>
      </c>
      <c r="W94" s="16">
        <v>6</v>
      </c>
      <c r="X94" s="16">
        <v>4</v>
      </c>
      <c r="Y94" s="16">
        <v>20</v>
      </c>
      <c r="Z94" s="16">
        <v>20</v>
      </c>
      <c r="AA94" s="16">
        <v>29</v>
      </c>
      <c r="AB94" s="16">
        <v>3</v>
      </c>
      <c r="AC94" s="16">
        <v>1</v>
      </c>
      <c r="AD94" s="16">
        <v>2</v>
      </c>
      <c r="AE94" s="16">
        <v>19</v>
      </c>
      <c r="AF94" s="16">
        <v>7</v>
      </c>
      <c r="AG94" s="16">
        <v>31</v>
      </c>
      <c r="AH94" s="13">
        <f t="shared" si="21"/>
        <v>432</v>
      </c>
    </row>
    <row r="95" spans="1:34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0</v>
      </c>
      <c r="G95" s="16">
        <v>0</v>
      </c>
      <c r="H95" s="16">
        <v>0</v>
      </c>
      <c r="I95" s="16">
        <v>1</v>
      </c>
      <c r="J95" s="16">
        <v>2</v>
      </c>
      <c r="K95" s="16">
        <v>0</v>
      </c>
      <c r="L95" s="16">
        <v>0</v>
      </c>
      <c r="M95" s="16">
        <v>0</v>
      </c>
      <c r="N95" s="16">
        <v>1</v>
      </c>
      <c r="O95" s="16">
        <v>0</v>
      </c>
      <c r="P95" s="16">
        <v>1</v>
      </c>
      <c r="Q95" s="16">
        <v>2</v>
      </c>
      <c r="R95" s="16">
        <v>2</v>
      </c>
      <c r="S95" s="16">
        <v>1</v>
      </c>
      <c r="T95" s="16">
        <v>2</v>
      </c>
      <c r="U95" s="16">
        <v>0</v>
      </c>
      <c r="V95" s="16">
        <v>3</v>
      </c>
      <c r="W95" s="16">
        <v>0</v>
      </c>
      <c r="X95" s="16">
        <v>0</v>
      </c>
      <c r="Y95" s="16">
        <v>0</v>
      </c>
      <c r="Z95" s="16">
        <v>1</v>
      </c>
      <c r="AA95" s="16">
        <v>0</v>
      </c>
      <c r="AB95" s="16">
        <v>0</v>
      </c>
      <c r="AC95" s="16">
        <v>1</v>
      </c>
      <c r="AD95" s="16">
        <v>0</v>
      </c>
      <c r="AE95" s="16">
        <v>3</v>
      </c>
      <c r="AF95" s="16">
        <v>0</v>
      </c>
      <c r="AG95" s="16">
        <v>1</v>
      </c>
      <c r="AH95" s="13">
        <f t="shared" si="21"/>
        <v>21</v>
      </c>
    </row>
    <row r="96" spans="1:34" ht="12.75" customHeight="1" x14ac:dyDescent="0.4">
      <c r="A96" s="15"/>
      <c r="B96" s="28"/>
      <c r="C96" s="29" t="s">
        <v>71</v>
      </c>
      <c r="D96" s="30"/>
      <c r="E96" s="16">
        <v>5</v>
      </c>
      <c r="F96" s="16">
        <v>2</v>
      </c>
      <c r="G96" s="16">
        <v>4</v>
      </c>
      <c r="H96" s="16">
        <v>0</v>
      </c>
      <c r="I96" s="16">
        <v>2</v>
      </c>
      <c r="J96" s="16">
        <v>3</v>
      </c>
      <c r="K96" s="16">
        <v>5</v>
      </c>
      <c r="L96" s="16">
        <v>2</v>
      </c>
      <c r="M96" s="16">
        <v>0</v>
      </c>
      <c r="N96" s="16">
        <v>2</v>
      </c>
      <c r="O96" s="16">
        <v>0</v>
      </c>
      <c r="P96" s="16">
        <v>5</v>
      </c>
      <c r="Q96" s="16">
        <v>2</v>
      </c>
      <c r="R96" s="16">
        <v>6</v>
      </c>
      <c r="S96" s="16">
        <v>3</v>
      </c>
      <c r="T96" s="16">
        <v>1</v>
      </c>
      <c r="U96" s="16">
        <v>1</v>
      </c>
      <c r="V96" s="16">
        <v>2</v>
      </c>
      <c r="W96" s="16">
        <v>1</v>
      </c>
      <c r="X96" s="16">
        <v>1</v>
      </c>
      <c r="Y96" s="16">
        <v>0</v>
      </c>
      <c r="Z96" s="16">
        <v>0</v>
      </c>
      <c r="AA96" s="16">
        <v>1</v>
      </c>
      <c r="AB96" s="16">
        <v>0</v>
      </c>
      <c r="AC96" s="16">
        <v>1</v>
      </c>
      <c r="AD96" s="16">
        <v>0</v>
      </c>
      <c r="AE96" s="16">
        <v>4</v>
      </c>
      <c r="AF96" s="16">
        <v>0</v>
      </c>
      <c r="AG96" s="16">
        <v>0</v>
      </c>
      <c r="AH96" s="13">
        <f t="shared" si="21"/>
        <v>53</v>
      </c>
    </row>
    <row r="97" spans="1:34" ht="12.75" customHeight="1" x14ac:dyDescent="0.4">
      <c r="A97" s="15"/>
      <c r="B97" s="28"/>
      <c r="C97" s="29" t="s">
        <v>72</v>
      </c>
      <c r="D97" s="30"/>
      <c r="E97" s="16">
        <v>0</v>
      </c>
      <c r="F97" s="16">
        <v>2</v>
      </c>
      <c r="G97" s="16">
        <v>0</v>
      </c>
      <c r="H97" s="16">
        <v>0</v>
      </c>
      <c r="I97" s="16">
        <v>1</v>
      </c>
      <c r="J97" s="16">
        <v>0</v>
      </c>
      <c r="K97" s="16">
        <v>1</v>
      </c>
      <c r="L97" s="16">
        <v>0</v>
      </c>
      <c r="M97" s="16">
        <v>0</v>
      </c>
      <c r="N97" s="16">
        <v>0</v>
      </c>
      <c r="O97" s="16">
        <v>0</v>
      </c>
      <c r="P97" s="16">
        <v>6</v>
      </c>
      <c r="Q97" s="16">
        <v>1</v>
      </c>
      <c r="R97" s="16">
        <v>1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1</v>
      </c>
      <c r="Y97" s="16">
        <v>0</v>
      </c>
      <c r="Z97" s="16">
        <v>1</v>
      </c>
      <c r="AA97" s="16">
        <v>2</v>
      </c>
      <c r="AB97" s="16">
        <v>0</v>
      </c>
      <c r="AC97" s="16">
        <v>0</v>
      </c>
      <c r="AD97" s="16">
        <v>1</v>
      </c>
      <c r="AE97" s="16">
        <v>0</v>
      </c>
      <c r="AF97" s="16">
        <v>0</v>
      </c>
      <c r="AG97" s="16">
        <v>0</v>
      </c>
      <c r="AH97" s="13">
        <f t="shared" si="21"/>
        <v>17</v>
      </c>
    </row>
    <row r="98" spans="1:34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0</v>
      </c>
      <c r="G98" s="16">
        <v>0</v>
      </c>
      <c r="H98" s="16">
        <v>3</v>
      </c>
      <c r="I98" s="16">
        <v>3</v>
      </c>
      <c r="J98" s="16">
        <v>0</v>
      </c>
      <c r="K98" s="16">
        <v>1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2</v>
      </c>
      <c r="T98" s="16">
        <v>0</v>
      </c>
      <c r="U98" s="16">
        <v>1</v>
      </c>
      <c r="V98" s="16">
        <v>0</v>
      </c>
      <c r="W98" s="16">
        <v>3</v>
      </c>
      <c r="X98" s="16">
        <v>2</v>
      </c>
      <c r="Y98" s="16">
        <v>1</v>
      </c>
      <c r="Z98" s="16">
        <v>1</v>
      </c>
      <c r="AA98" s="16">
        <v>0</v>
      </c>
      <c r="AB98" s="16">
        <v>1</v>
      </c>
      <c r="AC98" s="16">
        <v>0</v>
      </c>
      <c r="AD98" s="16">
        <v>2</v>
      </c>
      <c r="AE98" s="16">
        <v>1</v>
      </c>
      <c r="AF98" s="16">
        <v>0</v>
      </c>
      <c r="AG98" s="16">
        <v>1</v>
      </c>
      <c r="AH98" s="13">
        <f t="shared" si="21"/>
        <v>24</v>
      </c>
    </row>
    <row r="99" spans="1:34" ht="12.75" customHeight="1" x14ac:dyDescent="0.4">
      <c r="A99" s="15"/>
      <c r="B99" s="28"/>
      <c r="C99" s="29" t="s">
        <v>74</v>
      </c>
      <c r="D99" s="30"/>
      <c r="E99" s="16">
        <v>0</v>
      </c>
      <c r="F99" s="16">
        <v>1</v>
      </c>
      <c r="G99" s="16">
        <v>1</v>
      </c>
      <c r="H99" s="16">
        <v>0</v>
      </c>
      <c r="I99" s="16">
        <v>0</v>
      </c>
      <c r="J99" s="16">
        <v>0</v>
      </c>
      <c r="K99" s="16">
        <v>0</v>
      </c>
      <c r="L99" s="16">
        <v>1</v>
      </c>
      <c r="M99" s="16">
        <v>4</v>
      </c>
      <c r="N99" s="16">
        <v>3</v>
      </c>
      <c r="O99" s="16">
        <v>0</v>
      </c>
      <c r="P99" s="16">
        <v>0</v>
      </c>
      <c r="Q99" s="16">
        <v>3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1</v>
      </c>
      <c r="Y99" s="16">
        <v>2</v>
      </c>
      <c r="Z99" s="16">
        <v>0</v>
      </c>
      <c r="AA99" s="16">
        <v>0</v>
      </c>
      <c r="AB99" s="16">
        <v>0</v>
      </c>
      <c r="AC99" s="16">
        <v>0</v>
      </c>
      <c r="AD99" s="16">
        <v>0</v>
      </c>
      <c r="AE99" s="16">
        <v>0</v>
      </c>
      <c r="AF99" s="16">
        <v>0</v>
      </c>
      <c r="AG99" s="16">
        <v>0</v>
      </c>
      <c r="AH99" s="13">
        <f t="shared" si="21"/>
        <v>16</v>
      </c>
    </row>
    <row r="100" spans="1:34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13">
        <f t="shared" si="21"/>
        <v>0</v>
      </c>
    </row>
    <row r="101" spans="1:34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13">
        <f t="shared" si="21"/>
        <v>0</v>
      </c>
    </row>
    <row r="102" spans="1:34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13">
        <f t="shared" si="21"/>
        <v>0</v>
      </c>
    </row>
    <row r="103" spans="1:34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AH103" si="22">SUM(E93:E102)</f>
        <v>21</v>
      </c>
      <c r="F103" s="13">
        <f t="shared" si="22"/>
        <v>16</v>
      </c>
      <c r="G103" s="13">
        <f t="shared" si="22"/>
        <v>19</v>
      </c>
      <c r="H103" s="13">
        <f t="shared" si="22"/>
        <v>36</v>
      </c>
      <c r="I103" s="13">
        <f t="shared" si="22"/>
        <v>71</v>
      </c>
      <c r="J103" s="13">
        <f t="shared" si="22"/>
        <v>46</v>
      </c>
      <c r="K103" s="13">
        <f t="shared" si="22"/>
        <v>60</v>
      </c>
      <c r="L103" s="13">
        <f t="shared" si="22"/>
        <v>9</v>
      </c>
      <c r="M103" s="13">
        <f t="shared" si="22"/>
        <v>45</v>
      </c>
      <c r="N103" s="13">
        <f t="shared" si="22"/>
        <v>10</v>
      </c>
      <c r="O103" s="13">
        <f t="shared" si="22"/>
        <v>6</v>
      </c>
      <c r="P103" s="13">
        <f t="shared" si="22"/>
        <v>14</v>
      </c>
      <c r="Q103" s="13">
        <f t="shared" si="22"/>
        <v>15</v>
      </c>
      <c r="R103" s="13">
        <f t="shared" si="22"/>
        <v>15</v>
      </c>
      <c r="S103" s="13">
        <f t="shared" si="22"/>
        <v>6</v>
      </c>
      <c r="T103" s="13">
        <f t="shared" si="22"/>
        <v>7</v>
      </c>
      <c r="U103" s="13">
        <f t="shared" si="22"/>
        <v>13</v>
      </c>
      <c r="V103" s="13">
        <f t="shared" si="22"/>
        <v>10</v>
      </c>
      <c r="W103" s="13">
        <f t="shared" si="22"/>
        <v>12</v>
      </c>
      <c r="X103" s="13">
        <f t="shared" si="22"/>
        <v>9</v>
      </c>
      <c r="Y103" s="13">
        <f t="shared" si="22"/>
        <v>23</v>
      </c>
      <c r="Z103" s="13">
        <f t="shared" si="22"/>
        <v>26</v>
      </c>
      <c r="AA103" s="13">
        <f t="shared" si="22"/>
        <v>34</v>
      </c>
      <c r="AB103" s="13">
        <f t="shared" si="22"/>
        <v>4</v>
      </c>
      <c r="AC103" s="13">
        <f t="shared" si="22"/>
        <v>3</v>
      </c>
      <c r="AD103" s="13">
        <f t="shared" si="22"/>
        <v>5</v>
      </c>
      <c r="AE103" s="13">
        <f t="shared" si="22"/>
        <v>28</v>
      </c>
      <c r="AF103" s="13">
        <f t="shared" si="22"/>
        <v>8</v>
      </c>
      <c r="AG103" s="13">
        <f t="shared" si="22"/>
        <v>37</v>
      </c>
      <c r="AH103" s="13">
        <f t="shared" si="22"/>
        <v>608</v>
      </c>
    </row>
    <row r="104" spans="1:34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</row>
    <row r="105" spans="1:34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1</v>
      </c>
      <c r="G105" s="16">
        <v>1</v>
      </c>
      <c r="H105" s="16">
        <v>1</v>
      </c>
      <c r="I105" s="16">
        <v>0</v>
      </c>
      <c r="J105" s="16">
        <v>0</v>
      </c>
      <c r="K105" s="16">
        <v>0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2</v>
      </c>
      <c r="R105" s="16">
        <v>2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1</v>
      </c>
      <c r="Y105" s="16">
        <v>0</v>
      </c>
      <c r="Z105" s="16">
        <v>0</v>
      </c>
      <c r="AA105" s="16">
        <v>2</v>
      </c>
      <c r="AB105" s="16">
        <v>0</v>
      </c>
      <c r="AC105" s="16">
        <v>1</v>
      </c>
      <c r="AD105" s="16">
        <v>1</v>
      </c>
      <c r="AE105" s="16">
        <v>0</v>
      </c>
      <c r="AF105" s="16">
        <v>0</v>
      </c>
      <c r="AG105" s="16">
        <v>0</v>
      </c>
      <c r="AH105" s="13">
        <f t="shared" ref="AH105:AH114" si="23">SUM(E105:AG105)</f>
        <v>12</v>
      </c>
    </row>
    <row r="106" spans="1:34" ht="12.75" customHeight="1" x14ac:dyDescent="0.4">
      <c r="A106" s="20" t="s">
        <v>38</v>
      </c>
      <c r="B106" s="28"/>
      <c r="C106" s="29" t="s">
        <v>77</v>
      </c>
      <c r="D106" s="40"/>
      <c r="E106" s="16">
        <v>1</v>
      </c>
      <c r="F106" s="16">
        <v>1</v>
      </c>
      <c r="G106" s="16">
        <v>0</v>
      </c>
      <c r="H106" s="16">
        <v>1</v>
      </c>
      <c r="I106" s="16">
        <v>1</v>
      </c>
      <c r="J106" s="16">
        <v>0</v>
      </c>
      <c r="K106" s="16">
        <v>0</v>
      </c>
      <c r="L106" s="16">
        <v>1</v>
      </c>
      <c r="M106" s="16">
        <v>0</v>
      </c>
      <c r="N106" s="16">
        <v>2</v>
      </c>
      <c r="O106" s="16">
        <v>1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1</v>
      </c>
      <c r="W106" s="16">
        <v>0</v>
      </c>
      <c r="X106" s="16">
        <v>0</v>
      </c>
      <c r="Y106" s="16">
        <v>0</v>
      </c>
      <c r="Z106" s="16">
        <v>0</v>
      </c>
      <c r="AA106" s="16">
        <v>1</v>
      </c>
      <c r="AB106" s="16">
        <v>0</v>
      </c>
      <c r="AC106" s="16">
        <v>3</v>
      </c>
      <c r="AD106" s="16">
        <v>0</v>
      </c>
      <c r="AE106" s="16">
        <v>2</v>
      </c>
      <c r="AF106" s="16">
        <v>0</v>
      </c>
      <c r="AG106" s="16">
        <v>0</v>
      </c>
      <c r="AH106" s="13">
        <f t="shared" si="23"/>
        <v>16</v>
      </c>
    </row>
    <row r="107" spans="1:34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13">
        <f t="shared" si="23"/>
        <v>0</v>
      </c>
    </row>
    <row r="108" spans="1:34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13">
        <f t="shared" si="23"/>
        <v>0</v>
      </c>
    </row>
    <row r="109" spans="1:34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13">
        <f t="shared" si="23"/>
        <v>0</v>
      </c>
    </row>
    <row r="110" spans="1:34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13">
        <f t="shared" si="23"/>
        <v>0</v>
      </c>
    </row>
    <row r="111" spans="1:34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13">
        <f t="shared" si="23"/>
        <v>0</v>
      </c>
    </row>
    <row r="112" spans="1:34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13">
        <f t="shared" si="23"/>
        <v>0</v>
      </c>
    </row>
    <row r="113" spans="1:34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13">
        <f t="shared" si="23"/>
        <v>0</v>
      </c>
    </row>
    <row r="114" spans="1:34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13">
        <f t="shared" si="23"/>
        <v>0</v>
      </c>
    </row>
    <row r="115" spans="1:34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AH115" si="24">SUM(E105:E114)</f>
        <v>1</v>
      </c>
      <c r="F115" s="13">
        <f t="shared" si="24"/>
        <v>2</v>
      </c>
      <c r="G115" s="13">
        <f t="shared" si="24"/>
        <v>1</v>
      </c>
      <c r="H115" s="13">
        <f t="shared" si="24"/>
        <v>2</v>
      </c>
      <c r="I115" s="13">
        <f t="shared" si="24"/>
        <v>1</v>
      </c>
      <c r="J115" s="13">
        <f t="shared" si="24"/>
        <v>0</v>
      </c>
      <c r="K115" s="13">
        <f t="shared" si="24"/>
        <v>0</v>
      </c>
      <c r="L115" s="13">
        <f t="shared" si="24"/>
        <v>1</v>
      </c>
      <c r="M115" s="13">
        <f t="shared" si="24"/>
        <v>0</v>
      </c>
      <c r="N115" s="13">
        <f t="shared" si="24"/>
        <v>2</v>
      </c>
      <c r="O115" s="13">
        <f t="shared" si="24"/>
        <v>1</v>
      </c>
      <c r="P115" s="13">
        <f t="shared" si="24"/>
        <v>1</v>
      </c>
      <c r="Q115" s="13">
        <f t="shared" si="24"/>
        <v>2</v>
      </c>
      <c r="R115" s="13">
        <f t="shared" si="24"/>
        <v>2</v>
      </c>
      <c r="S115" s="13">
        <f t="shared" si="24"/>
        <v>0</v>
      </c>
      <c r="T115" s="13">
        <f t="shared" si="24"/>
        <v>0</v>
      </c>
      <c r="U115" s="13">
        <f t="shared" si="24"/>
        <v>0</v>
      </c>
      <c r="V115" s="13">
        <f t="shared" si="24"/>
        <v>1</v>
      </c>
      <c r="W115" s="13">
        <f t="shared" si="24"/>
        <v>0</v>
      </c>
      <c r="X115" s="13">
        <f t="shared" si="24"/>
        <v>1</v>
      </c>
      <c r="Y115" s="13">
        <f t="shared" si="24"/>
        <v>0</v>
      </c>
      <c r="Z115" s="13">
        <f t="shared" si="24"/>
        <v>0</v>
      </c>
      <c r="AA115" s="13">
        <f t="shared" si="24"/>
        <v>3</v>
      </c>
      <c r="AB115" s="13">
        <f t="shared" si="24"/>
        <v>0</v>
      </c>
      <c r="AC115" s="13">
        <f t="shared" si="24"/>
        <v>4</v>
      </c>
      <c r="AD115" s="13">
        <f t="shared" si="24"/>
        <v>1</v>
      </c>
      <c r="AE115" s="13">
        <f t="shared" si="24"/>
        <v>2</v>
      </c>
      <c r="AF115" s="13">
        <f t="shared" si="24"/>
        <v>0</v>
      </c>
      <c r="AG115" s="13">
        <f t="shared" si="24"/>
        <v>0</v>
      </c>
      <c r="AH115" s="13">
        <f t="shared" si="24"/>
        <v>28</v>
      </c>
    </row>
    <row r="116" spans="1:34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AH116" s="13"/>
    </row>
    <row r="117" spans="1:34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1</v>
      </c>
      <c r="F117" s="16">
        <v>2</v>
      </c>
      <c r="G117" s="16">
        <v>0</v>
      </c>
      <c r="H117" s="16">
        <v>3</v>
      </c>
      <c r="I117" s="16">
        <v>0</v>
      </c>
      <c r="J117" s="16">
        <v>0</v>
      </c>
      <c r="K117" s="16">
        <v>1</v>
      </c>
      <c r="L117" s="16">
        <v>2</v>
      </c>
      <c r="M117" s="16">
        <v>1</v>
      </c>
      <c r="N117" s="16">
        <v>0</v>
      </c>
      <c r="O117" s="16">
        <v>0</v>
      </c>
      <c r="P117" s="16">
        <v>1</v>
      </c>
      <c r="Q117" s="16">
        <v>1</v>
      </c>
      <c r="R117" s="16">
        <v>0</v>
      </c>
      <c r="S117" s="16">
        <v>0</v>
      </c>
      <c r="T117" s="16">
        <v>1</v>
      </c>
      <c r="U117" s="16">
        <v>0</v>
      </c>
      <c r="V117" s="16">
        <v>0</v>
      </c>
      <c r="W117" s="16">
        <v>0</v>
      </c>
      <c r="X117" s="16">
        <v>1</v>
      </c>
      <c r="Y117" s="16">
        <v>1</v>
      </c>
      <c r="Z117" s="16">
        <v>0</v>
      </c>
      <c r="AA117" s="16">
        <v>0</v>
      </c>
      <c r="AB117" s="16">
        <v>2</v>
      </c>
      <c r="AC117" s="16">
        <v>1</v>
      </c>
      <c r="AD117" s="16">
        <v>0</v>
      </c>
      <c r="AE117" s="16">
        <v>0</v>
      </c>
      <c r="AF117" s="16">
        <v>0</v>
      </c>
      <c r="AG117" s="16">
        <v>0</v>
      </c>
      <c r="AH117" s="13">
        <f t="shared" ref="AH117:AH126" si="25">SUM(E117:AG117)</f>
        <v>18</v>
      </c>
    </row>
    <row r="118" spans="1:34" ht="12.75" customHeight="1" x14ac:dyDescent="0.4">
      <c r="A118" s="20" t="s">
        <v>38</v>
      </c>
      <c r="B118" s="28"/>
      <c r="C118" s="29" t="s">
        <v>80</v>
      </c>
      <c r="D118" s="30"/>
      <c r="E118" s="16">
        <v>3</v>
      </c>
      <c r="F118" s="16">
        <v>14</v>
      </c>
      <c r="G118" s="16">
        <v>3</v>
      </c>
      <c r="H118" s="16">
        <v>3</v>
      </c>
      <c r="I118" s="16">
        <v>0</v>
      </c>
      <c r="J118" s="16">
        <v>0</v>
      </c>
      <c r="K118" s="16">
        <v>0</v>
      </c>
      <c r="L118" s="16">
        <v>6</v>
      </c>
      <c r="M118" s="16">
        <v>1</v>
      </c>
      <c r="N118" s="16">
        <v>1</v>
      </c>
      <c r="O118" s="16">
        <v>1</v>
      </c>
      <c r="P118" s="16">
        <v>0</v>
      </c>
      <c r="Q118" s="16">
        <v>1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2</v>
      </c>
      <c r="X118" s="16">
        <v>4</v>
      </c>
      <c r="Y118" s="16">
        <v>2</v>
      </c>
      <c r="Z118" s="16">
        <v>0</v>
      </c>
      <c r="AA118" s="16">
        <v>1</v>
      </c>
      <c r="AB118" s="16">
        <v>0</v>
      </c>
      <c r="AC118" s="16">
        <v>0</v>
      </c>
      <c r="AD118" s="16">
        <v>1</v>
      </c>
      <c r="AE118" s="16">
        <v>0</v>
      </c>
      <c r="AF118" s="16">
        <v>2</v>
      </c>
      <c r="AG118" s="16">
        <v>3</v>
      </c>
      <c r="AH118" s="13">
        <f t="shared" si="25"/>
        <v>48</v>
      </c>
    </row>
    <row r="119" spans="1:34" ht="12.75" customHeight="1" x14ac:dyDescent="0.4">
      <c r="A119" s="15"/>
      <c r="B119" s="28"/>
      <c r="C119" s="29" t="s">
        <v>81</v>
      </c>
      <c r="D119" s="30"/>
      <c r="E119" s="16">
        <v>1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0</v>
      </c>
      <c r="O119" s="16">
        <v>1</v>
      </c>
      <c r="P119" s="16">
        <v>2</v>
      </c>
      <c r="Q119" s="16">
        <v>0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6">
        <v>0</v>
      </c>
      <c r="AD119" s="16">
        <v>0</v>
      </c>
      <c r="AE119" s="16">
        <v>0</v>
      </c>
      <c r="AF119" s="16">
        <v>0</v>
      </c>
      <c r="AG119" s="16">
        <v>0</v>
      </c>
      <c r="AH119" s="13">
        <f t="shared" si="25"/>
        <v>4</v>
      </c>
    </row>
    <row r="120" spans="1:34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2</v>
      </c>
      <c r="L120" s="16">
        <v>1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2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6">
        <v>0</v>
      </c>
      <c r="AF120" s="16">
        <v>0</v>
      </c>
      <c r="AG120" s="16">
        <v>0</v>
      </c>
      <c r="AH120" s="13">
        <f t="shared" si="25"/>
        <v>5</v>
      </c>
    </row>
    <row r="121" spans="1:34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53">
        <v>6</v>
      </c>
      <c r="U121" s="53">
        <v>0</v>
      </c>
      <c r="V121" s="53">
        <v>0</v>
      </c>
      <c r="W121" s="53">
        <v>0</v>
      </c>
      <c r="X121" s="53">
        <v>0</v>
      </c>
      <c r="Y121" s="53">
        <v>0</v>
      </c>
      <c r="Z121" s="53">
        <v>4</v>
      </c>
      <c r="AA121" s="53">
        <v>0</v>
      </c>
      <c r="AB121" s="53">
        <v>0</v>
      </c>
      <c r="AC121" s="53">
        <v>0</v>
      </c>
      <c r="AD121" s="53">
        <v>0</v>
      </c>
      <c r="AE121" s="53">
        <v>0</v>
      </c>
      <c r="AF121" s="53">
        <v>0</v>
      </c>
      <c r="AG121" s="53">
        <v>0</v>
      </c>
      <c r="AH121" s="13">
        <f t="shared" si="25"/>
        <v>10</v>
      </c>
    </row>
    <row r="122" spans="1:34" ht="12.75" customHeight="1" x14ac:dyDescent="0.4">
      <c r="A122" s="52"/>
      <c r="B122" s="28"/>
      <c r="C122" s="29" t="s">
        <v>84</v>
      </c>
      <c r="D122" s="30"/>
      <c r="E122" s="53">
        <v>1</v>
      </c>
      <c r="F122" s="53">
        <v>2</v>
      </c>
      <c r="G122" s="53">
        <v>7</v>
      </c>
      <c r="H122" s="53">
        <v>5</v>
      </c>
      <c r="I122" s="53">
        <v>1</v>
      </c>
      <c r="J122" s="53">
        <v>1</v>
      </c>
      <c r="K122" s="53">
        <v>0</v>
      </c>
      <c r="L122" s="53">
        <v>1</v>
      </c>
      <c r="M122" s="53">
        <v>6</v>
      </c>
      <c r="N122" s="53">
        <v>1</v>
      </c>
      <c r="O122" s="53">
        <v>1</v>
      </c>
      <c r="P122" s="16">
        <v>1</v>
      </c>
      <c r="Q122" s="53">
        <v>0</v>
      </c>
      <c r="R122" s="53">
        <v>4</v>
      </c>
      <c r="S122" s="53">
        <v>2</v>
      </c>
      <c r="T122" s="53">
        <v>2</v>
      </c>
      <c r="U122" s="53">
        <v>0</v>
      </c>
      <c r="V122" s="53">
        <v>2</v>
      </c>
      <c r="W122" s="53">
        <v>4</v>
      </c>
      <c r="X122" s="53">
        <v>1</v>
      </c>
      <c r="Y122" s="53">
        <v>1</v>
      </c>
      <c r="Z122" s="53">
        <v>1</v>
      </c>
      <c r="AA122" s="53">
        <v>0</v>
      </c>
      <c r="AB122" s="53">
        <v>3</v>
      </c>
      <c r="AC122" s="53">
        <v>0</v>
      </c>
      <c r="AD122" s="53">
        <v>1</v>
      </c>
      <c r="AE122" s="53">
        <v>0</v>
      </c>
      <c r="AF122" s="53">
        <v>1</v>
      </c>
      <c r="AG122" s="53">
        <v>0</v>
      </c>
      <c r="AH122" s="13">
        <f t="shared" si="25"/>
        <v>49</v>
      </c>
    </row>
    <row r="123" spans="1:34" ht="12.75" customHeight="1" x14ac:dyDescent="0.4">
      <c r="A123" s="52"/>
      <c r="B123" s="28"/>
      <c r="C123" s="29" t="s">
        <v>85</v>
      </c>
      <c r="D123" s="30"/>
      <c r="E123" s="41">
        <v>1</v>
      </c>
      <c r="F123" s="41">
        <v>0</v>
      </c>
      <c r="G123" s="41">
        <v>0</v>
      </c>
      <c r="H123" s="41">
        <v>1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41">
        <v>0</v>
      </c>
      <c r="S123" s="41">
        <v>0</v>
      </c>
      <c r="T123" s="41">
        <v>0</v>
      </c>
      <c r="U123" s="41">
        <v>0</v>
      </c>
      <c r="V123" s="41">
        <v>0</v>
      </c>
      <c r="W123" s="41">
        <v>0</v>
      </c>
      <c r="X123" s="41">
        <v>0</v>
      </c>
      <c r="Y123" s="41">
        <v>0</v>
      </c>
      <c r="Z123" s="41">
        <v>0</v>
      </c>
      <c r="AA123" s="41">
        <v>1</v>
      </c>
      <c r="AB123" s="41">
        <v>0</v>
      </c>
      <c r="AC123" s="41">
        <v>0</v>
      </c>
      <c r="AD123" s="41">
        <v>0</v>
      </c>
      <c r="AE123" s="41">
        <v>0</v>
      </c>
      <c r="AF123" s="41">
        <v>0</v>
      </c>
      <c r="AG123" s="41">
        <v>0</v>
      </c>
      <c r="AH123" s="13">
        <f t="shared" si="25"/>
        <v>3</v>
      </c>
    </row>
    <row r="124" spans="1:34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13">
        <f t="shared" si="25"/>
        <v>0</v>
      </c>
    </row>
    <row r="125" spans="1:34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13">
        <f t="shared" si="25"/>
        <v>0</v>
      </c>
    </row>
    <row r="126" spans="1:34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13">
        <f t="shared" si="25"/>
        <v>0</v>
      </c>
    </row>
    <row r="127" spans="1:34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AH127" si="26">SUM(E117:E126)</f>
        <v>7</v>
      </c>
      <c r="F127" s="13">
        <f t="shared" si="26"/>
        <v>18</v>
      </c>
      <c r="G127" s="13">
        <f t="shared" si="26"/>
        <v>10</v>
      </c>
      <c r="H127" s="13">
        <f t="shared" si="26"/>
        <v>12</v>
      </c>
      <c r="I127" s="13">
        <f t="shared" si="26"/>
        <v>1</v>
      </c>
      <c r="J127" s="13">
        <f t="shared" si="26"/>
        <v>1</v>
      </c>
      <c r="K127" s="13">
        <f t="shared" si="26"/>
        <v>3</v>
      </c>
      <c r="L127" s="13">
        <f t="shared" si="26"/>
        <v>10</v>
      </c>
      <c r="M127" s="13">
        <f t="shared" si="26"/>
        <v>8</v>
      </c>
      <c r="N127" s="13">
        <f t="shared" si="26"/>
        <v>2</v>
      </c>
      <c r="O127" s="13">
        <f t="shared" si="26"/>
        <v>3</v>
      </c>
      <c r="P127" s="13">
        <f t="shared" si="26"/>
        <v>4</v>
      </c>
      <c r="Q127" s="13">
        <f t="shared" si="26"/>
        <v>2</v>
      </c>
      <c r="R127" s="13">
        <f t="shared" si="26"/>
        <v>4</v>
      </c>
      <c r="S127" s="13">
        <f t="shared" si="26"/>
        <v>2</v>
      </c>
      <c r="T127" s="13">
        <f t="shared" si="26"/>
        <v>9</v>
      </c>
      <c r="U127" s="13">
        <f t="shared" si="26"/>
        <v>0</v>
      </c>
      <c r="V127" s="13">
        <f t="shared" si="26"/>
        <v>4</v>
      </c>
      <c r="W127" s="13">
        <f t="shared" si="26"/>
        <v>6</v>
      </c>
      <c r="X127" s="13">
        <f t="shared" si="26"/>
        <v>6</v>
      </c>
      <c r="Y127" s="13">
        <f t="shared" si="26"/>
        <v>4</v>
      </c>
      <c r="Z127" s="13">
        <f t="shared" si="26"/>
        <v>5</v>
      </c>
      <c r="AA127" s="13">
        <f t="shared" si="26"/>
        <v>2</v>
      </c>
      <c r="AB127" s="13">
        <f t="shared" si="26"/>
        <v>5</v>
      </c>
      <c r="AC127" s="13">
        <f t="shared" si="26"/>
        <v>1</v>
      </c>
      <c r="AD127" s="13">
        <f t="shared" si="26"/>
        <v>2</v>
      </c>
      <c r="AE127" s="13">
        <f t="shared" si="26"/>
        <v>0</v>
      </c>
      <c r="AF127" s="13">
        <f t="shared" si="26"/>
        <v>3</v>
      </c>
      <c r="AG127" s="13">
        <f t="shared" si="26"/>
        <v>3</v>
      </c>
      <c r="AH127" s="13">
        <f t="shared" si="26"/>
        <v>137</v>
      </c>
    </row>
    <row r="128" spans="1:34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</row>
    <row r="129" spans="1:34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5</v>
      </c>
      <c r="F129" s="16">
        <v>3</v>
      </c>
      <c r="G129" s="16">
        <v>6</v>
      </c>
      <c r="H129" s="16">
        <v>4</v>
      </c>
      <c r="I129" s="16">
        <v>8</v>
      </c>
      <c r="J129" s="16">
        <v>1</v>
      </c>
      <c r="K129" s="16">
        <v>1</v>
      </c>
      <c r="L129" s="16">
        <v>5</v>
      </c>
      <c r="M129" s="16">
        <v>2</v>
      </c>
      <c r="N129" s="16">
        <v>2</v>
      </c>
      <c r="O129" s="16">
        <v>4</v>
      </c>
      <c r="P129" s="16">
        <v>5</v>
      </c>
      <c r="Q129" s="16">
        <v>9</v>
      </c>
      <c r="R129" s="16">
        <v>2</v>
      </c>
      <c r="S129" s="16">
        <v>8</v>
      </c>
      <c r="T129" s="16">
        <v>5</v>
      </c>
      <c r="U129" s="16">
        <v>2</v>
      </c>
      <c r="V129" s="16">
        <v>1</v>
      </c>
      <c r="W129" s="16">
        <v>3</v>
      </c>
      <c r="X129" s="16">
        <v>0</v>
      </c>
      <c r="Y129" s="16">
        <v>5</v>
      </c>
      <c r="Z129" s="16">
        <v>2</v>
      </c>
      <c r="AA129" s="16">
        <v>1</v>
      </c>
      <c r="AB129" s="16">
        <v>11</v>
      </c>
      <c r="AC129" s="16">
        <v>8</v>
      </c>
      <c r="AD129" s="16">
        <v>7</v>
      </c>
      <c r="AE129" s="16">
        <v>2</v>
      </c>
      <c r="AF129" s="16">
        <v>6</v>
      </c>
      <c r="AG129" s="16">
        <v>9</v>
      </c>
      <c r="AH129" s="13">
        <f t="shared" ref="AH129:AH138" si="27">SUM(E129:AG129)</f>
        <v>127</v>
      </c>
    </row>
    <row r="130" spans="1:34" ht="12.75" customHeight="1" x14ac:dyDescent="0.4">
      <c r="A130" s="20" t="s">
        <v>38</v>
      </c>
      <c r="B130" s="28"/>
      <c r="C130" s="29" t="s">
        <v>88</v>
      </c>
      <c r="D130" s="30"/>
      <c r="E130" s="16">
        <v>26</v>
      </c>
      <c r="F130" s="16">
        <v>17</v>
      </c>
      <c r="G130" s="16">
        <v>24</v>
      </c>
      <c r="H130" s="16">
        <v>26</v>
      </c>
      <c r="I130" s="16">
        <v>30</v>
      </c>
      <c r="J130" s="16">
        <v>41</v>
      </c>
      <c r="K130" s="16">
        <v>34</v>
      </c>
      <c r="L130" s="16">
        <v>55</v>
      </c>
      <c r="M130" s="16">
        <v>43</v>
      </c>
      <c r="N130" s="16">
        <v>34</v>
      </c>
      <c r="O130" s="16">
        <v>43</v>
      </c>
      <c r="P130" s="16">
        <v>58</v>
      </c>
      <c r="Q130" s="16">
        <v>46</v>
      </c>
      <c r="R130" s="16">
        <v>41</v>
      </c>
      <c r="S130" s="16">
        <v>133</v>
      </c>
      <c r="T130" s="16">
        <v>98</v>
      </c>
      <c r="U130" s="16">
        <v>28</v>
      </c>
      <c r="V130" s="16">
        <v>39</v>
      </c>
      <c r="W130" s="16">
        <v>48</v>
      </c>
      <c r="X130" s="16">
        <v>26</v>
      </c>
      <c r="Y130" s="16">
        <v>46</v>
      </c>
      <c r="Z130" s="16">
        <v>26</v>
      </c>
      <c r="AA130" s="16">
        <v>14</v>
      </c>
      <c r="AB130" s="16">
        <v>51</v>
      </c>
      <c r="AC130" s="16">
        <v>45</v>
      </c>
      <c r="AD130" s="16">
        <v>118</v>
      </c>
      <c r="AE130" s="16">
        <v>18</v>
      </c>
      <c r="AF130" s="16">
        <v>59</v>
      </c>
      <c r="AG130" s="16">
        <v>152</v>
      </c>
      <c r="AH130" s="13">
        <f t="shared" si="27"/>
        <v>1419</v>
      </c>
    </row>
    <row r="131" spans="1:34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2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1</v>
      </c>
      <c r="M131" s="16">
        <v>0</v>
      </c>
      <c r="N131" s="16">
        <v>3</v>
      </c>
      <c r="O131" s="16">
        <v>0</v>
      </c>
      <c r="P131" s="16">
        <v>1</v>
      </c>
      <c r="Q131" s="16">
        <v>2</v>
      </c>
      <c r="R131" s="16">
        <v>1</v>
      </c>
      <c r="S131" s="16">
        <v>0</v>
      </c>
      <c r="T131" s="16">
        <v>0</v>
      </c>
      <c r="U131" s="16">
        <v>1</v>
      </c>
      <c r="V131" s="16">
        <v>1</v>
      </c>
      <c r="W131" s="16">
        <v>0</v>
      </c>
      <c r="X131" s="16">
        <v>1</v>
      </c>
      <c r="Y131" s="16">
        <v>0</v>
      </c>
      <c r="Z131" s="16">
        <v>2</v>
      </c>
      <c r="AA131" s="16">
        <v>0</v>
      </c>
      <c r="AB131" s="16">
        <v>0</v>
      </c>
      <c r="AC131" s="16">
        <v>1</v>
      </c>
      <c r="AD131" s="16">
        <v>0</v>
      </c>
      <c r="AE131" s="16">
        <v>0</v>
      </c>
      <c r="AF131" s="16">
        <v>0</v>
      </c>
      <c r="AG131" s="16">
        <v>0</v>
      </c>
      <c r="AH131" s="13">
        <f t="shared" si="27"/>
        <v>16</v>
      </c>
    </row>
    <row r="132" spans="1:34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1</v>
      </c>
      <c r="N132" s="16">
        <v>1</v>
      </c>
      <c r="O132" s="16">
        <v>0</v>
      </c>
      <c r="P132" s="16">
        <v>0</v>
      </c>
      <c r="Q132" s="16">
        <v>0</v>
      </c>
      <c r="R132" s="16">
        <v>0</v>
      </c>
      <c r="S132" s="16">
        <v>0</v>
      </c>
      <c r="T132" s="16">
        <v>6</v>
      </c>
      <c r="U132" s="16">
        <v>0</v>
      </c>
      <c r="V132" s="16">
        <v>0</v>
      </c>
      <c r="W132" s="16">
        <v>1</v>
      </c>
      <c r="X132" s="16">
        <v>0</v>
      </c>
      <c r="Y132" s="16">
        <v>1</v>
      </c>
      <c r="Z132" s="16">
        <v>0</v>
      </c>
      <c r="AA132" s="16">
        <v>2</v>
      </c>
      <c r="AB132" s="16">
        <v>1</v>
      </c>
      <c r="AC132" s="16">
        <v>0</v>
      </c>
      <c r="AD132" s="16">
        <v>0</v>
      </c>
      <c r="AE132" s="16">
        <v>0</v>
      </c>
      <c r="AF132" s="16">
        <v>0</v>
      </c>
      <c r="AG132" s="16">
        <v>0</v>
      </c>
      <c r="AH132" s="13">
        <f t="shared" si="27"/>
        <v>13</v>
      </c>
    </row>
    <row r="133" spans="1:34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0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6">
        <v>1</v>
      </c>
      <c r="AD133" s="16">
        <v>0</v>
      </c>
      <c r="AE133" s="16">
        <v>1</v>
      </c>
      <c r="AF133" s="16">
        <v>0</v>
      </c>
      <c r="AG133" s="16">
        <v>0</v>
      </c>
      <c r="AH133" s="13">
        <f t="shared" si="27"/>
        <v>2</v>
      </c>
    </row>
    <row r="134" spans="1:34" ht="12.75" customHeight="1" x14ac:dyDescent="0.4">
      <c r="A134" s="15"/>
      <c r="B134" s="28"/>
      <c r="C134" s="29" t="s">
        <v>92</v>
      </c>
      <c r="D134" s="30"/>
      <c r="E134" s="16">
        <v>1</v>
      </c>
      <c r="F134" s="16">
        <v>0</v>
      </c>
      <c r="G134" s="16">
        <v>1</v>
      </c>
      <c r="H134" s="16">
        <v>1</v>
      </c>
      <c r="I134" s="16">
        <v>3</v>
      </c>
      <c r="J134" s="16">
        <v>0</v>
      </c>
      <c r="K134" s="16">
        <v>1</v>
      </c>
      <c r="L134" s="16">
        <v>3</v>
      </c>
      <c r="M134" s="16">
        <v>1</v>
      </c>
      <c r="N134" s="16">
        <v>2</v>
      </c>
      <c r="O134" s="16">
        <v>1</v>
      </c>
      <c r="P134" s="16">
        <v>0</v>
      </c>
      <c r="Q134" s="16">
        <v>0</v>
      </c>
      <c r="R134" s="16">
        <v>0</v>
      </c>
      <c r="S134" s="16">
        <v>0</v>
      </c>
      <c r="T134" s="16">
        <v>0</v>
      </c>
      <c r="U134" s="16">
        <v>3</v>
      </c>
      <c r="V134" s="16">
        <v>0</v>
      </c>
      <c r="W134" s="16">
        <v>1</v>
      </c>
      <c r="X134" s="16">
        <v>0</v>
      </c>
      <c r="Y134" s="16">
        <v>1</v>
      </c>
      <c r="Z134" s="16">
        <v>0</v>
      </c>
      <c r="AA134" s="16">
        <v>0</v>
      </c>
      <c r="AB134" s="16">
        <v>2</v>
      </c>
      <c r="AC134" s="16">
        <v>1</v>
      </c>
      <c r="AD134" s="16">
        <v>4</v>
      </c>
      <c r="AE134" s="16">
        <v>0</v>
      </c>
      <c r="AF134" s="16">
        <v>0</v>
      </c>
      <c r="AG134" s="16">
        <v>0</v>
      </c>
      <c r="AH134" s="13">
        <f t="shared" si="27"/>
        <v>26</v>
      </c>
    </row>
    <row r="135" spans="1:34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3</v>
      </c>
      <c r="G135" s="16">
        <v>0</v>
      </c>
      <c r="H135" s="16">
        <v>0</v>
      </c>
      <c r="I135" s="16">
        <v>0</v>
      </c>
      <c r="J135" s="16">
        <v>1</v>
      </c>
      <c r="K135" s="16">
        <v>0</v>
      </c>
      <c r="L135" s="16">
        <v>0</v>
      </c>
      <c r="M135" s="16">
        <v>2</v>
      </c>
      <c r="N135" s="16">
        <v>1</v>
      </c>
      <c r="O135" s="16">
        <v>0</v>
      </c>
      <c r="P135" s="16">
        <v>0</v>
      </c>
      <c r="Q135" s="16">
        <v>0</v>
      </c>
      <c r="R135" s="16">
        <v>0</v>
      </c>
      <c r="S135" s="16">
        <v>0</v>
      </c>
      <c r="T135" s="16">
        <v>1</v>
      </c>
      <c r="U135" s="16">
        <v>0</v>
      </c>
      <c r="V135" s="16">
        <v>1</v>
      </c>
      <c r="W135" s="16">
        <v>2</v>
      </c>
      <c r="X135" s="16">
        <v>1</v>
      </c>
      <c r="Y135" s="16">
        <v>2</v>
      </c>
      <c r="Z135" s="16">
        <v>1</v>
      </c>
      <c r="AA135" s="16">
        <v>2</v>
      </c>
      <c r="AB135" s="16">
        <v>1</v>
      </c>
      <c r="AC135" s="16">
        <v>0</v>
      </c>
      <c r="AD135" s="16">
        <v>1</v>
      </c>
      <c r="AE135" s="16">
        <v>1</v>
      </c>
      <c r="AF135" s="16">
        <v>0</v>
      </c>
      <c r="AG135" s="16">
        <v>0</v>
      </c>
      <c r="AH135" s="13">
        <f t="shared" si="27"/>
        <v>20</v>
      </c>
    </row>
    <row r="136" spans="1:34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13">
        <f t="shared" si="27"/>
        <v>0</v>
      </c>
    </row>
    <row r="137" spans="1:34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13">
        <f t="shared" si="27"/>
        <v>0</v>
      </c>
    </row>
    <row r="138" spans="1:34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13">
        <f t="shared" si="27"/>
        <v>0</v>
      </c>
    </row>
    <row r="139" spans="1:34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AH139" si="28">SUM(E129:E138)</f>
        <v>32</v>
      </c>
      <c r="F139" s="13">
        <f t="shared" si="28"/>
        <v>25</v>
      </c>
      <c r="G139" s="13">
        <f t="shared" si="28"/>
        <v>31</v>
      </c>
      <c r="H139" s="13">
        <f t="shared" si="28"/>
        <v>31</v>
      </c>
      <c r="I139" s="13">
        <f t="shared" si="28"/>
        <v>41</v>
      </c>
      <c r="J139" s="13">
        <f t="shared" si="28"/>
        <v>43</v>
      </c>
      <c r="K139" s="13">
        <f t="shared" si="28"/>
        <v>36</v>
      </c>
      <c r="L139" s="13">
        <f t="shared" si="28"/>
        <v>64</v>
      </c>
      <c r="M139" s="13">
        <f t="shared" si="28"/>
        <v>49</v>
      </c>
      <c r="N139" s="13">
        <f t="shared" si="28"/>
        <v>43</v>
      </c>
      <c r="O139" s="13">
        <f t="shared" si="28"/>
        <v>48</v>
      </c>
      <c r="P139" s="13">
        <f t="shared" si="28"/>
        <v>64</v>
      </c>
      <c r="Q139" s="13">
        <f t="shared" si="28"/>
        <v>57</v>
      </c>
      <c r="R139" s="13">
        <f t="shared" si="28"/>
        <v>44</v>
      </c>
      <c r="S139" s="13">
        <f t="shared" si="28"/>
        <v>141</v>
      </c>
      <c r="T139" s="13">
        <f t="shared" si="28"/>
        <v>110</v>
      </c>
      <c r="U139" s="13">
        <f t="shared" si="28"/>
        <v>34</v>
      </c>
      <c r="V139" s="13">
        <f t="shared" si="28"/>
        <v>42</v>
      </c>
      <c r="W139" s="13">
        <f t="shared" si="28"/>
        <v>55</v>
      </c>
      <c r="X139" s="13">
        <f t="shared" si="28"/>
        <v>28</v>
      </c>
      <c r="Y139" s="13">
        <f t="shared" si="28"/>
        <v>55</v>
      </c>
      <c r="Z139" s="13">
        <f t="shared" si="28"/>
        <v>31</v>
      </c>
      <c r="AA139" s="13">
        <f t="shared" si="28"/>
        <v>19</v>
      </c>
      <c r="AB139" s="13">
        <f t="shared" si="28"/>
        <v>66</v>
      </c>
      <c r="AC139" s="13">
        <f t="shared" si="28"/>
        <v>56</v>
      </c>
      <c r="AD139" s="13">
        <f t="shared" si="28"/>
        <v>130</v>
      </c>
      <c r="AE139" s="13">
        <f t="shared" si="28"/>
        <v>22</v>
      </c>
      <c r="AF139" s="13">
        <f t="shared" si="28"/>
        <v>65</v>
      </c>
      <c r="AG139" s="13">
        <f t="shared" si="28"/>
        <v>161</v>
      </c>
      <c r="AH139" s="13">
        <f t="shared" si="28"/>
        <v>1623</v>
      </c>
    </row>
    <row r="140" spans="1:34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</row>
    <row r="141" spans="1:34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1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6">
        <v>0</v>
      </c>
      <c r="AF141" s="16">
        <v>0</v>
      </c>
      <c r="AG141" s="16">
        <v>1</v>
      </c>
      <c r="AH141" s="13">
        <f t="shared" ref="AH141:AH150" si="29">SUM(E141:AG141)</f>
        <v>2</v>
      </c>
    </row>
    <row r="142" spans="1:34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1</v>
      </c>
      <c r="L142" s="16">
        <v>0</v>
      </c>
      <c r="M142" s="16">
        <v>0</v>
      </c>
      <c r="N142" s="16">
        <v>1</v>
      </c>
      <c r="O142" s="16">
        <v>0</v>
      </c>
      <c r="P142" s="16">
        <v>0</v>
      </c>
      <c r="Q142" s="16">
        <v>0</v>
      </c>
      <c r="R142" s="16">
        <v>0</v>
      </c>
      <c r="S142" s="16">
        <v>0</v>
      </c>
      <c r="T142" s="16">
        <v>0</v>
      </c>
      <c r="U142" s="16">
        <v>0</v>
      </c>
      <c r="V142" s="16">
        <v>1</v>
      </c>
      <c r="W142" s="16">
        <v>0</v>
      </c>
      <c r="X142" s="16">
        <v>0</v>
      </c>
      <c r="Y142" s="16">
        <v>0</v>
      </c>
      <c r="Z142" s="16">
        <v>0</v>
      </c>
      <c r="AA142" s="16">
        <v>1</v>
      </c>
      <c r="AB142" s="16">
        <v>0</v>
      </c>
      <c r="AC142" s="16">
        <v>0</v>
      </c>
      <c r="AD142" s="16">
        <v>0</v>
      </c>
      <c r="AE142" s="16">
        <v>0</v>
      </c>
      <c r="AF142" s="16">
        <v>0</v>
      </c>
      <c r="AG142" s="16">
        <v>0</v>
      </c>
      <c r="AH142" s="13">
        <f t="shared" si="29"/>
        <v>4</v>
      </c>
    </row>
    <row r="143" spans="1:34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13">
        <f t="shared" si="29"/>
        <v>0</v>
      </c>
    </row>
    <row r="144" spans="1:34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13">
        <f t="shared" si="29"/>
        <v>0</v>
      </c>
    </row>
    <row r="145" spans="1:34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13">
        <f t="shared" si="29"/>
        <v>0</v>
      </c>
    </row>
    <row r="146" spans="1:34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13">
        <f t="shared" si="29"/>
        <v>0</v>
      </c>
    </row>
    <row r="147" spans="1:34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13">
        <f t="shared" si="29"/>
        <v>0</v>
      </c>
    </row>
    <row r="148" spans="1:34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13">
        <f t="shared" si="29"/>
        <v>0</v>
      </c>
    </row>
    <row r="149" spans="1:34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13">
        <f t="shared" si="29"/>
        <v>0</v>
      </c>
    </row>
    <row r="150" spans="1:34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13">
        <f t="shared" si="29"/>
        <v>0</v>
      </c>
    </row>
    <row r="151" spans="1:34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AH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1</v>
      </c>
      <c r="L151" s="13">
        <f t="shared" si="30"/>
        <v>0</v>
      </c>
      <c r="M151" s="13">
        <f t="shared" si="30"/>
        <v>1</v>
      </c>
      <c r="N151" s="13">
        <f t="shared" si="30"/>
        <v>1</v>
      </c>
      <c r="O151" s="13">
        <f t="shared" si="30"/>
        <v>0</v>
      </c>
      <c r="P151" s="13">
        <f t="shared" si="30"/>
        <v>0</v>
      </c>
      <c r="Q151" s="13">
        <f t="shared" si="30"/>
        <v>0</v>
      </c>
      <c r="R151" s="13">
        <f t="shared" si="30"/>
        <v>0</v>
      </c>
      <c r="S151" s="13">
        <f t="shared" si="30"/>
        <v>0</v>
      </c>
      <c r="T151" s="13">
        <f t="shared" si="30"/>
        <v>0</v>
      </c>
      <c r="U151" s="13">
        <f t="shared" si="30"/>
        <v>0</v>
      </c>
      <c r="V151" s="13">
        <f t="shared" si="30"/>
        <v>1</v>
      </c>
      <c r="W151" s="13">
        <f t="shared" si="30"/>
        <v>0</v>
      </c>
      <c r="X151" s="13">
        <f t="shared" si="30"/>
        <v>0</v>
      </c>
      <c r="Y151" s="13">
        <f t="shared" si="30"/>
        <v>0</v>
      </c>
      <c r="Z151" s="13">
        <f t="shared" si="30"/>
        <v>0</v>
      </c>
      <c r="AA151" s="13">
        <f t="shared" si="30"/>
        <v>1</v>
      </c>
      <c r="AB151" s="13">
        <f t="shared" si="30"/>
        <v>0</v>
      </c>
      <c r="AC151" s="13">
        <f t="shared" si="30"/>
        <v>0</v>
      </c>
      <c r="AD151" s="13">
        <f t="shared" si="30"/>
        <v>0</v>
      </c>
      <c r="AE151" s="13">
        <f t="shared" si="30"/>
        <v>0</v>
      </c>
      <c r="AF151" s="13">
        <f t="shared" si="30"/>
        <v>0</v>
      </c>
      <c r="AG151" s="13">
        <f t="shared" si="30"/>
        <v>1</v>
      </c>
      <c r="AH151" s="13">
        <f t="shared" si="30"/>
        <v>6</v>
      </c>
    </row>
    <row r="152" spans="1:34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13"/>
    </row>
    <row r="153" spans="1:34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1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0</v>
      </c>
      <c r="T153" s="16">
        <v>0</v>
      </c>
      <c r="U153" s="16">
        <v>0</v>
      </c>
      <c r="V153" s="16">
        <v>1</v>
      </c>
      <c r="W153" s="16">
        <v>0</v>
      </c>
      <c r="X153" s="16">
        <v>0</v>
      </c>
      <c r="Y153" s="16">
        <v>0</v>
      </c>
      <c r="Z153" s="16">
        <v>1</v>
      </c>
      <c r="AA153" s="16">
        <v>0</v>
      </c>
      <c r="AB153" s="16">
        <v>0</v>
      </c>
      <c r="AC153" s="16">
        <v>0</v>
      </c>
      <c r="AD153" s="16">
        <v>0</v>
      </c>
      <c r="AE153" s="16">
        <v>0</v>
      </c>
      <c r="AF153" s="16">
        <v>0</v>
      </c>
      <c r="AG153" s="16">
        <v>0</v>
      </c>
      <c r="AH153" s="13">
        <f t="shared" ref="AH153:AH162" si="31">SUM(E153:AG153)</f>
        <v>3</v>
      </c>
    </row>
    <row r="154" spans="1:34" ht="12.75" customHeight="1" x14ac:dyDescent="0.4">
      <c r="A154" s="42" t="s">
        <v>38</v>
      </c>
      <c r="B154" s="28"/>
      <c r="C154" s="29" t="s">
        <v>99</v>
      </c>
      <c r="D154" s="30"/>
      <c r="E154" s="55">
        <v>1</v>
      </c>
      <c r="F154" s="16">
        <v>0</v>
      </c>
      <c r="G154" s="16">
        <v>0</v>
      </c>
      <c r="H154" s="16">
        <v>0</v>
      </c>
      <c r="I154" s="16">
        <v>2</v>
      </c>
      <c r="J154" s="16">
        <v>1</v>
      </c>
      <c r="K154" s="16">
        <v>0</v>
      </c>
      <c r="L154" s="16">
        <v>3</v>
      </c>
      <c r="M154" s="16">
        <v>0</v>
      </c>
      <c r="N154" s="16">
        <v>1</v>
      </c>
      <c r="O154" s="16">
        <v>0</v>
      </c>
      <c r="P154" s="16">
        <v>1</v>
      </c>
      <c r="Q154" s="16">
        <v>2</v>
      </c>
      <c r="R154" s="16">
        <v>1</v>
      </c>
      <c r="S154" s="16">
        <v>1</v>
      </c>
      <c r="T154" s="16">
        <v>0</v>
      </c>
      <c r="U154" s="16">
        <v>0</v>
      </c>
      <c r="V154" s="16">
        <v>4</v>
      </c>
      <c r="W154" s="16">
        <v>2</v>
      </c>
      <c r="X154" s="16">
        <v>1</v>
      </c>
      <c r="Y154" s="16">
        <v>2</v>
      </c>
      <c r="Z154" s="16">
        <v>5</v>
      </c>
      <c r="AA154" s="16">
        <v>0</v>
      </c>
      <c r="AB154" s="16">
        <v>0</v>
      </c>
      <c r="AC154" s="16">
        <v>0</v>
      </c>
      <c r="AD154" s="16">
        <v>0</v>
      </c>
      <c r="AE154" s="16">
        <v>0</v>
      </c>
      <c r="AF154" s="16">
        <v>1</v>
      </c>
      <c r="AG154" s="16">
        <v>0</v>
      </c>
      <c r="AH154" s="13">
        <f t="shared" si="31"/>
        <v>28</v>
      </c>
    </row>
    <row r="155" spans="1:34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0</v>
      </c>
      <c r="T155" s="16">
        <v>0</v>
      </c>
      <c r="U155" s="16">
        <v>0</v>
      </c>
      <c r="V155" s="16">
        <v>0</v>
      </c>
      <c r="W155" s="16">
        <v>0</v>
      </c>
      <c r="X155" s="16">
        <v>0</v>
      </c>
      <c r="Y155" s="16">
        <v>1</v>
      </c>
      <c r="Z155" s="16">
        <v>0</v>
      </c>
      <c r="AA155" s="16">
        <v>0</v>
      </c>
      <c r="AB155" s="16">
        <v>0</v>
      </c>
      <c r="AC155" s="16">
        <v>0</v>
      </c>
      <c r="AD155" s="16">
        <v>0</v>
      </c>
      <c r="AE155" s="16">
        <v>0</v>
      </c>
      <c r="AF155" s="16">
        <v>0</v>
      </c>
      <c r="AG155" s="16">
        <v>0</v>
      </c>
      <c r="AH155" s="13">
        <f t="shared" si="31"/>
        <v>1</v>
      </c>
    </row>
    <row r="156" spans="1:34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2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1</v>
      </c>
      <c r="Y156" s="16">
        <v>1</v>
      </c>
      <c r="Z156" s="16">
        <v>0</v>
      </c>
      <c r="AA156" s="16">
        <v>0</v>
      </c>
      <c r="AB156" s="16">
        <v>0</v>
      </c>
      <c r="AC156" s="16">
        <v>0</v>
      </c>
      <c r="AD156" s="16">
        <v>0</v>
      </c>
      <c r="AE156" s="16">
        <v>0</v>
      </c>
      <c r="AF156" s="16">
        <v>0</v>
      </c>
      <c r="AG156" s="16">
        <v>0</v>
      </c>
      <c r="AH156" s="13">
        <f t="shared" si="31"/>
        <v>5</v>
      </c>
    </row>
    <row r="157" spans="1:34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1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1</v>
      </c>
      <c r="S157" s="16">
        <v>1</v>
      </c>
      <c r="T157" s="16">
        <v>0</v>
      </c>
      <c r="U157" s="16">
        <v>0</v>
      </c>
      <c r="V157" s="16">
        <v>0</v>
      </c>
      <c r="W157" s="16">
        <v>0</v>
      </c>
      <c r="X157" s="16">
        <v>1</v>
      </c>
      <c r="Y157" s="16">
        <v>0</v>
      </c>
      <c r="Z157" s="16">
        <v>0</v>
      </c>
      <c r="AA157" s="16">
        <v>0</v>
      </c>
      <c r="AB157" s="16">
        <v>0</v>
      </c>
      <c r="AC157" s="16">
        <v>0</v>
      </c>
      <c r="AD157" s="16">
        <v>0</v>
      </c>
      <c r="AE157" s="16">
        <v>1</v>
      </c>
      <c r="AF157" s="16">
        <v>0</v>
      </c>
      <c r="AG157" s="16">
        <v>0</v>
      </c>
      <c r="AH157" s="13">
        <f t="shared" si="31"/>
        <v>5</v>
      </c>
    </row>
    <row r="158" spans="1:34" ht="12.75" customHeight="1" x14ac:dyDescent="0.4">
      <c r="A158" s="52"/>
      <c r="B158" s="28"/>
      <c r="C158" s="29" t="s">
        <v>103</v>
      </c>
      <c r="D158" s="30"/>
      <c r="E158" s="56">
        <v>1</v>
      </c>
      <c r="F158" s="53">
        <v>0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0</v>
      </c>
      <c r="M158" s="53">
        <v>1</v>
      </c>
      <c r="N158" s="53">
        <v>0</v>
      </c>
      <c r="O158" s="53">
        <v>0</v>
      </c>
      <c r="P158" s="16">
        <v>1</v>
      </c>
      <c r="Q158" s="53">
        <v>1</v>
      </c>
      <c r="R158" s="53">
        <v>1</v>
      </c>
      <c r="S158" s="53">
        <v>0</v>
      </c>
      <c r="T158" s="53">
        <v>0</v>
      </c>
      <c r="U158" s="53">
        <v>0</v>
      </c>
      <c r="V158" s="53">
        <v>0</v>
      </c>
      <c r="W158" s="53">
        <v>0</v>
      </c>
      <c r="X158" s="53">
        <v>0</v>
      </c>
      <c r="Y158" s="53">
        <v>1</v>
      </c>
      <c r="Z158" s="53">
        <v>0</v>
      </c>
      <c r="AA158" s="53">
        <v>0</v>
      </c>
      <c r="AB158" s="53">
        <v>0</v>
      </c>
      <c r="AC158" s="53">
        <v>1</v>
      </c>
      <c r="AD158" s="53">
        <v>1</v>
      </c>
      <c r="AE158" s="53">
        <v>0</v>
      </c>
      <c r="AF158" s="53">
        <v>0</v>
      </c>
      <c r="AG158" s="53">
        <v>0</v>
      </c>
      <c r="AH158" s="13">
        <f t="shared" si="31"/>
        <v>8</v>
      </c>
    </row>
    <row r="159" spans="1:34" ht="12.75" customHeight="1" x14ac:dyDescent="0.4">
      <c r="A159" s="52"/>
      <c r="B159" s="28"/>
      <c r="C159" s="29" t="s">
        <v>104</v>
      </c>
      <c r="D159" s="30"/>
      <c r="E159" s="56">
        <v>1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1</v>
      </c>
      <c r="Y159" s="53">
        <v>0</v>
      </c>
      <c r="Z159" s="53">
        <v>0</v>
      </c>
      <c r="AA159" s="53">
        <v>0</v>
      </c>
      <c r="AB159" s="53">
        <v>0</v>
      </c>
      <c r="AC159" s="53">
        <v>0</v>
      </c>
      <c r="AD159" s="53">
        <v>0</v>
      </c>
      <c r="AE159" s="53">
        <v>1</v>
      </c>
      <c r="AF159" s="53">
        <v>0</v>
      </c>
      <c r="AG159" s="53">
        <v>0</v>
      </c>
      <c r="AH159" s="13">
        <f t="shared" si="31"/>
        <v>3</v>
      </c>
    </row>
    <row r="160" spans="1:34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13">
        <f t="shared" si="31"/>
        <v>0</v>
      </c>
    </row>
    <row r="161" spans="1:34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13">
        <f t="shared" si="31"/>
        <v>0</v>
      </c>
    </row>
    <row r="162" spans="1:34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13">
        <f t="shared" si="31"/>
        <v>0</v>
      </c>
    </row>
    <row r="163" spans="1:34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AH163" si="32">SUM(E153:E162)</f>
        <v>3</v>
      </c>
      <c r="F163" s="13">
        <f t="shared" si="32"/>
        <v>0</v>
      </c>
      <c r="G163" s="13">
        <f t="shared" si="32"/>
        <v>1</v>
      </c>
      <c r="H163" s="13">
        <f t="shared" si="32"/>
        <v>0</v>
      </c>
      <c r="I163" s="13">
        <f t="shared" si="32"/>
        <v>2</v>
      </c>
      <c r="J163" s="13">
        <f t="shared" si="32"/>
        <v>1</v>
      </c>
      <c r="K163" s="13">
        <f t="shared" si="32"/>
        <v>0</v>
      </c>
      <c r="L163" s="13">
        <f t="shared" si="32"/>
        <v>4</v>
      </c>
      <c r="M163" s="13">
        <f t="shared" si="32"/>
        <v>1</v>
      </c>
      <c r="N163" s="13">
        <f t="shared" si="32"/>
        <v>1</v>
      </c>
      <c r="O163" s="13">
        <f t="shared" si="32"/>
        <v>0</v>
      </c>
      <c r="P163" s="13">
        <f t="shared" si="32"/>
        <v>4</v>
      </c>
      <c r="Q163" s="13">
        <f t="shared" si="32"/>
        <v>3</v>
      </c>
      <c r="R163" s="13">
        <f t="shared" si="32"/>
        <v>3</v>
      </c>
      <c r="S163" s="13">
        <f t="shared" si="32"/>
        <v>3</v>
      </c>
      <c r="T163" s="13">
        <f t="shared" si="32"/>
        <v>0</v>
      </c>
      <c r="U163" s="13">
        <f t="shared" si="32"/>
        <v>0</v>
      </c>
      <c r="V163" s="13">
        <f t="shared" si="32"/>
        <v>5</v>
      </c>
      <c r="W163" s="13">
        <f t="shared" si="32"/>
        <v>2</v>
      </c>
      <c r="X163" s="13">
        <f t="shared" si="32"/>
        <v>4</v>
      </c>
      <c r="Y163" s="13">
        <f t="shared" si="32"/>
        <v>5</v>
      </c>
      <c r="Z163" s="13">
        <f t="shared" si="32"/>
        <v>6</v>
      </c>
      <c r="AA163" s="13">
        <f t="shared" si="32"/>
        <v>0</v>
      </c>
      <c r="AB163" s="13">
        <f t="shared" si="32"/>
        <v>0</v>
      </c>
      <c r="AC163" s="13">
        <f t="shared" si="32"/>
        <v>1</v>
      </c>
      <c r="AD163" s="13">
        <f t="shared" si="32"/>
        <v>1</v>
      </c>
      <c r="AE163" s="13">
        <f t="shared" si="32"/>
        <v>2</v>
      </c>
      <c r="AF163" s="13">
        <f t="shared" si="32"/>
        <v>1</v>
      </c>
      <c r="AG163" s="13">
        <f t="shared" si="32"/>
        <v>0</v>
      </c>
      <c r="AH163" s="13">
        <f t="shared" si="32"/>
        <v>53</v>
      </c>
    </row>
    <row r="164" spans="1:34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</row>
    <row r="165" spans="1:34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1</v>
      </c>
      <c r="G165" s="16">
        <v>1</v>
      </c>
      <c r="H165" s="16">
        <v>0</v>
      </c>
      <c r="I165" s="16">
        <v>1</v>
      </c>
      <c r="J165" s="16">
        <v>0</v>
      </c>
      <c r="K165" s="16">
        <v>1</v>
      </c>
      <c r="L165" s="16">
        <v>2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1</v>
      </c>
      <c r="T165" s="16">
        <v>0</v>
      </c>
      <c r="U165" s="16">
        <v>2</v>
      </c>
      <c r="V165" s="16">
        <v>0</v>
      </c>
      <c r="W165" s="16">
        <v>1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6">
        <v>0</v>
      </c>
      <c r="AD165" s="16">
        <v>1</v>
      </c>
      <c r="AE165" s="16">
        <v>1</v>
      </c>
      <c r="AF165" s="16">
        <v>0</v>
      </c>
      <c r="AG165" s="16">
        <v>0</v>
      </c>
      <c r="AH165" s="13">
        <f t="shared" ref="AH165:AH174" si="33">SUM(E165:AG165)</f>
        <v>12</v>
      </c>
    </row>
    <row r="166" spans="1:34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13">
        <f t="shared" si="33"/>
        <v>0</v>
      </c>
    </row>
    <row r="167" spans="1:34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13">
        <f t="shared" si="33"/>
        <v>0</v>
      </c>
    </row>
    <row r="168" spans="1:34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13">
        <f t="shared" si="33"/>
        <v>0</v>
      </c>
    </row>
    <row r="169" spans="1:34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13">
        <f t="shared" si="33"/>
        <v>0</v>
      </c>
    </row>
    <row r="170" spans="1:34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13">
        <f t="shared" si="33"/>
        <v>0</v>
      </c>
    </row>
    <row r="171" spans="1:34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13">
        <f t="shared" si="33"/>
        <v>0</v>
      </c>
    </row>
    <row r="172" spans="1:34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13">
        <f t="shared" si="33"/>
        <v>0</v>
      </c>
    </row>
    <row r="173" spans="1:34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13">
        <f t="shared" si="33"/>
        <v>0</v>
      </c>
    </row>
    <row r="174" spans="1:34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13">
        <f t="shared" si="33"/>
        <v>0</v>
      </c>
    </row>
    <row r="175" spans="1:34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AH175" si="34">SUM(E165:E174)</f>
        <v>0</v>
      </c>
      <c r="F175" s="13">
        <f t="shared" si="34"/>
        <v>1</v>
      </c>
      <c r="G175" s="13">
        <f t="shared" si="34"/>
        <v>1</v>
      </c>
      <c r="H175" s="13">
        <f t="shared" si="34"/>
        <v>0</v>
      </c>
      <c r="I175" s="13">
        <f t="shared" si="34"/>
        <v>1</v>
      </c>
      <c r="J175" s="13">
        <f t="shared" si="34"/>
        <v>0</v>
      </c>
      <c r="K175" s="13">
        <f t="shared" si="34"/>
        <v>1</v>
      </c>
      <c r="L175" s="13">
        <f t="shared" si="34"/>
        <v>2</v>
      </c>
      <c r="M175" s="13">
        <f t="shared" si="34"/>
        <v>0</v>
      </c>
      <c r="N175" s="13">
        <f t="shared" si="34"/>
        <v>0</v>
      </c>
      <c r="O175" s="13">
        <f t="shared" si="34"/>
        <v>0</v>
      </c>
      <c r="P175" s="13">
        <f t="shared" si="34"/>
        <v>0</v>
      </c>
      <c r="Q175" s="13">
        <f t="shared" si="34"/>
        <v>0</v>
      </c>
      <c r="R175" s="13">
        <f t="shared" si="34"/>
        <v>0</v>
      </c>
      <c r="S175" s="13">
        <f t="shared" si="34"/>
        <v>1</v>
      </c>
      <c r="T175" s="13">
        <f t="shared" si="34"/>
        <v>0</v>
      </c>
      <c r="U175" s="13">
        <f t="shared" si="34"/>
        <v>2</v>
      </c>
      <c r="V175" s="13">
        <f t="shared" si="34"/>
        <v>0</v>
      </c>
      <c r="W175" s="13">
        <f t="shared" si="34"/>
        <v>1</v>
      </c>
      <c r="X175" s="13">
        <f t="shared" si="34"/>
        <v>0</v>
      </c>
      <c r="Y175" s="13">
        <f t="shared" si="34"/>
        <v>0</v>
      </c>
      <c r="Z175" s="13">
        <f t="shared" si="34"/>
        <v>0</v>
      </c>
      <c r="AA175" s="13">
        <f t="shared" si="34"/>
        <v>0</v>
      </c>
      <c r="AB175" s="13">
        <f t="shared" si="34"/>
        <v>0</v>
      </c>
      <c r="AC175" s="13">
        <f t="shared" si="34"/>
        <v>0</v>
      </c>
      <c r="AD175" s="13">
        <f t="shared" si="34"/>
        <v>1</v>
      </c>
      <c r="AE175" s="13">
        <f t="shared" si="34"/>
        <v>1</v>
      </c>
      <c r="AF175" s="13">
        <f t="shared" si="34"/>
        <v>0</v>
      </c>
      <c r="AG175" s="13">
        <f t="shared" si="34"/>
        <v>0</v>
      </c>
      <c r="AH175" s="13">
        <f t="shared" si="34"/>
        <v>12</v>
      </c>
    </row>
    <row r="176" spans="1:34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</row>
    <row r="177" spans="1:34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1</v>
      </c>
      <c r="F177" s="16">
        <v>1</v>
      </c>
      <c r="G177" s="16">
        <v>0</v>
      </c>
      <c r="H177" s="16">
        <v>0</v>
      </c>
      <c r="I177" s="16">
        <v>1</v>
      </c>
      <c r="J177" s="16">
        <v>0</v>
      </c>
      <c r="K177" s="16">
        <v>0</v>
      </c>
      <c r="L177" s="16">
        <v>0</v>
      </c>
      <c r="M177" s="16">
        <v>2</v>
      </c>
      <c r="N177" s="16">
        <v>2</v>
      </c>
      <c r="O177" s="16">
        <v>2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1</v>
      </c>
      <c r="X177" s="16">
        <v>2</v>
      </c>
      <c r="Y177" s="16">
        <v>0</v>
      </c>
      <c r="Z177" s="16">
        <v>0</v>
      </c>
      <c r="AA177" s="16">
        <v>0</v>
      </c>
      <c r="AB177" s="16">
        <v>2</v>
      </c>
      <c r="AC177" s="16">
        <v>1</v>
      </c>
      <c r="AD177" s="16">
        <v>0</v>
      </c>
      <c r="AE177" s="16">
        <v>1</v>
      </c>
      <c r="AF177" s="16">
        <v>0</v>
      </c>
      <c r="AG177" s="16">
        <v>0</v>
      </c>
      <c r="AH177" s="13">
        <f t="shared" ref="AH177:AH186" si="35">SUM(E177:AG177)</f>
        <v>16</v>
      </c>
    </row>
    <row r="178" spans="1:34" ht="12.75" customHeight="1" x14ac:dyDescent="0.4">
      <c r="A178" s="20" t="s">
        <v>38</v>
      </c>
      <c r="B178" s="28"/>
      <c r="C178" s="29" t="s">
        <v>109</v>
      </c>
      <c r="D178" s="30"/>
      <c r="E178" s="16">
        <v>4</v>
      </c>
      <c r="F178" s="16">
        <v>3</v>
      </c>
      <c r="G178" s="16">
        <v>0</v>
      </c>
      <c r="H178" s="16">
        <v>0</v>
      </c>
      <c r="I178" s="16">
        <v>2</v>
      </c>
      <c r="J178" s="16">
        <v>0</v>
      </c>
      <c r="K178" s="16">
        <v>1</v>
      </c>
      <c r="L178" s="16">
        <v>0</v>
      </c>
      <c r="M178" s="16">
        <v>3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7</v>
      </c>
      <c r="V178" s="16">
        <v>0</v>
      </c>
      <c r="W178" s="16">
        <v>7</v>
      </c>
      <c r="X178" s="16">
        <v>8</v>
      </c>
      <c r="Y178" s="16">
        <v>0</v>
      </c>
      <c r="Z178" s="16">
        <v>2</v>
      </c>
      <c r="AA178" s="16">
        <v>0</v>
      </c>
      <c r="AB178" s="16">
        <v>1</v>
      </c>
      <c r="AC178" s="16">
        <v>2</v>
      </c>
      <c r="AD178" s="16">
        <v>0</v>
      </c>
      <c r="AE178" s="16">
        <v>3</v>
      </c>
      <c r="AF178" s="16">
        <v>0</v>
      </c>
      <c r="AG178" s="16">
        <v>0</v>
      </c>
      <c r="AH178" s="13">
        <f t="shared" si="35"/>
        <v>43</v>
      </c>
    </row>
    <row r="179" spans="1:34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0</v>
      </c>
      <c r="G179" s="16">
        <v>0</v>
      </c>
      <c r="H179" s="16">
        <v>1</v>
      </c>
      <c r="I179" s="16">
        <v>0</v>
      </c>
      <c r="J179" s="16">
        <v>2</v>
      </c>
      <c r="K179" s="16">
        <v>0</v>
      </c>
      <c r="L179" s="16">
        <v>0</v>
      </c>
      <c r="M179" s="16">
        <v>0</v>
      </c>
      <c r="N179" s="16">
        <v>1</v>
      </c>
      <c r="O179" s="16">
        <v>0</v>
      </c>
      <c r="P179" s="16">
        <v>1</v>
      </c>
      <c r="Q179" s="16">
        <v>0</v>
      </c>
      <c r="R179" s="16">
        <v>0</v>
      </c>
      <c r="S179" s="16">
        <v>2</v>
      </c>
      <c r="T179" s="16">
        <v>0</v>
      </c>
      <c r="U179" s="16">
        <v>0</v>
      </c>
      <c r="V179" s="16">
        <v>0</v>
      </c>
      <c r="W179" s="16">
        <v>1</v>
      </c>
      <c r="X179" s="16">
        <v>0</v>
      </c>
      <c r="Y179" s="16">
        <v>1</v>
      </c>
      <c r="Z179" s="16">
        <v>1</v>
      </c>
      <c r="AA179" s="16">
        <v>1</v>
      </c>
      <c r="AB179" s="16">
        <v>0</v>
      </c>
      <c r="AC179" s="16">
        <v>1</v>
      </c>
      <c r="AD179" s="16">
        <v>2</v>
      </c>
      <c r="AE179" s="16">
        <v>0</v>
      </c>
      <c r="AF179" s="16">
        <v>0</v>
      </c>
      <c r="AG179" s="16">
        <v>0</v>
      </c>
      <c r="AH179" s="13">
        <f t="shared" si="35"/>
        <v>14</v>
      </c>
    </row>
    <row r="180" spans="1:34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1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1</v>
      </c>
      <c r="M180" s="16">
        <v>0</v>
      </c>
      <c r="N180" s="16">
        <v>1</v>
      </c>
      <c r="O180" s="16">
        <v>0</v>
      </c>
      <c r="P180" s="16">
        <v>1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2</v>
      </c>
      <c r="Z180" s="16">
        <v>0</v>
      </c>
      <c r="AA180" s="16">
        <v>0</v>
      </c>
      <c r="AB180" s="16">
        <v>0</v>
      </c>
      <c r="AC180" s="16">
        <v>0</v>
      </c>
      <c r="AD180" s="16">
        <v>0</v>
      </c>
      <c r="AE180" s="16">
        <v>0</v>
      </c>
      <c r="AF180" s="16">
        <v>0</v>
      </c>
      <c r="AG180" s="16">
        <v>0</v>
      </c>
      <c r="AH180" s="13">
        <f t="shared" si="35"/>
        <v>6</v>
      </c>
    </row>
    <row r="181" spans="1:34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1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1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1</v>
      </c>
      <c r="X181" s="16">
        <v>0</v>
      </c>
      <c r="Y181" s="16">
        <v>0</v>
      </c>
      <c r="Z181" s="16">
        <v>0</v>
      </c>
      <c r="AA181" s="16">
        <v>1</v>
      </c>
      <c r="AB181" s="16">
        <v>0</v>
      </c>
      <c r="AC181" s="16">
        <v>0</v>
      </c>
      <c r="AD181" s="16">
        <v>0</v>
      </c>
      <c r="AE181" s="16">
        <v>0</v>
      </c>
      <c r="AF181" s="16">
        <v>0</v>
      </c>
      <c r="AG181" s="16">
        <v>0</v>
      </c>
      <c r="AH181" s="13">
        <f t="shared" si="35"/>
        <v>4</v>
      </c>
    </row>
    <row r="182" spans="1:34" ht="12.75" customHeight="1" x14ac:dyDescent="0.4">
      <c r="A182" s="15"/>
      <c r="B182" s="28"/>
      <c r="C182" s="29" t="s">
        <v>113</v>
      </c>
      <c r="D182" s="30"/>
      <c r="E182" s="16">
        <v>1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2</v>
      </c>
      <c r="S182" s="16">
        <v>0</v>
      </c>
      <c r="T182" s="16">
        <v>0</v>
      </c>
      <c r="U182" s="16">
        <v>1</v>
      </c>
      <c r="V182" s="16">
        <v>0</v>
      </c>
      <c r="W182" s="16">
        <v>0</v>
      </c>
      <c r="X182" s="16">
        <v>1</v>
      </c>
      <c r="Y182" s="16">
        <v>0</v>
      </c>
      <c r="Z182" s="16">
        <v>0</v>
      </c>
      <c r="AA182" s="16">
        <v>0</v>
      </c>
      <c r="AB182" s="16">
        <v>0</v>
      </c>
      <c r="AC182" s="16">
        <v>0</v>
      </c>
      <c r="AD182" s="16">
        <v>0</v>
      </c>
      <c r="AE182" s="16">
        <v>0</v>
      </c>
      <c r="AF182" s="16">
        <v>1</v>
      </c>
      <c r="AG182" s="16">
        <v>0</v>
      </c>
      <c r="AH182" s="13">
        <f t="shared" si="35"/>
        <v>6</v>
      </c>
    </row>
    <row r="183" spans="1:34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1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0</v>
      </c>
      <c r="AC183" s="16">
        <v>0</v>
      </c>
      <c r="AD183" s="16">
        <v>0</v>
      </c>
      <c r="AE183" s="16">
        <v>1</v>
      </c>
      <c r="AF183" s="16">
        <v>0</v>
      </c>
      <c r="AG183" s="16">
        <v>0</v>
      </c>
      <c r="AH183" s="13">
        <f t="shared" si="35"/>
        <v>2</v>
      </c>
    </row>
    <row r="184" spans="1:34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13">
        <f t="shared" si="35"/>
        <v>0</v>
      </c>
    </row>
    <row r="185" spans="1:34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13">
        <f t="shared" si="35"/>
        <v>0</v>
      </c>
    </row>
    <row r="186" spans="1:34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13">
        <f t="shared" si="35"/>
        <v>0</v>
      </c>
    </row>
    <row r="187" spans="1:34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Q187" si="36">SUM(E177:E186)</f>
        <v>6</v>
      </c>
      <c r="F187" s="13">
        <f t="shared" si="36"/>
        <v>5</v>
      </c>
      <c r="G187" s="13">
        <f t="shared" si="36"/>
        <v>1</v>
      </c>
      <c r="H187" s="13">
        <f t="shared" si="36"/>
        <v>2</v>
      </c>
      <c r="I187" s="13">
        <f t="shared" si="36"/>
        <v>3</v>
      </c>
      <c r="J187" s="13">
        <f t="shared" si="36"/>
        <v>2</v>
      </c>
      <c r="K187" s="13">
        <f t="shared" si="36"/>
        <v>1</v>
      </c>
      <c r="L187" s="13">
        <f t="shared" si="36"/>
        <v>1</v>
      </c>
      <c r="M187" s="13">
        <f t="shared" si="36"/>
        <v>5</v>
      </c>
      <c r="N187" s="13">
        <f t="shared" si="36"/>
        <v>4</v>
      </c>
      <c r="O187" s="13">
        <f t="shared" si="36"/>
        <v>3</v>
      </c>
      <c r="P187" s="13">
        <f t="shared" si="36"/>
        <v>2</v>
      </c>
      <c r="Q187" s="13">
        <f t="shared" si="36"/>
        <v>0</v>
      </c>
      <c r="R187" s="13">
        <v>2</v>
      </c>
      <c r="S187" s="13">
        <f t="shared" ref="S187:AH187" si="37">SUM(S177:S186)</f>
        <v>2</v>
      </c>
      <c r="T187" s="13">
        <f t="shared" si="37"/>
        <v>0</v>
      </c>
      <c r="U187" s="13">
        <f t="shared" si="37"/>
        <v>8</v>
      </c>
      <c r="V187" s="13">
        <f t="shared" si="37"/>
        <v>0</v>
      </c>
      <c r="W187" s="13">
        <f t="shared" si="37"/>
        <v>10</v>
      </c>
      <c r="X187" s="13">
        <f t="shared" si="37"/>
        <v>11</v>
      </c>
      <c r="Y187" s="13">
        <f t="shared" si="37"/>
        <v>3</v>
      </c>
      <c r="Z187" s="13">
        <f t="shared" si="37"/>
        <v>3</v>
      </c>
      <c r="AA187" s="13">
        <f t="shared" si="37"/>
        <v>2</v>
      </c>
      <c r="AB187" s="13">
        <f t="shared" si="37"/>
        <v>3</v>
      </c>
      <c r="AC187" s="13">
        <f t="shared" si="37"/>
        <v>4</v>
      </c>
      <c r="AD187" s="13">
        <f t="shared" si="37"/>
        <v>2</v>
      </c>
      <c r="AE187" s="13">
        <f t="shared" si="37"/>
        <v>5</v>
      </c>
      <c r="AF187" s="13">
        <f t="shared" si="37"/>
        <v>1</v>
      </c>
      <c r="AG187" s="13">
        <f t="shared" si="37"/>
        <v>0</v>
      </c>
      <c r="AH187" s="13">
        <f t="shared" si="37"/>
        <v>91</v>
      </c>
    </row>
    <row r="188" spans="1:34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AH188" s="13"/>
    </row>
    <row r="189" spans="1:34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1</v>
      </c>
      <c r="G189" s="16">
        <v>1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4</v>
      </c>
      <c r="N189" s="16">
        <v>0</v>
      </c>
      <c r="O189" s="16">
        <v>1</v>
      </c>
      <c r="P189" s="16">
        <v>0</v>
      </c>
      <c r="Q189" s="16">
        <v>1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6">
        <v>0</v>
      </c>
      <c r="AD189" s="16">
        <v>0</v>
      </c>
      <c r="AE189" s="16">
        <v>0</v>
      </c>
      <c r="AF189" s="16">
        <v>0</v>
      </c>
      <c r="AG189" s="16">
        <v>0</v>
      </c>
      <c r="AH189" s="13">
        <f t="shared" ref="AH189:AH198" si="38">SUM(E189:AG189)</f>
        <v>8</v>
      </c>
    </row>
    <row r="190" spans="1:34" ht="12.75" customHeight="1" x14ac:dyDescent="0.4">
      <c r="A190" s="20" t="s">
        <v>38</v>
      </c>
      <c r="B190" s="28"/>
      <c r="C190" s="29" t="s">
        <v>117</v>
      </c>
      <c r="D190" s="30"/>
      <c r="E190" s="16">
        <v>1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1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2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1</v>
      </c>
      <c r="AD190" s="16">
        <v>0</v>
      </c>
      <c r="AE190" s="16">
        <v>0</v>
      </c>
      <c r="AF190" s="16">
        <v>0</v>
      </c>
      <c r="AG190" s="16">
        <v>0</v>
      </c>
      <c r="AH190" s="13">
        <f t="shared" si="38"/>
        <v>5</v>
      </c>
    </row>
    <row r="191" spans="1:34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6">
        <v>0</v>
      </c>
      <c r="AE191" s="16">
        <v>0</v>
      </c>
      <c r="AF191" s="16">
        <v>1</v>
      </c>
      <c r="AG191" s="16">
        <v>0</v>
      </c>
      <c r="AH191" s="13">
        <f t="shared" si="38"/>
        <v>1</v>
      </c>
    </row>
    <row r="192" spans="1:34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2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1</v>
      </c>
      <c r="AC192" s="16">
        <v>0</v>
      </c>
      <c r="AD192" s="16">
        <v>0</v>
      </c>
      <c r="AE192" s="16">
        <v>0</v>
      </c>
      <c r="AF192" s="16">
        <v>0</v>
      </c>
      <c r="AG192" s="16">
        <v>0</v>
      </c>
      <c r="AH192" s="13">
        <f t="shared" si="38"/>
        <v>3</v>
      </c>
    </row>
    <row r="193" spans="1:34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1</v>
      </c>
      <c r="N193" s="16">
        <v>0</v>
      </c>
      <c r="O193" s="16">
        <v>0</v>
      </c>
      <c r="P193" s="16">
        <v>0</v>
      </c>
      <c r="Q193" s="16">
        <v>1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6">
        <v>0</v>
      </c>
      <c r="AF193" s="16">
        <v>0</v>
      </c>
      <c r="AG193" s="16">
        <v>0</v>
      </c>
      <c r="AH193" s="13">
        <f t="shared" si="38"/>
        <v>2</v>
      </c>
    </row>
    <row r="194" spans="1:34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6">
        <v>0</v>
      </c>
      <c r="AF194" s="16">
        <v>0</v>
      </c>
      <c r="AG194" s="16">
        <v>0</v>
      </c>
      <c r="AH194" s="13">
        <f t="shared" si="38"/>
        <v>0</v>
      </c>
    </row>
    <row r="195" spans="1:34" ht="12.75" customHeight="1" x14ac:dyDescent="0.4">
      <c r="A195" s="15"/>
      <c r="B195" s="28"/>
      <c r="C195" s="29" t="s">
        <v>122</v>
      </c>
      <c r="D195" s="30"/>
      <c r="E195" s="16">
        <v>2</v>
      </c>
      <c r="F195" s="16">
        <v>0</v>
      </c>
      <c r="G195" s="16">
        <v>1</v>
      </c>
      <c r="H195" s="16">
        <v>0</v>
      </c>
      <c r="I195" s="16">
        <v>3</v>
      </c>
      <c r="J195" s="16">
        <v>1</v>
      </c>
      <c r="K195" s="16">
        <v>0</v>
      </c>
      <c r="L195" s="16">
        <v>0</v>
      </c>
      <c r="M195" s="16">
        <v>2</v>
      </c>
      <c r="N195" s="16">
        <v>0</v>
      </c>
      <c r="O195" s="16">
        <v>0</v>
      </c>
      <c r="P195" s="16">
        <v>0</v>
      </c>
      <c r="Q195" s="16">
        <v>0</v>
      </c>
      <c r="R195" s="16">
        <v>3</v>
      </c>
      <c r="S195" s="16">
        <v>1</v>
      </c>
      <c r="T195" s="16">
        <v>0</v>
      </c>
      <c r="U195" s="16">
        <v>0</v>
      </c>
      <c r="V195" s="16">
        <v>0</v>
      </c>
      <c r="W195" s="16">
        <v>2</v>
      </c>
      <c r="X195" s="16">
        <v>0</v>
      </c>
      <c r="Y195" s="16">
        <v>0</v>
      </c>
      <c r="Z195" s="16">
        <v>0</v>
      </c>
      <c r="AA195" s="16">
        <v>2</v>
      </c>
      <c r="AB195" s="16">
        <v>0</v>
      </c>
      <c r="AC195" s="16">
        <v>5</v>
      </c>
      <c r="AD195" s="16">
        <v>0</v>
      </c>
      <c r="AE195" s="16">
        <v>0</v>
      </c>
      <c r="AF195" s="16">
        <v>0</v>
      </c>
      <c r="AG195" s="16">
        <v>0</v>
      </c>
      <c r="AH195" s="13">
        <f t="shared" si="38"/>
        <v>22</v>
      </c>
    </row>
    <row r="196" spans="1:34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13">
        <f t="shared" si="38"/>
        <v>0</v>
      </c>
    </row>
    <row r="197" spans="1:34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13">
        <f t="shared" si="38"/>
        <v>0</v>
      </c>
    </row>
    <row r="198" spans="1:34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13">
        <f t="shared" si="38"/>
        <v>0</v>
      </c>
    </row>
    <row r="199" spans="1:34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AH199" si="39">SUM(E189:E198)</f>
        <v>3</v>
      </c>
      <c r="F199" s="13">
        <f t="shared" si="39"/>
        <v>1</v>
      </c>
      <c r="G199" s="13">
        <f t="shared" si="39"/>
        <v>2</v>
      </c>
      <c r="H199" s="13">
        <f t="shared" si="39"/>
        <v>0</v>
      </c>
      <c r="I199" s="13">
        <f t="shared" si="39"/>
        <v>3</v>
      </c>
      <c r="J199" s="13">
        <f t="shared" si="39"/>
        <v>1</v>
      </c>
      <c r="K199" s="13">
        <f t="shared" si="39"/>
        <v>0</v>
      </c>
      <c r="L199" s="13">
        <f t="shared" si="39"/>
        <v>1</v>
      </c>
      <c r="M199" s="13">
        <f t="shared" si="39"/>
        <v>7</v>
      </c>
      <c r="N199" s="13">
        <f t="shared" si="39"/>
        <v>0</v>
      </c>
      <c r="O199" s="13">
        <f t="shared" si="39"/>
        <v>1</v>
      </c>
      <c r="P199" s="13">
        <f t="shared" si="39"/>
        <v>0</v>
      </c>
      <c r="Q199" s="13">
        <f t="shared" si="39"/>
        <v>2</v>
      </c>
      <c r="R199" s="13">
        <f t="shared" si="39"/>
        <v>3</v>
      </c>
      <c r="S199" s="13">
        <f t="shared" si="39"/>
        <v>1</v>
      </c>
      <c r="T199" s="13">
        <f t="shared" si="39"/>
        <v>0</v>
      </c>
      <c r="U199" s="13">
        <f t="shared" si="39"/>
        <v>0</v>
      </c>
      <c r="V199" s="13">
        <f t="shared" si="39"/>
        <v>4</v>
      </c>
      <c r="W199" s="13">
        <f t="shared" si="39"/>
        <v>2</v>
      </c>
      <c r="X199" s="13">
        <f t="shared" si="39"/>
        <v>0</v>
      </c>
      <c r="Y199" s="13">
        <f t="shared" si="39"/>
        <v>0</v>
      </c>
      <c r="Z199" s="13">
        <f t="shared" si="39"/>
        <v>0</v>
      </c>
      <c r="AA199" s="13">
        <f t="shared" si="39"/>
        <v>2</v>
      </c>
      <c r="AB199" s="13">
        <f t="shared" si="39"/>
        <v>1</v>
      </c>
      <c r="AC199" s="13">
        <f t="shared" si="39"/>
        <v>6</v>
      </c>
      <c r="AD199" s="13">
        <f t="shared" si="39"/>
        <v>0</v>
      </c>
      <c r="AE199" s="13">
        <f t="shared" si="39"/>
        <v>0</v>
      </c>
      <c r="AF199" s="13">
        <f t="shared" si="39"/>
        <v>1</v>
      </c>
      <c r="AG199" s="13">
        <f t="shared" si="39"/>
        <v>0</v>
      </c>
      <c r="AH199" s="13">
        <f t="shared" si="39"/>
        <v>41</v>
      </c>
    </row>
    <row r="200" spans="1:34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</row>
    <row r="201" spans="1:34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4</v>
      </c>
      <c r="F201" s="16">
        <v>3</v>
      </c>
      <c r="G201" s="16">
        <v>1</v>
      </c>
      <c r="H201" s="16">
        <v>1</v>
      </c>
      <c r="I201" s="16">
        <v>2</v>
      </c>
      <c r="J201" s="16">
        <v>3</v>
      </c>
      <c r="K201" s="16">
        <v>1</v>
      </c>
      <c r="L201" s="16">
        <v>4</v>
      </c>
      <c r="M201" s="16">
        <v>2</v>
      </c>
      <c r="N201" s="16">
        <v>1</v>
      </c>
      <c r="O201" s="16">
        <v>6</v>
      </c>
      <c r="P201" s="16">
        <v>3</v>
      </c>
      <c r="Q201" s="16">
        <v>4</v>
      </c>
      <c r="R201" s="16">
        <v>2</v>
      </c>
      <c r="S201" s="16">
        <v>0</v>
      </c>
      <c r="T201" s="16">
        <v>4</v>
      </c>
      <c r="U201" s="16">
        <v>0</v>
      </c>
      <c r="V201" s="16">
        <v>3</v>
      </c>
      <c r="W201" s="16">
        <v>4</v>
      </c>
      <c r="X201" s="16">
        <v>0</v>
      </c>
      <c r="Y201" s="16">
        <v>2</v>
      </c>
      <c r="Z201" s="16">
        <v>4</v>
      </c>
      <c r="AA201" s="16">
        <v>1</v>
      </c>
      <c r="AB201" s="16">
        <v>6</v>
      </c>
      <c r="AC201" s="16">
        <v>7</v>
      </c>
      <c r="AD201" s="16">
        <v>4</v>
      </c>
      <c r="AE201" s="16">
        <v>5</v>
      </c>
      <c r="AF201" s="16">
        <v>0</v>
      </c>
      <c r="AG201" s="16">
        <v>2</v>
      </c>
      <c r="AH201" s="13">
        <f t="shared" ref="AH201:AH210" si="40">SUM(E201:AG201)</f>
        <v>79</v>
      </c>
    </row>
    <row r="202" spans="1:34" ht="12.75" customHeight="1" x14ac:dyDescent="0.4">
      <c r="A202" s="20" t="s">
        <v>38</v>
      </c>
      <c r="B202" s="28"/>
      <c r="C202" s="29" t="s">
        <v>125</v>
      </c>
      <c r="D202" s="30"/>
      <c r="E202" s="16">
        <v>10</v>
      </c>
      <c r="F202" s="16">
        <v>11</v>
      </c>
      <c r="G202" s="16">
        <v>0</v>
      </c>
      <c r="H202" s="16">
        <v>2</v>
      </c>
      <c r="I202" s="16">
        <v>3</v>
      </c>
      <c r="J202" s="16">
        <v>1</v>
      </c>
      <c r="K202" s="16">
        <v>7</v>
      </c>
      <c r="L202" s="16">
        <v>4</v>
      </c>
      <c r="M202" s="16">
        <v>2</v>
      </c>
      <c r="N202" s="16">
        <v>4</v>
      </c>
      <c r="O202" s="16">
        <v>2</v>
      </c>
      <c r="P202" s="16">
        <v>6</v>
      </c>
      <c r="Q202" s="16">
        <v>5</v>
      </c>
      <c r="R202" s="16">
        <v>4</v>
      </c>
      <c r="S202" s="16">
        <v>2</v>
      </c>
      <c r="T202" s="16">
        <v>4</v>
      </c>
      <c r="U202" s="16">
        <v>0</v>
      </c>
      <c r="V202" s="16">
        <v>4</v>
      </c>
      <c r="W202" s="16">
        <v>3</v>
      </c>
      <c r="X202" s="16">
        <v>2</v>
      </c>
      <c r="Y202" s="16">
        <v>8</v>
      </c>
      <c r="Z202" s="16">
        <v>5</v>
      </c>
      <c r="AA202" s="16">
        <v>3</v>
      </c>
      <c r="AB202" s="16">
        <v>6</v>
      </c>
      <c r="AC202" s="16">
        <v>6</v>
      </c>
      <c r="AD202" s="16">
        <v>3</v>
      </c>
      <c r="AE202" s="16">
        <v>7</v>
      </c>
      <c r="AF202" s="16">
        <v>1</v>
      </c>
      <c r="AG202" s="16">
        <v>3</v>
      </c>
      <c r="AH202" s="13">
        <f t="shared" si="40"/>
        <v>118</v>
      </c>
    </row>
    <row r="203" spans="1:34" ht="12.75" customHeight="1" x14ac:dyDescent="0.4">
      <c r="A203" s="15"/>
      <c r="B203" s="28"/>
      <c r="C203" s="29" t="s">
        <v>126</v>
      </c>
      <c r="D203" s="30"/>
      <c r="E203" s="16">
        <v>3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1</v>
      </c>
      <c r="M203" s="16">
        <v>0</v>
      </c>
      <c r="N203" s="16">
        <v>2</v>
      </c>
      <c r="O203" s="16">
        <v>1</v>
      </c>
      <c r="P203" s="16">
        <v>6</v>
      </c>
      <c r="Q203" s="16">
        <v>1</v>
      </c>
      <c r="R203" s="16">
        <v>0</v>
      </c>
      <c r="S203" s="16">
        <v>1</v>
      </c>
      <c r="T203" s="16">
        <v>2</v>
      </c>
      <c r="U203" s="16">
        <v>0</v>
      </c>
      <c r="V203" s="16">
        <v>3</v>
      </c>
      <c r="W203" s="16">
        <v>0</v>
      </c>
      <c r="X203" s="16">
        <v>1</v>
      </c>
      <c r="Y203" s="16">
        <v>0</v>
      </c>
      <c r="Z203" s="16">
        <v>0</v>
      </c>
      <c r="AA203" s="16">
        <v>0</v>
      </c>
      <c r="AB203" s="16">
        <v>0</v>
      </c>
      <c r="AC203" s="16">
        <v>4</v>
      </c>
      <c r="AD203" s="16">
        <v>2</v>
      </c>
      <c r="AE203" s="16">
        <v>0</v>
      </c>
      <c r="AF203" s="16">
        <v>0</v>
      </c>
      <c r="AG203" s="16">
        <v>4</v>
      </c>
      <c r="AH203" s="13">
        <f t="shared" si="40"/>
        <v>31</v>
      </c>
    </row>
    <row r="204" spans="1:34" ht="12.75" customHeight="1" x14ac:dyDescent="0.4">
      <c r="A204" s="15"/>
      <c r="B204" s="28"/>
      <c r="C204" s="29" t="s">
        <v>127</v>
      </c>
      <c r="D204" s="30"/>
      <c r="E204" s="16">
        <v>4</v>
      </c>
      <c r="F204" s="16">
        <v>4</v>
      </c>
      <c r="G204" s="16">
        <v>3</v>
      </c>
      <c r="H204" s="16">
        <v>7</v>
      </c>
      <c r="I204" s="16">
        <v>2</v>
      </c>
      <c r="J204" s="16">
        <v>8</v>
      </c>
      <c r="K204" s="16">
        <v>6</v>
      </c>
      <c r="L204" s="16">
        <v>2</v>
      </c>
      <c r="M204" s="16">
        <v>3</v>
      </c>
      <c r="N204" s="16">
        <v>4</v>
      </c>
      <c r="O204" s="16">
        <v>23</v>
      </c>
      <c r="P204" s="16">
        <v>11</v>
      </c>
      <c r="Q204" s="16">
        <v>4</v>
      </c>
      <c r="R204" s="16">
        <v>5</v>
      </c>
      <c r="S204" s="16">
        <v>5</v>
      </c>
      <c r="T204" s="16">
        <v>2</v>
      </c>
      <c r="U204" s="16">
        <v>9</v>
      </c>
      <c r="V204" s="16">
        <v>21</v>
      </c>
      <c r="W204" s="16">
        <v>4</v>
      </c>
      <c r="X204" s="16">
        <v>4</v>
      </c>
      <c r="Y204" s="16">
        <v>6</v>
      </c>
      <c r="Z204" s="16">
        <v>7</v>
      </c>
      <c r="AA204" s="16">
        <v>4</v>
      </c>
      <c r="AB204" s="16">
        <v>7</v>
      </c>
      <c r="AC204" s="16">
        <v>6</v>
      </c>
      <c r="AD204" s="16">
        <v>3</v>
      </c>
      <c r="AE204" s="16">
        <v>4</v>
      </c>
      <c r="AF204" s="16">
        <v>0</v>
      </c>
      <c r="AG204" s="16">
        <v>1</v>
      </c>
      <c r="AH204" s="13">
        <f t="shared" si="40"/>
        <v>169</v>
      </c>
    </row>
    <row r="205" spans="1:34" ht="12.75" customHeight="1" x14ac:dyDescent="0.4">
      <c r="A205" s="15"/>
      <c r="B205" s="28"/>
      <c r="C205" s="29" t="s">
        <v>128</v>
      </c>
      <c r="D205" s="30"/>
      <c r="E205" s="16">
        <v>1</v>
      </c>
      <c r="F205" s="16">
        <v>0</v>
      </c>
      <c r="G205" s="16">
        <v>0</v>
      </c>
      <c r="H205" s="16">
        <v>0</v>
      </c>
      <c r="I205" s="16">
        <v>0</v>
      </c>
      <c r="J205" s="16">
        <v>1</v>
      </c>
      <c r="K205" s="16">
        <v>1</v>
      </c>
      <c r="L205" s="16">
        <v>0</v>
      </c>
      <c r="M205" s="16">
        <v>0</v>
      </c>
      <c r="N205" s="16">
        <v>0</v>
      </c>
      <c r="O205" s="16">
        <v>1</v>
      </c>
      <c r="P205" s="16">
        <v>0</v>
      </c>
      <c r="Q205" s="16">
        <v>0</v>
      </c>
      <c r="R205" s="16">
        <v>0</v>
      </c>
      <c r="S205" s="16">
        <v>0</v>
      </c>
      <c r="T205" s="16">
        <v>0</v>
      </c>
      <c r="U205" s="16">
        <v>0</v>
      </c>
      <c r="V205" s="16">
        <v>0</v>
      </c>
      <c r="W205" s="16">
        <v>0</v>
      </c>
      <c r="X205" s="16">
        <v>0</v>
      </c>
      <c r="Y205" s="16">
        <v>0</v>
      </c>
      <c r="Z205" s="16">
        <v>1</v>
      </c>
      <c r="AA205" s="16">
        <v>1</v>
      </c>
      <c r="AB205" s="16">
        <v>2</v>
      </c>
      <c r="AC205" s="16">
        <v>0</v>
      </c>
      <c r="AD205" s="16">
        <v>2</v>
      </c>
      <c r="AE205" s="16">
        <v>0</v>
      </c>
      <c r="AF205" s="16">
        <v>1</v>
      </c>
      <c r="AG205" s="16">
        <v>0</v>
      </c>
      <c r="AH205" s="13">
        <f t="shared" si="40"/>
        <v>11</v>
      </c>
    </row>
    <row r="206" spans="1:34" ht="12.75" customHeight="1" x14ac:dyDescent="0.4">
      <c r="A206" s="15"/>
      <c r="B206" s="28"/>
      <c r="C206" s="29" t="s">
        <v>129</v>
      </c>
      <c r="D206" s="30"/>
      <c r="E206" s="16">
        <v>1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1</v>
      </c>
      <c r="M206" s="16">
        <v>0</v>
      </c>
      <c r="N206" s="16">
        <v>0</v>
      </c>
      <c r="O206" s="16">
        <v>0</v>
      </c>
      <c r="P206" s="16">
        <v>0</v>
      </c>
      <c r="Q206" s="16">
        <v>0</v>
      </c>
      <c r="R206" s="16">
        <v>1</v>
      </c>
      <c r="S206" s="16">
        <v>0</v>
      </c>
      <c r="T206" s="16">
        <v>1</v>
      </c>
      <c r="U206" s="16">
        <v>0</v>
      </c>
      <c r="V206" s="16">
        <v>1</v>
      </c>
      <c r="W206" s="16">
        <v>0</v>
      </c>
      <c r="X206" s="16">
        <v>0</v>
      </c>
      <c r="Y206" s="16">
        <v>0</v>
      </c>
      <c r="Z206" s="16">
        <v>3</v>
      </c>
      <c r="AA206" s="16">
        <v>0</v>
      </c>
      <c r="AB206" s="16">
        <v>0</v>
      </c>
      <c r="AC206" s="16">
        <v>0</v>
      </c>
      <c r="AD206" s="16">
        <v>0</v>
      </c>
      <c r="AE206" s="16">
        <v>0</v>
      </c>
      <c r="AF206" s="16">
        <v>0</v>
      </c>
      <c r="AG206" s="16">
        <v>0</v>
      </c>
      <c r="AH206" s="13">
        <f t="shared" si="40"/>
        <v>8</v>
      </c>
    </row>
    <row r="207" spans="1:34" ht="12.75" customHeight="1" x14ac:dyDescent="0.4">
      <c r="A207" s="15"/>
      <c r="B207" s="28"/>
      <c r="C207" s="29" t="s">
        <v>130</v>
      </c>
      <c r="D207" s="30"/>
      <c r="E207" s="16">
        <v>1</v>
      </c>
      <c r="F207" s="16">
        <v>1</v>
      </c>
      <c r="G207" s="16">
        <v>0</v>
      </c>
      <c r="H207" s="16">
        <v>0</v>
      </c>
      <c r="I207" s="16">
        <v>0</v>
      </c>
      <c r="J207" s="16">
        <v>0</v>
      </c>
      <c r="K207" s="16">
        <v>1</v>
      </c>
      <c r="L207" s="16">
        <v>0</v>
      </c>
      <c r="M207" s="16">
        <v>1</v>
      </c>
      <c r="N207" s="16">
        <v>1</v>
      </c>
      <c r="O207" s="16">
        <v>0</v>
      </c>
      <c r="P207" s="16">
        <v>6</v>
      </c>
      <c r="Q207" s="16">
        <v>0</v>
      </c>
      <c r="R207" s="16">
        <v>1</v>
      </c>
      <c r="S207" s="16">
        <v>0</v>
      </c>
      <c r="T207" s="16">
        <v>0</v>
      </c>
      <c r="U207" s="16">
        <v>1</v>
      </c>
      <c r="V207" s="16">
        <v>2</v>
      </c>
      <c r="W207" s="16">
        <v>1</v>
      </c>
      <c r="X207" s="16">
        <v>2</v>
      </c>
      <c r="Y207" s="16">
        <v>0</v>
      </c>
      <c r="Z207" s="16">
        <v>0</v>
      </c>
      <c r="AA207" s="16">
        <v>1</v>
      </c>
      <c r="AB207" s="16">
        <v>0</v>
      </c>
      <c r="AC207" s="16">
        <v>1</v>
      </c>
      <c r="AD207" s="16">
        <v>0</v>
      </c>
      <c r="AE207" s="16">
        <v>0</v>
      </c>
      <c r="AF207" s="16">
        <v>1</v>
      </c>
      <c r="AG207" s="16">
        <v>0</v>
      </c>
      <c r="AH207" s="13">
        <f t="shared" si="40"/>
        <v>21</v>
      </c>
    </row>
    <row r="208" spans="1:34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13">
        <f t="shared" si="40"/>
        <v>0</v>
      </c>
    </row>
    <row r="209" spans="1:34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13">
        <f t="shared" si="40"/>
        <v>0</v>
      </c>
    </row>
    <row r="210" spans="1:34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13">
        <f t="shared" si="40"/>
        <v>0</v>
      </c>
    </row>
    <row r="211" spans="1:34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AH211" si="41">SUM(E201:E210)</f>
        <v>24</v>
      </c>
      <c r="F211" s="13">
        <f t="shared" si="41"/>
        <v>19</v>
      </c>
      <c r="G211" s="13">
        <f t="shared" si="41"/>
        <v>4</v>
      </c>
      <c r="H211" s="13">
        <f t="shared" si="41"/>
        <v>10</v>
      </c>
      <c r="I211" s="13">
        <f t="shared" si="41"/>
        <v>7</v>
      </c>
      <c r="J211" s="13">
        <f t="shared" si="41"/>
        <v>13</v>
      </c>
      <c r="K211" s="13">
        <f t="shared" si="41"/>
        <v>16</v>
      </c>
      <c r="L211" s="13">
        <f t="shared" si="41"/>
        <v>12</v>
      </c>
      <c r="M211" s="13">
        <f t="shared" si="41"/>
        <v>8</v>
      </c>
      <c r="N211" s="13">
        <f t="shared" si="41"/>
        <v>12</v>
      </c>
      <c r="O211" s="13">
        <f t="shared" si="41"/>
        <v>33</v>
      </c>
      <c r="P211" s="13">
        <f t="shared" si="41"/>
        <v>32</v>
      </c>
      <c r="Q211" s="13">
        <f t="shared" si="41"/>
        <v>14</v>
      </c>
      <c r="R211" s="13">
        <f t="shared" si="41"/>
        <v>13</v>
      </c>
      <c r="S211" s="13">
        <f t="shared" si="41"/>
        <v>8</v>
      </c>
      <c r="T211" s="13">
        <f t="shared" si="41"/>
        <v>13</v>
      </c>
      <c r="U211" s="13">
        <f t="shared" si="41"/>
        <v>10</v>
      </c>
      <c r="V211" s="13">
        <f t="shared" si="41"/>
        <v>34</v>
      </c>
      <c r="W211" s="13">
        <f t="shared" si="41"/>
        <v>12</v>
      </c>
      <c r="X211" s="13">
        <f t="shared" si="41"/>
        <v>9</v>
      </c>
      <c r="Y211" s="13">
        <f t="shared" si="41"/>
        <v>16</v>
      </c>
      <c r="Z211" s="13">
        <f t="shared" si="41"/>
        <v>20</v>
      </c>
      <c r="AA211" s="13">
        <f t="shared" si="41"/>
        <v>10</v>
      </c>
      <c r="AB211" s="13">
        <f t="shared" si="41"/>
        <v>21</v>
      </c>
      <c r="AC211" s="13">
        <f t="shared" si="41"/>
        <v>24</v>
      </c>
      <c r="AD211" s="13">
        <f t="shared" si="41"/>
        <v>14</v>
      </c>
      <c r="AE211" s="13">
        <f t="shared" si="41"/>
        <v>16</v>
      </c>
      <c r="AF211" s="13">
        <f t="shared" si="41"/>
        <v>3</v>
      </c>
      <c r="AG211" s="13">
        <f t="shared" si="41"/>
        <v>10</v>
      </c>
      <c r="AH211" s="13">
        <f t="shared" si="41"/>
        <v>437</v>
      </c>
    </row>
    <row r="212" spans="1:34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</row>
    <row r="213" spans="1:34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2</v>
      </c>
      <c r="F213" s="16">
        <v>5</v>
      </c>
      <c r="G213" s="16">
        <v>3</v>
      </c>
      <c r="H213" s="16">
        <v>3</v>
      </c>
      <c r="I213" s="16">
        <v>3</v>
      </c>
      <c r="J213" s="16">
        <v>2</v>
      </c>
      <c r="K213" s="16">
        <v>3</v>
      </c>
      <c r="L213" s="16">
        <v>2</v>
      </c>
      <c r="M213" s="16">
        <v>3</v>
      </c>
      <c r="N213" s="16">
        <v>3</v>
      </c>
      <c r="O213" s="16">
        <v>0</v>
      </c>
      <c r="P213" s="16">
        <v>2</v>
      </c>
      <c r="Q213" s="16">
        <v>5</v>
      </c>
      <c r="R213" s="16">
        <v>8</v>
      </c>
      <c r="S213" s="16">
        <v>4</v>
      </c>
      <c r="T213" s="16">
        <v>2</v>
      </c>
      <c r="U213" s="16">
        <v>1</v>
      </c>
      <c r="V213" s="16">
        <v>5</v>
      </c>
      <c r="W213" s="16">
        <v>0</v>
      </c>
      <c r="X213" s="16">
        <v>4</v>
      </c>
      <c r="Y213" s="16">
        <v>2</v>
      </c>
      <c r="Z213" s="16">
        <v>2</v>
      </c>
      <c r="AA213" s="16">
        <v>2</v>
      </c>
      <c r="AB213" s="16">
        <v>5</v>
      </c>
      <c r="AC213" s="16">
        <v>3</v>
      </c>
      <c r="AD213" s="16">
        <v>6</v>
      </c>
      <c r="AE213" s="16">
        <v>0</v>
      </c>
      <c r="AF213" s="16">
        <v>2</v>
      </c>
      <c r="AG213" s="16">
        <v>1</v>
      </c>
      <c r="AH213" s="13">
        <f t="shared" ref="AH213:AH222" si="42">SUM(E213:AG213)</f>
        <v>83</v>
      </c>
    </row>
    <row r="214" spans="1:34" ht="12.75" customHeight="1" x14ac:dyDescent="0.4">
      <c r="A214" s="20" t="s">
        <v>38</v>
      </c>
      <c r="B214" s="27"/>
      <c r="C214" s="29" t="s">
        <v>133</v>
      </c>
      <c r="D214" s="40"/>
      <c r="E214" s="16">
        <v>1</v>
      </c>
      <c r="F214" s="16">
        <v>0</v>
      </c>
      <c r="G214" s="16">
        <v>0</v>
      </c>
      <c r="H214" s="16">
        <v>1</v>
      </c>
      <c r="I214" s="16">
        <v>1</v>
      </c>
      <c r="J214" s="16">
        <v>1</v>
      </c>
      <c r="K214" s="16">
        <v>1</v>
      </c>
      <c r="L214" s="16">
        <v>1</v>
      </c>
      <c r="M214" s="16">
        <v>1</v>
      </c>
      <c r="N214" s="16">
        <v>3</v>
      </c>
      <c r="O214" s="16">
        <v>2</v>
      </c>
      <c r="P214" s="16">
        <v>2</v>
      </c>
      <c r="Q214" s="16">
        <v>1</v>
      </c>
      <c r="R214" s="16">
        <v>4</v>
      </c>
      <c r="S214" s="16">
        <v>0</v>
      </c>
      <c r="T214" s="16">
        <v>1</v>
      </c>
      <c r="U214" s="16">
        <v>0</v>
      </c>
      <c r="V214" s="16">
        <v>1</v>
      </c>
      <c r="W214" s="16">
        <v>2</v>
      </c>
      <c r="X214" s="16">
        <v>2</v>
      </c>
      <c r="Y214" s="16">
        <v>3</v>
      </c>
      <c r="Z214" s="16">
        <v>1</v>
      </c>
      <c r="AA214" s="16">
        <v>1</v>
      </c>
      <c r="AB214" s="16">
        <v>1</v>
      </c>
      <c r="AC214" s="16">
        <v>0</v>
      </c>
      <c r="AD214" s="16">
        <v>0</v>
      </c>
      <c r="AE214" s="16">
        <v>2</v>
      </c>
      <c r="AF214" s="16">
        <v>0</v>
      </c>
      <c r="AG214" s="16">
        <v>0</v>
      </c>
      <c r="AH214" s="13">
        <f t="shared" si="42"/>
        <v>33</v>
      </c>
    </row>
    <row r="215" spans="1:34" ht="12.75" customHeight="1" x14ac:dyDescent="0.4">
      <c r="A215" s="15"/>
      <c r="B215" s="27"/>
      <c r="C215" s="29" t="s">
        <v>134</v>
      </c>
      <c r="D215" s="40"/>
      <c r="E215" s="16">
        <v>0</v>
      </c>
      <c r="F215" s="16">
        <v>0</v>
      </c>
      <c r="G215" s="16">
        <v>1</v>
      </c>
      <c r="H215" s="16">
        <v>0</v>
      </c>
      <c r="I215" s="16">
        <v>0</v>
      </c>
      <c r="J215" s="16">
        <v>0</v>
      </c>
      <c r="K215" s="16">
        <v>0</v>
      </c>
      <c r="L215" s="16">
        <v>0</v>
      </c>
      <c r="M215" s="16">
        <v>0</v>
      </c>
      <c r="N215" s="16">
        <v>3</v>
      </c>
      <c r="O215" s="16">
        <v>0</v>
      </c>
      <c r="P215" s="16">
        <v>2</v>
      </c>
      <c r="Q215" s="16">
        <v>0</v>
      </c>
      <c r="R215" s="16">
        <v>0</v>
      </c>
      <c r="S215" s="16">
        <v>0</v>
      </c>
      <c r="T215" s="16">
        <v>0</v>
      </c>
      <c r="U215" s="16">
        <v>0</v>
      </c>
      <c r="V215" s="16">
        <v>1</v>
      </c>
      <c r="W215" s="16">
        <v>1</v>
      </c>
      <c r="X215" s="16">
        <v>1</v>
      </c>
      <c r="Y215" s="16">
        <v>0</v>
      </c>
      <c r="Z215" s="16">
        <v>1</v>
      </c>
      <c r="AA215" s="16">
        <v>1</v>
      </c>
      <c r="AB215" s="16">
        <v>0</v>
      </c>
      <c r="AC215" s="16">
        <v>3</v>
      </c>
      <c r="AD215" s="16">
        <v>1</v>
      </c>
      <c r="AE215" s="16">
        <v>2</v>
      </c>
      <c r="AF215" s="16">
        <v>0</v>
      </c>
      <c r="AG215" s="16">
        <v>0</v>
      </c>
      <c r="AH215" s="13">
        <f t="shared" si="42"/>
        <v>17</v>
      </c>
    </row>
    <row r="216" spans="1:34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>
        <v>0</v>
      </c>
      <c r="K216" s="16">
        <v>1</v>
      </c>
      <c r="L216" s="16">
        <v>0</v>
      </c>
      <c r="M216" s="16">
        <v>0</v>
      </c>
      <c r="N216" s="16">
        <v>2</v>
      </c>
      <c r="O216" s="16">
        <v>1</v>
      </c>
      <c r="P216" s="16">
        <v>1</v>
      </c>
      <c r="Q216" s="16">
        <v>0</v>
      </c>
      <c r="R216" s="16">
        <v>1</v>
      </c>
      <c r="S216" s="16">
        <v>0</v>
      </c>
      <c r="T216" s="16">
        <v>1</v>
      </c>
      <c r="U216" s="16">
        <v>0</v>
      </c>
      <c r="V216" s="16">
        <v>2</v>
      </c>
      <c r="W216" s="16">
        <v>0</v>
      </c>
      <c r="X216" s="16">
        <v>2</v>
      </c>
      <c r="Y216" s="16">
        <v>0</v>
      </c>
      <c r="Z216" s="16">
        <v>1</v>
      </c>
      <c r="AA216" s="16">
        <v>0</v>
      </c>
      <c r="AB216" s="16">
        <v>1</v>
      </c>
      <c r="AC216" s="16">
        <v>1</v>
      </c>
      <c r="AD216" s="16">
        <v>0</v>
      </c>
      <c r="AE216" s="16">
        <v>0</v>
      </c>
      <c r="AF216" s="16">
        <v>0</v>
      </c>
      <c r="AG216" s="16">
        <v>1</v>
      </c>
      <c r="AH216" s="13">
        <f t="shared" si="42"/>
        <v>15</v>
      </c>
    </row>
    <row r="217" spans="1:34" ht="12.75" customHeight="1" x14ac:dyDescent="0.4">
      <c r="A217" s="15"/>
      <c r="B217" s="28"/>
      <c r="C217" s="29" t="s">
        <v>136</v>
      </c>
      <c r="D217" s="30"/>
      <c r="E217" s="16">
        <v>1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0</v>
      </c>
      <c r="L217" s="16">
        <v>1</v>
      </c>
      <c r="M217" s="16">
        <v>2</v>
      </c>
      <c r="N217" s="16">
        <v>2</v>
      </c>
      <c r="O217" s="16">
        <v>1</v>
      </c>
      <c r="P217" s="16">
        <v>0</v>
      </c>
      <c r="Q217" s="16">
        <v>0</v>
      </c>
      <c r="R217" s="16">
        <v>1</v>
      </c>
      <c r="S217" s="16">
        <v>0</v>
      </c>
      <c r="T217" s="16">
        <v>0</v>
      </c>
      <c r="U217" s="16">
        <v>0</v>
      </c>
      <c r="V217" s="16">
        <v>1</v>
      </c>
      <c r="W217" s="16">
        <v>0</v>
      </c>
      <c r="X217" s="16">
        <v>0</v>
      </c>
      <c r="Y217" s="16">
        <v>0</v>
      </c>
      <c r="Z217" s="16">
        <v>0</v>
      </c>
      <c r="AA217" s="16">
        <v>0</v>
      </c>
      <c r="AB217" s="16">
        <v>1</v>
      </c>
      <c r="AC217" s="16">
        <v>0</v>
      </c>
      <c r="AD217" s="16">
        <v>0</v>
      </c>
      <c r="AE217" s="16">
        <v>0</v>
      </c>
      <c r="AF217" s="16">
        <v>0</v>
      </c>
      <c r="AG217" s="16">
        <v>0</v>
      </c>
      <c r="AH217" s="13">
        <f t="shared" si="42"/>
        <v>10</v>
      </c>
    </row>
    <row r="218" spans="1:34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0</v>
      </c>
      <c r="G218" s="16">
        <v>0</v>
      </c>
      <c r="H218" s="16">
        <v>0</v>
      </c>
      <c r="I218" s="16">
        <v>1</v>
      </c>
      <c r="J218" s="16">
        <v>0</v>
      </c>
      <c r="K218" s="16">
        <v>1</v>
      </c>
      <c r="L218" s="16">
        <v>0</v>
      </c>
      <c r="M218" s="16">
        <v>3</v>
      </c>
      <c r="N218" s="16">
        <v>15</v>
      </c>
      <c r="O218" s="16">
        <v>2</v>
      </c>
      <c r="P218" s="16">
        <v>1</v>
      </c>
      <c r="Q218" s="16">
        <v>2</v>
      </c>
      <c r="R218" s="16">
        <v>0</v>
      </c>
      <c r="S218" s="16">
        <v>0</v>
      </c>
      <c r="T218" s="16">
        <v>0</v>
      </c>
      <c r="U218" s="16">
        <v>0</v>
      </c>
      <c r="V218" s="16">
        <v>1</v>
      </c>
      <c r="W218" s="16">
        <v>2</v>
      </c>
      <c r="X218" s="16">
        <v>0</v>
      </c>
      <c r="Y218" s="16">
        <v>0</v>
      </c>
      <c r="Z218" s="16">
        <v>0</v>
      </c>
      <c r="AA218" s="16">
        <v>1</v>
      </c>
      <c r="AB218" s="16">
        <v>0</v>
      </c>
      <c r="AC218" s="16">
        <v>0</v>
      </c>
      <c r="AD218" s="16">
        <v>0</v>
      </c>
      <c r="AE218" s="16">
        <v>1</v>
      </c>
      <c r="AF218" s="16">
        <v>0</v>
      </c>
      <c r="AG218" s="16">
        <v>0</v>
      </c>
      <c r="AH218" s="13">
        <f t="shared" si="42"/>
        <v>30</v>
      </c>
    </row>
    <row r="219" spans="1:34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13">
        <f t="shared" si="42"/>
        <v>0</v>
      </c>
    </row>
    <row r="220" spans="1:34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13">
        <f t="shared" si="42"/>
        <v>0</v>
      </c>
    </row>
    <row r="221" spans="1:34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13">
        <f t="shared" si="42"/>
        <v>0</v>
      </c>
    </row>
    <row r="222" spans="1:34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13">
        <f t="shared" si="42"/>
        <v>0</v>
      </c>
    </row>
    <row r="223" spans="1:34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AH223" si="43">SUM(E213:E222)</f>
        <v>4</v>
      </c>
      <c r="F223" s="13">
        <f t="shared" si="43"/>
        <v>5</v>
      </c>
      <c r="G223" s="13">
        <f t="shared" si="43"/>
        <v>4</v>
      </c>
      <c r="H223" s="13">
        <f t="shared" si="43"/>
        <v>4</v>
      </c>
      <c r="I223" s="13">
        <f t="shared" si="43"/>
        <v>5</v>
      </c>
      <c r="J223" s="13">
        <f t="shared" si="43"/>
        <v>3</v>
      </c>
      <c r="K223" s="13">
        <f t="shared" si="43"/>
        <v>6</v>
      </c>
      <c r="L223" s="13">
        <f t="shared" si="43"/>
        <v>4</v>
      </c>
      <c r="M223" s="13">
        <f t="shared" si="43"/>
        <v>9</v>
      </c>
      <c r="N223" s="13">
        <f t="shared" si="43"/>
        <v>28</v>
      </c>
      <c r="O223" s="13">
        <f t="shared" si="43"/>
        <v>6</v>
      </c>
      <c r="P223" s="13">
        <f t="shared" si="43"/>
        <v>8</v>
      </c>
      <c r="Q223" s="13">
        <f t="shared" si="43"/>
        <v>8</v>
      </c>
      <c r="R223" s="13">
        <f t="shared" si="43"/>
        <v>14</v>
      </c>
      <c r="S223" s="13">
        <f t="shared" si="43"/>
        <v>4</v>
      </c>
      <c r="T223" s="13">
        <f t="shared" si="43"/>
        <v>4</v>
      </c>
      <c r="U223" s="13">
        <f t="shared" si="43"/>
        <v>1</v>
      </c>
      <c r="V223" s="13">
        <f t="shared" si="43"/>
        <v>11</v>
      </c>
      <c r="W223" s="13">
        <f t="shared" si="43"/>
        <v>5</v>
      </c>
      <c r="X223" s="13">
        <f t="shared" si="43"/>
        <v>9</v>
      </c>
      <c r="Y223" s="13">
        <f t="shared" si="43"/>
        <v>5</v>
      </c>
      <c r="Z223" s="13">
        <f t="shared" si="43"/>
        <v>5</v>
      </c>
      <c r="AA223" s="13">
        <f t="shared" si="43"/>
        <v>5</v>
      </c>
      <c r="AB223" s="13">
        <f t="shared" si="43"/>
        <v>8</v>
      </c>
      <c r="AC223" s="13">
        <f t="shared" si="43"/>
        <v>7</v>
      </c>
      <c r="AD223" s="13">
        <f t="shared" si="43"/>
        <v>7</v>
      </c>
      <c r="AE223" s="13">
        <f t="shared" si="43"/>
        <v>5</v>
      </c>
      <c r="AF223" s="13">
        <f t="shared" si="43"/>
        <v>2</v>
      </c>
      <c r="AG223" s="13">
        <f t="shared" si="43"/>
        <v>2</v>
      </c>
      <c r="AH223" s="13">
        <f t="shared" si="43"/>
        <v>188</v>
      </c>
    </row>
    <row r="224" spans="1:34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</row>
    <row r="225" spans="1:34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0</v>
      </c>
      <c r="H225" s="16">
        <v>0</v>
      </c>
      <c r="I225" s="16">
        <v>0</v>
      </c>
      <c r="J225" s="16">
        <v>0</v>
      </c>
      <c r="K225" s="16">
        <v>0</v>
      </c>
      <c r="L225" s="16">
        <v>0</v>
      </c>
      <c r="M225" s="16">
        <v>1</v>
      </c>
      <c r="N225" s="16">
        <v>1</v>
      </c>
      <c r="O225" s="16">
        <v>0</v>
      </c>
      <c r="P225" s="16">
        <v>0</v>
      </c>
      <c r="Q225" s="16">
        <v>1</v>
      </c>
      <c r="R225" s="16">
        <v>0</v>
      </c>
      <c r="S225" s="16">
        <v>0</v>
      </c>
      <c r="T225" s="16">
        <v>0</v>
      </c>
      <c r="U225" s="16">
        <v>0</v>
      </c>
      <c r="V225" s="16">
        <v>1</v>
      </c>
      <c r="W225" s="16">
        <v>1</v>
      </c>
      <c r="X225" s="16">
        <v>2</v>
      </c>
      <c r="Y225" s="16">
        <v>1</v>
      </c>
      <c r="Z225" s="16">
        <v>0</v>
      </c>
      <c r="AA225" s="16">
        <v>1</v>
      </c>
      <c r="AB225" s="16">
        <v>0</v>
      </c>
      <c r="AC225" s="16">
        <v>0</v>
      </c>
      <c r="AD225" s="16">
        <v>0</v>
      </c>
      <c r="AE225" s="16">
        <v>0</v>
      </c>
      <c r="AF225" s="16">
        <v>0</v>
      </c>
      <c r="AG225" s="16">
        <v>0</v>
      </c>
      <c r="AH225" s="13">
        <f t="shared" ref="AH225:AH234" si="44">SUM(E225:AG225)</f>
        <v>9</v>
      </c>
    </row>
    <row r="226" spans="1:34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1</v>
      </c>
      <c r="H226" s="16">
        <v>0</v>
      </c>
      <c r="I226" s="16">
        <v>0</v>
      </c>
      <c r="J226" s="16">
        <v>0</v>
      </c>
      <c r="K226" s="16">
        <v>0</v>
      </c>
      <c r="L226" s="16">
        <v>0</v>
      </c>
      <c r="M226" s="16">
        <v>0</v>
      </c>
      <c r="N226" s="16">
        <v>2</v>
      </c>
      <c r="O226" s="16">
        <v>0</v>
      </c>
      <c r="P226" s="16">
        <v>0</v>
      </c>
      <c r="Q226" s="16">
        <v>0</v>
      </c>
      <c r="R226" s="16">
        <v>3</v>
      </c>
      <c r="S226" s="16">
        <v>0</v>
      </c>
      <c r="T226" s="16">
        <v>0</v>
      </c>
      <c r="U226" s="16">
        <v>1</v>
      </c>
      <c r="V226" s="16">
        <v>3</v>
      </c>
      <c r="W226" s="16">
        <v>0</v>
      </c>
      <c r="X226" s="16">
        <v>0</v>
      </c>
      <c r="Y226" s="16">
        <v>0</v>
      </c>
      <c r="Z226" s="16">
        <v>0</v>
      </c>
      <c r="AA226" s="16">
        <v>0</v>
      </c>
      <c r="AB226" s="16">
        <v>0</v>
      </c>
      <c r="AC226" s="16">
        <v>0</v>
      </c>
      <c r="AD226" s="16">
        <v>0</v>
      </c>
      <c r="AE226" s="16">
        <v>0</v>
      </c>
      <c r="AF226" s="16">
        <v>0</v>
      </c>
      <c r="AG226" s="16">
        <v>0</v>
      </c>
      <c r="AH226" s="13">
        <f t="shared" si="44"/>
        <v>10</v>
      </c>
    </row>
    <row r="227" spans="1:34" ht="12.75" customHeight="1" x14ac:dyDescent="0.4">
      <c r="A227" s="15"/>
      <c r="B227" s="27"/>
      <c r="C227" s="29" t="s">
        <v>141</v>
      </c>
      <c r="D227" s="40"/>
      <c r="E227" s="16">
        <v>1</v>
      </c>
      <c r="F227" s="16">
        <v>0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6">
        <v>0</v>
      </c>
      <c r="M227" s="16">
        <v>0</v>
      </c>
      <c r="N227" s="16">
        <v>2</v>
      </c>
      <c r="O227" s="16">
        <v>0</v>
      </c>
      <c r="P227" s="16">
        <v>0</v>
      </c>
      <c r="Q227" s="16">
        <v>0</v>
      </c>
      <c r="R227" s="16">
        <v>0</v>
      </c>
      <c r="S227" s="16">
        <v>0</v>
      </c>
      <c r="T227" s="16">
        <v>0</v>
      </c>
      <c r="U227" s="16">
        <v>0</v>
      </c>
      <c r="V227" s="16">
        <v>0</v>
      </c>
      <c r="W227" s="16">
        <v>0</v>
      </c>
      <c r="X227" s="16">
        <v>0</v>
      </c>
      <c r="Y227" s="16">
        <v>0</v>
      </c>
      <c r="Z227" s="16">
        <v>0</v>
      </c>
      <c r="AA227" s="16">
        <v>0</v>
      </c>
      <c r="AB227" s="16">
        <v>0</v>
      </c>
      <c r="AC227" s="16">
        <v>0</v>
      </c>
      <c r="AD227" s="16">
        <v>0</v>
      </c>
      <c r="AE227" s="16">
        <v>0</v>
      </c>
      <c r="AF227" s="16">
        <v>0</v>
      </c>
      <c r="AG227" s="16">
        <v>0</v>
      </c>
      <c r="AH227" s="13">
        <f t="shared" si="44"/>
        <v>3</v>
      </c>
    </row>
    <row r="228" spans="1:34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6">
        <v>0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6">
        <v>0</v>
      </c>
      <c r="AA228" s="16">
        <v>0</v>
      </c>
      <c r="AB228" s="16">
        <v>0</v>
      </c>
      <c r="AC228" s="16">
        <v>0</v>
      </c>
      <c r="AD228" s="16">
        <v>0</v>
      </c>
      <c r="AE228" s="16">
        <v>0</v>
      </c>
      <c r="AF228" s="16">
        <v>0</v>
      </c>
      <c r="AG228" s="16">
        <v>0</v>
      </c>
      <c r="AH228" s="13">
        <f t="shared" si="44"/>
        <v>0</v>
      </c>
    </row>
    <row r="229" spans="1:34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1</v>
      </c>
      <c r="T229" s="16">
        <v>0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6">
        <v>1</v>
      </c>
      <c r="AA229" s="16">
        <v>0</v>
      </c>
      <c r="AB229" s="16">
        <v>0</v>
      </c>
      <c r="AC229" s="16">
        <v>0</v>
      </c>
      <c r="AD229" s="16">
        <v>0</v>
      </c>
      <c r="AE229" s="16">
        <v>0</v>
      </c>
      <c r="AF229" s="16">
        <v>0</v>
      </c>
      <c r="AG229" s="16">
        <v>0</v>
      </c>
      <c r="AH229" s="13">
        <f t="shared" si="44"/>
        <v>2</v>
      </c>
    </row>
    <row r="230" spans="1:34" ht="12.75" customHeight="1" x14ac:dyDescent="0.4">
      <c r="A230" s="15"/>
      <c r="B230" s="28"/>
      <c r="C230" s="29" t="s">
        <v>144</v>
      </c>
      <c r="D230" s="30"/>
      <c r="E230" s="16">
        <v>1</v>
      </c>
      <c r="F230" s="16">
        <v>0</v>
      </c>
      <c r="G230" s="16">
        <v>2</v>
      </c>
      <c r="H230" s="16">
        <v>0</v>
      </c>
      <c r="I230" s="16">
        <v>0</v>
      </c>
      <c r="J230" s="16">
        <v>0</v>
      </c>
      <c r="K230" s="16">
        <v>0</v>
      </c>
      <c r="L230" s="16">
        <v>0</v>
      </c>
      <c r="M230" s="16">
        <v>0</v>
      </c>
      <c r="N230" s="16">
        <v>0</v>
      </c>
      <c r="O230" s="16">
        <v>3</v>
      </c>
      <c r="P230" s="16">
        <v>0</v>
      </c>
      <c r="Q230" s="16">
        <v>0</v>
      </c>
      <c r="R230" s="16">
        <v>1</v>
      </c>
      <c r="S230" s="16">
        <v>0</v>
      </c>
      <c r="T230" s="16">
        <v>0</v>
      </c>
      <c r="U230" s="16">
        <v>0</v>
      </c>
      <c r="V230" s="16">
        <v>0</v>
      </c>
      <c r="W230" s="16">
        <v>0</v>
      </c>
      <c r="X230" s="16">
        <v>0</v>
      </c>
      <c r="Y230" s="16">
        <v>1</v>
      </c>
      <c r="Z230" s="16">
        <v>0</v>
      </c>
      <c r="AA230" s="16">
        <v>0</v>
      </c>
      <c r="AB230" s="16">
        <v>0</v>
      </c>
      <c r="AC230" s="16">
        <v>0</v>
      </c>
      <c r="AD230" s="16">
        <v>0</v>
      </c>
      <c r="AE230" s="16">
        <v>0</v>
      </c>
      <c r="AF230" s="16">
        <v>0</v>
      </c>
      <c r="AG230" s="16">
        <v>0</v>
      </c>
      <c r="AH230" s="13">
        <f t="shared" si="44"/>
        <v>8</v>
      </c>
    </row>
    <row r="231" spans="1:34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0</v>
      </c>
      <c r="R231" s="16">
        <v>0</v>
      </c>
      <c r="S231" s="16">
        <v>0</v>
      </c>
      <c r="T231" s="16">
        <v>0</v>
      </c>
      <c r="U231" s="16">
        <v>0</v>
      </c>
      <c r="V231" s="16">
        <v>0</v>
      </c>
      <c r="W231" s="16">
        <v>0</v>
      </c>
      <c r="X231" s="16">
        <v>0</v>
      </c>
      <c r="Y231" s="16">
        <v>1</v>
      </c>
      <c r="Z231" s="16">
        <v>0</v>
      </c>
      <c r="AA231" s="16">
        <v>0</v>
      </c>
      <c r="AB231" s="16">
        <v>0</v>
      </c>
      <c r="AC231" s="16">
        <v>0</v>
      </c>
      <c r="AD231" s="16">
        <v>0</v>
      </c>
      <c r="AE231" s="16">
        <v>0</v>
      </c>
      <c r="AF231" s="16">
        <v>0</v>
      </c>
      <c r="AG231" s="16">
        <v>0</v>
      </c>
      <c r="AH231" s="13">
        <f t="shared" si="44"/>
        <v>1</v>
      </c>
    </row>
    <row r="232" spans="1:34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13">
        <f t="shared" si="44"/>
        <v>0</v>
      </c>
    </row>
    <row r="233" spans="1:34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13">
        <f t="shared" si="44"/>
        <v>0</v>
      </c>
    </row>
    <row r="234" spans="1:34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13">
        <f t="shared" si="44"/>
        <v>0</v>
      </c>
    </row>
    <row r="235" spans="1:34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AH235" si="45">SUM(E225:E234)</f>
        <v>2</v>
      </c>
      <c r="F235" s="13">
        <f t="shared" si="45"/>
        <v>0</v>
      </c>
      <c r="G235" s="13">
        <f t="shared" si="45"/>
        <v>3</v>
      </c>
      <c r="H235" s="13">
        <f t="shared" si="45"/>
        <v>0</v>
      </c>
      <c r="I235" s="13">
        <f t="shared" si="45"/>
        <v>0</v>
      </c>
      <c r="J235" s="13">
        <f t="shared" si="45"/>
        <v>0</v>
      </c>
      <c r="K235" s="13">
        <f t="shared" si="45"/>
        <v>0</v>
      </c>
      <c r="L235" s="13">
        <f t="shared" si="45"/>
        <v>0</v>
      </c>
      <c r="M235" s="13">
        <f t="shared" si="45"/>
        <v>1</v>
      </c>
      <c r="N235" s="13">
        <f t="shared" si="45"/>
        <v>5</v>
      </c>
      <c r="O235" s="13">
        <f t="shared" si="45"/>
        <v>3</v>
      </c>
      <c r="P235" s="13">
        <f t="shared" si="45"/>
        <v>0</v>
      </c>
      <c r="Q235" s="13">
        <f t="shared" si="45"/>
        <v>1</v>
      </c>
      <c r="R235" s="13">
        <f t="shared" si="45"/>
        <v>4</v>
      </c>
      <c r="S235" s="13">
        <f t="shared" si="45"/>
        <v>1</v>
      </c>
      <c r="T235" s="13">
        <f t="shared" si="45"/>
        <v>0</v>
      </c>
      <c r="U235" s="13">
        <f t="shared" si="45"/>
        <v>1</v>
      </c>
      <c r="V235" s="13">
        <f t="shared" si="45"/>
        <v>4</v>
      </c>
      <c r="W235" s="13">
        <f t="shared" si="45"/>
        <v>1</v>
      </c>
      <c r="X235" s="13">
        <f t="shared" si="45"/>
        <v>2</v>
      </c>
      <c r="Y235" s="13">
        <f t="shared" si="45"/>
        <v>3</v>
      </c>
      <c r="Z235" s="13">
        <f t="shared" si="45"/>
        <v>1</v>
      </c>
      <c r="AA235" s="13">
        <f t="shared" si="45"/>
        <v>1</v>
      </c>
      <c r="AB235" s="13">
        <f t="shared" si="45"/>
        <v>0</v>
      </c>
      <c r="AC235" s="13">
        <f t="shared" si="45"/>
        <v>0</v>
      </c>
      <c r="AD235" s="13">
        <f t="shared" si="45"/>
        <v>0</v>
      </c>
      <c r="AE235" s="13">
        <f t="shared" si="45"/>
        <v>0</v>
      </c>
      <c r="AF235" s="13">
        <f t="shared" si="45"/>
        <v>0</v>
      </c>
      <c r="AG235" s="13">
        <f t="shared" si="45"/>
        <v>0</v>
      </c>
      <c r="AH235" s="13">
        <f t="shared" si="45"/>
        <v>33</v>
      </c>
    </row>
    <row r="236" spans="1:34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</row>
    <row r="237" spans="1:34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0</v>
      </c>
      <c r="G237" s="16">
        <v>2</v>
      </c>
      <c r="H237" s="16">
        <v>1</v>
      </c>
      <c r="I237" s="16">
        <v>0</v>
      </c>
      <c r="J237" s="16">
        <v>1</v>
      </c>
      <c r="K237" s="16">
        <v>0</v>
      </c>
      <c r="L237" s="16">
        <v>2</v>
      </c>
      <c r="M237" s="16">
        <v>1</v>
      </c>
      <c r="N237" s="16">
        <v>0</v>
      </c>
      <c r="O237" s="16">
        <v>1</v>
      </c>
      <c r="P237" s="16">
        <v>0</v>
      </c>
      <c r="Q237" s="16">
        <v>0</v>
      </c>
      <c r="R237" s="16">
        <v>1</v>
      </c>
      <c r="S237" s="16">
        <v>0</v>
      </c>
      <c r="T237" s="16">
        <v>0</v>
      </c>
      <c r="U237" s="16">
        <v>3</v>
      </c>
      <c r="V237" s="16">
        <v>0</v>
      </c>
      <c r="W237" s="16">
        <v>1</v>
      </c>
      <c r="X237" s="16">
        <v>0</v>
      </c>
      <c r="Y237" s="16">
        <v>0</v>
      </c>
      <c r="Z237" s="16">
        <v>0</v>
      </c>
      <c r="AA237" s="16">
        <v>0</v>
      </c>
      <c r="AB237" s="16">
        <v>0</v>
      </c>
      <c r="AC237" s="16">
        <v>2</v>
      </c>
      <c r="AD237" s="16">
        <v>0</v>
      </c>
      <c r="AE237" s="16">
        <v>0</v>
      </c>
      <c r="AF237" s="16">
        <v>0</v>
      </c>
      <c r="AG237" s="16">
        <v>0</v>
      </c>
      <c r="AH237" s="13">
        <f t="shared" ref="AH237:AH246" si="46">SUM(E237:AG237)</f>
        <v>15</v>
      </c>
    </row>
    <row r="238" spans="1:34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0</v>
      </c>
      <c r="G238" s="16">
        <v>0</v>
      </c>
      <c r="H238" s="16">
        <v>1</v>
      </c>
      <c r="I238" s="16">
        <v>1</v>
      </c>
      <c r="J238" s="16">
        <v>0</v>
      </c>
      <c r="K238" s="16">
        <v>2</v>
      </c>
      <c r="L238" s="16">
        <v>0</v>
      </c>
      <c r="M238" s="16">
        <v>0</v>
      </c>
      <c r="N238" s="16">
        <v>0</v>
      </c>
      <c r="O238" s="16">
        <v>2</v>
      </c>
      <c r="P238" s="16">
        <v>0</v>
      </c>
      <c r="Q238" s="16">
        <v>0</v>
      </c>
      <c r="R238" s="16">
        <v>0</v>
      </c>
      <c r="S238" s="16">
        <v>0</v>
      </c>
      <c r="T238" s="16">
        <v>0</v>
      </c>
      <c r="U238" s="16">
        <v>0</v>
      </c>
      <c r="V238" s="16">
        <v>0</v>
      </c>
      <c r="W238" s="16">
        <v>0</v>
      </c>
      <c r="X238" s="16">
        <v>0</v>
      </c>
      <c r="Y238" s="16">
        <v>0</v>
      </c>
      <c r="Z238" s="16">
        <v>1</v>
      </c>
      <c r="AA238" s="16">
        <v>0</v>
      </c>
      <c r="AB238" s="16">
        <v>0</v>
      </c>
      <c r="AC238" s="16">
        <v>4</v>
      </c>
      <c r="AD238" s="16">
        <v>0</v>
      </c>
      <c r="AE238" s="16">
        <v>0</v>
      </c>
      <c r="AF238" s="16">
        <v>0</v>
      </c>
      <c r="AG238" s="16">
        <v>0</v>
      </c>
      <c r="AH238" s="13">
        <f t="shared" si="46"/>
        <v>11</v>
      </c>
    </row>
    <row r="239" spans="1:34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0</v>
      </c>
      <c r="G239" s="16">
        <v>5</v>
      </c>
      <c r="H239" s="16">
        <v>0</v>
      </c>
      <c r="I239" s="16">
        <v>0</v>
      </c>
      <c r="J239" s="16">
        <v>1</v>
      </c>
      <c r="K239" s="16">
        <v>3</v>
      </c>
      <c r="L239" s="16">
        <v>0</v>
      </c>
      <c r="M239" s="16">
        <v>1</v>
      </c>
      <c r="N239" s="16">
        <v>0</v>
      </c>
      <c r="O239" s="16">
        <v>1</v>
      </c>
      <c r="P239" s="16">
        <v>0</v>
      </c>
      <c r="Q239" s="16">
        <v>0</v>
      </c>
      <c r="R239" s="16">
        <v>0</v>
      </c>
      <c r="S239" s="16">
        <v>0</v>
      </c>
      <c r="T239" s="16">
        <v>0</v>
      </c>
      <c r="U239" s="16">
        <v>0</v>
      </c>
      <c r="V239" s="16">
        <v>1</v>
      </c>
      <c r="W239" s="16">
        <v>1</v>
      </c>
      <c r="X239" s="16">
        <v>0</v>
      </c>
      <c r="Y239" s="16">
        <v>0</v>
      </c>
      <c r="Z239" s="16">
        <v>0</v>
      </c>
      <c r="AA239" s="16">
        <v>2</v>
      </c>
      <c r="AB239" s="16">
        <v>0</v>
      </c>
      <c r="AC239" s="16">
        <v>0</v>
      </c>
      <c r="AD239" s="16">
        <v>1</v>
      </c>
      <c r="AE239" s="16">
        <v>0</v>
      </c>
      <c r="AF239" s="16">
        <v>0</v>
      </c>
      <c r="AG239" s="16">
        <v>0</v>
      </c>
      <c r="AH239" s="13">
        <f t="shared" si="46"/>
        <v>16</v>
      </c>
    </row>
    <row r="240" spans="1:34" ht="12.75" customHeight="1" x14ac:dyDescent="0.4">
      <c r="A240" s="15"/>
      <c r="B240" s="28"/>
      <c r="C240" s="29" t="s">
        <v>150</v>
      </c>
      <c r="D240" s="30"/>
      <c r="E240" s="16">
        <v>5</v>
      </c>
      <c r="F240" s="16">
        <v>1</v>
      </c>
      <c r="G240" s="16">
        <v>3</v>
      </c>
      <c r="H240" s="16">
        <v>1</v>
      </c>
      <c r="I240" s="16">
        <v>3</v>
      </c>
      <c r="J240" s="16">
        <v>4</v>
      </c>
      <c r="K240" s="16">
        <v>3</v>
      </c>
      <c r="L240" s="16">
        <v>3</v>
      </c>
      <c r="M240" s="16">
        <v>1</v>
      </c>
      <c r="N240" s="16">
        <v>3</v>
      </c>
      <c r="O240" s="16">
        <v>9</v>
      </c>
      <c r="P240" s="16">
        <v>0</v>
      </c>
      <c r="Q240" s="16">
        <v>6</v>
      </c>
      <c r="R240" s="16">
        <v>0</v>
      </c>
      <c r="S240" s="16">
        <v>0</v>
      </c>
      <c r="T240" s="16">
        <v>3</v>
      </c>
      <c r="U240" s="16">
        <v>15</v>
      </c>
      <c r="V240" s="16">
        <v>2</v>
      </c>
      <c r="W240" s="16">
        <v>2</v>
      </c>
      <c r="X240" s="16">
        <v>3</v>
      </c>
      <c r="Y240" s="16">
        <v>1</v>
      </c>
      <c r="Z240" s="16">
        <v>2</v>
      </c>
      <c r="AA240" s="16">
        <v>13</v>
      </c>
      <c r="AB240" s="16">
        <v>0</v>
      </c>
      <c r="AC240" s="16">
        <v>1</v>
      </c>
      <c r="AD240" s="16">
        <v>3</v>
      </c>
      <c r="AE240" s="16">
        <v>0</v>
      </c>
      <c r="AF240" s="16">
        <v>0</v>
      </c>
      <c r="AG240" s="16">
        <v>0</v>
      </c>
      <c r="AH240" s="13">
        <f t="shared" si="46"/>
        <v>87</v>
      </c>
    </row>
    <row r="241" spans="1:34" ht="12.75" customHeight="1" x14ac:dyDescent="0.4">
      <c r="A241" s="15"/>
      <c r="B241" s="28"/>
      <c r="C241" s="29" t="s">
        <v>151</v>
      </c>
      <c r="D241" s="30"/>
      <c r="E241" s="16">
        <v>3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6">
        <v>0</v>
      </c>
      <c r="N241" s="16">
        <v>0</v>
      </c>
      <c r="O241" s="16">
        <v>0</v>
      </c>
      <c r="P241" s="16">
        <v>1</v>
      </c>
      <c r="Q241" s="16">
        <v>2</v>
      </c>
      <c r="R241" s="16">
        <v>3</v>
      </c>
      <c r="S241" s="16">
        <v>0</v>
      </c>
      <c r="T241" s="16">
        <v>1</v>
      </c>
      <c r="U241" s="16">
        <v>0</v>
      </c>
      <c r="V241" s="16">
        <v>0</v>
      </c>
      <c r="W241" s="16">
        <v>0</v>
      </c>
      <c r="X241" s="16">
        <v>1</v>
      </c>
      <c r="Y241" s="16">
        <v>0</v>
      </c>
      <c r="Z241" s="16">
        <v>1</v>
      </c>
      <c r="AA241" s="16">
        <v>1</v>
      </c>
      <c r="AB241" s="16">
        <v>0</v>
      </c>
      <c r="AC241" s="16">
        <v>0</v>
      </c>
      <c r="AD241" s="16">
        <v>0</v>
      </c>
      <c r="AE241" s="16">
        <v>1</v>
      </c>
      <c r="AF241" s="16">
        <v>0</v>
      </c>
      <c r="AG241" s="16">
        <v>0</v>
      </c>
      <c r="AH241" s="13">
        <f t="shared" si="46"/>
        <v>14</v>
      </c>
    </row>
    <row r="242" spans="1:34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1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6">
        <v>0</v>
      </c>
      <c r="Q242" s="16">
        <v>2</v>
      </c>
      <c r="R242" s="16">
        <v>0</v>
      </c>
      <c r="S242" s="16">
        <v>0</v>
      </c>
      <c r="T242" s="16">
        <v>0</v>
      </c>
      <c r="U242" s="16">
        <v>1</v>
      </c>
      <c r="V242" s="16">
        <v>0</v>
      </c>
      <c r="W242" s="16">
        <v>0</v>
      </c>
      <c r="X242" s="16">
        <v>0</v>
      </c>
      <c r="Y242" s="16">
        <v>0</v>
      </c>
      <c r="Z242" s="16">
        <v>0</v>
      </c>
      <c r="AA242" s="16">
        <v>0</v>
      </c>
      <c r="AB242" s="16">
        <v>0</v>
      </c>
      <c r="AC242" s="16">
        <v>0</v>
      </c>
      <c r="AD242" s="16">
        <v>0</v>
      </c>
      <c r="AE242" s="16">
        <v>0</v>
      </c>
      <c r="AF242" s="16">
        <v>1</v>
      </c>
      <c r="AG242" s="16">
        <v>0</v>
      </c>
      <c r="AH242" s="13">
        <f t="shared" si="46"/>
        <v>5</v>
      </c>
    </row>
    <row r="243" spans="1:34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  <c r="R243" s="16">
        <v>0</v>
      </c>
      <c r="S243" s="16">
        <v>0</v>
      </c>
      <c r="T243" s="16">
        <v>0</v>
      </c>
      <c r="U243" s="16">
        <v>1</v>
      </c>
      <c r="V243" s="16">
        <v>0</v>
      </c>
      <c r="W243" s="16">
        <v>2</v>
      </c>
      <c r="X243" s="16">
        <v>0</v>
      </c>
      <c r="Y243" s="16">
        <v>0</v>
      </c>
      <c r="Z243" s="16">
        <v>0</v>
      </c>
      <c r="AA243" s="16">
        <v>0</v>
      </c>
      <c r="AB243" s="16">
        <v>0</v>
      </c>
      <c r="AC243" s="16">
        <v>0</v>
      </c>
      <c r="AD243" s="16">
        <v>0</v>
      </c>
      <c r="AE243" s="16">
        <v>1</v>
      </c>
      <c r="AF243" s="16">
        <v>0</v>
      </c>
      <c r="AG243" s="16">
        <v>1</v>
      </c>
      <c r="AH243" s="13">
        <f t="shared" si="46"/>
        <v>5</v>
      </c>
    </row>
    <row r="244" spans="1:34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13">
        <f t="shared" si="46"/>
        <v>0</v>
      </c>
    </row>
    <row r="245" spans="1:34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13">
        <f t="shared" si="46"/>
        <v>0</v>
      </c>
    </row>
    <row r="246" spans="1:34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13">
        <f t="shared" si="46"/>
        <v>0</v>
      </c>
    </row>
    <row r="247" spans="1:34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AH247" si="47">SUM(E237:E246)</f>
        <v>8</v>
      </c>
      <c r="F247" s="13">
        <f t="shared" si="47"/>
        <v>2</v>
      </c>
      <c r="G247" s="13">
        <f t="shared" si="47"/>
        <v>10</v>
      </c>
      <c r="H247" s="13">
        <f t="shared" si="47"/>
        <v>3</v>
      </c>
      <c r="I247" s="13">
        <f t="shared" si="47"/>
        <v>4</v>
      </c>
      <c r="J247" s="13">
        <f t="shared" si="47"/>
        <v>6</v>
      </c>
      <c r="K247" s="13">
        <f t="shared" si="47"/>
        <v>8</v>
      </c>
      <c r="L247" s="13">
        <f t="shared" si="47"/>
        <v>5</v>
      </c>
      <c r="M247" s="13">
        <f t="shared" si="47"/>
        <v>3</v>
      </c>
      <c r="N247" s="13">
        <f t="shared" si="47"/>
        <v>3</v>
      </c>
      <c r="O247" s="13">
        <f t="shared" si="47"/>
        <v>13</v>
      </c>
      <c r="P247" s="13">
        <f t="shared" si="47"/>
        <v>1</v>
      </c>
      <c r="Q247" s="13">
        <f t="shared" si="47"/>
        <v>10</v>
      </c>
      <c r="R247" s="13">
        <f t="shared" si="47"/>
        <v>4</v>
      </c>
      <c r="S247" s="13">
        <f t="shared" si="47"/>
        <v>0</v>
      </c>
      <c r="T247" s="13">
        <f t="shared" si="47"/>
        <v>4</v>
      </c>
      <c r="U247" s="13">
        <f t="shared" si="47"/>
        <v>20</v>
      </c>
      <c r="V247" s="13">
        <f t="shared" si="47"/>
        <v>3</v>
      </c>
      <c r="W247" s="13">
        <f t="shared" si="47"/>
        <v>6</v>
      </c>
      <c r="X247" s="13">
        <f t="shared" si="47"/>
        <v>4</v>
      </c>
      <c r="Y247" s="13">
        <f t="shared" si="47"/>
        <v>1</v>
      </c>
      <c r="Z247" s="13">
        <f t="shared" si="47"/>
        <v>4</v>
      </c>
      <c r="AA247" s="13">
        <f t="shared" si="47"/>
        <v>16</v>
      </c>
      <c r="AB247" s="13">
        <f t="shared" si="47"/>
        <v>0</v>
      </c>
      <c r="AC247" s="13">
        <f t="shared" si="47"/>
        <v>7</v>
      </c>
      <c r="AD247" s="13">
        <f t="shared" si="47"/>
        <v>4</v>
      </c>
      <c r="AE247" s="13">
        <f t="shared" si="47"/>
        <v>2</v>
      </c>
      <c r="AF247" s="13">
        <f t="shared" si="47"/>
        <v>1</v>
      </c>
      <c r="AG247" s="13">
        <f t="shared" si="47"/>
        <v>1</v>
      </c>
      <c r="AH247" s="13">
        <f t="shared" si="47"/>
        <v>153</v>
      </c>
    </row>
    <row r="248" spans="1:34" ht="12.75" customHeight="1" x14ac:dyDescent="0.4">
      <c r="A248" s="63"/>
      <c r="B248" s="61"/>
      <c r="C248" s="61"/>
      <c r="D248" s="61"/>
      <c r="E248" s="62"/>
    </row>
    <row r="249" spans="1:34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2</v>
      </c>
      <c r="F249" s="16">
        <v>0</v>
      </c>
      <c r="G249" s="16">
        <v>0</v>
      </c>
      <c r="H249" s="16">
        <v>0</v>
      </c>
      <c r="I249" s="16">
        <v>5</v>
      </c>
      <c r="J249" s="16">
        <v>3</v>
      </c>
      <c r="K249" s="16">
        <v>1</v>
      </c>
      <c r="L249" s="16">
        <v>0</v>
      </c>
      <c r="M249" s="16">
        <v>0</v>
      </c>
      <c r="N249" s="16">
        <v>0</v>
      </c>
      <c r="O249" s="16">
        <v>0</v>
      </c>
      <c r="P249" s="16">
        <v>0</v>
      </c>
      <c r="Q249" s="16">
        <v>0</v>
      </c>
      <c r="R249" s="16">
        <v>1</v>
      </c>
      <c r="S249" s="16">
        <v>0</v>
      </c>
      <c r="T249" s="16">
        <v>0</v>
      </c>
      <c r="U249" s="16">
        <v>8</v>
      </c>
      <c r="V249" s="16">
        <v>1</v>
      </c>
      <c r="W249" s="16">
        <v>4</v>
      </c>
      <c r="X249" s="16">
        <v>0</v>
      </c>
      <c r="Y249" s="16">
        <v>0</v>
      </c>
      <c r="Z249" s="16">
        <v>0</v>
      </c>
      <c r="AA249" s="16">
        <v>4</v>
      </c>
      <c r="AB249" s="16">
        <v>1</v>
      </c>
      <c r="AC249" s="16">
        <v>0</v>
      </c>
      <c r="AD249" s="16">
        <v>0</v>
      </c>
      <c r="AE249" s="16">
        <v>0</v>
      </c>
      <c r="AF249" s="16">
        <v>0</v>
      </c>
      <c r="AG249" s="16">
        <v>1</v>
      </c>
      <c r="AH249" s="13">
        <f t="shared" ref="AH249:AH258" si="48">SUM(E249:AG249)</f>
        <v>31</v>
      </c>
    </row>
    <row r="250" spans="1:34" ht="12.75" customHeight="1" x14ac:dyDescent="0.4">
      <c r="A250" s="20" t="s">
        <v>38</v>
      </c>
      <c r="B250" s="27"/>
      <c r="C250" s="29" t="s">
        <v>156</v>
      </c>
      <c r="D250" s="40"/>
      <c r="E250" s="16">
        <v>8</v>
      </c>
      <c r="F250" s="16">
        <v>3</v>
      </c>
      <c r="G250" s="16">
        <v>4</v>
      </c>
      <c r="H250" s="16">
        <v>9</v>
      </c>
      <c r="I250" s="16">
        <v>12</v>
      </c>
      <c r="J250" s="16">
        <v>26</v>
      </c>
      <c r="K250" s="16">
        <v>15</v>
      </c>
      <c r="L250" s="16">
        <v>20</v>
      </c>
      <c r="M250" s="16">
        <v>3</v>
      </c>
      <c r="N250" s="16">
        <v>2</v>
      </c>
      <c r="O250" s="16">
        <v>0</v>
      </c>
      <c r="P250" s="16">
        <v>2</v>
      </c>
      <c r="Q250" s="16">
        <v>4</v>
      </c>
      <c r="R250" s="16">
        <v>4</v>
      </c>
      <c r="S250" s="16">
        <v>1</v>
      </c>
      <c r="T250" s="16">
        <v>6</v>
      </c>
      <c r="U250" s="16">
        <v>57</v>
      </c>
      <c r="V250" s="16">
        <v>10</v>
      </c>
      <c r="W250" s="16">
        <v>43</v>
      </c>
      <c r="X250" s="16">
        <v>1</v>
      </c>
      <c r="Y250" s="16">
        <v>3</v>
      </c>
      <c r="Z250" s="16">
        <v>2</v>
      </c>
      <c r="AA250" s="16">
        <v>13</v>
      </c>
      <c r="AB250" s="16">
        <v>2</v>
      </c>
      <c r="AC250" s="16">
        <v>5</v>
      </c>
      <c r="AD250" s="16">
        <v>3</v>
      </c>
      <c r="AE250" s="16">
        <v>1</v>
      </c>
      <c r="AF250" s="16">
        <v>0</v>
      </c>
      <c r="AG250" s="16">
        <v>1</v>
      </c>
      <c r="AH250" s="13">
        <f t="shared" si="48"/>
        <v>260</v>
      </c>
    </row>
    <row r="251" spans="1:34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1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1</v>
      </c>
      <c r="R251" s="16">
        <v>0</v>
      </c>
      <c r="S251" s="16">
        <v>0</v>
      </c>
      <c r="T251" s="16">
        <v>0</v>
      </c>
      <c r="U251" s="16">
        <v>0</v>
      </c>
      <c r="V251" s="16">
        <v>0</v>
      </c>
      <c r="W251" s="16">
        <v>2</v>
      </c>
      <c r="X251" s="16">
        <v>0</v>
      </c>
      <c r="Y251" s="16">
        <v>0</v>
      </c>
      <c r="Z251" s="16">
        <v>1</v>
      </c>
      <c r="AA251" s="16">
        <v>5</v>
      </c>
      <c r="AB251" s="16">
        <v>0</v>
      </c>
      <c r="AC251" s="16">
        <v>0</v>
      </c>
      <c r="AD251" s="16">
        <v>0</v>
      </c>
      <c r="AE251" s="16">
        <v>0</v>
      </c>
      <c r="AF251" s="16">
        <v>0</v>
      </c>
      <c r="AG251" s="16">
        <v>0</v>
      </c>
      <c r="AH251" s="13">
        <f t="shared" si="48"/>
        <v>10</v>
      </c>
    </row>
    <row r="252" spans="1:34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1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1</v>
      </c>
      <c r="S252" s="16">
        <v>0</v>
      </c>
      <c r="T252" s="16">
        <v>0</v>
      </c>
      <c r="U252" s="16">
        <v>0</v>
      </c>
      <c r="V252" s="16">
        <v>0</v>
      </c>
      <c r="W252" s="16">
        <v>2</v>
      </c>
      <c r="X252" s="16">
        <v>0</v>
      </c>
      <c r="Y252" s="16">
        <v>0</v>
      </c>
      <c r="Z252" s="16">
        <v>0</v>
      </c>
      <c r="AA252" s="16">
        <v>0</v>
      </c>
      <c r="AB252" s="16">
        <v>1</v>
      </c>
      <c r="AC252" s="16">
        <v>0</v>
      </c>
      <c r="AD252" s="16">
        <v>0</v>
      </c>
      <c r="AE252" s="16">
        <v>0</v>
      </c>
      <c r="AF252" s="16">
        <v>0</v>
      </c>
      <c r="AG252" s="16">
        <v>0</v>
      </c>
      <c r="AH252" s="13">
        <f t="shared" si="48"/>
        <v>5</v>
      </c>
    </row>
    <row r="253" spans="1:34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0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6">
        <v>0</v>
      </c>
      <c r="U253" s="16">
        <v>0</v>
      </c>
      <c r="V253" s="16">
        <v>0</v>
      </c>
      <c r="W253" s="16">
        <v>1</v>
      </c>
      <c r="X253" s="16">
        <v>0</v>
      </c>
      <c r="Y253" s="16">
        <v>0</v>
      </c>
      <c r="Z253" s="16">
        <v>0</v>
      </c>
      <c r="AA253" s="16">
        <v>0</v>
      </c>
      <c r="AB253" s="16">
        <v>0</v>
      </c>
      <c r="AC253" s="16">
        <v>1</v>
      </c>
      <c r="AD253" s="16">
        <v>0</v>
      </c>
      <c r="AE253" s="16">
        <v>0</v>
      </c>
      <c r="AF253" s="16">
        <v>0</v>
      </c>
      <c r="AG253" s="16">
        <v>0</v>
      </c>
      <c r="AH253" s="13">
        <f t="shared" si="48"/>
        <v>2</v>
      </c>
    </row>
    <row r="254" spans="1:34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13">
        <f t="shared" si="48"/>
        <v>0</v>
      </c>
    </row>
    <row r="255" spans="1:34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13">
        <f t="shared" si="48"/>
        <v>0</v>
      </c>
    </row>
    <row r="256" spans="1:34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13">
        <f t="shared" si="48"/>
        <v>0</v>
      </c>
    </row>
    <row r="257" spans="1:34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13">
        <f t="shared" si="48"/>
        <v>0</v>
      </c>
    </row>
    <row r="258" spans="1:34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13">
        <f t="shared" si="48"/>
        <v>0</v>
      </c>
    </row>
    <row r="259" spans="1:34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AH259" si="49">SUM(E249:E258)</f>
        <v>10</v>
      </c>
      <c r="F259" s="13">
        <f t="shared" si="49"/>
        <v>4</v>
      </c>
      <c r="G259" s="13">
        <f t="shared" si="49"/>
        <v>4</v>
      </c>
      <c r="H259" s="13">
        <f t="shared" si="49"/>
        <v>9</v>
      </c>
      <c r="I259" s="13">
        <f t="shared" si="49"/>
        <v>17</v>
      </c>
      <c r="J259" s="13">
        <f t="shared" si="49"/>
        <v>29</v>
      </c>
      <c r="K259" s="13">
        <f t="shared" si="49"/>
        <v>17</v>
      </c>
      <c r="L259" s="13">
        <f t="shared" si="49"/>
        <v>20</v>
      </c>
      <c r="M259" s="13">
        <f t="shared" si="49"/>
        <v>3</v>
      </c>
      <c r="N259" s="13">
        <f t="shared" si="49"/>
        <v>2</v>
      </c>
      <c r="O259" s="13">
        <f t="shared" si="49"/>
        <v>0</v>
      </c>
      <c r="P259" s="13">
        <f t="shared" si="49"/>
        <v>2</v>
      </c>
      <c r="Q259" s="13">
        <f t="shared" si="49"/>
        <v>5</v>
      </c>
      <c r="R259" s="13">
        <f t="shared" si="49"/>
        <v>6</v>
      </c>
      <c r="S259" s="13">
        <f t="shared" si="49"/>
        <v>1</v>
      </c>
      <c r="T259" s="13">
        <f t="shared" si="49"/>
        <v>6</v>
      </c>
      <c r="U259" s="13">
        <f t="shared" si="49"/>
        <v>65</v>
      </c>
      <c r="V259" s="13">
        <f t="shared" si="49"/>
        <v>11</v>
      </c>
      <c r="W259" s="13">
        <f t="shared" si="49"/>
        <v>52</v>
      </c>
      <c r="X259" s="13">
        <f t="shared" si="49"/>
        <v>1</v>
      </c>
      <c r="Y259" s="13">
        <f t="shared" si="49"/>
        <v>3</v>
      </c>
      <c r="Z259" s="13">
        <f t="shared" si="49"/>
        <v>3</v>
      </c>
      <c r="AA259" s="13">
        <f t="shared" si="49"/>
        <v>22</v>
      </c>
      <c r="AB259" s="13">
        <f t="shared" si="49"/>
        <v>4</v>
      </c>
      <c r="AC259" s="13">
        <f t="shared" si="49"/>
        <v>6</v>
      </c>
      <c r="AD259" s="13">
        <f t="shared" si="49"/>
        <v>3</v>
      </c>
      <c r="AE259" s="13">
        <f t="shared" si="49"/>
        <v>1</v>
      </c>
      <c r="AF259" s="13">
        <f t="shared" si="49"/>
        <v>0</v>
      </c>
      <c r="AG259" s="13">
        <f t="shared" si="49"/>
        <v>2</v>
      </c>
      <c r="AH259" s="13">
        <f t="shared" si="49"/>
        <v>308</v>
      </c>
    </row>
    <row r="260" spans="1:34" ht="12.75" customHeight="1" x14ac:dyDescent="0.4"/>
    <row r="261" spans="1:34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13"/>
    </row>
    <row r="262" spans="1:34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Q262" si="50">E55+E67+E79+E91+E103+E115+E127+E139+E151+E163+E175+E187+E199+E211+E223+E235+E247+E259</f>
        <v>204</v>
      </c>
      <c r="F262" s="16">
        <f t="shared" si="50"/>
        <v>198</v>
      </c>
      <c r="G262" s="16">
        <f t="shared" si="50"/>
        <v>202</v>
      </c>
      <c r="H262" s="16">
        <f t="shared" si="50"/>
        <v>213</v>
      </c>
      <c r="I262" s="16">
        <f t="shared" si="50"/>
        <v>223</v>
      </c>
      <c r="J262" s="16">
        <f t="shared" si="50"/>
        <v>198</v>
      </c>
      <c r="K262" s="16">
        <f t="shared" si="50"/>
        <v>207</v>
      </c>
      <c r="L262" s="16">
        <f t="shared" si="50"/>
        <v>218</v>
      </c>
      <c r="M262" s="16">
        <f t="shared" si="50"/>
        <v>214</v>
      </c>
      <c r="N262" s="16">
        <f t="shared" si="50"/>
        <v>181</v>
      </c>
      <c r="O262" s="16">
        <f t="shared" si="50"/>
        <v>205</v>
      </c>
      <c r="P262" s="16">
        <f t="shared" si="50"/>
        <v>198</v>
      </c>
      <c r="Q262" s="16">
        <f t="shared" si="50"/>
        <v>193</v>
      </c>
      <c r="R262" s="16">
        <f t="shared" ref="R262:AB262" si="51">R55+R67+R79+R91+R103+R115+R127+R139+R151+R163+R175+R187+R199+R211+R223+R235+R247+R259</f>
        <v>185</v>
      </c>
      <c r="S262" s="16">
        <f t="shared" si="51"/>
        <v>211</v>
      </c>
      <c r="T262" s="16">
        <f t="shared" si="51"/>
        <v>196</v>
      </c>
      <c r="U262" s="16">
        <f t="shared" si="51"/>
        <v>205</v>
      </c>
      <c r="V262" s="16">
        <f t="shared" si="51"/>
        <v>225</v>
      </c>
      <c r="W262" s="16">
        <f t="shared" si="51"/>
        <v>205</v>
      </c>
      <c r="X262" s="16">
        <f t="shared" si="51"/>
        <v>189</v>
      </c>
      <c r="Y262" s="16">
        <f t="shared" si="51"/>
        <v>213</v>
      </c>
      <c r="Z262" s="16">
        <f t="shared" si="51"/>
        <v>198</v>
      </c>
      <c r="AA262" s="16">
        <f t="shared" si="51"/>
        <v>199</v>
      </c>
      <c r="AB262" s="16">
        <f t="shared" si="51"/>
        <v>182</v>
      </c>
      <c r="AC262" s="16">
        <f t="shared" ref="AC262:AG262" si="52">AC55+AC67+AC79+AC91+AC103+AC115+AC127+AC139+AC151+AC163+AC175+AC187+AC199+AC211+AC223+AC235+AC247+AC259</f>
        <v>214</v>
      </c>
      <c r="AD262" s="16">
        <f t="shared" si="52"/>
        <v>207</v>
      </c>
      <c r="AE262" s="16">
        <f t="shared" si="52"/>
        <v>120</v>
      </c>
      <c r="AF262" s="16">
        <f t="shared" si="52"/>
        <v>117</v>
      </c>
      <c r="AG262" s="16">
        <f t="shared" si="52"/>
        <v>243</v>
      </c>
      <c r="AH262" s="13">
        <f t="shared" ref="AH262:AH264" si="53">SUM(E262:AG262)</f>
        <v>5763</v>
      </c>
    </row>
    <row r="263" spans="1:34" ht="12.75" customHeight="1" x14ac:dyDescent="0.4">
      <c r="A263" s="22"/>
      <c r="B263" s="45" t="s">
        <v>164</v>
      </c>
      <c r="C263" s="71" t="s">
        <v>165</v>
      </c>
      <c r="D263" s="62"/>
      <c r="E263" s="16">
        <v>14</v>
      </c>
      <c r="F263" s="16">
        <v>28</v>
      </c>
      <c r="G263" s="16">
        <v>9</v>
      </c>
      <c r="H263" s="16">
        <v>12</v>
      </c>
      <c r="I263" s="16">
        <v>16</v>
      </c>
      <c r="J263" s="16">
        <v>16</v>
      </c>
      <c r="K263" s="16">
        <v>19</v>
      </c>
      <c r="L263" s="16">
        <v>11</v>
      </c>
      <c r="M263" s="16">
        <v>26</v>
      </c>
      <c r="N263" s="16">
        <v>23</v>
      </c>
      <c r="O263" s="16">
        <v>20</v>
      </c>
      <c r="P263" s="16">
        <v>11</v>
      </c>
      <c r="Q263" s="16">
        <v>22</v>
      </c>
      <c r="R263" s="16">
        <v>24</v>
      </c>
      <c r="S263" s="16">
        <v>7</v>
      </c>
      <c r="T263" s="16">
        <v>9</v>
      </c>
      <c r="U263" s="16">
        <v>20</v>
      </c>
      <c r="V263" s="16">
        <v>23</v>
      </c>
      <c r="W263" s="16">
        <v>17</v>
      </c>
      <c r="X263" s="16">
        <v>26</v>
      </c>
      <c r="Y263" s="16">
        <v>12</v>
      </c>
      <c r="Z263" s="16">
        <v>17</v>
      </c>
      <c r="AA263" s="16">
        <v>23</v>
      </c>
      <c r="AB263" s="16">
        <v>18</v>
      </c>
      <c r="AC263" s="16">
        <v>18</v>
      </c>
      <c r="AD263" s="16">
        <v>30</v>
      </c>
      <c r="AE263" s="16">
        <v>11</v>
      </c>
      <c r="AF263" s="16">
        <v>10</v>
      </c>
      <c r="AG263" s="16">
        <v>8</v>
      </c>
      <c r="AH263" s="13">
        <f t="shared" si="53"/>
        <v>500</v>
      </c>
    </row>
    <row r="264" spans="1:34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AG264" si="54">SUM(E262:E263)</f>
        <v>218</v>
      </c>
      <c r="F264" s="13">
        <f t="shared" si="54"/>
        <v>226</v>
      </c>
      <c r="G264" s="13">
        <f t="shared" si="54"/>
        <v>211</v>
      </c>
      <c r="H264" s="13">
        <f t="shared" si="54"/>
        <v>225</v>
      </c>
      <c r="I264" s="13">
        <f t="shared" si="54"/>
        <v>239</v>
      </c>
      <c r="J264" s="13">
        <f t="shared" si="54"/>
        <v>214</v>
      </c>
      <c r="K264" s="13">
        <f t="shared" si="54"/>
        <v>226</v>
      </c>
      <c r="L264" s="13">
        <f t="shared" si="54"/>
        <v>229</v>
      </c>
      <c r="M264" s="13">
        <f t="shared" si="54"/>
        <v>240</v>
      </c>
      <c r="N264" s="13">
        <f t="shared" si="54"/>
        <v>204</v>
      </c>
      <c r="O264" s="13">
        <f t="shared" si="54"/>
        <v>225</v>
      </c>
      <c r="P264" s="13">
        <f t="shared" si="54"/>
        <v>209</v>
      </c>
      <c r="Q264" s="13">
        <f t="shared" si="54"/>
        <v>215</v>
      </c>
      <c r="R264" s="13">
        <f t="shared" si="54"/>
        <v>209</v>
      </c>
      <c r="S264" s="13">
        <f t="shared" si="54"/>
        <v>218</v>
      </c>
      <c r="T264" s="13">
        <f t="shared" si="54"/>
        <v>205</v>
      </c>
      <c r="U264" s="13">
        <f t="shared" si="54"/>
        <v>225</v>
      </c>
      <c r="V264" s="13">
        <f t="shared" si="54"/>
        <v>248</v>
      </c>
      <c r="W264" s="13">
        <f t="shared" si="54"/>
        <v>222</v>
      </c>
      <c r="X264" s="13">
        <f t="shared" si="54"/>
        <v>215</v>
      </c>
      <c r="Y264" s="13">
        <f t="shared" si="54"/>
        <v>225</v>
      </c>
      <c r="Z264" s="13">
        <f t="shared" si="54"/>
        <v>215</v>
      </c>
      <c r="AA264" s="13">
        <f t="shared" si="54"/>
        <v>222</v>
      </c>
      <c r="AB264" s="13">
        <f t="shared" si="54"/>
        <v>200</v>
      </c>
      <c r="AC264" s="13">
        <f t="shared" si="54"/>
        <v>232</v>
      </c>
      <c r="AD264" s="13">
        <f t="shared" si="54"/>
        <v>237</v>
      </c>
      <c r="AE264" s="13">
        <f t="shared" si="54"/>
        <v>131</v>
      </c>
      <c r="AF264" s="13">
        <f t="shared" si="54"/>
        <v>127</v>
      </c>
      <c r="AG264" s="13">
        <f t="shared" si="54"/>
        <v>251</v>
      </c>
      <c r="AH264" s="13">
        <f t="shared" si="53"/>
        <v>6263</v>
      </c>
    </row>
    <row r="265" spans="1:34" ht="12.75" customHeight="1" x14ac:dyDescent="0.4"/>
    <row r="266" spans="1:34" ht="12.75" customHeight="1" x14ac:dyDescent="0.4"/>
    <row r="267" spans="1:34" ht="12.75" customHeight="1" x14ac:dyDescent="0.4"/>
    <row r="268" spans="1:34" ht="12.75" customHeight="1" x14ac:dyDescent="0.4"/>
    <row r="269" spans="1:34" ht="12.75" customHeight="1" x14ac:dyDescent="0.4"/>
    <row r="270" spans="1:34" ht="12.75" customHeight="1" x14ac:dyDescent="0.4"/>
    <row r="271" spans="1:34" ht="12.75" customHeight="1" x14ac:dyDescent="0.4"/>
    <row r="272" spans="1:34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AG12"/>
    <mergeCell ref="AH12:AH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34:T34">
    <cfRule type="expression" dxfId="430" priority="1">
      <formula>E34&lt;&gt;E64</formula>
    </cfRule>
  </conditionalFormatting>
  <conditionalFormatting sqref="E13:AG13">
    <cfRule type="expression" dxfId="429" priority="30">
      <formula>E30=E264</formula>
    </cfRule>
  </conditionalFormatting>
  <conditionalFormatting sqref="E14:AG15">
    <cfRule type="containsBlanks" dxfId="428" priority="2">
      <formula>LEN(TRIM(E14))=0</formula>
    </cfRule>
  </conditionalFormatting>
  <conditionalFormatting sqref="E19:AG20">
    <cfRule type="containsBlanks" dxfId="427" priority="3">
      <formula>LEN(TRIM(E19))=0</formula>
    </cfRule>
  </conditionalFormatting>
  <conditionalFormatting sqref="E22:AG23 E25:AG26 E33:AG33 E35:AG35 E39:AG40">
    <cfRule type="containsBlanks" dxfId="426" priority="4">
      <formula>LEN(TRIM(E22))=0</formula>
    </cfRule>
  </conditionalFormatting>
  <conditionalFormatting sqref="E30:AG30">
    <cfRule type="expression" dxfId="425" priority="5">
      <formula>E30&lt;&gt;E47</formula>
    </cfRule>
    <cfRule type="expression" dxfId="424" priority="6">
      <formula>E30&lt;&gt;E34</formula>
    </cfRule>
  </conditionalFormatting>
  <conditionalFormatting sqref="E34:AG34">
    <cfRule type="expression" dxfId="423" priority="7">
      <formula>E30&lt;&gt;E34</formula>
    </cfRule>
    <cfRule type="expression" dxfId="422" priority="8">
      <formula>E30=E34</formula>
    </cfRule>
    <cfRule type="expression" dxfId="421" priority="9">
      <formula>E34&lt;&gt;E30</formula>
    </cfRule>
  </conditionalFormatting>
  <conditionalFormatting sqref="E45:AG54">
    <cfRule type="containsBlanks" dxfId="420" priority="10">
      <formula>LEN(TRIM(E45))=0</formula>
    </cfRule>
  </conditionalFormatting>
  <conditionalFormatting sqref="E57:AG66">
    <cfRule type="containsBlanks" dxfId="419" priority="11">
      <formula>LEN(TRIM(E57))=0</formula>
    </cfRule>
  </conditionalFormatting>
  <conditionalFormatting sqref="E69:AG78">
    <cfRule type="containsBlanks" dxfId="418" priority="12">
      <formula>LEN(TRIM(E69))=0</formula>
    </cfRule>
  </conditionalFormatting>
  <conditionalFormatting sqref="E81:AG90">
    <cfRule type="containsBlanks" dxfId="417" priority="13">
      <formula>LEN(TRIM(E81))=0</formula>
    </cfRule>
  </conditionalFormatting>
  <conditionalFormatting sqref="E93:AG102">
    <cfRule type="containsBlanks" dxfId="416" priority="14">
      <formula>LEN(TRIM(E93))=0</formula>
    </cfRule>
  </conditionalFormatting>
  <conditionalFormatting sqref="E105:AG114">
    <cfRule type="containsBlanks" dxfId="415" priority="15">
      <formula>LEN(TRIM(E105))=0</formula>
    </cfRule>
  </conditionalFormatting>
  <conditionalFormatting sqref="E117:AG126">
    <cfRule type="containsBlanks" dxfId="414" priority="16">
      <formula>LEN(TRIM(E117))=0</formula>
    </cfRule>
  </conditionalFormatting>
  <conditionalFormatting sqref="E129:AG138">
    <cfRule type="containsBlanks" dxfId="413" priority="17">
      <formula>LEN(TRIM(E129))=0</formula>
    </cfRule>
  </conditionalFormatting>
  <conditionalFormatting sqref="E141:AG150">
    <cfRule type="containsBlanks" dxfId="412" priority="18">
      <formula>LEN(TRIM(E141))=0</formula>
    </cfRule>
  </conditionalFormatting>
  <conditionalFormatting sqref="E153:AG162">
    <cfRule type="containsBlanks" dxfId="411" priority="19">
      <formula>LEN(TRIM(E153))=0</formula>
    </cfRule>
  </conditionalFormatting>
  <conditionalFormatting sqref="E165:AG174">
    <cfRule type="containsBlanks" dxfId="410" priority="20">
      <formula>LEN(TRIM(E165))=0</formula>
    </cfRule>
  </conditionalFormatting>
  <conditionalFormatting sqref="E177:AG186">
    <cfRule type="containsBlanks" dxfId="409" priority="21">
      <formula>LEN(TRIM(E177))=0</formula>
    </cfRule>
  </conditionalFormatting>
  <conditionalFormatting sqref="E189:AG198">
    <cfRule type="containsBlanks" dxfId="408" priority="22">
      <formula>LEN(TRIM(E189))=0</formula>
    </cfRule>
  </conditionalFormatting>
  <conditionalFormatting sqref="E201:AG210">
    <cfRule type="containsBlanks" dxfId="407" priority="23">
      <formula>LEN(TRIM(E201))=0</formula>
    </cfRule>
  </conditionalFormatting>
  <conditionalFormatting sqref="E213:AG222">
    <cfRule type="containsBlanks" dxfId="406" priority="24">
      <formula>LEN(TRIM(E213))=0</formula>
    </cfRule>
  </conditionalFormatting>
  <conditionalFormatting sqref="E225:AG234">
    <cfRule type="containsBlanks" dxfId="405" priority="25">
      <formula>LEN(TRIM(E225))=0</formula>
    </cfRule>
  </conditionalFormatting>
  <conditionalFormatting sqref="E237:AG246">
    <cfRule type="containsBlanks" dxfId="404" priority="26">
      <formula>LEN(TRIM(E237))=0</formula>
    </cfRule>
  </conditionalFormatting>
  <conditionalFormatting sqref="E249:AG258">
    <cfRule type="containsBlanks" dxfId="403" priority="27">
      <formula>LEN(TRIM(E249))=0</formula>
    </cfRule>
  </conditionalFormatting>
  <conditionalFormatting sqref="E262:AG263">
    <cfRule type="containsBlanks" dxfId="402" priority="28">
      <formula>LEN(TRIM(E262))=0</formula>
    </cfRule>
  </conditionalFormatting>
  <conditionalFormatting sqref="U34:AG34">
    <cfRule type="expression" dxfId="401" priority="29">
      <formula>U34&lt;&gt;U47</formula>
    </cfRule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FF00"/>
  </sheetPr>
  <dimension ref="A1:S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18" width="8.7109375" customWidth="1"/>
    <col min="19" max="19" width="13.28515625" customWidth="1"/>
    <col min="20" max="26" width="8.7109375" customWidth="1"/>
  </cols>
  <sheetData>
    <row r="1" spans="1:19" ht="12.75" customHeight="1" x14ac:dyDescent="0.4"/>
    <row r="2" spans="1:19" ht="12.75" customHeight="1" x14ac:dyDescent="0.4">
      <c r="C2" s="8" t="s">
        <v>0</v>
      </c>
      <c r="D2" s="8" t="s">
        <v>1</v>
      </c>
    </row>
    <row r="3" spans="1:19" ht="12.75" customHeight="1" x14ac:dyDescent="0.4">
      <c r="C3" s="8" t="s">
        <v>2</v>
      </c>
      <c r="D3" s="8" t="s">
        <v>1</v>
      </c>
    </row>
    <row r="4" spans="1:19" ht="12.75" customHeight="1" x14ac:dyDescent="0.4">
      <c r="C4" s="8" t="s">
        <v>3</v>
      </c>
      <c r="D4" s="8" t="s">
        <v>4</v>
      </c>
    </row>
    <row r="5" spans="1:19" ht="12.75" customHeight="1" x14ac:dyDescent="0.4">
      <c r="C5" s="8"/>
      <c r="D5" s="8"/>
    </row>
    <row r="6" spans="1:19" ht="12.75" customHeight="1" x14ac:dyDescent="0.4">
      <c r="C6" s="8"/>
      <c r="D6" s="8"/>
    </row>
    <row r="7" spans="1:19" ht="12.75" customHeight="1" x14ac:dyDescent="0.4">
      <c r="C7" s="8"/>
      <c r="D7" s="8"/>
    </row>
    <row r="8" spans="1:19" ht="12.75" customHeight="1" x14ac:dyDescent="0.4">
      <c r="C8" s="8"/>
      <c r="D8" s="8"/>
    </row>
    <row r="9" spans="1:19" ht="12.75" customHeight="1" x14ac:dyDescent="0.4">
      <c r="C9" s="8" t="s">
        <v>168</v>
      </c>
      <c r="D9" s="8" t="s">
        <v>203</v>
      </c>
    </row>
    <row r="10" spans="1:19" ht="12.75" customHeight="1" x14ac:dyDescent="0.4"/>
    <row r="11" spans="1:19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19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90" t="s">
        <v>7</v>
      </c>
    </row>
    <row r="13" spans="1:19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80"/>
    </row>
    <row r="14" spans="1:19" ht="12.75" customHeight="1" x14ac:dyDescent="0.4">
      <c r="A14" s="15"/>
      <c r="B14" s="75" t="s">
        <v>10</v>
      </c>
      <c r="C14" s="66"/>
      <c r="D14" s="16" t="s">
        <v>11</v>
      </c>
      <c r="E14" s="16">
        <v>99</v>
      </c>
      <c r="F14" s="16">
        <v>85</v>
      </c>
      <c r="G14" s="16">
        <v>115</v>
      </c>
      <c r="H14" s="16">
        <v>126</v>
      </c>
      <c r="I14" s="16">
        <v>128</v>
      </c>
      <c r="J14" s="16">
        <v>122</v>
      </c>
      <c r="K14" s="16">
        <v>134</v>
      </c>
      <c r="L14" s="16">
        <v>141</v>
      </c>
      <c r="M14" s="16">
        <v>129</v>
      </c>
      <c r="N14" s="16">
        <v>99</v>
      </c>
      <c r="O14" s="16">
        <v>72</v>
      </c>
      <c r="P14" s="16">
        <v>132</v>
      </c>
      <c r="Q14" s="16">
        <v>136</v>
      </c>
      <c r="R14" s="16">
        <v>131</v>
      </c>
      <c r="S14" s="13">
        <f t="shared" ref="S14:S16" si="0">SUM(E14:R14)</f>
        <v>1649</v>
      </c>
    </row>
    <row r="15" spans="1:19" ht="12.75" customHeight="1" x14ac:dyDescent="0.4">
      <c r="A15" s="15"/>
      <c r="B15" s="76"/>
      <c r="C15" s="77"/>
      <c r="D15" s="16" t="s">
        <v>12</v>
      </c>
      <c r="E15" s="16">
        <v>104</v>
      </c>
      <c r="F15" s="16">
        <v>87</v>
      </c>
      <c r="G15" s="16">
        <v>106</v>
      </c>
      <c r="H15" s="16">
        <v>148</v>
      </c>
      <c r="I15" s="16">
        <v>147</v>
      </c>
      <c r="J15" s="16">
        <v>148</v>
      </c>
      <c r="K15" s="16">
        <v>162</v>
      </c>
      <c r="L15" s="16">
        <v>152</v>
      </c>
      <c r="M15" s="16">
        <v>122</v>
      </c>
      <c r="N15" s="16">
        <v>106</v>
      </c>
      <c r="O15" s="16">
        <v>75</v>
      </c>
      <c r="P15" s="16">
        <v>131</v>
      </c>
      <c r="Q15" s="16">
        <v>141</v>
      </c>
      <c r="R15" s="16">
        <v>140</v>
      </c>
      <c r="S15" s="13">
        <f t="shared" si="0"/>
        <v>1769</v>
      </c>
    </row>
    <row r="16" spans="1:19" ht="12.75" customHeight="1" x14ac:dyDescent="0.4">
      <c r="A16" s="18"/>
      <c r="B16" s="73"/>
      <c r="C16" s="69"/>
      <c r="D16" s="13" t="s">
        <v>13</v>
      </c>
      <c r="E16" s="13">
        <f t="shared" ref="E16:R16" si="1">SUM(E14:E15)</f>
        <v>203</v>
      </c>
      <c r="F16" s="13">
        <f t="shared" si="1"/>
        <v>172</v>
      </c>
      <c r="G16" s="13">
        <f t="shared" si="1"/>
        <v>221</v>
      </c>
      <c r="H16" s="13">
        <f t="shared" si="1"/>
        <v>274</v>
      </c>
      <c r="I16" s="13">
        <f t="shared" si="1"/>
        <v>275</v>
      </c>
      <c r="J16" s="13">
        <f t="shared" si="1"/>
        <v>270</v>
      </c>
      <c r="K16" s="13">
        <f t="shared" si="1"/>
        <v>296</v>
      </c>
      <c r="L16" s="13">
        <f t="shared" si="1"/>
        <v>293</v>
      </c>
      <c r="M16" s="13">
        <f t="shared" si="1"/>
        <v>251</v>
      </c>
      <c r="N16" s="13">
        <f t="shared" si="1"/>
        <v>205</v>
      </c>
      <c r="O16" s="13">
        <f t="shared" si="1"/>
        <v>147</v>
      </c>
      <c r="P16" s="13">
        <f t="shared" si="1"/>
        <v>263</v>
      </c>
      <c r="Q16" s="13">
        <f t="shared" si="1"/>
        <v>277</v>
      </c>
      <c r="R16" s="13">
        <f t="shared" si="1"/>
        <v>271</v>
      </c>
      <c r="S16" s="13">
        <f t="shared" si="0"/>
        <v>3418</v>
      </c>
    </row>
    <row r="17" spans="1:19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9"/>
    </row>
    <row r="18" spans="1:19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9"/>
    </row>
    <row r="19" spans="1:19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69</v>
      </c>
      <c r="F19" s="16">
        <v>61</v>
      </c>
      <c r="G19" s="16">
        <v>73</v>
      </c>
      <c r="H19" s="16">
        <v>116</v>
      </c>
      <c r="I19" s="16">
        <v>84</v>
      </c>
      <c r="J19" s="16">
        <v>111</v>
      </c>
      <c r="K19" s="16">
        <v>90</v>
      </c>
      <c r="L19" s="16">
        <v>105</v>
      </c>
      <c r="M19" s="16">
        <v>78</v>
      </c>
      <c r="N19" s="16">
        <v>64</v>
      </c>
      <c r="O19" s="16">
        <v>51</v>
      </c>
      <c r="P19" s="16">
        <v>91</v>
      </c>
      <c r="Q19" s="16">
        <v>96</v>
      </c>
      <c r="R19" s="16">
        <v>90</v>
      </c>
      <c r="S19" s="13">
        <f t="shared" ref="S19:S30" si="2">SUM(E19:R19)</f>
        <v>1179</v>
      </c>
    </row>
    <row r="20" spans="1:19" ht="12.75" customHeight="1" x14ac:dyDescent="0.4">
      <c r="A20" s="21"/>
      <c r="B20" s="77"/>
      <c r="C20" s="79"/>
      <c r="D20" s="16" t="s">
        <v>12</v>
      </c>
      <c r="E20" s="16">
        <v>81</v>
      </c>
      <c r="F20" s="16">
        <v>66</v>
      </c>
      <c r="G20" s="16">
        <v>82</v>
      </c>
      <c r="H20" s="16">
        <v>95</v>
      </c>
      <c r="I20" s="16">
        <v>114</v>
      </c>
      <c r="J20" s="16">
        <v>85</v>
      </c>
      <c r="K20" s="16">
        <v>126</v>
      </c>
      <c r="L20" s="16">
        <v>117</v>
      </c>
      <c r="M20" s="16">
        <v>88</v>
      </c>
      <c r="N20" s="16">
        <v>76</v>
      </c>
      <c r="O20" s="16">
        <v>54</v>
      </c>
      <c r="P20" s="16">
        <v>103</v>
      </c>
      <c r="Q20" s="16">
        <v>117</v>
      </c>
      <c r="R20" s="16">
        <v>100</v>
      </c>
      <c r="S20" s="13">
        <f t="shared" si="2"/>
        <v>1304</v>
      </c>
    </row>
    <row r="21" spans="1:19" ht="12.75" customHeight="1" x14ac:dyDescent="0.4">
      <c r="A21" s="22"/>
      <c r="B21" s="69"/>
      <c r="C21" s="80"/>
      <c r="D21" s="13" t="s">
        <v>13</v>
      </c>
      <c r="E21" s="13">
        <f t="shared" ref="E21:R21" si="3">SUM(E19:E20)</f>
        <v>150</v>
      </c>
      <c r="F21" s="13">
        <f t="shared" si="3"/>
        <v>127</v>
      </c>
      <c r="G21" s="13">
        <f t="shared" si="3"/>
        <v>155</v>
      </c>
      <c r="H21" s="13">
        <f t="shared" si="3"/>
        <v>211</v>
      </c>
      <c r="I21" s="13">
        <f t="shared" si="3"/>
        <v>198</v>
      </c>
      <c r="J21" s="13">
        <f t="shared" si="3"/>
        <v>196</v>
      </c>
      <c r="K21" s="13">
        <f t="shared" si="3"/>
        <v>216</v>
      </c>
      <c r="L21" s="13">
        <f t="shared" si="3"/>
        <v>222</v>
      </c>
      <c r="M21" s="13">
        <f t="shared" si="3"/>
        <v>166</v>
      </c>
      <c r="N21" s="13">
        <f t="shared" si="3"/>
        <v>140</v>
      </c>
      <c r="O21" s="13">
        <f t="shared" si="3"/>
        <v>105</v>
      </c>
      <c r="P21" s="13">
        <f t="shared" si="3"/>
        <v>194</v>
      </c>
      <c r="Q21" s="13">
        <f t="shared" si="3"/>
        <v>213</v>
      </c>
      <c r="R21" s="13">
        <f t="shared" si="3"/>
        <v>190</v>
      </c>
      <c r="S21" s="13">
        <f t="shared" si="2"/>
        <v>2483</v>
      </c>
    </row>
    <row r="22" spans="1:19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1</v>
      </c>
      <c r="J22" s="16">
        <v>1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1</v>
      </c>
      <c r="Q22" s="16">
        <v>0</v>
      </c>
      <c r="R22" s="16">
        <v>0</v>
      </c>
      <c r="S22" s="13">
        <f t="shared" si="2"/>
        <v>3</v>
      </c>
    </row>
    <row r="23" spans="1:19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1</v>
      </c>
      <c r="J23" s="16">
        <v>1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3">
        <f t="shared" si="2"/>
        <v>2</v>
      </c>
    </row>
    <row r="24" spans="1:19" ht="12.75" customHeight="1" x14ac:dyDescent="0.4">
      <c r="A24" s="22"/>
      <c r="B24" s="69"/>
      <c r="C24" s="80"/>
      <c r="D24" s="13" t="s">
        <v>13</v>
      </c>
      <c r="E24" s="13">
        <f t="shared" ref="E24:R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2</v>
      </c>
      <c r="J24" s="13">
        <f t="shared" si="4"/>
        <v>2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1</v>
      </c>
      <c r="Q24" s="13">
        <f t="shared" si="4"/>
        <v>0</v>
      </c>
      <c r="R24" s="13">
        <f t="shared" si="4"/>
        <v>0</v>
      </c>
      <c r="S24" s="13">
        <f t="shared" si="2"/>
        <v>5</v>
      </c>
    </row>
    <row r="25" spans="1:19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0</v>
      </c>
      <c r="F25" s="16">
        <v>4</v>
      </c>
      <c r="G25" s="16">
        <v>3</v>
      </c>
      <c r="H25" s="16">
        <v>0</v>
      </c>
      <c r="I25" s="16">
        <v>0</v>
      </c>
      <c r="J25" s="16">
        <v>0</v>
      </c>
      <c r="K25" s="16">
        <v>3</v>
      </c>
      <c r="L25" s="16">
        <v>4</v>
      </c>
      <c r="M25" s="16">
        <v>0</v>
      </c>
      <c r="N25" s="16">
        <v>2</v>
      </c>
      <c r="O25" s="16">
        <v>1</v>
      </c>
      <c r="P25" s="16">
        <v>2</v>
      </c>
      <c r="Q25" s="16">
        <v>0</v>
      </c>
      <c r="R25" s="16">
        <v>0</v>
      </c>
      <c r="S25" s="13">
        <f t="shared" si="2"/>
        <v>19</v>
      </c>
    </row>
    <row r="26" spans="1:19" ht="12.75" customHeight="1" x14ac:dyDescent="0.4">
      <c r="A26" s="21"/>
      <c r="B26" s="77"/>
      <c r="C26" s="79"/>
      <c r="D26" s="16" t="s">
        <v>12</v>
      </c>
      <c r="E26" s="16">
        <v>1</v>
      </c>
      <c r="F26" s="16">
        <v>2</v>
      </c>
      <c r="G26" s="16">
        <v>3</v>
      </c>
      <c r="H26" s="16">
        <v>0</v>
      </c>
      <c r="I26" s="16">
        <v>0</v>
      </c>
      <c r="J26" s="16">
        <v>1</v>
      </c>
      <c r="K26" s="16">
        <v>3</v>
      </c>
      <c r="L26" s="16">
        <v>3</v>
      </c>
      <c r="M26" s="16">
        <v>0</v>
      </c>
      <c r="N26" s="16">
        <v>6</v>
      </c>
      <c r="O26" s="16">
        <v>0</v>
      </c>
      <c r="P26" s="16">
        <v>1</v>
      </c>
      <c r="Q26" s="16">
        <v>0</v>
      </c>
      <c r="R26" s="16">
        <v>1</v>
      </c>
      <c r="S26" s="13">
        <f t="shared" si="2"/>
        <v>21</v>
      </c>
    </row>
    <row r="27" spans="1:19" ht="12.75" customHeight="1" x14ac:dyDescent="0.4">
      <c r="A27" s="22"/>
      <c r="B27" s="69"/>
      <c r="C27" s="80"/>
      <c r="D27" s="13" t="s">
        <v>13</v>
      </c>
      <c r="E27" s="13">
        <f t="shared" ref="E27:R27" si="5">SUM(E25:E26)</f>
        <v>1</v>
      </c>
      <c r="F27" s="13">
        <f t="shared" si="5"/>
        <v>6</v>
      </c>
      <c r="G27" s="13">
        <f t="shared" si="5"/>
        <v>6</v>
      </c>
      <c r="H27" s="13">
        <f t="shared" si="5"/>
        <v>0</v>
      </c>
      <c r="I27" s="13">
        <f t="shared" si="5"/>
        <v>0</v>
      </c>
      <c r="J27" s="13">
        <f t="shared" si="5"/>
        <v>1</v>
      </c>
      <c r="K27" s="13">
        <f t="shared" si="5"/>
        <v>6</v>
      </c>
      <c r="L27" s="13">
        <f t="shared" si="5"/>
        <v>7</v>
      </c>
      <c r="M27" s="13">
        <f t="shared" si="5"/>
        <v>0</v>
      </c>
      <c r="N27" s="13">
        <f t="shared" si="5"/>
        <v>8</v>
      </c>
      <c r="O27" s="13">
        <f t="shared" si="5"/>
        <v>1</v>
      </c>
      <c r="P27" s="13">
        <f t="shared" si="5"/>
        <v>3</v>
      </c>
      <c r="Q27" s="13">
        <f t="shared" si="5"/>
        <v>0</v>
      </c>
      <c r="R27" s="13">
        <f t="shared" si="5"/>
        <v>1</v>
      </c>
      <c r="S27" s="13">
        <f t="shared" si="2"/>
        <v>40</v>
      </c>
    </row>
    <row r="28" spans="1:19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R28" si="6">SUM(E19,E22,E25)</f>
        <v>69</v>
      </c>
      <c r="F28" s="13">
        <f t="shared" si="6"/>
        <v>65</v>
      </c>
      <c r="G28" s="13">
        <f t="shared" si="6"/>
        <v>76</v>
      </c>
      <c r="H28" s="13">
        <f t="shared" si="6"/>
        <v>116</v>
      </c>
      <c r="I28" s="13">
        <f t="shared" si="6"/>
        <v>85</v>
      </c>
      <c r="J28" s="13">
        <f t="shared" si="6"/>
        <v>112</v>
      </c>
      <c r="K28" s="13">
        <f t="shared" si="6"/>
        <v>93</v>
      </c>
      <c r="L28" s="13">
        <f t="shared" si="6"/>
        <v>109</v>
      </c>
      <c r="M28" s="13">
        <f t="shared" si="6"/>
        <v>78</v>
      </c>
      <c r="N28" s="13">
        <f t="shared" si="6"/>
        <v>66</v>
      </c>
      <c r="O28" s="13">
        <f t="shared" si="6"/>
        <v>52</v>
      </c>
      <c r="P28" s="13">
        <f t="shared" si="6"/>
        <v>94</v>
      </c>
      <c r="Q28" s="13">
        <f t="shared" si="6"/>
        <v>96</v>
      </c>
      <c r="R28" s="13">
        <f t="shared" si="6"/>
        <v>90</v>
      </c>
      <c r="S28" s="13">
        <f t="shared" si="2"/>
        <v>1201</v>
      </c>
    </row>
    <row r="29" spans="1:19" ht="12.75" customHeight="1" x14ac:dyDescent="0.4">
      <c r="A29" s="22"/>
      <c r="B29" s="77"/>
      <c r="C29" s="79"/>
      <c r="D29" s="13" t="s">
        <v>12</v>
      </c>
      <c r="E29" s="13">
        <f t="shared" ref="E29:R29" si="7">SUM(E20,E23,E26)</f>
        <v>82</v>
      </c>
      <c r="F29" s="13">
        <f t="shared" si="7"/>
        <v>68</v>
      </c>
      <c r="G29" s="13">
        <f t="shared" si="7"/>
        <v>85</v>
      </c>
      <c r="H29" s="13">
        <f t="shared" si="7"/>
        <v>95</v>
      </c>
      <c r="I29" s="13">
        <f t="shared" si="7"/>
        <v>115</v>
      </c>
      <c r="J29" s="13">
        <f t="shared" si="7"/>
        <v>87</v>
      </c>
      <c r="K29" s="13">
        <f t="shared" si="7"/>
        <v>129</v>
      </c>
      <c r="L29" s="13">
        <f t="shared" si="7"/>
        <v>120</v>
      </c>
      <c r="M29" s="13">
        <f t="shared" si="7"/>
        <v>88</v>
      </c>
      <c r="N29" s="13">
        <f t="shared" si="7"/>
        <v>82</v>
      </c>
      <c r="O29" s="13">
        <f t="shared" si="7"/>
        <v>54</v>
      </c>
      <c r="P29" s="13">
        <f t="shared" si="7"/>
        <v>104</v>
      </c>
      <c r="Q29" s="13">
        <f t="shared" si="7"/>
        <v>117</v>
      </c>
      <c r="R29" s="13">
        <f t="shared" si="7"/>
        <v>101</v>
      </c>
      <c r="S29" s="13">
        <f t="shared" si="2"/>
        <v>1327</v>
      </c>
    </row>
    <row r="30" spans="1:19" ht="12.75" customHeight="1" x14ac:dyDescent="0.4">
      <c r="A30" s="22"/>
      <c r="B30" s="69"/>
      <c r="C30" s="80"/>
      <c r="D30" s="13" t="s">
        <v>13</v>
      </c>
      <c r="E30" s="13">
        <f t="shared" ref="E30:R30" si="8">SUM(E28:E29)</f>
        <v>151</v>
      </c>
      <c r="F30" s="13">
        <f t="shared" si="8"/>
        <v>133</v>
      </c>
      <c r="G30" s="13">
        <f t="shared" si="8"/>
        <v>161</v>
      </c>
      <c r="H30" s="13">
        <f t="shared" si="8"/>
        <v>211</v>
      </c>
      <c r="I30" s="13">
        <f t="shared" si="8"/>
        <v>200</v>
      </c>
      <c r="J30" s="13">
        <f t="shared" si="8"/>
        <v>199</v>
      </c>
      <c r="K30" s="13">
        <f t="shared" si="8"/>
        <v>222</v>
      </c>
      <c r="L30" s="13">
        <f t="shared" si="8"/>
        <v>229</v>
      </c>
      <c r="M30" s="13">
        <f t="shared" si="8"/>
        <v>166</v>
      </c>
      <c r="N30" s="13">
        <f t="shared" si="8"/>
        <v>148</v>
      </c>
      <c r="O30" s="13">
        <f t="shared" si="8"/>
        <v>106</v>
      </c>
      <c r="P30" s="13">
        <f t="shared" si="8"/>
        <v>198</v>
      </c>
      <c r="Q30" s="13">
        <f t="shared" si="8"/>
        <v>213</v>
      </c>
      <c r="R30" s="13">
        <f t="shared" si="8"/>
        <v>191</v>
      </c>
      <c r="S30" s="13">
        <f t="shared" si="2"/>
        <v>2528</v>
      </c>
    </row>
    <row r="31" spans="1:19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9"/>
    </row>
    <row r="32" spans="1:19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49"/>
    </row>
    <row r="33" spans="1:19" ht="12.75" customHeight="1" x14ac:dyDescent="0.4">
      <c r="A33" s="16">
        <v>1</v>
      </c>
      <c r="B33" s="74" t="s">
        <v>26</v>
      </c>
      <c r="C33" s="61"/>
      <c r="D33" s="62"/>
      <c r="E33" s="16">
        <v>208</v>
      </c>
      <c r="F33" s="16">
        <v>188</v>
      </c>
      <c r="G33" s="16">
        <v>226</v>
      </c>
      <c r="H33" s="16">
        <v>280</v>
      </c>
      <c r="I33" s="16">
        <v>281</v>
      </c>
      <c r="J33" s="16">
        <v>276</v>
      </c>
      <c r="K33" s="16">
        <v>304</v>
      </c>
      <c r="L33" s="16">
        <v>299</v>
      </c>
      <c r="M33" s="16">
        <v>257</v>
      </c>
      <c r="N33" s="16">
        <v>211</v>
      </c>
      <c r="O33" s="16">
        <v>150</v>
      </c>
      <c r="P33" s="16">
        <v>269</v>
      </c>
      <c r="Q33" s="16">
        <v>283</v>
      </c>
      <c r="R33" s="16">
        <v>277</v>
      </c>
      <c r="S33" s="13">
        <f t="shared" ref="S33:S36" si="9">SUM(E33:R33)</f>
        <v>3509</v>
      </c>
    </row>
    <row r="34" spans="1:19" ht="12.75" customHeight="1" x14ac:dyDescent="0.4">
      <c r="A34" s="16">
        <v>2</v>
      </c>
      <c r="B34" s="74" t="s">
        <v>27</v>
      </c>
      <c r="C34" s="61"/>
      <c r="D34" s="62"/>
      <c r="E34" s="13">
        <v>151</v>
      </c>
      <c r="F34" s="13">
        <v>133</v>
      </c>
      <c r="G34" s="13">
        <v>161</v>
      </c>
      <c r="H34" s="13">
        <v>211</v>
      </c>
      <c r="I34" s="13">
        <v>200</v>
      </c>
      <c r="J34" s="13">
        <v>199</v>
      </c>
      <c r="K34" s="13">
        <v>222</v>
      </c>
      <c r="L34" s="13">
        <v>229</v>
      </c>
      <c r="M34" s="13">
        <v>166</v>
      </c>
      <c r="N34" s="13">
        <v>148</v>
      </c>
      <c r="O34" s="13">
        <v>106</v>
      </c>
      <c r="P34" s="13">
        <v>198</v>
      </c>
      <c r="Q34" s="13">
        <v>213</v>
      </c>
      <c r="R34" s="13">
        <v>191</v>
      </c>
      <c r="S34" s="13">
        <f t="shared" si="9"/>
        <v>2528</v>
      </c>
    </row>
    <row r="35" spans="1:19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1</v>
      </c>
      <c r="G35" s="16">
        <v>0</v>
      </c>
      <c r="H35" s="16">
        <v>1</v>
      </c>
      <c r="I35" s="16">
        <v>1</v>
      </c>
      <c r="J35" s="16">
        <v>1</v>
      </c>
      <c r="K35" s="16">
        <v>0</v>
      </c>
      <c r="L35" s="16">
        <v>1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3">
        <f t="shared" si="9"/>
        <v>5</v>
      </c>
    </row>
    <row r="36" spans="1:19" ht="12.75" customHeight="1" x14ac:dyDescent="0.4">
      <c r="A36" s="16">
        <v>4</v>
      </c>
      <c r="B36" s="74" t="s">
        <v>29</v>
      </c>
      <c r="C36" s="61"/>
      <c r="D36" s="62"/>
      <c r="E36" s="13">
        <f t="shared" ref="E36:R36" si="10">E33-(E34+E35)</f>
        <v>57</v>
      </c>
      <c r="F36" s="13">
        <f t="shared" si="10"/>
        <v>54</v>
      </c>
      <c r="G36" s="13">
        <f t="shared" si="10"/>
        <v>65</v>
      </c>
      <c r="H36" s="13">
        <f t="shared" si="10"/>
        <v>68</v>
      </c>
      <c r="I36" s="13">
        <f t="shared" si="10"/>
        <v>80</v>
      </c>
      <c r="J36" s="13">
        <f t="shared" si="10"/>
        <v>76</v>
      </c>
      <c r="K36" s="13">
        <f t="shared" si="10"/>
        <v>82</v>
      </c>
      <c r="L36" s="13">
        <f t="shared" si="10"/>
        <v>69</v>
      </c>
      <c r="M36" s="13">
        <f t="shared" si="10"/>
        <v>91</v>
      </c>
      <c r="N36" s="13">
        <f t="shared" si="10"/>
        <v>63</v>
      </c>
      <c r="O36" s="13">
        <f t="shared" si="10"/>
        <v>44</v>
      </c>
      <c r="P36" s="13">
        <f t="shared" si="10"/>
        <v>71</v>
      </c>
      <c r="Q36" s="13">
        <f t="shared" si="10"/>
        <v>70</v>
      </c>
      <c r="R36" s="13">
        <f t="shared" si="10"/>
        <v>86</v>
      </c>
      <c r="S36" s="13">
        <f t="shared" si="9"/>
        <v>976</v>
      </c>
    </row>
    <row r="37" spans="1:19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49"/>
    </row>
    <row r="38" spans="1:19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49"/>
    </row>
    <row r="39" spans="1:19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2</v>
      </c>
      <c r="L39" s="16">
        <v>0</v>
      </c>
      <c r="M39" s="16">
        <v>0</v>
      </c>
      <c r="N39" s="16">
        <v>1</v>
      </c>
      <c r="O39" s="16">
        <v>0</v>
      </c>
      <c r="P39" s="16">
        <v>0</v>
      </c>
      <c r="Q39" s="16">
        <v>0</v>
      </c>
      <c r="R39" s="16"/>
      <c r="S39" s="13">
        <f t="shared" ref="S39:S41" si="11">SUM(E39:R39)</f>
        <v>3</v>
      </c>
    </row>
    <row r="40" spans="1:19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1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/>
      <c r="S40" s="13">
        <f t="shared" si="11"/>
        <v>1</v>
      </c>
    </row>
    <row r="41" spans="1:19" ht="12.75" customHeight="1" x14ac:dyDescent="0.4">
      <c r="A41" s="25"/>
      <c r="B41" s="68"/>
      <c r="C41" s="69"/>
      <c r="D41" s="13" t="s">
        <v>13</v>
      </c>
      <c r="E41" s="13">
        <f t="shared" ref="E41:R41" si="12">SUM(E39:E40)</f>
        <v>0</v>
      </c>
      <c r="F41" s="13">
        <f t="shared" si="12"/>
        <v>0</v>
      </c>
      <c r="G41" s="13">
        <f t="shared" si="12"/>
        <v>1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2</v>
      </c>
      <c r="L41" s="13">
        <f t="shared" si="12"/>
        <v>0</v>
      </c>
      <c r="M41" s="13">
        <f t="shared" si="12"/>
        <v>0</v>
      </c>
      <c r="N41" s="13">
        <f t="shared" si="12"/>
        <v>1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1"/>
        <v>4</v>
      </c>
    </row>
    <row r="42" spans="1:19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3"/>
    </row>
    <row r="43" spans="1:19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</row>
    <row r="44" spans="1:19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3"/>
    </row>
    <row r="45" spans="1:19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1</v>
      </c>
      <c r="F45" s="16">
        <v>5</v>
      </c>
      <c r="G45" s="16">
        <v>2</v>
      </c>
      <c r="H45" s="16">
        <v>4</v>
      </c>
      <c r="I45" s="16">
        <v>4</v>
      </c>
      <c r="J45" s="16">
        <v>3</v>
      </c>
      <c r="K45" s="16">
        <v>1</v>
      </c>
      <c r="L45" s="16">
        <v>3</v>
      </c>
      <c r="M45" s="16">
        <v>3</v>
      </c>
      <c r="N45" s="16">
        <v>3</v>
      </c>
      <c r="O45" s="16">
        <v>4</v>
      </c>
      <c r="P45" s="16">
        <v>2</v>
      </c>
      <c r="Q45" s="16">
        <v>4</v>
      </c>
      <c r="R45" s="16">
        <v>2</v>
      </c>
      <c r="S45" s="13">
        <f t="shared" ref="S45:S54" si="13">SUM(E45:R45)</f>
        <v>41</v>
      </c>
    </row>
    <row r="46" spans="1:19" ht="12.75" customHeight="1" x14ac:dyDescent="0.4">
      <c r="A46" s="20" t="s">
        <v>38</v>
      </c>
      <c r="B46" s="28"/>
      <c r="C46" s="29" t="s">
        <v>39</v>
      </c>
      <c r="D46" s="30"/>
      <c r="E46" s="16">
        <v>5</v>
      </c>
      <c r="F46" s="16">
        <v>6</v>
      </c>
      <c r="G46" s="16">
        <v>3</v>
      </c>
      <c r="H46" s="16">
        <v>1</v>
      </c>
      <c r="I46" s="16">
        <v>11</v>
      </c>
      <c r="J46" s="16">
        <v>11</v>
      </c>
      <c r="K46" s="16">
        <v>2</v>
      </c>
      <c r="L46" s="16">
        <v>2</v>
      </c>
      <c r="M46" s="16">
        <v>2</v>
      </c>
      <c r="N46" s="16">
        <v>2</v>
      </c>
      <c r="O46" s="16">
        <v>1</v>
      </c>
      <c r="P46" s="16">
        <v>1</v>
      </c>
      <c r="Q46" s="16">
        <v>5</v>
      </c>
      <c r="R46" s="16">
        <v>2</v>
      </c>
      <c r="S46" s="13">
        <f t="shared" si="13"/>
        <v>54</v>
      </c>
    </row>
    <row r="47" spans="1:19" ht="12.75" customHeight="1" x14ac:dyDescent="0.4">
      <c r="A47" s="15"/>
      <c r="B47" s="28"/>
      <c r="C47" s="29" t="s">
        <v>40</v>
      </c>
      <c r="D47" s="30"/>
      <c r="E47" s="16">
        <v>11</v>
      </c>
      <c r="F47" s="16">
        <v>14</v>
      </c>
      <c r="G47" s="16">
        <v>3</v>
      </c>
      <c r="H47" s="16">
        <v>0</v>
      </c>
      <c r="I47" s="16">
        <v>2</v>
      </c>
      <c r="J47" s="16">
        <v>1</v>
      </c>
      <c r="K47" s="16">
        <v>2</v>
      </c>
      <c r="L47" s="16">
        <v>1</v>
      </c>
      <c r="M47" s="16">
        <v>1</v>
      </c>
      <c r="N47" s="16">
        <v>0</v>
      </c>
      <c r="O47" s="16">
        <v>0</v>
      </c>
      <c r="P47" s="16">
        <v>2</v>
      </c>
      <c r="Q47" s="16">
        <v>2</v>
      </c>
      <c r="R47" s="16">
        <v>2</v>
      </c>
      <c r="S47" s="13">
        <f t="shared" si="13"/>
        <v>41</v>
      </c>
    </row>
    <row r="48" spans="1:19" ht="12.75" customHeight="1" x14ac:dyDescent="0.4">
      <c r="A48" s="15"/>
      <c r="B48" s="28"/>
      <c r="C48" s="29" t="s">
        <v>41</v>
      </c>
      <c r="D48" s="30"/>
      <c r="E48" s="16">
        <v>0</v>
      </c>
      <c r="F48" s="16">
        <v>1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2</v>
      </c>
      <c r="M48" s="16">
        <v>0</v>
      </c>
      <c r="N48" s="16">
        <v>1</v>
      </c>
      <c r="O48" s="16">
        <v>1</v>
      </c>
      <c r="P48" s="16">
        <v>0</v>
      </c>
      <c r="Q48" s="16">
        <v>0</v>
      </c>
      <c r="R48" s="16">
        <v>0</v>
      </c>
      <c r="S48" s="13">
        <f t="shared" si="13"/>
        <v>5</v>
      </c>
    </row>
    <row r="49" spans="1:19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3">
        <f t="shared" si="13"/>
        <v>0</v>
      </c>
    </row>
    <row r="50" spans="1:19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1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3">
        <f t="shared" si="13"/>
        <v>1</v>
      </c>
    </row>
    <row r="51" spans="1:19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2</v>
      </c>
      <c r="R51" s="16">
        <v>0</v>
      </c>
      <c r="S51" s="13">
        <f t="shared" si="13"/>
        <v>3</v>
      </c>
    </row>
    <row r="52" spans="1:19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13">
        <f t="shared" si="13"/>
        <v>0</v>
      </c>
    </row>
    <row r="53" spans="1:19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13">
        <f t="shared" si="13"/>
        <v>0</v>
      </c>
    </row>
    <row r="54" spans="1:19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13">
        <f t="shared" si="13"/>
        <v>0</v>
      </c>
    </row>
    <row r="55" spans="1:19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S55" si="14">SUM(E45:E54)</f>
        <v>17</v>
      </c>
      <c r="F55" s="13">
        <f t="shared" si="14"/>
        <v>26</v>
      </c>
      <c r="G55" s="13">
        <f t="shared" si="14"/>
        <v>8</v>
      </c>
      <c r="H55" s="13">
        <f t="shared" si="14"/>
        <v>5</v>
      </c>
      <c r="I55" s="13">
        <f t="shared" si="14"/>
        <v>17</v>
      </c>
      <c r="J55" s="13">
        <f t="shared" si="14"/>
        <v>15</v>
      </c>
      <c r="K55" s="13">
        <f t="shared" si="14"/>
        <v>5</v>
      </c>
      <c r="L55" s="13">
        <f t="shared" si="14"/>
        <v>9</v>
      </c>
      <c r="M55" s="13">
        <f t="shared" si="14"/>
        <v>6</v>
      </c>
      <c r="N55" s="13">
        <f t="shared" si="14"/>
        <v>6</v>
      </c>
      <c r="O55" s="13">
        <f t="shared" si="14"/>
        <v>6</v>
      </c>
      <c r="P55" s="13">
        <f t="shared" si="14"/>
        <v>6</v>
      </c>
      <c r="Q55" s="13">
        <f t="shared" si="14"/>
        <v>13</v>
      </c>
      <c r="R55" s="13">
        <f t="shared" si="14"/>
        <v>6</v>
      </c>
      <c r="S55" s="13">
        <f t="shared" si="14"/>
        <v>145</v>
      </c>
    </row>
    <row r="56" spans="1:19" ht="12.75" customHeight="1" x14ac:dyDescent="0.4">
      <c r="A56" s="86"/>
      <c r="B56" s="68"/>
      <c r="C56" s="68"/>
      <c r="D56" s="68"/>
      <c r="E56" s="68"/>
      <c r="S56" s="13"/>
    </row>
    <row r="57" spans="1:19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3</v>
      </c>
      <c r="F57" s="16">
        <v>8</v>
      </c>
      <c r="G57" s="16">
        <v>5</v>
      </c>
      <c r="H57" s="16">
        <v>3</v>
      </c>
      <c r="I57" s="16">
        <v>6</v>
      </c>
      <c r="J57" s="16">
        <v>4</v>
      </c>
      <c r="K57" s="16">
        <v>5</v>
      </c>
      <c r="L57" s="16">
        <v>9</v>
      </c>
      <c r="M57" s="16">
        <v>14</v>
      </c>
      <c r="N57" s="16">
        <v>10</v>
      </c>
      <c r="O57" s="16">
        <v>7</v>
      </c>
      <c r="P57" s="16">
        <v>8</v>
      </c>
      <c r="Q57" s="16">
        <v>10</v>
      </c>
      <c r="R57" s="16">
        <v>6</v>
      </c>
      <c r="S57" s="13">
        <f t="shared" ref="S57:S66" si="15">SUM(E57:R57)</f>
        <v>98</v>
      </c>
    </row>
    <row r="58" spans="1:19" ht="12.75" customHeight="1" x14ac:dyDescent="0.4">
      <c r="A58" s="20" t="s">
        <v>38</v>
      </c>
      <c r="B58" s="28"/>
      <c r="C58" s="29" t="s">
        <v>47</v>
      </c>
      <c r="D58" s="30"/>
      <c r="E58" s="16">
        <v>2</v>
      </c>
      <c r="F58" s="16">
        <v>0</v>
      </c>
      <c r="G58" s="16">
        <v>6</v>
      </c>
      <c r="H58" s="16">
        <v>2</v>
      </c>
      <c r="I58" s="16">
        <v>2</v>
      </c>
      <c r="J58" s="16">
        <v>2</v>
      </c>
      <c r="K58" s="16">
        <v>4</v>
      </c>
      <c r="L58" s="16">
        <v>10</v>
      </c>
      <c r="M58" s="16">
        <v>10</v>
      </c>
      <c r="N58" s="16">
        <v>7</v>
      </c>
      <c r="O58" s="16">
        <v>4</v>
      </c>
      <c r="P58" s="16">
        <v>8</v>
      </c>
      <c r="Q58" s="16">
        <v>6</v>
      </c>
      <c r="R58" s="16">
        <v>10</v>
      </c>
      <c r="S58" s="13">
        <f t="shared" si="15"/>
        <v>73</v>
      </c>
    </row>
    <row r="59" spans="1:19" ht="12.75" customHeight="1" x14ac:dyDescent="0.4">
      <c r="A59" s="15"/>
      <c r="B59" s="28"/>
      <c r="C59" s="29" t="s">
        <v>48</v>
      </c>
      <c r="D59" s="30"/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1</v>
      </c>
      <c r="K59" s="16">
        <v>2</v>
      </c>
      <c r="L59" s="16">
        <v>4</v>
      </c>
      <c r="M59" s="16">
        <v>5</v>
      </c>
      <c r="N59" s="16">
        <v>2</v>
      </c>
      <c r="O59" s="16">
        <v>0</v>
      </c>
      <c r="P59" s="16">
        <v>1</v>
      </c>
      <c r="Q59" s="16">
        <v>0</v>
      </c>
      <c r="R59" s="16">
        <v>1</v>
      </c>
      <c r="S59" s="13">
        <f t="shared" si="15"/>
        <v>17</v>
      </c>
    </row>
    <row r="60" spans="1:19" ht="12.75" customHeight="1" x14ac:dyDescent="0.4">
      <c r="A60" s="15"/>
      <c r="B60" s="28"/>
      <c r="C60" s="29" t="s">
        <v>49</v>
      </c>
      <c r="D60" s="30"/>
      <c r="E60" s="16">
        <v>3</v>
      </c>
      <c r="F60" s="16">
        <v>0</v>
      </c>
      <c r="G60" s="16">
        <v>4</v>
      </c>
      <c r="H60" s="16">
        <v>0</v>
      </c>
      <c r="I60" s="16">
        <v>2</v>
      </c>
      <c r="J60" s="16">
        <v>2</v>
      </c>
      <c r="K60" s="16">
        <v>1</v>
      </c>
      <c r="L60" s="16">
        <v>3</v>
      </c>
      <c r="M60" s="16">
        <v>3</v>
      </c>
      <c r="N60" s="16">
        <v>2</v>
      </c>
      <c r="O60" s="16">
        <v>2</v>
      </c>
      <c r="P60" s="16">
        <v>0</v>
      </c>
      <c r="Q60" s="16">
        <v>1</v>
      </c>
      <c r="R60" s="16">
        <v>0</v>
      </c>
      <c r="S60" s="13">
        <f t="shared" si="15"/>
        <v>23</v>
      </c>
    </row>
    <row r="61" spans="1:19" ht="12.75" customHeight="1" x14ac:dyDescent="0.4">
      <c r="A61" s="15"/>
      <c r="B61" s="28"/>
      <c r="C61" s="29" t="s">
        <v>50</v>
      </c>
      <c r="D61" s="30"/>
      <c r="E61" s="16">
        <v>1</v>
      </c>
      <c r="F61" s="16">
        <v>1</v>
      </c>
      <c r="G61" s="16">
        <v>0</v>
      </c>
      <c r="H61" s="16">
        <v>1</v>
      </c>
      <c r="I61" s="16">
        <v>3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3">
        <f t="shared" si="15"/>
        <v>8</v>
      </c>
    </row>
    <row r="62" spans="1:19" ht="12.75" customHeight="1" x14ac:dyDescent="0.4">
      <c r="A62" s="15"/>
      <c r="B62" s="28"/>
      <c r="C62" s="29" t="s">
        <v>51</v>
      </c>
      <c r="D62" s="30"/>
      <c r="E62" s="16">
        <v>1</v>
      </c>
      <c r="F62" s="16">
        <v>0</v>
      </c>
      <c r="G62" s="16">
        <v>1</v>
      </c>
      <c r="H62" s="16">
        <v>0</v>
      </c>
      <c r="I62" s="16">
        <v>3</v>
      </c>
      <c r="J62" s="16">
        <v>1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1</v>
      </c>
      <c r="Q62" s="16">
        <v>0</v>
      </c>
      <c r="R62" s="16">
        <v>1</v>
      </c>
      <c r="S62" s="13">
        <f t="shared" si="15"/>
        <v>8</v>
      </c>
    </row>
    <row r="63" spans="1:19" ht="12.75" customHeight="1" x14ac:dyDescent="0.4">
      <c r="A63" s="15"/>
      <c r="B63" s="28"/>
      <c r="C63" s="29" t="s">
        <v>52</v>
      </c>
      <c r="D63" s="30"/>
      <c r="E63" s="16">
        <v>1</v>
      </c>
      <c r="F63" s="16">
        <v>1</v>
      </c>
      <c r="G63" s="16">
        <v>0</v>
      </c>
      <c r="H63" s="16">
        <v>2</v>
      </c>
      <c r="I63" s="16">
        <v>0</v>
      </c>
      <c r="J63" s="16">
        <v>0</v>
      </c>
      <c r="K63" s="16">
        <v>0</v>
      </c>
      <c r="L63" s="16">
        <v>0</v>
      </c>
      <c r="M63" s="16">
        <v>0</v>
      </c>
      <c r="N63" s="16">
        <v>0</v>
      </c>
      <c r="O63" s="16">
        <v>1</v>
      </c>
      <c r="P63" s="16">
        <v>0</v>
      </c>
      <c r="Q63" s="16">
        <v>0</v>
      </c>
      <c r="R63" s="16">
        <v>0</v>
      </c>
      <c r="S63" s="13">
        <f t="shared" si="15"/>
        <v>5</v>
      </c>
    </row>
    <row r="64" spans="1:19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13">
        <f t="shared" si="15"/>
        <v>0</v>
      </c>
    </row>
    <row r="65" spans="1:19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13">
        <f t="shared" si="15"/>
        <v>0</v>
      </c>
    </row>
    <row r="66" spans="1:19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13">
        <f t="shared" si="15"/>
        <v>0</v>
      </c>
    </row>
    <row r="67" spans="1:19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S67" si="16">SUM(E57:E66)</f>
        <v>12</v>
      </c>
      <c r="F67" s="13">
        <f t="shared" si="16"/>
        <v>10</v>
      </c>
      <c r="G67" s="13">
        <f t="shared" si="16"/>
        <v>16</v>
      </c>
      <c r="H67" s="13">
        <f t="shared" si="16"/>
        <v>8</v>
      </c>
      <c r="I67" s="13">
        <f t="shared" si="16"/>
        <v>16</v>
      </c>
      <c r="J67" s="13">
        <f t="shared" si="16"/>
        <v>10</v>
      </c>
      <c r="K67" s="13">
        <f t="shared" si="16"/>
        <v>12</v>
      </c>
      <c r="L67" s="13">
        <f t="shared" si="16"/>
        <v>27</v>
      </c>
      <c r="M67" s="13">
        <f t="shared" si="16"/>
        <v>33</v>
      </c>
      <c r="N67" s="13">
        <f t="shared" si="16"/>
        <v>21</v>
      </c>
      <c r="O67" s="13">
        <f t="shared" si="16"/>
        <v>14</v>
      </c>
      <c r="P67" s="13">
        <f t="shared" si="16"/>
        <v>18</v>
      </c>
      <c r="Q67" s="13">
        <f t="shared" si="16"/>
        <v>17</v>
      </c>
      <c r="R67" s="13">
        <f t="shared" si="16"/>
        <v>18</v>
      </c>
      <c r="S67" s="13">
        <f t="shared" si="16"/>
        <v>232</v>
      </c>
    </row>
    <row r="68" spans="1:19" ht="12.75" customHeight="1" x14ac:dyDescent="0.4">
      <c r="A68" s="86"/>
      <c r="B68" s="68"/>
      <c r="C68" s="68"/>
      <c r="D68" s="68"/>
      <c r="E68" s="68"/>
    </row>
    <row r="69" spans="1:19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2</v>
      </c>
      <c r="F69" s="16">
        <v>3</v>
      </c>
      <c r="G69" s="16">
        <v>7</v>
      </c>
      <c r="H69" s="16">
        <v>7</v>
      </c>
      <c r="I69" s="16">
        <v>4</v>
      </c>
      <c r="J69" s="16">
        <v>6</v>
      </c>
      <c r="K69" s="16">
        <v>23</v>
      </c>
      <c r="L69" s="16">
        <v>7</v>
      </c>
      <c r="M69" s="16">
        <v>7</v>
      </c>
      <c r="N69" s="16">
        <v>10</v>
      </c>
      <c r="O69" s="16">
        <v>4</v>
      </c>
      <c r="P69" s="16">
        <v>9</v>
      </c>
      <c r="Q69" s="16">
        <v>8</v>
      </c>
      <c r="R69" s="16">
        <v>11</v>
      </c>
      <c r="S69" s="13">
        <f t="shared" ref="S69:S78" si="17">SUM(E69:R69)</f>
        <v>108</v>
      </c>
    </row>
    <row r="70" spans="1:19" ht="12.75" customHeight="1" x14ac:dyDescent="0.4">
      <c r="A70" s="20" t="s">
        <v>38</v>
      </c>
      <c r="B70" s="28"/>
      <c r="C70" s="29" t="s">
        <v>54</v>
      </c>
      <c r="D70" s="30"/>
      <c r="E70" s="16">
        <v>4</v>
      </c>
      <c r="F70" s="16">
        <v>0</v>
      </c>
      <c r="G70" s="16">
        <v>2</v>
      </c>
      <c r="H70" s="16">
        <v>3</v>
      </c>
      <c r="I70" s="16">
        <v>2</v>
      </c>
      <c r="J70" s="16">
        <v>0</v>
      </c>
      <c r="K70" s="16">
        <v>2</v>
      </c>
      <c r="L70" s="16">
        <v>0</v>
      </c>
      <c r="M70" s="16">
        <v>1</v>
      </c>
      <c r="N70" s="16">
        <v>5</v>
      </c>
      <c r="O70" s="16">
        <v>2</v>
      </c>
      <c r="P70" s="16">
        <v>1</v>
      </c>
      <c r="Q70" s="16">
        <v>2</v>
      </c>
      <c r="R70" s="16">
        <v>9</v>
      </c>
      <c r="S70" s="13">
        <f t="shared" si="17"/>
        <v>33</v>
      </c>
    </row>
    <row r="71" spans="1:19" ht="12.75" customHeight="1" x14ac:dyDescent="0.4">
      <c r="A71" s="15"/>
      <c r="B71" s="28"/>
      <c r="C71" s="29" t="s">
        <v>55</v>
      </c>
      <c r="D71" s="30"/>
      <c r="E71" s="16">
        <v>3</v>
      </c>
      <c r="F71" s="16">
        <v>3</v>
      </c>
      <c r="G71" s="16">
        <v>17</v>
      </c>
      <c r="H71" s="16">
        <v>19</v>
      </c>
      <c r="I71" s="16">
        <v>15</v>
      </c>
      <c r="J71" s="16">
        <v>52</v>
      </c>
      <c r="K71" s="16">
        <v>10</v>
      </c>
      <c r="L71" s="16">
        <v>6</v>
      </c>
      <c r="M71" s="16">
        <v>6</v>
      </c>
      <c r="N71" s="16">
        <v>7</v>
      </c>
      <c r="O71" s="16">
        <v>1</v>
      </c>
      <c r="P71" s="16">
        <v>3</v>
      </c>
      <c r="Q71" s="16">
        <v>4</v>
      </c>
      <c r="R71" s="16">
        <v>4</v>
      </c>
      <c r="S71" s="13">
        <f t="shared" si="17"/>
        <v>150</v>
      </c>
    </row>
    <row r="72" spans="1:19" ht="12.75" customHeight="1" x14ac:dyDescent="0.4">
      <c r="A72" s="15"/>
      <c r="B72" s="28"/>
      <c r="C72" s="29" t="s">
        <v>56</v>
      </c>
      <c r="D72" s="30"/>
      <c r="E72" s="16">
        <v>26</v>
      </c>
      <c r="F72" s="16">
        <v>8</v>
      </c>
      <c r="G72" s="16">
        <v>11</v>
      </c>
      <c r="H72" s="16">
        <v>10</v>
      </c>
      <c r="I72" s="16">
        <v>7</v>
      </c>
      <c r="J72" s="16">
        <v>8</v>
      </c>
      <c r="K72" s="16">
        <v>90</v>
      </c>
      <c r="L72" s="16">
        <v>23</v>
      </c>
      <c r="M72" s="16">
        <v>7</v>
      </c>
      <c r="N72" s="16">
        <v>6</v>
      </c>
      <c r="O72" s="16">
        <v>13</v>
      </c>
      <c r="P72" s="16">
        <v>19</v>
      </c>
      <c r="Q72" s="16">
        <v>33</v>
      </c>
      <c r="R72" s="16">
        <v>44</v>
      </c>
      <c r="S72" s="13">
        <f t="shared" si="17"/>
        <v>305</v>
      </c>
    </row>
    <row r="73" spans="1:19" ht="12.75" customHeight="1" x14ac:dyDescent="0.4">
      <c r="A73" s="15"/>
      <c r="B73" s="28"/>
      <c r="C73" s="29" t="s">
        <v>57</v>
      </c>
      <c r="D73" s="30"/>
      <c r="E73" s="16">
        <v>1</v>
      </c>
      <c r="F73" s="16">
        <v>1</v>
      </c>
      <c r="G73" s="16">
        <v>1</v>
      </c>
      <c r="H73" s="16">
        <v>0</v>
      </c>
      <c r="I73" s="16">
        <v>1</v>
      </c>
      <c r="J73" s="16">
        <v>5</v>
      </c>
      <c r="K73" s="16">
        <v>1</v>
      </c>
      <c r="L73" s="16">
        <v>6</v>
      </c>
      <c r="M73" s="16">
        <v>2</v>
      </c>
      <c r="N73" s="16">
        <v>0</v>
      </c>
      <c r="O73" s="16">
        <v>0</v>
      </c>
      <c r="P73" s="16">
        <v>2</v>
      </c>
      <c r="Q73" s="16">
        <v>0</v>
      </c>
      <c r="R73" s="16">
        <v>3</v>
      </c>
      <c r="S73" s="13">
        <f t="shared" si="17"/>
        <v>23</v>
      </c>
    </row>
    <row r="74" spans="1:19" ht="12.75" customHeight="1" x14ac:dyDescent="0.4">
      <c r="A74" s="15"/>
      <c r="B74" s="28"/>
      <c r="C74" s="29" t="s">
        <v>58</v>
      </c>
      <c r="D74" s="30"/>
      <c r="E74" s="16">
        <v>3</v>
      </c>
      <c r="F74" s="16">
        <v>2</v>
      </c>
      <c r="G74" s="16">
        <v>1</v>
      </c>
      <c r="H74" s="16">
        <v>4</v>
      </c>
      <c r="I74" s="16">
        <v>3</v>
      </c>
      <c r="J74" s="16">
        <v>3</v>
      </c>
      <c r="K74" s="16">
        <v>2</v>
      </c>
      <c r="L74" s="16">
        <v>2</v>
      </c>
      <c r="M74" s="16">
        <v>0</v>
      </c>
      <c r="N74" s="16">
        <v>0</v>
      </c>
      <c r="O74" s="16">
        <v>2</v>
      </c>
      <c r="P74" s="16">
        <v>2</v>
      </c>
      <c r="Q74" s="16">
        <v>2</v>
      </c>
      <c r="R74" s="16">
        <v>4</v>
      </c>
      <c r="S74" s="13">
        <f t="shared" si="17"/>
        <v>30</v>
      </c>
    </row>
    <row r="75" spans="1:19" ht="12.75" customHeight="1" x14ac:dyDescent="0.4">
      <c r="A75" s="15"/>
      <c r="B75" s="28"/>
      <c r="C75" s="29" t="s">
        <v>59</v>
      </c>
      <c r="D75" s="30"/>
      <c r="E75" s="16">
        <v>1</v>
      </c>
      <c r="F75" s="16">
        <v>0</v>
      </c>
      <c r="G75" s="16">
        <v>2</v>
      </c>
      <c r="H75" s="16">
        <v>6</v>
      </c>
      <c r="I75" s="16">
        <v>1</v>
      </c>
      <c r="J75" s="16">
        <v>3</v>
      </c>
      <c r="K75" s="16">
        <v>2</v>
      </c>
      <c r="L75" s="16">
        <v>5</v>
      </c>
      <c r="M75" s="16">
        <v>2</v>
      </c>
      <c r="N75" s="16">
        <v>0</v>
      </c>
      <c r="O75" s="16">
        <v>4</v>
      </c>
      <c r="P75" s="16">
        <v>1</v>
      </c>
      <c r="Q75" s="16">
        <v>2</v>
      </c>
      <c r="R75" s="16">
        <v>2</v>
      </c>
      <c r="S75" s="13">
        <f t="shared" si="17"/>
        <v>31</v>
      </c>
    </row>
    <row r="76" spans="1:19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13">
        <f t="shared" si="17"/>
        <v>0</v>
      </c>
    </row>
    <row r="77" spans="1:19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13">
        <f t="shared" si="17"/>
        <v>0</v>
      </c>
    </row>
    <row r="78" spans="1:19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13">
        <f t="shared" si="17"/>
        <v>0</v>
      </c>
    </row>
    <row r="79" spans="1:19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S79" si="18">SUM(E69:E78)</f>
        <v>40</v>
      </c>
      <c r="F79" s="13">
        <f t="shared" si="18"/>
        <v>17</v>
      </c>
      <c r="G79" s="13">
        <f t="shared" si="18"/>
        <v>41</v>
      </c>
      <c r="H79" s="13">
        <f t="shared" si="18"/>
        <v>49</v>
      </c>
      <c r="I79" s="13">
        <f t="shared" si="18"/>
        <v>33</v>
      </c>
      <c r="J79" s="13">
        <f t="shared" si="18"/>
        <v>77</v>
      </c>
      <c r="K79" s="13">
        <f t="shared" si="18"/>
        <v>130</v>
      </c>
      <c r="L79" s="13">
        <f t="shared" si="18"/>
        <v>49</v>
      </c>
      <c r="M79" s="13">
        <f t="shared" si="18"/>
        <v>25</v>
      </c>
      <c r="N79" s="13">
        <f t="shared" si="18"/>
        <v>28</v>
      </c>
      <c r="O79" s="13">
        <f t="shared" si="18"/>
        <v>26</v>
      </c>
      <c r="P79" s="13">
        <f t="shared" si="18"/>
        <v>37</v>
      </c>
      <c r="Q79" s="13">
        <f t="shared" si="18"/>
        <v>51</v>
      </c>
      <c r="R79" s="13">
        <f t="shared" si="18"/>
        <v>77</v>
      </c>
      <c r="S79" s="13">
        <f t="shared" si="18"/>
        <v>680</v>
      </c>
    </row>
    <row r="80" spans="1:19" ht="12.75" customHeight="1" x14ac:dyDescent="0.4">
      <c r="A80" s="86"/>
      <c r="B80" s="68"/>
      <c r="C80" s="68"/>
      <c r="D80" s="68"/>
      <c r="E80" s="68"/>
    </row>
    <row r="81" spans="1:19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3</v>
      </c>
      <c r="F81" s="16">
        <v>1</v>
      </c>
      <c r="G81" s="16">
        <v>0</v>
      </c>
      <c r="H81" s="16">
        <v>4</v>
      </c>
      <c r="I81" s="16">
        <v>5</v>
      </c>
      <c r="J81" s="16">
        <v>0</v>
      </c>
      <c r="K81" s="16">
        <v>2</v>
      </c>
      <c r="L81" s="16">
        <v>1</v>
      </c>
      <c r="M81" s="16">
        <v>4</v>
      </c>
      <c r="N81" s="16">
        <v>1</v>
      </c>
      <c r="O81" s="16">
        <v>2</v>
      </c>
      <c r="P81" s="16">
        <v>3</v>
      </c>
      <c r="Q81" s="16">
        <v>2</v>
      </c>
      <c r="R81" s="16">
        <v>3</v>
      </c>
      <c r="S81" s="13">
        <f t="shared" ref="S81:S90" si="19">SUM(E81:R81)</f>
        <v>31</v>
      </c>
    </row>
    <row r="82" spans="1:19" ht="12.75" customHeight="1" x14ac:dyDescent="0.4">
      <c r="A82" s="20" t="s">
        <v>38</v>
      </c>
      <c r="B82" s="28"/>
      <c r="C82" s="29" t="s">
        <v>61</v>
      </c>
      <c r="D82" s="30"/>
      <c r="E82" s="16">
        <v>5</v>
      </c>
      <c r="F82" s="16">
        <v>0</v>
      </c>
      <c r="G82" s="16">
        <v>0</v>
      </c>
      <c r="H82" s="16">
        <v>6</v>
      </c>
      <c r="I82" s="16">
        <v>8</v>
      </c>
      <c r="J82" s="16">
        <v>1</v>
      </c>
      <c r="K82" s="16">
        <v>0</v>
      </c>
      <c r="L82" s="16">
        <v>1</v>
      </c>
      <c r="M82" s="16">
        <v>1</v>
      </c>
      <c r="N82" s="16">
        <v>4</v>
      </c>
      <c r="O82" s="16">
        <v>1</v>
      </c>
      <c r="P82" s="16">
        <v>5</v>
      </c>
      <c r="Q82" s="16">
        <v>2</v>
      </c>
      <c r="R82" s="16">
        <v>2</v>
      </c>
      <c r="S82" s="13">
        <f t="shared" si="19"/>
        <v>36</v>
      </c>
    </row>
    <row r="83" spans="1:19" ht="12.75" customHeight="1" x14ac:dyDescent="0.4">
      <c r="A83" s="15"/>
      <c r="B83" s="28"/>
      <c r="C83" s="29" t="s">
        <v>62</v>
      </c>
      <c r="D83" s="30"/>
      <c r="E83" s="16">
        <v>1</v>
      </c>
      <c r="F83" s="16">
        <v>1</v>
      </c>
      <c r="G83" s="16">
        <v>2</v>
      </c>
      <c r="H83" s="16">
        <v>15</v>
      </c>
      <c r="I83" s="16">
        <v>6</v>
      </c>
      <c r="J83" s="16">
        <v>0</v>
      </c>
      <c r="K83" s="16">
        <v>0</v>
      </c>
      <c r="L83" s="16">
        <v>0</v>
      </c>
      <c r="M83" s="16">
        <v>0</v>
      </c>
      <c r="N83" s="16">
        <v>0</v>
      </c>
      <c r="O83" s="16">
        <v>0</v>
      </c>
      <c r="P83" s="16">
        <v>0</v>
      </c>
      <c r="Q83" s="16">
        <v>0</v>
      </c>
      <c r="R83" s="16">
        <v>4</v>
      </c>
      <c r="S83" s="13">
        <f t="shared" si="19"/>
        <v>29</v>
      </c>
    </row>
    <row r="84" spans="1:19" ht="12.75" customHeight="1" x14ac:dyDescent="0.4">
      <c r="A84" s="15"/>
      <c r="B84" s="28"/>
      <c r="C84" s="29" t="s">
        <v>63</v>
      </c>
      <c r="D84" s="30"/>
      <c r="E84" s="16">
        <v>0</v>
      </c>
      <c r="F84" s="16">
        <v>2</v>
      </c>
      <c r="G84" s="16">
        <v>1</v>
      </c>
      <c r="H84" s="16">
        <v>1</v>
      </c>
      <c r="I84" s="16">
        <v>0</v>
      </c>
      <c r="J84" s="16">
        <v>0</v>
      </c>
      <c r="K84" s="16">
        <v>0</v>
      </c>
      <c r="L84" s="16">
        <v>1</v>
      </c>
      <c r="M84" s="16">
        <v>1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3">
        <f t="shared" si="19"/>
        <v>6</v>
      </c>
    </row>
    <row r="85" spans="1:19" ht="12.75" customHeight="1" x14ac:dyDescent="0.4">
      <c r="A85" s="15"/>
      <c r="B85" s="28"/>
      <c r="C85" s="29" t="s">
        <v>64</v>
      </c>
      <c r="D85" s="30"/>
      <c r="E85" s="16">
        <v>3</v>
      </c>
      <c r="F85" s="16">
        <v>1</v>
      </c>
      <c r="G85" s="16">
        <v>11</v>
      </c>
      <c r="H85" s="16">
        <v>5</v>
      </c>
      <c r="I85" s="16">
        <v>6</v>
      </c>
      <c r="J85" s="16">
        <v>9</v>
      </c>
      <c r="K85" s="16">
        <v>0</v>
      </c>
      <c r="L85" s="16">
        <v>10</v>
      </c>
      <c r="M85" s="16">
        <v>2</v>
      </c>
      <c r="N85" s="16">
        <v>10</v>
      </c>
      <c r="O85" s="16">
        <v>3</v>
      </c>
      <c r="P85" s="16">
        <v>12</v>
      </c>
      <c r="Q85" s="16">
        <v>13</v>
      </c>
      <c r="R85" s="16">
        <v>11</v>
      </c>
      <c r="S85" s="13">
        <f t="shared" si="19"/>
        <v>96</v>
      </c>
    </row>
    <row r="86" spans="1:19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0</v>
      </c>
      <c r="K86" s="16">
        <v>0</v>
      </c>
      <c r="L86" s="16">
        <v>1</v>
      </c>
      <c r="M86" s="16">
        <v>1</v>
      </c>
      <c r="N86" s="16">
        <v>0</v>
      </c>
      <c r="O86" s="16">
        <v>2</v>
      </c>
      <c r="P86" s="16">
        <v>0</v>
      </c>
      <c r="Q86" s="16">
        <v>0</v>
      </c>
      <c r="R86" s="16">
        <v>0</v>
      </c>
      <c r="S86" s="13">
        <f t="shared" si="19"/>
        <v>4</v>
      </c>
    </row>
    <row r="87" spans="1:19" ht="12.75" customHeight="1" x14ac:dyDescent="0.4">
      <c r="A87" s="15"/>
      <c r="B87" s="28"/>
      <c r="C87" s="29" t="s">
        <v>66</v>
      </c>
      <c r="D87" s="30"/>
      <c r="E87" s="16">
        <v>0</v>
      </c>
      <c r="F87" s="16">
        <v>0</v>
      </c>
      <c r="G87" s="16">
        <v>2</v>
      </c>
      <c r="H87" s="16">
        <v>3</v>
      </c>
      <c r="I87" s="16">
        <v>0</v>
      </c>
      <c r="J87" s="16">
        <v>0</v>
      </c>
      <c r="K87" s="16">
        <v>1</v>
      </c>
      <c r="L87" s="16">
        <v>0</v>
      </c>
      <c r="M87" s="16">
        <v>1</v>
      </c>
      <c r="N87" s="16">
        <v>0</v>
      </c>
      <c r="O87" s="16">
        <v>0</v>
      </c>
      <c r="P87" s="16">
        <v>1</v>
      </c>
      <c r="Q87" s="16">
        <v>0</v>
      </c>
      <c r="R87" s="16">
        <v>0</v>
      </c>
      <c r="S87" s="13">
        <f t="shared" si="19"/>
        <v>8</v>
      </c>
    </row>
    <row r="88" spans="1:19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13">
        <f t="shared" si="19"/>
        <v>0</v>
      </c>
    </row>
    <row r="89" spans="1:19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13">
        <f t="shared" si="19"/>
        <v>0</v>
      </c>
    </row>
    <row r="90" spans="1:19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13">
        <f t="shared" si="19"/>
        <v>0</v>
      </c>
    </row>
    <row r="91" spans="1:19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S91" si="20">SUM(E81:E90)</f>
        <v>12</v>
      </c>
      <c r="F91" s="13">
        <f t="shared" si="20"/>
        <v>5</v>
      </c>
      <c r="G91" s="13">
        <f t="shared" si="20"/>
        <v>16</v>
      </c>
      <c r="H91" s="13">
        <f t="shared" si="20"/>
        <v>34</v>
      </c>
      <c r="I91" s="13">
        <f t="shared" si="20"/>
        <v>25</v>
      </c>
      <c r="J91" s="13">
        <f t="shared" si="20"/>
        <v>10</v>
      </c>
      <c r="K91" s="13">
        <f t="shared" si="20"/>
        <v>3</v>
      </c>
      <c r="L91" s="13">
        <f t="shared" si="20"/>
        <v>14</v>
      </c>
      <c r="M91" s="13">
        <f t="shared" si="20"/>
        <v>10</v>
      </c>
      <c r="N91" s="13">
        <f t="shared" si="20"/>
        <v>15</v>
      </c>
      <c r="O91" s="13">
        <f t="shared" si="20"/>
        <v>8</v>
      </c>
      <c r="P91" s="13">
        <f t="shared" si="20"/>
        <v>21</v>
      </c>
      <c r="Q91" s="13">
        <f t="shared" si="20"/>
        <v>17</v>
      </c>
      <c r="R91" s="13">
        <f t="shared" si="20"/>
        <v>20</v>
      </c>
      <c r="S91" s="13">
        <f t="shared" si="20"/>
        <v>210</v>
      </c>
    </row>
    <row r="92" spans="1:19" ht="12.75" customHeight="1" x14ac:dyDescent="0.4">
      <c r="A92" s="86"/>
      <c r="B92" s="68"/>
      <c r="C92" s="68"/>
      <c r="D92" s="68"/>
      <c r="E92" s="68"/>
    </row>
    <row r="93" spans="1:19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1</v>
      </c>
      <c r="F93" s="16">
        <v>1</v>
      </c>
      <c r="G93" s="16">
        <v>0</v>
      </c>
      <c r="H93" s="16">
        <v>2</v>
      </c>
      <c r="I93" s="16">
        <v>0</v>
      </c>
      <c r="J93" s="16">
        <v>1</v>
      </c>
      <c r="K93" s="16">
        <v>0</v>
      </c>
      <c r="L93" s="16">
        <v>0</v>
      </c>
      <c r="M93" s="16">
        <v>1</v>
      </c>
      <c r="N93" s="16">
        <v>1</v>
      </c>
      <c r="O93" s="16">
        <v>1</v>
      </c>
      <c r="P93" s="16">
        <v>0</v>
      </c>
      <c r="Q93" s="16">
        <v>0</v>
      </c>
      <c r="R93" s="16">
        <v>1</v>
      </c>
      <c r="S93" s="13">
        <f t="shared" ref="S93:S102" si="21">SUM(E93:R93)</f>
        <v>9</v>
      </c>
    </row>
    <row r="94" spans="1:19" ht="12.75" customHeight="1" x14ac:dyDescent="0.4">
      <c r="A94" s="20" t="s">
        <v>38</v>
      </c>
      <c r="B94" s="28"/>
      <c r="C94" s="29" t="s">
        <v>69</v>
      </c>
      <c r="D94" s="30"/>
      <c r="E94" s="16">
        <v>0</v>
      </c>
      <c r="F94" s="16">
        <v>0</v>
      </c>
      <c r="G94" s="16">
        <v>0</v>
      </c>
      <c r="H94" s="16">
        <v>1</v>
      </c>
      <c r="I94" s="16">
        <v>0</v>
      </c>
      <c r="J94" s="16">
        <v>0</v>
      </c>
      <c r="K94" s="16">
        <v>0</v>
      </c>
      <c r="L94" s="16">
        <v>4</v>
      </c>
      <c r="M94" s="16">
        <v>0</v>
      </c>
      <c r="N94" s="16">
        <v>0</v>
      </c>
      <c r="O94" s="16">
        <v>0</v>
      </c>
      <c r="P94" s="16">
        <v>0</v>
      </c>
      <c r="Q94" s="16">
        <v>1</v>
      </c>
      <c r="R94" s="16">
        <v>0</v>
      </c>
      <c r="S94" s="13">
        <f t="shared" si="21"/>
        <v>6</v>
      </c>
    </row>
    <row r="95" spans="1:19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4</v>
      </c>
      <c r="K95" s="16">
        <v>1</v>
      </c>
      <c r="L95" s="16">
        <v>2</v>
      </c>
      <c r="M95" s="16">
        <v>0</v>
      </c>
      <c r="N95" s="16">
        <v>0</v>
      </c>
      <c r="O95" s="16">
        <v>0</v>
      </c>
      <c r="P95" s="16">
        <v>0</v>
      </c>
      <c r="Q95" s="16">
        <v>2</v>
      </c>
      <c r="R95" s="16">
        <v>2</v>
      </c>
      <c r="S95" s="13">
        <f t="shared" si="21"/>
        <v>11</v>
      </c>
    </row>
    <row r="96" spans="1:19" ht="12.75" customHeight="1" x14ac:dyDescent="0.4">
      <c r="A96" s="15"/>
      <c r="B96" s="28"/>
      <c r="C96" s="29" t="s">
        <v>71</v>
      </c>
      <c r="D96" s="30"/>
      <c r="E96" s="16">
        <v>0</v>
      </c>
      <c r="F96" s="16">
        <v>1</v>
      </c>
      <c r="G96" s="16">
        <v>3</v>
      </c>
      <c r="H96" s="16">
        <v>1</v>
      </c>
      <c r="I96" s="16">
        <v>1</v>
      </c>
      <c r="J96" s="16">
        <v>1</v>
      </c>
      <c r="K96" s="16">
        <v>1</v>
      </c>
      <c r="L96" s="16">
        <v>1</v>
      </c>
      <c r="M96" s="16">
        <v>2</v>
      </c>
      <c r="N96" s="16">
        <v>0</v>
      </c>
      <c r="O96" s="16">
        <v>0</v>
      </c>
      <c r="P96" s="16">
        <v>5</v>
      </c>
      <c r="Q96" s="16">
        <v>0</v>
      </c>
      <c r="R96" s="16">
        <v>1</v>
      </c>
      <c r="S96" s="13">
        <f t="shared" si="21"/>
        <v>17</v>
      </c>
    </row>
    <row r="97" spans="1:19" ht="12.75" customHeight="1" x14ac:dyDescent="0.4">
      <c r="A97" s="15"/>
      <c r="B97" s="28"/>
      <c r="C97" s="29" t="s">
        <v>72</v>
      </c>
      <c r="D97" s="30"/>
      <c r="E97" s="16">
        <v>2</v>
      </c>
      <c r="F97" s="16">
        <v>0</v>
      </c>
      <c r="G97" s="16">
        <v>0</v>
      </c>
      <c r="H97" s="16">
        <v>0</v>
      </c>
      <c r="I97" s="16">
        <v>6</v>
      </c>
      <c r="J97" s="16">
        <v>2</v>
      </c>
      <c r="K97" s="16">
        <v>0</v>
      </c>
      <c r="L97" s="16">
        <v>0</v>
      </c>
      <c r="M97" s="16">
        <v>0</v>
      </c>
      <c r="N97" s="16">
        <v>1</v>
      </c>
      <c r="O97" s="16">
        <v>2</v>
      </c>
      <c r="P97" s="16">
        <v>0</v>
      </c>
      <c r="Q97" s="16">
        <v>7</v>
      </c>
      <c r="R97" s="16">
        <v>18</v>
      </c>
      <c r="S97" s="13">
        <f t="shared" si="21"/>
        <v>38</v>
      </c>
    </row>
    <row r="98" spans="1:19" ht="12.75" customHeight="1" x14ac:dyDescent="0.4">
      <c r="A98" s="15"/>
      <c r="B98" s="28"/>
      <c r="C98" s="29" t="s">
        <v>73</v>
      </c>
      <c r="D98" s="30"/>
      <c r="E98" s="16">
        <v>2</v>
      </c>
      <c r="F98" s="16">
        <v>0</v>
      </c>
      <c r="G98" s="16">
        <v>0</v>
      </c>
      <c r="H98" s="16">
        <v>0</v>
      </c>
      <c r="I98" s="16">
        <v>0</v>
      </c>
      <c r="J98" s="16">
        <v>1</v>
      </c>
      <c r="K98" s="16">
        <v>1</v>
      </c>
      <c r="L98" s="16">
        <v>1</v>
      </c>
      <c r="M98" s="16">
        <v>0</v>
      </c>
      <c r="N98" s="16">
        <v>1</v>
      </c>
      <c r="O98" s="16">
        <v>0</v>
      </c>
      <c r="P98" s="16">
        <v>0</v>
      </c>
      <c r="Q98" s="16">
        <v>0</v>
      </c>
      <c r="R98" s="16">
        <v>0</v>
      </c>
      <c r="S98" s="13">
        <f t="shared" si="21"/>
        <v>6</v>
      </c>
    </row>
    <row r="99" spans="1:19" ht="12.75" customHeight="1" x14ac:dyDescent="0.4">
      <c r="A99" s="15"/>
      <c r="B99" s="28"/>
      <c r="C99" s="29" t="s">
        <v>74</v>
      </c>
      <c r="D99" s="30"/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4</v>
      </c>
      <c r="N99" s="16">
        <v>0</v>
      </c>
      <c r="O99" s="16">
        <v>0</v>
      </c>
      <c r="P99" s="16">
        <v>0</v>
      </c>
      <c r="Q99" s="16">
        <v>0</v>
      </c>
      <c r="R99" s="16">
        <v>0</v>
      </c>
      <c r="S99" s="13">
        <f t="shared" si="21"/>
        <v>4</v>
      </c>
    </row>
    <row r="100" spans="1:19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13">
        <f t="shared" si="21"/>
        <v>0</v>
      </c>
    </row>
    <row r="101" spans="1:19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13">
        <f t="shared" si="21"/>
        <v>0</v>
      </c>
    </row>
    <row r="102" spans="1:19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13">
        <f t="shared" si="21"/>
        <v>0</v>
      </c>
    </row>
    <row r="103" spans="1:19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S103" si="22">SUM(E93:E102)</f>
        <v>5</v>
      </c>
      <c r="F103" s="13">
        <f t="shared" si="22"/>
        <v>2</v>
      </c>
      <c r="G103" s="13">
        <f t="shared" si="22"/>
        <v>3</v>
      </c>
      <c r="H103" s="13">
        <f t="shared" si="22"/>
        <v>4</v>
      </c>
      <c r="I103" s="13">
        <f t="shared" si="22"/>
        <v>7</v>
      </c>
      <c r="J103" s="13">
        <f t="shared" si="22"/>
        <v>9</v>
      </c>
      <c r="K103" s="13">
        <f t="shared" si="22"/>
        <v>3</v>
      </c>
      <c r="L103" s="13">
        <f t="shared" si="22"/>
        <v>8</v>
      </c>
      <c r="M103" s="13">
        <f t="shared" si="22"/>
        <v>7</v>
      </c>
      <c r="N103" s="13">
        <f t="shared" si="22"/>
        <v>3</v>
      </c>
      <c r="O103" s="13">
        <f t="shared" si="22"/>
        <v>3</v>
      </c>
      <c r="P103" s="13">
        <f t="shared" si="22"/>
        <v>5</v>
      </c>
      <c r="Q103" s="13">
        <f t="shared" si="22"/>
        <v>10</v>
      </c>
      <c r="R103" s="13">
        <f t="shared" si="22"/>
        <v>22</v>
      </c>
      <c r="S103" s="13">
        <f t="shared" si="22"/>
        <v>91</v>
      </c>
    </row>
    <row r="104" spans="1:19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</row>
    <row r="105" spans="1:19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0</v>
      </c>
      <c r="H105" s="16">
        <v>0</v>
      </c>
      <c r="I105" s="16">
        <v>1</v>
      </c>
      <c r="J105" s="16">
        <v>2</v>
      </c>
      <c r="K105" s="16">
        <v>0</v>
      </c>
      <c r="L105" s="16">
        <v>1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3">
        <f t="shared" ref="S105:S114" si="23">SUM(E105:R105)</f>
        <v>4</v>
      </c>
    </row>
    <row r="106" spans="1:19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1</v>
      </c>
      <c r="G106" s="16">
        <v>1</v>
      </c>
      <c r="H106" s="16">
        <v>0</v>
      </c>
      <c r="I106" s="16">
        <v>0</v>
      </c>
      <c r="J106" s="16">
        <v>0</v>
      </c>
      <c r="K106" s="16">
        <v>0</v>
      </c>
      <c r="L106" s="16">
        <v>2</v>
      </c>
      <c r="M106" s="16">
        <v>0</v>
      </c>
      <c r="N106" s="16">
        <v>1</v>
      </c>
      <c r="O106" s="16">
        <v>0</v>
      </c>
      <c r="P106" s="16">
        <v>0</v>
      </c>
      <c r="Q106" s="16">
        <v>0</v>
      </c>
      <c r="R106" s="16">
        <v>0</v>
      </c>
      <c r="S106" s="13">
        <f t="shared" si="23"/>
        <v>5</v>
      </c>
    </row>
    <row r="107" spans="1:19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13">
        <f t="shared" si="23"/>
        <v>0</v>
      </c>
    </row>
    <row r="108" spans="1:19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13">
        <f t="shared" si="23"/>
        <v>0</v>
      </c>
    </row>
    <row r="109" spans="1:19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13">
        <f t="shared" si="23"/>
        <v>0</v>
      </c>
    </row>
    <row r="110" spans="1:19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13">
        <f t="shared" si="23"/>
        <v>0</v>
      </c>
    </row>
    <row r="111" spans="1:19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13">
        <f t="shared" si="23"/>
        <v>0</v>
      </c>
    </row>
    <row r="112" spans="1:19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13">
        <f t="shared" si="23"/>
        <v>0</v>
      </c>
    </row>
    <row r="113" spans="1:19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13">
        <f t="shared" si="23"/>
        <v>0</v>
      </c>
    </row>
    <row r="114" spans="1:19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13">
        <f t="shared" si="23"/>
        <v>0</v>
      </c>
    </row>
    <row r="115" spans="1:19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S115" si="24">SUM(E105:E114)</f>
        <v>0</v>
      </c>
      <c r="F115" s="13">
        <f t="shared" si="24"/>
        <v>1</v>
      </c>
      <c r="G115" s="13">
        <f t="shared" si="24"/>
        <v>1</v>
      </c>
      <c r="H115" s="13">
        <f t="shared" si="24"/>
        <v>0</v>
      </c>
      <c r="I115" s="13">
        <f t="shared" si="24"/>
        <v>1</v>
      </c>
      <c r="J115" s="13">
        <f t="shared" si="24"/>
        <v>2</v>
      </c>
      <c r="K115" s="13">
        <f t="shared" si="24"/>
        <v>0</v>
      </c>
      <c r="L115" s="13">
        <f t="shared" si="24"/>
        <v>3</v>
      </c>
      <c r="M115" s="13">
        <f t="shared" si="24"/>
        <v>0</v>
      </c>
      <c r="N115" s="13">
        <f t="shared" si="24"/>
        <v>1</v>
      </c>
      <c r="O115" s="13">
        <f t="shared" si="24"/>
        <v>0</v>
      </c>
      <c r="P115" s="13">
        <f t="shared" si="24"/>
        <v>0</v>
      </c>
      <c r="Q115" s="13">
        <f t="shared" si="24"/>
        <v>0</v>
      </c>
      <c r="R115" s="13">
        <f t="shared" si="24"/>
        <v>0</v>
      </c>
      <c r="S115" s="13">
        <f t="shared" si="24"/>
        <v>9</v>
      </c>
    </row>
    <row r="116" spans="1:19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13"/>
    </row>
    <row r="117" spans="1:19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1</v>
      </c>
      <c r="F117" s="16">
        <v>1</v>
      </c>
      <c r="G117" s="16">
        <v>0</v>
      </c>
      <c r="H117" s="16">
        <v>1</v>
      </c>
      <c r="I117" s="16">
        <v>0</v>
      </c>
      <c r="J117" s="16">
        <v>0</v>
      </c>
      <c r="K117" s="16">
        <v>1</v>
      </c>
      <c r="L117" s="16">
        <v>1</v>
      </c>
      <c r="M117" s="16">
        <v>1</v>
      </c>
      <c r="N117" s="16">
        <v>0</v>
      </c>
      <c r="O117" s="16">
        <v>1</v>
      </c>
      <c r="P117" s="16">
        <v>0</v>
      </c>
      <c r="Q117" s="16">
        <v>0</v>
      </c>
      <c r="R117" s="16">
        <v>0</v>
      </c>
      <c r="S117" s="13">
        <f t="shared" ref="S117:S126" si="25">SUM(E117:R117)</f>
        <v>7</v>
      </c>
    </row>
    <row r="118" spans="1:19" ht="12.75" customHeight="1" x14ac:dyDescent="0.4">
      <c r="A118" s="20" t="s">
        <v>38</v>
      </c>
      <c r="B118" s="28"/>
      <c r="C118" s="29" t="s">
        <v>80</v>
      </c>
      <c r="D118" s="30"/>
      <c r="E118" s="16">
        <v>2</v>
      </c>
      <c r="F118" s="16">
        <v>5</v>
      </c>
      <c r="G118" s="16">
        <v>2</v>
      </c>
      <c r="H118" s="16">
        <v>3</v>
      </c>
      <c r="I118" s="16">
        <v>2</v>
      </c>
      <c r="J118" s="16">
        <v>16</v>
      </c>
      <c r="K118" s="16">
        <v>0</v>
      </c>
      <c r="L118" s="16">
        <v>10</v>
      </c>
      <c r="M118" s="16">
        <v>0</v>
      </c>
      <c r="N118" s="16">
        <v>0</v>
      </c>
      <c r="O118" s="16">
        <v>0</v>
      </c>
      <c r="P118" s="16">
        <v>0</v>
      </c>
      <c r="Q118" s="16">
        <v>0</v>
      </c>
      <c r="R118" s="16">
        <v>2</v>
      </c>
      <c r="S118" s="13">
        <f t="shared" si="25"/>
        <v>42</v>
      </c>
    </row>
    <row r="119" spans="1:19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1</v>
      </c>
      <c r="M119" s="16">
        <v>0</v>
      </c>
      <c r="N119" s="16">
        <v>0</v>
      </c>
      <c r="O119" s="16">
        <v>0</v>
      </c>
      <c r="P119" s="16">
        <v>0</v>
      </c>
      <c r="Q119" s="16">
        <v>0</v>
      </c>
      <c r="R119" s="16">
        <v>0</v>
      </c>
      <c r="S119" s="13">
        <f t="shared" si="25"/>
        <v>1</v>
      </c>
    </row>
    <row r="120" spans="1:19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1</v>
      </c>
      <c r="K120" s="16">
        <v>0</v>
      </c>
      <c r="L120" s="16">
        <v>0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0</v>
      </c>
      <c r="S120" s="13">
        <f t="shared" si="25"/>
        <v>1</v>
      </c>
    </row>
    <row r="121" spans="1:19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1</v>
      </c>
      <c r="P121" s="16">
        <v>0</v>
      </c>
      <c r="Q121" s="53">
        <v>0</v>
      </c>
      <c r="R121" s="53">
        <v>0</v>
      </c>
      <c r="S121" s="13">
        <f t="shared" si="25"/>
        <v>1</v>
      </c>
    </row>
    <row r="122" spans="1:19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0</v>
      </c>
      <c r="G122" s="53">
        <v>0</v>
      </c>
      <c r="H122" s="53">
        <v>0</v>
      </c>
      <c r="I122" s="53">
        <v>1</v>
      </c>
      <c r="J122" s="53">
        <v>1</v>
      </c>
      <c r="K122" s="53">
        <v>1</v>
      </c>
      <c r="L122" s="53">
        <v>1</v>
      </c>
      <c r="M122" s="53">
        <v>0</v>
      </c>
      <c r="N122" s="53">
        <v>1</v>
      </c>
      <c r="O122" s="53">
        <v>0</v>
      </c>
      <c r="P122" s="16">
        <v>0</v>
      </c>
      <c r="Q122" s="53">
        <v>0</v>
      </c>
      <c r="R122" s="53">
        <v>0</v>
      </c>
      <c r="S122" s="13">
        <f t="shared" si="25"/>
        <v>5</v>
      </c>
    </row>
    <row r="123" spans="1:19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41">
        <v>0</v>
      </c>
      <c r="S123" s="13">
        <f t="shared" si="25"/>
        <v>0</v>
      </c>
    </row>
    <row r="124" spans="1:19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13">
        <f t="shared" si="25"/>
        <v>0</v>
      </c>
    </row>
    <row r="125" spans="1:19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13">
        <f t="shared" si="25"/>
        <v>0</v>
      </c>
    </row>
    <row r="126" spans="1:19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13">
        <f t="shared" si="25"/>
        <v>0</v>
      </c>
    </row>
    <row r="127" spans="1:19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S127" si="26">SUM(E117:E126)</f>
        <v>3</v>
      </c>
      <c r="F127" s="13">
        <f t="shared" si="26"/>
        <v>6</v>
      </c>
      <c r="G127" s="13">
        <f t="shared" si="26"/>
        <v>2</v>
      </c>
      <c r="H127" s="13">
        <f t="shared" si="26"/>
        <v>4</v>
      </c>
      <c r="I127" s="13">
        <f t="shared" si="26"/>
        <v>3</v>
      </c>
      <c r="J127" s="13">
        <f t="shared" si="26"/>
        <v>18</v>
      </c>
      <c r="K127" s="13">
        <f t="shared" si="26"/>
        <v>2</v>
      </c>
      <c r="L127" s="13">
        <f t="shared" si="26"/>
        <v>13</v>
      </c>
      <c r="M127" s="13">
        <f t="shared" si="26"/>
        <v>1</v>
      </c>
      <c r="N127" s="13">
        <f t="shared" si="26"/>
        <v>1</v>
      </c>
      <c r="O127" s="13">
        <f t="shared" si="26"/>
        <v>2</v>
      </c>
      <c r="P127" s="13">
        <f t="shared" si="26"/>
        <v>0</v>
      </c>
      <c r="Q127" s="13">
        <f t="shared" si="26"/>
        <v>0</v>
      </c>
      <c r="R127" s="13">
        <f t="shared" si="26"/>
        <v>2</v>
      </c>
      <c r="S127" s="13">
        <f t="shared" si="26"/>
        <v>57</v>
      </c>
    </row>
    <row r="128" spans="1:19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</row>
    <row r="129" spans="1:19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3</v>
      </c>
      <c r="F129" s="16">
        <v>5</v>
      </c>
      <c r="G129" s="16">
        <v>1</v>
      </c>
      <c r="H129" s="16">
        <v>11</v>
      </c>
      <c r="I129" s="16">
        <v>1</v>
      </c>
      <c r="J129" s="16">
        <v>1</v>
      </c>
      <c r="K129" s="16">
        <v>0</v>
      </c>
      <c r="L129" s="16">
        <v>3</v>
      </c>
      <c r="M129" s="16">
        <v>2</v>
      </c>
      <c r="N129" s="16">
        <v>1</v>
      </c>
      <c r="O129" s="16">
        <v>0</v>
      </c>
      <c r="P129" s="16">
        <v>2</v>
      </c>
      <c r="Q129" s="16">
        <v>2</v>
      </c>
      <c r="R129" s="16">
        <v>1</v>
      </c>
      <c r="S129" s="13">
        <f t="shared" ref="S129:S138" si="27">SUM(E129:R129)</f>
        <v>33</v>
      </c>
    </row>
    <row r="130" spans="1:19" ht="12.75" customHeight="1" x14ac:dyDescent="0.4">
      <c r="A130" s="20" t="s">
        <v>38</v>
      </c>
      <c r="B130" s="28"/>
      <c r="C130" s="29" t="s">
        <v>88</v>
      </c>
      <c r="D130" s="30"/>
      <c r="E130" s="16">
        <v>2</v>
      </c>
      <c r="F130" s="16">
        <v>7</v>
      </c>
      <c r="G130" s="16">
        <v>2</v>
      </c>
      <c r="H130" s="16">
        <v>26</v>
      </c>
      <c r="I130" s="16">
        <v>27</v>
      </c>
      <c r="J130" s="16">
        <v>7</v>
      </c>
      <c r="K130" s="16">
        <v>0</v>
      </c>
      <c r="L130" s="16">
        <v>2</v>
      </c>
      <c r="M130" s="16">
        <v>2</v>
      </c>
      <c r="N130" s="16">
        <v>3</v>
      </c>
      <c r="O130" s="16">
        <v>0</v>
      </c>
      <c r="P130" s="16">
        <v>3</v>
      </c>
      <c r="Q130" s="16">
        <v>4</v>
      </c>
      <c r="R130" s="16">
        <v>2</v>
      </c>
      <c r="S130" s="13">
        <f t="shared" si="27"/>
        <v>87</v>
      </c>
    </row>
    <row r="131" spans="1:19" ht="12.75" customHeight="1" x14ac:dyDescent="0.4">
      <c r="A131" s="15"/>
      <c r="B131" s="28"/>
      <c r="C131" s="29" t="s">
        <v>89</v>
      </c>
      <c r="D131" s="30"/>
      <c r="E131" s="16">
        <v>1</v>
      </c>
      <c r="F131" s="16">
        <v>2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1</v>
      </c>
      <c r="O131" s="16">
        <v>1</v>
      </c>
      <c r="P131" s="16">
        <v>0</v>
      </c>
      <c r="Q131" s="16">
        <v>0</v>
      </c>
      <c r="R131" s="16">
        <v>0</v>
      </c>
      <c r="S131" s="13">
        <f t="shared" si="27"/>
        <v>5</v>
      </c>
    </row>
    <row r="132" spans="1:19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1</v>
      </c>
      <c r="G132" s="16">
        <v>1</v>
      </c>
      <c r="H132" s="16">
        <v>0</v>
      </c>
      <c r="I132" s="16">
        <v>1</v>
      </c>
      <c r="J132" s="16">
        <v>0</v>
      </c>
      <c r="K132" s="16">
        <v>1</v>
      </c>
      <c r="L132" s="16">
        <v>1</v>
      </c>
      <c r="M132" s="16">
        <v>1</v>
      </c>
      <c r="N132" s="16">
        <v>0</v>
      </c>
      <c r="O132" s="16">
        <v>0</v>
      </c>
      <c r="P132" s="16">
        <v>0</v>
      </c>
      <c r="Q132" s="16">
        <v>0</v>
      </c>
      <c r="R132" s="16">
        <v>0</v>
      </c>
      <c r="S132" s="13">
        <f t="shared" si="27"/>
        <v>6</v>
      </c>
    </row>
    <row r="133" spans="1:19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1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0</v>
      </c>
      <c r="Q133" s="16">
        <v>0</v>
      </c>
      <c r="R133" s="16">
        <v>0</v>
      </c>
      <c r="S133" s="13">
        <f t="shared" si="27"/>
        <v>1</v>
      </c>
    </row>
    <row r="134" spans="1:19" ht="12.75" customHeight="1" x14ac:dyDescent="0.4">
      <c r="A134" s="15"/>
      <c r="B134" s="28"/>
      <c r="C134" s="29" t="s">
        <v>92</v>
      </c>
      <c r="D134" s="30"/>
      <c r="E134" s="16">
        <v>0</v>
      </c>
      <c r="F134" s="16">
        <v>3</v>
      </c>
      <c r="G134" s="16">
        <v>2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0</v>
      </c>
      <c r="Q134" s="16">
        <v>0</v>
      </c>
      <c r="R134" s="16">
        <v>0</v>
      </c>
      <c r="S134" s="13">
        <f t="shared" si="27"/>
        <v>5</v>
      </c>
    </row>
    <row r="135" spans="1:19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1</v>
      </c>
      <c r="O135" s="16">
        <v>0</v>
      </c>
      <c r="P135" s="16">
        <v>0</v>
      </c>
      <c r="Q135" s="16">
        <v>0</v>
      </c>
      <c r="R135" s="16">
        <v>0</v>
      </c>
      <c r="S135" s="13">
        <f t="shared" si="27"/>
        <v>1</v>
      </c>
    </row>
    <row r="136" spans="1:19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13">
        <f t="shared" si="27"/>
        <v>0</v>
      </c>
    </row>
    <row r="137" spans="1:19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13">
        <f t="shared" si="27"/>
        <v>0</v>
      </c>
    </row>
    <row r="138" spans="1:19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13">
        <f t="shared" si="27"/>
        <v>0</v>
      </c>
    </row>
    <row r="139" spans="1:19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S139" si="28">SUM(E129:E138)</f>
        <v>6</v>
      </c>
      <c r="F139" s="13">
        <f t="shared" si="28"/>
        <v>19</v>
      </c>
      <c r="G139" s="13">
        <f t="shared" si="28"/>
        <v>6</v>
      </c>
      <c r="H139" s="13">
        <f t="shared" si="28"/>
        <v>37</v>
      </c>
      <c r="I139" s="13">
        <f t="shared" si="28"/>
        <v>29</v>
      </c>
      <c r="J139" s="13">
        <f t="shared" si="28"/>
        <v>8</v>
      </c>
      <c r="K139" s="13">
        <f t="shared" si="28"/>
        <v>1</v>
      </c>
      <c r="L139" s="13">
        <f t="shared" si="28"/>
        <v>6</v>
      </c>
      <c r="M139" s="13">
        <f t="shared" si="28"/>
        <v>5</v>
      </c>
      <c r="N139" s="13">
        <f t="shared" si="28"/>
        <v>6</v>
      </c>
      <c r="O139" s="13">
        <f t="shared" si="28"/>
        <v>1</v>
      </c>
      <c r="P139" s="13">
        <f t="shared" si="28"/>
        <v>5</v>
      </c>
      <c r="Q139" s="13">
        <f t="shared" si="28"/>
        <v>6</v>
      </c>
      <c r="R139" s="13">
        <f t="shared" si="28"/>
        <v>3</v>
      </c>
      <c r="S139" s="13">
        <f t="shared" si="28"/>
        <v>138</v>
      </c>
    </row>
    <row r="140" spans="1:19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</row>
    <row r="141" spans="1:19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3">
        <f t="shared" ref="S141:S150" si="29">SUM(E141:R141)</f>
        <v>0</v>
      </c>
    </row>
    <row r="142" spans="1:19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3">
        <f t="shared" si="29"/>
        <v>0</v>
      </c>
    </row>
    <row r="143" spans="1:19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13">
        <f t="shared" si="29"/>
        <v>0</v>
      </c>
    </row>
    <row r="144" spans="1:19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13">
        <f t="shared" si="29"/>
        <v>0</v>
      </c>
    </row>
    <row r="145" spans="1:19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13">
        <f t="shared" si="29"/>
        <v>0</v>
      </c>
    </row>
    <row r="146" spans="1:19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13">
        <f t="shared" si="29"/>
        <v>0</v>
      </c>
    </row>
    <row r="147" spans="1:19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13">
        <f t="shared" si="29"/>
        <v>0</v>
      </c>
    </row>
    <row r="148" spans="1:19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13">
        <f t="shared" si="29"/>
        <v>0</v>
      </c>
    </row>
    <row r="149" spans="1:19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13">
        <f t="shared" si="29"/>
        <v>0</v>
      </c>
    </row>
    <row r="150" spans="1:19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13">
        <f t="shared" si="29"/>
        <v>0</v>
      </c>
    </row>
    <row r="151" spans="1:19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S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0</v>
      </c>
      <c r="M151" s="13">
        <f t="shared" si="30"/>
        <v>0</v>
      </c>
      <c r="N151" s="13">
        <f t="shared" si="30"/>
        <v>0</v>
      </c>
      <c r="O151" s="13">
        <f t="shared" si="30"/>
        <v>0</v>
      </c>
      <c r="P151" s="13">
        <f t="shared" si="30"/>
        <v>0</v>
      </c>
      <c r="Q151" s="13">
        <f t="shared" si="30"/>
        <v>0</v>
      </c>
      <c r="R151" s="13">
        <f t="shared" si="30"/>
        <v>0</v>
      </c>
      <c r="S151" s="13">
        <f t="shared" si="30"/>
        <v>0</v>
      </c>
    </row>
    <row r="152" spans="1:19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13"/>
    </row>
    <row r="153" spans="1:19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1</v>
      </c>
      <c r="P153" s="16">
        <v>0</v>
      </c>
      <c r="Q153" s="16">
        <v>1</v>
      </c>
      <c r="R153" s="16">
        <v>0</v>
      </c>
      <c r="S153" s="13">
        <f t="shared" ref="S153:S162" si="31">SUM(E153:R153)</f>
        <v>2</v>
      </c>
    </row>
    <row r="154" spans="1:19" ht="12.75" customHeight="1" x14ac:dyDescent="0.4">
      <c r="A154" s="42" t="s">
        <v>38</v>
      </c>
      <c r="B154" s="28"/>
      <c r="C154" s="29" t="s">
        <v>99</v>
      </c>
      <c r="D154" s="30"/>
      <c r="E154" s="55">
        <v>1</v>
      </c>
      <c r="F154" s="16">
        <v>0</v>
      </c>
      <c r="G154" s="16">
        <v>2</v>
      </c>
      <c r="H154" s="16">
        <v>0</v>
      </c>
      <c r="I154" s="16">
        <v>0</v>
      </c>
      <c r="J154" s="16">
        <v>2</v>
      </c>
      <c r="K154" s="16">
        <v>1</v>
      </c>
      <c r="L154" s="16">
        <v>0</v>
      </c>
      <c r="M154" s="16">
        <v>1</v>
      </c>
      <c r="N154" s="16">
        <v>3</v>
      </c>
      <c r="O154" s="16">
        <v>7</v>
      </c>
      <c r="P154" s="16">
        <v>13</v>
      </c>
      <c r="Q154" s="16">
        <v>5</v>
      </c>
      <c r="R154" s="16">
        <v>0</v>
      </c>
      <c r="S154" s="13">
        <f t="shared" si="31"/>
        <v>35</v>
      </c>
    </row>
    <row r="155" spans="1:19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3">
        <f t="shared" si="31"/>
        <v>0</v>
      </c>
    </row>
    <row r="156" spans="1:19" ht="12.75" customHeight="1" x14ac:dyDescent="0.4">
      <c r="A156" s="15"/>
      <c r="B156" s="28"/>
      <c r="C156" s="29" t="s">
        <v>101</v>
      </c>
      <c r="D156" s="30"/>
      <c r="E156" s="55">
        <v>1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3">
        <f t="shared" si="31"/>
        <v>1</v>
      </c>
    </row>
    <row r="157" spans="1:19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1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3">
        <f t="shared" si="31"/>
        <v>1</v>
      </c>
    </row>
    <row r="158" spans="1:19" ht="12.75" customHeight="1" x14ac:dyDescent="0.4">
      <c r="A158" s="52"/>
      <c r="B158" s="28"/>
      <c r="C158" s="29" t="s">
        <v>103</v>
      </c>
      <c r="D158" s="30"/>
      <c r="E158" s="56">
        <v>0</v>
      </c>
      <c r="F158" s="53">
        <v>0</v>
      </c>
      <c r="G158" s="53">
        <v>0</v>
      </c>
      <c r="H158" s="53">
        <v>3</v>
      </c>
      <c r="I158" s="53">
        <v>1</v>
      </c>
      <c r="J158" s="53">
        <v>2</v>
      </c>
      <c r="K158" s="53">
        <v>0</v>
      </c>
      <c r="L158" s="53">
        <v>1</v>
      </c>
      <c r="M158" s="53">
        <v>1</v>
      </c>
      <c r="N158" s="53">
        <v>0</v>
      </c>
      <c r="O158" s="53">
        <v>0</v>
      </c>
      <c r="P158" s="16">
        <v>0</v>
      </c>
      <c r="Q158" s="53">
        <v>1</v>
      </c>
      <c r="R158" s="53">
        <v>0</v>
      </c>
      <c r="S158" s="13">
        <f t="shared" si="31"/>
        <v>9</v>
      </c>
    </row>
    <row r="159" spans="1:19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13">
        <f t="shared" si="31"/>
        <v>0</v>
      </c>
    </row>
    <row r="160" spans="1:19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13">
        <f t="shared" si="31"/>
        <v>0</v>
      </c>
    </row>
    <row r="161" spans="1:19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13">
        <f t="shared" si="31"/>
        <v>0</v>
      </c>
    </row>
    <row r="162" spans="1:19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13">
        <f t="shared" si="31"/>
        <v>0</v>
      </c>
    </row>
    <row r="163" spans="1:19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S163" si="32">SUM(E153:E162)</f>
        <v>2</v>
      </c>
      <c r="F163" s="13">
        <f t="shared" si="32"/>
        <v>0</v>
      </c>
      <c r="G163" s="13">
        <f t="shared" si="32"/>
        <v>2</v>
      </c>
      <c r="H163" s="13">
        <f t="shared" si="32"/>
        <v>3</v>
      </c>
      <c r="I163" s="13">
        <f t="shared" si="32"/>
        <v>1</v>
      </c>
      <c r="J163" s="13">
        <f t="shared" si="32"/>
        <v>4</v>
      </c>
      <c r="K163" s="13">
        <f t="shared" si="32"/>
        <v>2</v>
      </c>
      <c r="L163" s="13">
        <f t="shared" si="32"/>
        <v>1</v>
      </c>
      <c r="M163" s="13">
        <f t="shared" si="32"/>
        <v>2</v>
      </c>
      <c r="N163" s="13">
        <f t="shared" si="32"/>
        <v>3</v>
      </c>
      <c r="O163" s="13">
        <f t="shared" si="32"/>
        <v>8</v>
      </c>
      <c r="P163" s="13">
        <f t="shared" si="32"/>
        <v>13</v>
      </c>
      <c r="Q163" s="13">
        <f t="shared" si="32"/>
        <v>7</v>
      </c>
      <c r="R163" s="13">
        <f t="shared" si="32"/>
        <v>0</v>
      </c>
      <c r="S163" s="13">
        <f t="shared" si="32"/>
        <v>48</v>
      </c>
    </row>
    <row r="164" spans="1:19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</row>
    <row r="165" spans="1:19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0</v>
      </c>
      <c r="G165" s="16">
        <v>1</v>
      </c>
      <c r="H165" s="16">
        <v>1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1</v>
      </c>
      <c r="O165" s="16">
        <v>0</v>
      </c>
      <c r="P165" s="16">
        <v>0</v>
      </c>
      <c r="Q165" s="16">
        <v>0</v>
      </c>
      <c r="R165" s="16">
        <v>0</v>
      </c>
      <c r="S165" s="13">
        <f t="shared" ref="S165:S174" si="33">SUM(E165:R165)</f>
        <v>3</v>
      </c>
    </row>
    <row r="166" spans="1:19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13">
        <f t="shared" si="33"/>
        <v>0</v>
      </c>
    </row>
    <row r="167" spans="1:19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13">
        <f t="shared" si="33"/>
        <v>0</v>
      </c>
    </row>
    <row r="168" spans="1:19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13">
        <f t="shared" si="33"/>
        <v>0</v>
      </c>
    </row>
    <row r="169" spans="1:19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13">
        <f t="shared" si="33"/>
        <v>0</v>
      </c>
    </row>
    <row r="170" spans="1:19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13">
        <f t="shared" si="33"/>
        <v>0</v>
      </c>
    </row>
    <row r="171" spans="1:19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13">
        <f t="shared" si="33"/>
        <v>0</v>
      </c>
    </row>
    <row r="172" spans="1:19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13">
        <f t="shared" si="33"/>
        <v>0</v>
      </c>
    </row>
    <row r="173" spans="1:19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13">
        <f t="shared" si="33"/>
        <v>0</v>
      </c>
    </row>
    <row r="174" spans="1:19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13">
        <f t="shared" si="33"/>
        <v>0</v>
      </c>
    </row>
    <row r="175" spans="1:19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S175" si="34">SUM(E165:E174)</f>
        <v>0</v>
      </c>
      <c r="F175" s="13">
        <f t="shared" si="34"/>
        <v>0</v>
      </c>
      <c r="G175" s="13">
        <f t="shared" si="34"/>
        <v>1</v>
      </c>
      <c r="H175" s="13">
        <f t="shared" si="34"/>
        <v>1</v>
      </c>
      <c r="I175" s="13">
        <f t="shared" si="34"/>
        <v>0</v>
      </c>
      <c r="J175" s="13">
        <f t="shared" si="34"/>
        <v>0</v>
      </c>
      <c r="K175" s="13">
        <f t="shared" si="34"/>
        <v>0</v>
      </c>
      <c r="L175" s="13">
        <f t="shared" si="34"/>
        <v>0</v>
      </c>
      <c r="M175" s="13">
        <f t="shared" si="34"/>
        <v>0</v>
      </c>
      <c r="N175" s="13">
        <f t="shared" si="34"/>
        <v>1</v>
      </c>
      <c r="O175" s="13">
        <f t="shared" si="34"/>
        <v>0</v>
      </c>
      <c r="P175" s="13">
        <f t="shared" si="34"/>
        <v>0</v>
      </c>
      <c r="Q175" s="13">
        <f t="shared" si="34"/>
        <v>0</v>
      </c>
      <c r="R175" s="13">
        <f t="shared" si="34"/>
        <v>0</v>
      </c>
      <c r="S175" s="13">
        <f t="shared" si="34"/>
        <v>3</v>
      </c>
    </row>
    <row r="176" spans="1:19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</row>
    <row r="177" spans="1:19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2</v>
      </c>
      <c r="F177" s="16">
        <v>0</v>
      </c>
      <c r="G177" s="16">
        <v>0</v>
      </c>
      <c r="H177" s="16">
        <v>1</v>
      </c>
      <c r="I177" s="16">
        <v>1</v>
      </c>
      <c r="J177" s="16">
        <v>1</v>
      </c>
      <c r="K177" s="16">
        <v>0</v>
      </c>
      <c r="L177" s="16">
        <v>1</v>
      </c>
      <c r="M177" s="16">
        <v>1</v>
      </c>
      <c r="N177" s="16">
        <v>0</v>
      </c>
      <c r="O177" s="16">
        <v>0</v>
      </c>
      <c r="P177" s="16">
        <v>0</v>
      </c>
      <c r="Q177" s="16">
        <v>0</v>
      </c>
      <c r="R177" s="16">
        <v>1</v>
      </c>
      <c r="S177" s="13">
        <f t="shared" ref="S177:S186" si="35">SUM(E177:R177)</f>
        <v>8</v>
      </c>
    </row>
    <row r="178" spans="1:19" ht="12.75" customHeight="1" x14ac:dyDescent="0.4">
      <c r="A178" s="20" t="s">
        <v>38</v>
      </c>
      <c r="B178" s="28"/>
      <c r="C178" s="29" t="s">
        <v>109</v>
      </c>
      <c r="D178" s="30"/>
      <c r="E178" s="16">
        <v>0</v>
      </c>
      <c r="F178" s="16">
        <v>7</v>
      </c>
      <c r="G178" s="16">
        <v>0</v>
      </c>
      <c r="H178" s="16">
        <v>1</v>
      </c>
      <c r="I178" s="16">
        <v>0</v>
      </c>
      <c r="J178" s="16">
        <v>2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1</v>
      </c>
      <c r="Q178" s="16">
        <v>0</v>
      </c>
      <c r="R178" s="16">
        <v>0</v>
      </c>
      <c r="S178" s="13">
        <f t="shared" si="35"/>
        <v>11</v>
      </c>
    </row>
    <row r="179" spans="1:19" ht="12.75" customHeight="1" x14ac:dyDescent="0.4">
      <c r="A179" s="15"/>
      <c r="B179" s="28"/>
      <c r="C179" s="29" t="s">
        <v>110</v>
      </c>
      <c r="D179" s="30"/>
      <c r="E179" s="16">
        <v>1</v>
      </c>
      <c r="F179" s="16">
        <v>2</v>
      </c>
      <c r="G179" s="16">
        <v>0</v>
      </c>
      <c r="H179" s="16">
        <v>0</v>
      </c>
      <c r="I179" s="16">
        <v>1</v>
      </c>
      <c r="J179" s="16">
        <v>0</v>
      </c>
      <c r="K179" s="16">
        <v>1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3">
        <f t="shared" si="35"/>
        <v>5</v>
      </c>
    </row>
    <row r="180" spans="1:19" ht="12.75" customHeight="1" x14ac:dyDescent="0.4">
      <c r="A180" s="15"/>
      <c r="B180" s="28"/>
      <c r="C180" s="29" t="s">
        <v>111</v>
      </c>
      <c r="D180" s="30"/>
      <c r="E180" s="16">
        <v>1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3">
        <f t="shared" si="35"/>
        <v>1</v>
      </c>
    </row>
    <row r="181" spans="1:19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3">
        <f t="shared" si="35"/>
        <v>0</v>
      </c>
    </row>
    <row r="182" spans="1:19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1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1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3">
        <f t="shared" si="35"/>
        <v>2</v>
      </c>
    </row>
    <row r="183" spans="1:19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3">
        <f t="shared" si="35"/>
        <v>0</v>
      </c>
    </row>
    <row r="184" spans="1:19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13">
        <f t="shared" si="35"/>
        <v>0</v>
      </c>
    </row>
    <row r="185" spans="1:19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13">
        <f t="shared" si="35"/>
        <v>0</v>
      </c>
    </row>
    <row r="186" spans="1:19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13">
        <f t="shared" si="35"/>
        <v>0</v>
      </c>
    </row>
    <row r="187" spans="1:19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S187" si="36">SUM(E177:E186)</f>
        <v>4</v>
      </c>
      <c r="F187" s="13">
        <f t="shared" si="36"/>
        <v>10</v>
      </c>
      <c r="G187" s="13">
        <f t="shared" si="36"/>
        <v>0</v>
      </c>
      <c r="H187" s="13">
        <f t="shared" si="36"/>
        <v>2</v>
      </c>
      <c r="I187" s="13">
        <f t="shared" si="36"/>
        <v>2</v>
      </c>
      <c r="J187" s="13">
        <f t="shared" si="36"/>
        <v>3</v>
      </c>
      <c r="K187" s="13">
        <f t="shared" si="36"/>
        <v>1</v>
      </c>
      <c r="L187" s="13">
        <f t="shared" si="36"/>
        <v>1</v>
      </c>
      <c r="M187" s="13">
        <f t="shared" si="36"/>
        <v>2</v>
      </c>
      <c r="N187" s="13">
        <f t="shared" si="36"/>
        <v>0</v>
      </c>
      <c r="O187" s="13">
        <f t="shared" si="36"/>
        <v>0</v>
      </c>
      <c r="P187" s="13">
        <f t="shared" si="36"/>
        <v>1</v>
      </c>
      <c r="Q187" s="13">
        <f t="shared" si="36"/>
        <v>0</v>
      </c>
      <c r="R187" s="13">
        <f t="shared" si="36"/>
        <v>1</v>
      </c>
      <c r="S187" s="13">
        <f t="shared" si="36"/>
        <v>27</v>
      </c>
    </row>
    <row r="188" spans="1:19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S188" s="13"/>
    </row>
    <row r="189" spans="1:19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1</v>
      </c>
      <c r="O189" s="16">
        <v>0</v>
      </c>
      <c r="P189" s="16">
        <v>0</v>
      </c>
      <c r="Q189" s="16">
        <v>0</v>
      </c>
      <c r="R189" s="16">
        <v>0</v>
      </c>
      <c r="S189" s="13">
        <f t="shared" ref="S189:S198" si="37">SUM(E189:R189)</f>
        <v>1</v>
      </c>
    </row>
    <row r="190" spans="1:19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1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3">
        <f t="shared" si="37"/>
        <v>1</v>
      </c>
    </row>
    <row r="191" spans="1:19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1</v>
      </c>
      <c r="K191" s="16">
        <v>0</v>
      </c>
      <c r="L191" s="16">
        <v>1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3">
        <f t="shared" si="37"/>
        <v>2</v>
      </c>
    </row>
    <row r="192" spans="1:19" ht="12.75" customHeight="1" x14ac:dyDescent="0.4">
      <c r="A192" s="15"/>
      <c r="B192" s="28"/>
      <c r="C192" s="29" t="s">
        <v>119</v>
      </c>
      <c r="D192" s="30"/>
      <c r="E192" s="16">
        <v>1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3">
        <f t="shared" si="37"/>
        <v>1</v>
      </c>
    </row>
    <row r="193" spans="1:19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3">
        <f t="shared" si="37"/>
        <v>0</v>
      </c>
    </row>
    <row r="194" spans="1:19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3">
        <f t="shared" si="37"/>
        <v>0</v>
      </c>
    </row>
    <row r="195" spans="1:19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1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2</v>
      </c>
      <c r="R195" s="16">
        <v>0</v>
      </c>
      <c r="S195" s="13">
        <f t="shared" si="37"/>
        <v>3</v>
      </c>
    </row>
    <row r="196" spans="1:19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13">
        <f t="shared" si="37"/>
        <v>0</v>
      </c>
    </row>
    <row r="197" spans="1:19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13">
        <f t="shared" si="37"/>
        <v>0</v>
      </c>
    </row>
    <row r="198" spans="1:19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13">
        <f t="shared" si="37"/>
        <v>0</v>
      </c>
    </row>
    <row r="199" spans="1:19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S199" si="38">SUM(E189:E198)</f>
        <v>1</v>
      </c>
      <c r="F199" s="13">
        <f t="shared" si="38"/>
        <v>0</v>
      </c>
      <c r="G199" s="13">
        <f t="shared" si="38"/>
        <v>0</v>
      </c>
      <c r="H199" s="13">
        <f t="shared" si="38"/>
        <v>0</v>
      </c>
      <c r="I199" s="13">
        <f t="shared" si="38"/>
        <v>0</v>
      </c>
      <c r="J199" s="13">
        <f t="shared" si="38"/>
        <v>1</v>
      </c>
      <c r="K199" s="13">
        <f t="shared" si="38"/>
        <v>1</v>
      </c>
      <c r="L199" s="13">
        <f t="shared" si="38"/>
        <v>2</v>
      </c>
      <c r="M199" s="13">
        <f t="shared" si="38"/>
        <v>0</v>
      </c>
      <c r="N199" s="13">
        <f t="shared" si="38"/>
        <v>1</v>
      </c>
      <c r="O199" s="13">
        <f t="shared" si="38"/>
        <v>0</v>
      </c>
      <c r="P199" s="13">
        <f t="shared" si="38"/>
        <v>0</v>
      </c>
      <c r="Q199" s="13">
        <f t="shared" si="38"/>
        <v>2</v>
      </c>
      <c r="R199" s="13">
        <f t="shared" si="38"/>
        <v>0</v>
      </c>
      <c r="S199" s="13">
        <f t="shared" si="38"/>
        <v>8</v>
      </c>
    </row>
    <row r="200" spans="1:19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</row>
    <row r="201" spans="1:19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2</v>
      </c>
      <c r="F201" s="16">
        <v>4</v>
      </c>
      <c r="G201" s="16">
        <v>7</v>
      </c>
      <c r="H201" s="16">
        <v>3</v>
      </c>
      <c r="I201" s="16">
        <v>3</v>
      </c>
      <c r="J201" s="16">
        <v>2</v>
      </c>
      <c r="K201" s="16">
        <v>5</v>
      </c>
      <c r="L201" s="16">
        <v>11</v>
      </c>
      <c r="M201" s="16">
        <v>3</v>
      </c>
      <c r="N201" s="16">
        <v>3</v>
      </c>
      <c r="O201" s="16">
        <v>4</v>
      </c>
      <c r="P201" s="16">
        <v>8</v>
      </c>
      <c r="Q201" s="16">
        <v>4</v>
      </c>
      <c r="R201" s="16">
        <v>3</v>
      </c>
      <c r="S201" s="13">
        <f t="shared" ref="S201:S210" si="39">SUM(E201:R201)</f>
        <v>62</v>
      </c>
    </row>
    <row r="202" spans="1:19" ht="12.75" customHeight="1" x14ac:dyDescent="0.4">
      <c r="A202" s="20" t="s">
        <v>38</v>
      </c>
      <c r="B202" s="28"/>
      <c r="C202" s="29" t="s">
        <v>125</v>
      </c>
      <c r="D202" s="30"/>
      <c r="E202" s="16">
        <v>2</v>
      </c>
      <c r="F202" s="16">
        <v>3</v>
      </c>
      <c r="G202" s="16">
        <v>6</v>
      </c>
      <c r="H202" s="16">
        <v>26</v>
      </c>
      <c r="I202" s="16">
        <v>27</v>
      </c>
      <c r="J202" s="16">
        <v>14</v>
      </c>
      <c r="K202" s="16">
        <v>12</v>
      </c>
      <c r="L202" s="16">
        <v>42</v>
      </c>
      <c r="M202" s="16">
        <v>50</v>
      </c>
      <c r="N202" s="16">
        <v>23</v>
      </c>
      <c r="O202" s="16">
        <v>18</v>
      </c>
      <c r="P202" s="16">
        <v>24</v>
      </c>
      <c r="Q202" s="16">
        <v>43</v>
      </c>
      <c r="R202" s="16">
        <v>6</v>
      </c>
      <c r="S202" s="13">
        <f t="shared" si="39"/>
        <v>296</v>
      </c>
    </row>
    <row r="203" spans="1:19" ht="12.75" customHeight="1" x14ac:dyDescent="0.4">
      <c r="A203" s="15"/>
      <c r="B203" s="28"/>
      <c r="C203" s="29" t="s">
        <v>126</v>
      </c>
      <c r="D203" s="30"/>
      <c r="E203" s="16">
        <v>4</v>
      </c>
      <c r="F203" s="16">
        <v>0</v>
      </c>
      <c r="G203" s="16">
        <v>1</v>
      </c>
      <c r="H203" s="16">
        <v>2</v>
      </c>
      <c r="I203" s="16">
        <v>1</v>
      </c>
      <c r="J203" s="16">
        <v>0</v>
      </c>
      <c r="K203" s="16">
        <v>21</v>
      </c>
      <c r="L203" s="16">
        <v>18</v>
      </c>
      <c r="M203" s="16">
        <v>2</v>
      </c>
      <c r="N203" s="16">
        <v>6</v>
      </c>
      <c r="O203" s="16">
        <v>0</v>
      </c>
      <c r="P203" s="16">
        <v>35</v>
      </c>
      <c r="Q203" s="16">
        <v>0</v>
      </c>
      <c r="R203" s="16">
        <v>6</v>
      </c>
      <c r="S203" s="13">
        <f t="shared" si="39"/>
        <v>96</v>
      </c>
    </row>
    <row r="204" spans="1:19" ht="12.75" customHeight="1" x14ac:dyDescent="0.4">
      <c r="A204" s="15"/>
      <c r="B204" s="28"/>
      <c r="C204" s="29" t="s">
        <v>127</v>
      </c>
      <c r="D204" s="30"/>
      <c r="E204" s="16">
        <v>15</v>
      </c>
      <c r="F204" s="16">
        <v>10</v>
      </c>
      <c r="G204" s="16">
        <v>19</v>
      </c>
      <c r="H204" s="16">
        <v>4</v>
      </c>
      <c r="I204" s="16">
        <v>4</v>
      </c>
      <c r="J204" s="16">
        <v>9</v>
      </c>
      <c r="K204" s="16">
        <v>0</v>
      </c>
      <c r="L204" s="16">
        <v>1</v>
      </c>
      <c r="M204" s="16">
        <v>0</v>
      </c>
      <c r="N204" s="16">
        <v>0</v>
      </c>
      <c r="O204" s="16">
        <v>1</v>
      </c>
      <c r="P204" s="16">
        <v>1</v>
      </c>
      <c r="Q204" s="16">
        <v>12</v>
      </c>
      <c r="R204" s="16">
        <v>4</v>
      </c>
      <c r="S204" s="13">
        <f t="shared" si="39"/>
        <v>80</v>
      </c>
    </row>
    <row r="205" spans="1:19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>
        <v>1</v>
      </c>
      <c r="K205" s="16">
        <v>0</v>
      </c>
      <c r="L205" s="16">
        <v>1</v>
      </c>
      <c r="M205" s="16">
        <v>0</v>
      </c>
      <c r="N205" s="16">
        <v>0</v>
      </c>
      <c r="O205" s="16">
        <v>1</v>
      </c>
      <c r="P205" s="16">
        <v>1</v>
      </c>
      <c r="Q205" s="16">
        <v>0</v>
      </c>
      <c r="R205" s="16">
        <v>0</v>
      </c>
      <c r="S205" s="13">
        <f t="shared" si="39"/>
        <v>4</v>
      </c>
    </row>
    <row r="206" spans="1:19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1</v>
      </c>
      <c r="H206" s="16">
        <v>0</v>
      </c>
      <c r="I206" s="16">
        <v>0</v>
      </c>
      <c r="J206" s="16">
        <v>0</v>
      </c>
      <c r="K206" s="16">
        <v>0</v>
      </c>
      <c r="L206" s="16">
        <v>0</v>
      </c>
      <c r="M206" s="16">
        <v>0</v>
      </c>
      <c r="N206" s="16">
        <v>0</v>
      </c>
      <c r="O206" s="16">
        <v>1</v>
      </c>
      <c r="P206" s="16">
        <v>0</v>
      </c>
      <c r="Q206" s="16">
        <v>0</v>
      </c>
      <c r="R206" s="16">
        <v>0</v>
      </c>
      <c r="S206" s="13">
        <f t="shared" si="39"/>
        <v>2</v>
      </c>
    </row>
    <row r="207" spans="1:19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2</v>
      </c>
      <c r="G207" s="16">
        <v>1</v>
      </c>
      <c r="H207" s="16">
        <v>0</v>
      </c>
      <c r="I207" s="16">
        <v>1</v>
      </c>
      <c r="J207" s="16">
        <v>0</v>
      </c>
      <c r="K207" s="16">
        <v>2</v>
      </c>
      <c r="L207" s="16">
        <v>0</v>
      </c>
      <c r="M207" s="16">
        <v>0</v>
      </c>
      <c r="N207" s="16">
        <v>0</v>
      </c>
      <c r="O207" s="16">
        <v>0</v>
      </c>
      <c r="P207" s="16">
        <v>0</v>
      </c>
      <c r="Q207" s="16">
        <v>0</v>
      </c>
      <c r="R207" s="16">
        <v>0</v>
      </c>
      <c r="S207" s="13">
        <f t="shared" si="39"/>
        <v>6</v>
      </c>
    </row>
    <row r="208" spans="1:19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13">
        <f t="shared" si="39"/>
        <v>0</v>
      </c>
    </row>
    <row r="209" spans="1:19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13">
        <f t="shared" si="39"/>
        <v>0</v>
      </c>
    </row>
    <row r="210" spans="1:19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13">
        <f t="shared" si="39"/>
        <v>0</v>
      </c>
    </row>
    <row r="211" spans="1:19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S211" si="40">SUM(E201:E210)</f>
        <v>23</v>
      </c>
      <c r="F211" s="13">
        <f t="shared" si="40"/>
        <v>19</v>
      </c>
      <c r="G211" s="13">
        <f t="shared" si="40"/>
        <v>35</v>
      </c>
      <c r="H211" s="13">
        <f t="shared" si="40"/>
        <v>35</v>
      </c>
      <c r="I211" s="13">
        <f t="shared" si="40"/>
        <v>36</v>
      </c>
      <c r="J211" s="13">
        <f t="shared" si="40"/>
        <v>26</v>
      </c>
      <c r="K211" s="13">
        <f t="shared" si="40"/>
        <v>40</v>
      </c>
      <c r="L211" s="13">
        <f t="shared" si="40"/>
        <v>73</v>
      </c>
      <c r="M211" s="13">
        <f t="shared" si="40"/>
        <v>55</v>
      </c>
      <c r="N211" s="13">
        <f t="shared" si="40"/>
        <v>32</v>
      </c>
      <c r="O211" s="13">
        <f t="shared" si="40"/>
        <v>25</v>
      </c>
      <c r="P211" s="13">
        <f t="shared" si="40"/>
        <v>69</v>
      </c>
      <c r="Q211" s="13">
        <f t="shared" si="40"/>
        <v>59</v>
      </c>
      <c r="R211" s="13">
        <f t="shared" si="40"/>
        <v>19</v>
      </c>
      <c r="S211" s="13">
        <f t="shared" si="40"/>
        <v>546</v>
      </c>
    </row>
    <row r="212" spans="1:19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</row>
    <row r="213" spans="1:19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1</v>
      </c>
      <c r="F213" s="16">
        <v>2</v>
      </c>
      <c r="G213" s="16">
        <v>1</v>
      </c>
      <c r="H213" s="16">
        <v>0</v>
      </c>
      <c r="I213" s="16">
        <v>3</v>
      </c>
      <c r="J213" s="16">
        <v>2</v>
      </c>
      <c r="K213" s="16">
        <v>0</v>
      </c>
      <c r="L213" s="16">
        <v>0</v>
      </c>
      <c r="M213" s="16">
        <v>1</v>
      </c>
      <c r="N213" s="16">
        <v>2</v>
      </c>
      <c r="O213" s="16">
        <v>0</v>
      </c>
      <c r="P213" s="16">
        <v>3</v>
      </c>
      <c r="Q213" s="16">
        <v>4</v>
      </c>
      <c r="R213" s="16">
        <v>1</v>
      </c>
      <c r="S213" s="13">
        <f t="shared" ref="S213:S222" si="41">SUM(E213:R213)</f>
        <v>20</v>
      </c>
    </row>
    <row r="214" spans="1:19" ht="12.75" customHeight="1" x14ac:dyDescent="0.4">
      <c r="A214" s="20" t="s">
        <v>38</v>
      </c>
      <c r="B214" s="27"/>
      <c r="C214" s="29" t="s">
        <v>133</v>
      </c>
      <c r="D214" s="40"/>
      <c r="E214" s="16">
        <v>2</v>
      </c>
      <c r="F214" s="16">
        <v>0</v>
      </c>
      <c r="G214" s="16">
        <v>0</v>
      </c>
      <c r="H214" s="16">
        <v>0</v>
      </c>
      <c r="I214" s="16">
        <v>0</v>
      </c>
      <c r="J214" s="16">
        <v>1</v>
      </c>
      <c r="K214" s="16">
        <v>0</v>
      </c>
      <c r="L214" s="16">
        <v>0</v>
      </c>
      <c r="M214" s="16">
        <v>0</v>
      </c>
      <c r="N214" s="16">
        <v>1</v>
      </c>
      <c r="O214" s="16">
        <v>0</v>
      </c>
      <c r="P214" s="16">
        <v>0</v>
      </c>
      <c r="Q214" s="16">
        <v>1</v>
      </c>
      <c r="R214" s="16">
        <v>1</v>
      </c>
      <c r="S214" s="13">
        <f t="shared" si="41"/>
        <v>6</v>
      </c>
    </row>
    <row r="215" spans="1:19" ht="12.75" customHeight="1" x14ac:dyDescent="0.4">
      <c r="A215" s="15"/>
      <c r="B215" s="27"/>
      <c r="C215" s="29" t="s">
        <v>134</v>
      </c>
      <c r="D215" s="40"/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>
        <v>0</v>
      </c>
      <c r="K215" s="16">
        <v>0</v>
      </c>
      <c r="L215" s="16">
        <v>0</v>
      </c>
      <c r="M215" s="16">
        <v>0</v>
      </c>
      <c r="N215" s="16">
        <v>0</v>
      </c>
      <c r="O215" s="16">
        <v>0</v>
      </c>
      <c r="P215" s="16">
        <v>0</v>
      </c>
      <c r="Q215" s="16">
        <v>0</v>
      </c>
      <c r="R215" s="16">
        <v>1</v>
      </c>
      <c r="S215" s="13">
        <f t="shared" si="41"/>
        <v>1</v>
      </c>
    </row>
    <row r="216" spans="1:19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1</v>
      </c>
      <c r="G216" s="16">
        <v>1</v>
      </c>
      <c r="H216" s="16">
        <v>0</v>
      </c>
      <c r="I216" s="16">
        <v>0</v>
      </c>
      <c r="J216" s="16">
        <v>1</v>
      </c>
      <c r="K216" s="16">
        <v>1</v>
      </c>
      <c r="L216" s="16">
        <v>0</v>
      </c>
      <c r="M216" s="16">
        <v>0</v>
      </c>
      <c r="N216" s="16">
        <v>0</v>
      </c>
      <c r="O216" s="16">
        <v>0</v>
      </c>
      <c r="P216" s="16">
        <v>0</v>
      </c>
      <c r="Q216" s="16">
        <v>0</v>
      </c>
      <c r="R216" s="16">
        <v>0</v>
      </c>
      <c r="S216" s="13">
        <f t="shared" si="41"/>
        <v>4</v>
      </c>
    </row>
    <row r="217" spans="1:19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1</v>
      </c>
      <c r="I217" s="16">
        <v>0</v>
      </c>
      <c r="J217" s="16">
        <v>0</v>
      </c>
      <c r="K217" s="16">
        <v>0</v>
      </c>
      <c r="L217" s="16">
        <v>0</v>
      </c>
      <c r="M217" s="16">
        <v>0</v>
      </c>
      <c r="N217" s="16">
        <v>0</v>
      </c>
      <c r="O217" s="16">
        <v>0</v>
      </c>
      <c r="P217" s="16">
        <v>0</v>
      </c>
      <c r="Q217" s="16">
        <v>0</v>
      </c>
      <c r="R217" s="16">
        <v>0</v>
      </c>
      <c r="S217" s="13">
        <f t="shared" si="41"/>
        <v>1</v>
      </c>
    </row>
    <row r="218" spans="1:19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0</v>
      </c>
      <c r="G218" s="16">
        <v>0</v>
      </c>
      <c r="H218" s="16">
        <v>0</v>
      </c>
      <c r="I218" s="16">
        <v>0</v>
      </c>
      <c r="J218" s="16">
        <v>0</v>
      </c>
      <c r="K218" s="16">
        <v>0</v>
      </c>
      <c r="L218" s="16">
        <v>1</v>
      </c>
      <c r="M218" s="16">
        <v>0</v>
      </c>
      <c r="N218" s="16">
        <v>0</v>
      </c>
      <c r="O218" s="16">
        <v>0</v>
      </c>
      <c r="P218" s="16">
        <v>0</v>
      </c>
      <c r="Q218" s="16">
        <v>0</v>
      </c>
      <c r="R218" s="16">
        <v>0</v>
      </c>
      <c r="S218" s="13">
        <f t="shared" si="41"/>
        <v>1</v>
      </c>
    </row>
    <row r="219" spans="1:19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13">
        <f t="shared" si="41"/>
        <v>0</v>
      </c>
    </row>
    <row r="220" spans="1:19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13">
        <f t="shared" si="41"/>
        <v>0</v>
      </c>
    </row>
    <row r="221" spans="1:19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13">
        <f t="shared" si="41"/>
        <v>0</v>
      </c>
    </row>
    <row r="222" spans="1:19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13">
        <f t="shared" si="41"/>
        <v>0</v>
      </c>
    </row>
    <row r="223" spans="1:19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S223" si="42">SUM(E213:E222)</f>
        <v>3</v>
      </c>
      <c r="F223" s="13">
        <f t="shared" si="42"/>
        <v>3</v>
      </c>
      <c r="G223" s="13">
        <f t="shared" si="42"/>
        <v>2</v>
      </c>
      <c r="H223" s="13">
        <f t="shared" si="42"/>
        <v>1</v>
      </c>
      <c r="I223" s="13">
        <f t="shared" si="42"/>
        <v>3</v>
      </c>
      <c r="J223" s="13">
        <f t="shared" si="42"/>
        <v>4</v>
      </c>
      <c r="K223" s="13">
        <f t="shared" si="42"/>
        <v>1</v>
      </c>
      <c r="L223" s="13">
        <f t="shared" si="42"/>
        <v>1</v>
      </c>
      <c r="M223" s="13">
        <f t="shared" si="42"/>
        <v>1</v>
      </c>
      <c r="N223" s="13">
        <f t="shared" si="42"/>
        <v>3</v>
      </c>
      <c r="O223" s="13">
        <f t="shared" si="42"/>
        <v>0</v>
      </c>
      <c r="P223" s="13">
        <f t="shared" si="42"/>
        <v>3</v>
      </c>
      <c r="Q223" s="13">
        <f t="shared" si="42"/>
        <v>5</v>
      </c>
      <c r="R223" s="13">
        <f t="shared" si="42"/>
        <v>3</v>
      </c>
      <c r="S223" s="13">
        <f t="shared" si="42"/>
        <v>33</v>
      </c>
    </row>
    <row r="224" spans="1:19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</row>
    <row r="225" spans="1:19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0</v>
      </c>
      <c r="H225" s="16">
        <v>0</v>
      </c>
      <c r="I225" s="16">
        <v>0</v>
      </c>
      <c r="J225" s="16">
        <v>1</v>
      </c>
      <c r="K225" s="16">
        <v>0</v>
      </c>
      <c r="L225" s="16">
        <v>0</v>
      </c>
      <c r="M225" s="16">
        <v>1</v>
      </c>
      <c r="N225" s="16">
        <v>0</v>
      </c>
      <c r="O225" s="16">
        <v>0</v>
      </c>
      <c r="P225" s="16">
        <v>0</v>
      </c>
      <c r="Q225" s="16">
        <v>0</v>
      </c>
      <c r="R225" s="16">
        <v>0</v>
      </c>
      <c r="S225" s="13">
        <f t="shared" ref="S225:S234" si="43">SUM(E225:R225)</f>
        <v>2</v>
      </c>
    </row>
    <row r="226" spans="1:19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1</v>
      </c>
      <c r="J226" s="16">
        <v>1</v>
      </c>
      <c r="K226" s="16">
        <v>0</v>
      </c>
      <c r="L226" s="16">
        <v>0</v>
      </c>
      <c r="M226" s="16">
        <v>4</v>
      </c>
      <c r="N226" s="16">
        <v>0</v>
      </c>
      <c r="O226" s="16">
        <v>0</v>
      </c>
      <c r="P226" s="16">
        <v>0</v>
      </c>
      <c r="Q226" s="16">
        <v>0</v>
      </c>
      <c r="R226" s="16">
        <v>0</v>
      </c>
      <c r="S226" s="13">
        <f t="shared" si="43"/>
        <v>6</v>
      </c>
    </row>
    <row r="227" spans="1:19" ht="12.75" customHeight="1" x14ac:dyDescent="0.4">
      <c r="A227" s="15"/>
      <c r="B227" s="27"/>
      <c r="C227" s="29" t="s">
        <v>141</v>
      </c>
      <c r="D227" s="40"/>
      <c r="E227" s="16">
        <v>2</v>
      </c>
      <c r="F227" s="16">
        <v>0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6">
        <v>2</v>
      </c>
      <c r="M227" s="16">
        <v>0</v>
      </c>
      <c r="N227" s="16">
        <v>1</v>
      </c>
      <c r="O227" s="16">
        <v>0</v>
      </c>
      <c r="P227" s="16">
        <v>0</v>
      </c>
      <c r="Q227" s="16">
        <v>0</v>
      </c>
      <c r="R227" s="16">
        <v>0</v>
      </c>
      <c r="S227" s="13">
        <f t="shared" si="43"/>
        <v>5</v>
      </c>
    </row>
    <row r="228" spans="1:19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3">
        <f t="shared" si="43"/>
        <v>0</v>
      </c>
    </row>
    <row r="229" spans="1:19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1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3">
        <f t="shared" si="43"/>
        <v>1</v>
      </c>
    </row>
    <row r="230" spans="1:19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1</v>
      </c>
      <c r="G230" s="16">
        <v>0</v>
      </c>
      <c r="H230" s="16">
        <v>0</v>
      </c>
      <c r="I230" s="16">
        <v>0</v>
      </c>
      <c r="J230" s="16">
        <v>0</v>
      </c>
      <c r="K230" s="16">
        <v>0</v>
      </c>
      <c r="L230" s="16">
        <v>0</v>
      </c>
      <c r="M230" s="16">
        <v>0</v>
      </c>
      <c r="N230" s="16">
        <v>0</v>
      </c>
      <c r="O230" s="16">
        <v>0</v>
      </c>
      <c r="P230" s="16">
        <v>0</v>
      </c>
      <c r="Q230" s="16">
        <v>0</v>
      </c>
      <c r="R230" s="16">
        <v>0</v>
      </c>
      <c r="S230" s="13">
        <f t="shared" si="43"/>
        <v>1</v>
      </c>
    </row>
    <row r="231" spans="1:19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2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0</v>
      </c>
      <c r="R231" s="16">
        <v>0</v>
      </c>
      <c r="S231" s="13">
        <f t="shared" si="43"/>
        <v>2</v>
      </c>
    </row>
    <row r="232" spans="1:19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13">
        <f t="shared" si="43"/>
        <v>0</v>
      </c>
    </row>
    <row r="233" spans="1:19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13">
        <f t="shared" si="43"/>
        <v>0</v>
      </c>
    </row>
    <row r="234" spans="1:19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13">
        <f t="shared" si="43"/>
        <v>0</v>
      </c>
    </row>
    <row r="235" spans="1:19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S235" si="44">SUM(E225:E234)</f>
        <v>2</v>
      </c>
      <c r="F235" s="13">
        <f t="shared" si="44"/>
        <v>1</v>
      </c>
      <c r="G235" s="13">
        <f t="shared" si="44"/>
        <v>0</v>
      </c>
      <c r="H235" s="13">
        <f t="shared" si="44"/>
        <v>0</v>
      </c>
      <c r="I235" s="13">
        <f t="shared" si="44"/>
        <v>3</v>
      </c>
      <c r="J235" s="13">
        <f t="shared" si="44"/>
        <v>2</v>
      </c>
      <c r="K235" s="13">
        <f t="shared" si="44"/>
        <v>1</v>
      </c>
      <c r="L235" s="13">
        <f t="shared" si="44"/>
        <v>2</v>
      </c>
      <c r="M235" s="13">
        <f t="shared" si="44"/>
        <v>5</v>
      </c>
      <c r="N235" s="13">
        <f t="shared" si="44"/>
        <v>1</v>
      </c>
      <c r="O235" s="13">
        <f t="shared" si="44"/>
        <v>0</v>
      </c>
      <c r="P235" s="13">
        <f t="shared" si="44"/>
        <v>0</v>
      </c>
      <c r="Q235" s="13">
        <f t="shared" si="44"/>
        <v>0</v>
      </c>
      <c r="R235" s="13">
        <f t="shared" si="44"/>
        <v>0</v>
      </c>
      <c r="S235" s="13">
        <f t="shared" si="44"/>
        <v>17</v>
      </c>
    </row>
    <row r="236" spans="1:19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</row>
    <row r="237" spans="1:19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0</v>
      </c>
      <c r="G237" s="16">
        <v>1</v>
      </c>
      <c r="H237" s="16">
        <v>2</v>
      </c>
      <c r="I237" s="16">
        <v>2</v>
      </c>
      <c r="J237" s="16">
        <v>0</v>
      </c>
      <c r="K237" s="16">
        <v>0</v>
      </c>
      <c r="L237" s="16">
        <v>0</v>
      </c>
      <c r="M237" s="16">
        <v>0</v>
      </c>
      <c r="N237" s="16">
        <v>0</v>
      </c>
      <c r="O237" s="16">
        <v>0</v>
      </c>
      <c r="P237" s="16">
        <v>0</v>
      </c>
      <c r="Q237" s="16">
        <v>1</v>
      </c>
      <c r="R237" s="16">
        <v>0</v>
      </c>
      <c r="S237" s="13">
        <f t="shared" ref="S237:S246" si="45">SUM(E237:R237)</f>
        <v>6</v>
      </c>
    </row>
    <row r="238" spans="1:19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0</v>
      </c>
      <c r="G238" s="16">
        <v>1</v>
      </c>
      <c r="H238" s="16">
        <v>0</v>
      </c>
      <c r="I238" s="16">
        <v>0</v>
      </c>
      <c r="J238" s="16">
        <v>0</v>
      </c>
      <c r="K238" s="16">
        <v>0</v>
      </c>
      <c r="L238" s="16">
        <v>0</v>
      </c>
      <c r="M238" s="16">
        <v>0</v>
      </c>
      <c r="N238" s="16">
        <v>0</v>
      </c>
      <c r="O238" s="16">
        <v>0</v>
      </c>
      <c r="P238" s="16">
        <v>0</v>
      </c>
      <c r="Q238" s="16">
        <v>1</v>
      </c>
      <c r="R238" s="16">
        <v>0</v>
      </c>
      <c r="S238" s="13">
        <f t="shared" si="45"/>
        <v>2</v>
      </c>
    </row>
    <row r="239" spans="1:19" ht="12.75" customHeight="1" x14ac:dyDescent="0.4">
      <c r="A239" s="15"/>
      <c r="B239" s="28"/>
      <c r="C239" s="29" t="s">
        <v>149</v>
      </c>
      <c r="D239" s="30"/>
      <c r="E239" s="16">
        <v>1</v>
      </c>
      <c r="F239" s="16">
        <v>0</v>
      </c>
      <c r="G239" s="16">
        <v>2</v>
      </c>
      <c r="H239" s="16">
        <v>0</v>
      </c>
      <c r="I239" s="16">
        <v>0</v>
      </c>
      <c r="J239" s="16">
        <v>0</v>
      </c>
      <c r="K239" s="16">
        <v>0</v>
      </c>
      <c r="L239" s="16">
        <v>0</v>
      </c>
      <c r="M239" s="16">
        <v>0</v>
      </c>
      <c r="N239" s="16">
        <v>0</v>
      </c>
      <c r="O239" s="16">
        <v>0</v>
      </c>
      <c r="P239" s="16">
        <v>0</v>
      </c>
      <c r="Q239" s="16">
        <v>0</v>
      </c>
      <c r="R239" s="16">
        <v>0</v>
      </c>
      <c r="S239" s="13">
        <f t="shared" si="45"/>
        <v>3</v>
      </c>
    </row>
    <row r="240" spans="1:19" ht="12.75" customHeight="1" x14ac:dyDescent="0.4">
      <c r="A240" s="15"/>
      <c r="B240" s="28"/>
      <c r="C240" s="29" t="s">
        <v>150</v>
      </c>
      <c r="D240" s="30"/>
      <c r="E240" s="16">
        <v>1</v>
      </c>
      <c r="F240" s="16">
        <v>0</v>
      </c>
      <c r="G240" s="16">
        <v>6</v>
      </c>
      <c r="H240" s="16">
        <v>10</v>
      </c>
      <c r="I240" s="16">
        <v>6</v>
      </c>
      <c r="J240" s="16">
        <v>1</v>
      </c>
      <c r="K240" s="16">
        <v>2</v>
      </c>
      <c r="L240" s="16">
        <v>0</v>
      </c>
      <c r="M240" s="16">
        <v>2</v>
      </c>
      <c r="N240" s="16">
        <v>2</v>
      </c>
      <c r="O240" s="16">
        <v>0</v>
      </c>
      <c r="P240" s="16">
        <v>0</v>
      </c>
      <c r="Q240" s="16">
        <v>0</v>
      </c>
      <c r="R240" s="16">
        <v>0</v>
      </c>
      <c r="S240" s="13">
        <f t="shared" si="45"/>
        <v>30</v>
      </c>
    </row>
    <row r="241" spans="1:19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6">
        <v>0</v>
      </c>
      <c r="N241" s="16">
        <v>0</v>
      </c>
      <c r="O241" s="16">
        <v>0</v>
      </c>
      <c r="P241" s="16">
        <v>0</v>
      </c>
      <c r="Q241" s="16">
        <v>0</v>
      </c>
      <c r="R241" s="16">
        <v>0</v>
      </c>
      <c r="S241" s="13">
        <f t="shared" si="45"/>
        <v>0</v>
      </c>
    </row>
    <row r="242" spans="1:19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1</v>
      </c>
      <c r="N242" s="16">
        <v>0</v>
      </c>
      <c r="O242" s="16">
        <v>0</v>
      </c>
      <c r="P242" s="16">
        <v>0</v>
      </c>
      <c r="Q242" s="16">
        <v>0</v>
      </c>
      <c r="R242" s="16">
        <v>0</v>
      </c>
      <c r="S242" s="13">
        <f t="shared" si="45"/>
        <v>1</v>
      </c>
    </row>
    <row r="243" spans="1:19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1</v>
      </c>
      <c r="P243" s="16">
        <v>0</v>
      </c>
      <c r="Q243" s="16">
        <v>0</v>
      </c>
      <c r="R243" s="16">
        <v>0</v>
      </c>
      <c r="S243" s="13">
        <f t="shared" si="45"/>
        <v>1</v>
      </c>
    </row>
    <row r="244" spans="1:19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13">
        <f t="shared" si="45"/>
        <v>0</v>
      </c>
    </row>
    <row r="245" spans="1:19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13">
        <f t="shared" si="45"/>
        <v>0</v>
      </c>
    </row>
    <row r="246" spans="1:19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13">
        <f t="shared" si="45"/>
        <v>0</v>
      </c>
    </row>
    <row r="247" spans="1:19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S247" si="46">SUM(E237:E246)</f>
        <v>2</v>
      </c>
      <c r="F247" s="13">
        <f t="shared" si="46"/>
        <v>0</v>
      </c>
      <c r="G247" s="13">
        <f t="shared" si="46"/>
        <v>10</v>
      </c>
      <c r="H247" s="13">
        <f t="shared" si="46"/>
        <v>12</v>
      </c>
      <c r="I247" s="13">
        <f t="shared" si="46"/>
        <v>8</v>
      </c>
      <c r="J247" s="13">
        <f t="shared" si="46"/>
        <v>1</v>
      </c>
      <c r="K247" s="13">
        <f t="shared" si="46"/>
        <v>2</v>
      </c>
      <c r="L247" s="13">
        <f t="shared" si="46"/>
        <v>0</v>
      </c>
      <c r="M247" s="13">
        <f t="shared" si="46"/>
        <v>3</v>
      </c>
      <c r="N247" s="13">
        <f t="shared" si="46"/>
        <v>2</v>
      </c>
      <c r="O247" s="13">
        <f t="shared" si="46"/>
        <v>1</v>
      </c>
      <c r="P247" s="13">
        <f t="shared" si="46"/>
        <v>0</v>
      </c>
      <c r="Q247" s="13">
        <f t="shared" si="46"/>
        <v>2</v>
      </c>
      <c r="R247" s="13">
        <f t="shared" si="46"/>
        <v>0</v>
      </c>
      <c r="S247" s="13">
        <f t="shared" si="46"/>
        <v>43</v>
      </c>
    </row>
    <row r="248" spans="1:19" ht="12.75" customHeight="1" x14ac:dyDescent="0.4">
      <c r="A248" s="63"/>
      <c r="B248" s="61"/>
      <c r="C248" s="61"/>
      <c r="D248" s="61"/>
      <c r="E248" s="62"/>
    </row>
    <row r="249" spans="1:19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0</v>
      </c>
      <c r="H249" s="16">
        <v>0</v>
      </c>
      <c r="I249" s="16">
        <v>1</v>
      </c>
      <c r="J249" s="16">
        <v>0</v>
      </c>
      <c r="K249" s="16">
        <v>0</v>
      </c>
      <c r="L249" s="16">
        <v>1</v>
      </c>
      <c r="M249" s="16">
        <v>0</v>
      </c>
      <c r="N249" s="16">
        <v>0</v>
      </c>
      <c r="O249" s="16">
        <v>0</v>
      </c>
      <c r="P249" s="16">
        <v>0</v>
      </c>
      <c r="Q249" s="16">
        <v>1</v>
      </c>
      <c r="R249" s="16">
        <v>0</v>
      </c>
      <c r="S249" s="13">
        <f t="shared" ref="S249:S258" si="47">SUM(E249:R249)</f>
        <v>3</v>
      </c>
    </row>
    <row r="250" spans="1:19" ht="12.75" customHeight="1" x14ac:dyDescent="0.4">
      <c r="A250" s="20" t="s">
        <v>38</v>
      </c>
      <c r="B250" s="27"/>
      <c r="C250" s="29" t="s">
        <v>156</v>
      </c>
      <c r="D250" s="40"/>
      <c r="E250" s="16">
        <v>2</v>
      </c>
      <c r="F250" s="16">
        <v>3</v>
      </c>
      <c r="G250" s="16">
        <v>1</v>
      </c>
      <c r="H250" s="16">
        <v>1</v>
      </c>
      <c r="I250" s="16">
        <v>2</v>
      </c>
      <c r="J250" s="16">
        <v>1</v>
      </c>
      <c r="K250" s="16">
        <v>0</v>
      </c>
      <c r="L250" s="16">
        <v>0</v>
      </c>
      <c r="M250" s="16">
        <v>0</v>
      </c>
      <c r="N250" s="16">
        <v>0</v>
      </c>
      <c r="O250" s="16">
        <v>0</v>
      </c>
      <c r="P250" s="16">
        <v>0</v>
      </c>
      <c r="Q250" s="16">
        <v>1</v>
      </c>
      <c r="R250" s="16">
        <v>0</v>
      </c>
      <c r="S250" s="13">
        <f t="shared" si="47"/>
        <v>11</v>
      </c>
    </row>
    <row r="251" spans="1:19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3">
        <f t="shared" si="47"/>
        <v>0</v>
      </c>
    </row>
    <row r="252" spans="1:19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3">
        <f t="shared" si="47"/>
        <v>0</v>
      </c>
    </row>
    <row r="253" spans="1:19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1</v>
      </c>
      <c r="M253" s="16">
        <v>0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3">
        <f t="shared" si="47"/>
        <v>1</v>
      </c>
    </row>
    <row r="254" spans="1:19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13">
        <f t="shared" si="47"/>
        <v>0</v>
      </c>
    </row>
    <row r="255" spans="1:19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13">
        <f t="shared" si="47"/>
        <v>0</v>
      </c>
    </row>
    <row r="256" spans="1:19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13">
        <f t="shared" si="47"/>
        <v>0</v>
      </c>
    </row>
    <row r="257" spans="1:19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13">
        <f t="shared" si="47"/>
        <v>0</v>
      </c>
    </row>
    <row r="258" spans="1:19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13">
        <f t="shared" si="47"/>
        <v>0</v>
      </c>
    </row>
    <row r="259" spans="1:19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S259" si="48">SUM(E249:E258)</f>
        <v>2</v>
      </c>
      <c r="F259" s="13">
        <f t="shared" si="48"/>
        <v>3</v>
      </c>
      <c r="G259" s="13">
        <f t="shared" si="48"/>
        <v>1</v>
      </c>
      <c r="H259" s="13">
        <f t="shared" si="48"/>
        <v>1</v>
      </c>
      <c r="I259" s="13">
        <f t="shared" si="48"/>
        <v>3</v>
      </c>
      <c r="J259" s="13">
        <f t="shared" si="48"/>
        <v>1</v>
      </c>
      <c r="K259" s="13">
        <f t="shared" si="48"/>
        <v>0</v>
      </c>
      <c r="L259" s="13">
        <f t="shared" si="48"/>
        <v>2</v>
      </c>
      <c r="M259" s="13">
        <f t="shared" si="48"/>
        <v>0</v>
      </c>
      <c r="N259" s="13">
        <f t="shared" si="48"/>
        <v>0</v>
      </c>
      <c r="O259" s="13">
        <f t="shared" si="48"/>
        <v>0</v>
      </c>
      <c r="P259" s="13">
        <f t="shared" si="48"/>
        <v>0</v>
      </c>
      <c r="Q259" s="13">
        <f t="shared" si="48"/>
        <v>2</v>
      </c>
      <c r="R259" s="13">
        <f t="shared" si="48"/>
        <v>0</v>
      </c>
      <c r="S259" s="13">
        <f t="shared" si="48"/>
        <v>15</v>
      </c>
    </row>
    <row r="260" spans="1:19" ht="12.75" customHeight="1" x14ac:dyDescent="0.4"/>
    <row r="261" spans="1:19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13"/>
    </row>
    <row r="262" spans="1:19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R262" si="49">E55+E67+E79+E91+E103+E115+E127+E139+E151+E163+E175+E187+E199+E211+E223+E235+E247+E259</f>
        <v>134</v>
      </c>
      <c r="F262" s="16">
        <f t="shared" si="49"/>
        <v>122</v>
      </c>
      <c r="G262" s="16">
        <f t="shared" si="49"/>
        <v>144</v>
      </c>
      <c r="H262" s="16">
        <f t="shared" si="49"/>
        <v>196</v>
      </c>
      <c r="I262" s="16">
        <f t="shared" si="49"/>
        <v>187</v>
      </c>
      <c r="J262" s="16">
        <f t="shared" si="49"/>
        <v>191</v>
      </c>
      <c r="K262" s="16">
        <f t="shared" si="49"/>
        <v>204</v>
      </c>
      <c r="L262" s="16">
        <f t="shared" si="49"/>
        <v>211</v>
      </c>
      <c r="M262" s="16">
        <f t="shared" si="49"/>
        <v>155</v>
      </c>
      <c r="N262" s="16">
        <f t="shared" si="49"/>
        <v>124</v>
      </c>
      <c r="O262" s="16">
        <f t="shared" si="49"/>
        <v>94</v>
      </c>
      <c r="P262" s="16">
        <f t="shared" si="49"/>
        <v>178</v>
      </c>
      <c r="Q262" s="16">
        <f t="shared" si="49"/>
        <v>191</v>
      </c>
      <c r="R262" s="16">
        <f t="shared" si="49"/>
        <v>171</v>
      </c>
      <c r="S262" s="13">
        <f t="shared" ref="S262:S264" si="50">SUM(E262:R262)</f>
        <v>2302</v>
      </c>
    </row>
    <row r="263" spans="1:19" ht="12.75" customHeight="1" x14ac:dyDescent="0.4">
      <c r="A263" s="22"/>
      <c r="B263" s="45" t="s">
        <v>164</v>
      </c>
      <c r="C263" s="71" t="s">
        <v>165</v>
      </c>
      <c r="D263" s="62"/>
      <c r="E263" s="16">
        <v>17</v>
      </c>
      <c r="F263" s="16">
        <v>11</v>
      </c>
      <c r="G263" s="16">
        <v>17</v>
      </c>
      <c r="H263" s="16">
        <v>15</v>
      </c>
      <c r="I263" s="16">
        <v>13</v>
      </c>
      <c r="J263" s="16">
        <v>8</v>
      </c>
      <c r="K263" s="16">
        <v>18</v>
      </c>
      <c r="L263" s="16">
        <v>18</v>
      </c>
      <c r="M263" s="16">
        <v>11</v>
      </c>
      <c r="N263" s="16">
        <v>24</v>
      </c>
      <c r="O263" s="16">
        <v>12</v>
      </c>
      <c r="P263" s="16">
        <v>20</v>
      </c>
      <c r="Q263" s="16">
        <v>22</v>
      </c>
      <c r="R263" s="16">
        <v>20</v>
      </c>
      <c r="S263" s="13">
        <f t="shared" si="50"/>
        <v>226</v>
      </c>
    </row>
    <row r="264" spans="1:19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R264" si="51">SUM(E262:E263)</f>
        <v>151</v>
      </c>
      <c r="F264" s="13">
        <f t="shared" si="51"/>
        <v>133</v>
      </c>
      <c r="G264" s="13">
        <f t="shared" si="51"/>
        <v>161</v>
      </c>
      <c r="H264" s="13">
        <f t="shared" si="51"/>
        <v>211</v>
      </c>
      <c r="I264" s="13">
        <f t="shared" si="51"/>
        <v>200</v>
      </c>
      <c r="J264" s="13">
        <f t="shared" si="51"/>
        <v>199</v>
      </c>
      <c r="K264" s="13">
        <f t="shared" si="51"/>
        <v>222</v>
      </c>
      <c r="L264" s="13">
        <f t="shared" si="51"/>
        <v>229</v>
      </c>
      <c r="M264" s="13">
        <f t="shared" si="51"/>
        <v>166</v>
      </c>
      <c r="N264" s="13">
        <f t="shared" si="51"/>
        <v>148</v>
      </c>
      <c r="O264" s="13">
        <f t="shared" si="51"/>
        <v>106</v>
      </c>
      <c r="P264" s="13">
        <f t="shared" si="51"/>
        <v>198</v>
      </c>
      <c r="Q264" s="13">
        <f t="shared" si="51"/>
        <v>213</v>
      </c>
      <c r="R264" s="13">
        <f t="shared" si="51"/>
        <v>191</v>
      </c>
      <c r="S264" s="13">
        <f t="shared" si="50"/>
        <v>2528</v>
      </c>
    </row>
    <row r="265" spans="1:19" ht="12.75" customHeight="1" x14ac:dyDescent="0.4"/>
    <row r="266" spans="1:19" ht="12.75" customHeight="1" x14ac:dyDescent="0.4"/>
    <row r="267" spans="1:19" ht="12.75" customHeight="1" x14ac:dyDescent="0.4"/>
    <row r="268" spans="1:19" ht="12.75" customHeight="1" x14ac:dyDescent="0.4"/>
    <row r="269" spans="1:19" ht="12.75" customHeight="1" x14ac:dyDescent="0.4"/>
    <row r="270" spans="1:19" ht="12.75" customHeight="1" x14ac:dyDescent="0.4"/>
    <row r="271" spans="1:19" ht="12.75" customHeight="1" x14ac:dyDescent="0.4"/>
    <row r="272" spans="1:19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R12"/>
    <mergeCell ref="S12:S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3:R13">
    <cfRule type="expression" dxfId="400" priority="29">
      <formula>E30=E264</formula>
    </cfRule>
  </conditionalFormatting>
  <conditionalFormatting sqref="E14:R15">
    <cfRule type="containsBlanks" dxfId="399" priority="1">
      <formula>LEN(TRIM(E14))=0</formula>
    </cfRule>
  </conditionalFormatting>
  <conditionalFormatting sqref="E19:R20">
    <cfRule type="containsBlanks" dxfId="398" priority="2">
      <formula>LEN(TRIM(E19))=0</formula>
    </cfRule>
  </conditionalFormatting>
  <conditionalFormatting sqref="E22:R23 E25:R26 E33:R33 E35:R35 E39:R40">
    <cfRule type="containsBlanks" dxfId="397" priority="3">
      <formula>LEN(TRIM(E22))=0</formula>
    </cfRule>
  </conditionalFormatting>
  <conditionalFormatting sqref="E30:R30">
    <cfRule type="expression" dxfId="396" priority="4">
      <formula>E30&lt;&gt;E47</formula>
    </cfRule>
    <cfRule type="expression" dxfId="395" priority="5">
      <formula>E30&lt;&gt;E34</formula>
    </cfRule>
  </conditionalFormatting>
  <conditionalFormatting sqref="E34:R34">
    <cfRule type="expression" dxfId="394" priority="6">
      <formula>E30&lt;&gt;E34</formula>
    </cfRule>
    <cfRule type="expression" dxfId="393" priority="7">
      <formula>E30=E34</formula>
    </cfRule>
    <cfRule type="expression" dxfId="392" priority="8">
      <formula>E34&lt;&gt;E30</formula>
    </cfRule>
    <cfRule type="expression" dxfId="391" priority="9">
      <formula>E34&lt;&gt;E64</formula>
    </cfRule>
  </conditionalFormatting>
  <conditionalFormatting sqref="E45:R54">
    <cfRule type="containsBlanks" dxfId="390" priority="10">
      <formula>LEN(TRIM(E45))=0</formula>
    </cfRule>
  </conditionalFormatting>
  <conditionalFormatting sqref="E57:R66">
    <cfRule type="containsBlanks" dxfId="389" priority="11">
      <formula>LEN(TRIM(E57))=0</formula>
    </cfRule>
  </conditionalFormatting>
  <conditionalFormatting sqref="E69:R78">
    <cfRule type="containsBlanks" dxfId="388" priority="12">
      <formula>LEN(TRIM(E69))=0</formula>
    </cfRule>
  </conditionalFormatting>
  <conditionalFormatting sqref="E81:R90">
    <cfRule type="containsBlanks" dxfId="387" priority="13">
      <formula>LEN(TRIM(E81))=0</formula>
    </cfRule>
  </conditionalFormatting>
  <conditionalFormatting sqref="E93:R102">
    <cfRule type="containsBlanks" dxfId="386" priority="14">
      <formula>LEN(TRIM(E93))=0</formula>
    </cfRule>
  </conditionalFormatting>
  <conditionalFormatting sqref="E105:R114">
    <cfRule type="containsBlanks" dxfId="385" priority="15">
      <formula>LEN(TRIM(E105))=0</formula>
    </cfRule>
  </conditionalFormatting>
  <conditionalFormatting sqref="E117:R126">
    <cfRule type="containsBlanks" dxfId="384" priority="16">
      <formula>LEN(TRIM(E117))=0</formula>
    </cfRule>
  </conditionalFormatting>
  <conditionalFormatting sqref="E129:R138">
    <cfRule type="containsBlanks" dxfId="383" priority="17">
      <formula>LEN(TRIM(E129))=0</formula>
    </cfRule>
  </conditionalFormatting>
  <conditionalFormatting sqref="E141:R150">
    <cfRule type="containsBlanks" dxfId="382" priority="18">
      <formula>LEN(TRIM(E141))=0</formula>
    </cfRule>
  </conditionalFormatting>
  <conditionalFormatting sqref="E153:R162">
    <cfRule type="containsBlanks" dxfId="381" priority="19">
      <formula>LEN(TRIM(E153))=0</formula>
    </cfRule>
  </conditionalFormatting>
  <conditionalFormatting sqref="E165:R174">
    <cfRule type="containsBlanks" dxfId="380" priority="20">
      <formula>LEN(TRIM(E165))=0</formula>
    </cfRule>
  </conditionalFormatting>
  <conditionalFormatting sqref="E177:R186">
    <cfRule type="containsBlanks" dxfId="379" priority="21">
      <formula>LEN(TRIM(E177))=0</formula>
    </cfRule>
  </conditionalFormatting>
  <conditionalFormatting sqref="E189:R198">
    <cfRule type="containsBlanks" dxfId="378" priority="22">
      <formula>LEN(TRIM(E189))=0</formula>
    </cfRule>
  </conditionalFormatting>
  <conditionalFormatting sqref="E201:R210">
    <cfRule type="containsBlanks" dxfId="377" priority="23">
      <formula>LEN(TRIM(E201))=0</formula>
    </cfRule>
  </conditionalFormatting>
  <conditionalFormatting sqref="E213:R222">
    <cfRule type="containsBlanks" dxfId="376" priority="24">
      <formula>LEN(TRIM(E213))=0</formula>
    </cfRule>
  </conditionalFormatting>
  <conditionalFormatting sqref="E225:R234">
    <cfRule type="containsBlanks" dxfId="375" priority="25">
      <formula>LEN(TRIM(E225))=0</formula>
    </cfRule>
  </conditionalFormatting>
  <conditionalFormatting sqref="E237:R246">
    <cfRule type="containsBlanks" dxfId="374" priority="26">
      <formula>LEN(TRIM(E237))=0</formula>
    </cfRule>
  </conditionalFormatting>
  <conditionalFormatting sqref="E249:R258">
    <cfRule type="containsBlanks" dxfId="373" priority="27">
      <formula>LEN(TRIM(E249))=0</formula>
    </cfRule>
  </conditionalFormatting>
  <conditionalFormatting sqref="E262:R263">
    <cfRule type="containsBlanks" dxfId="372" priority="28">
      <formula>LEN(TRIM(E262))=0</formula>
    </cfRule>
  </conditionalFormatting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</sheetPr>
  <dimension ref="A1:AB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27" width="8.7109375" customWidth="1"/>
    <col min="28" max="28" width="13.28515625" customWidth="1"/>
  </cols>
  <sheetData>
    <row r="1" spans="1:28" ht="12.75" customHeight="1" x14ac:dyDescent="0.4"/>
    <row r="2" spans="1:28" ht="12.75" customHeight="1" x14ac:dyDescent="0.4">
      <c r="C2" s="8" t="s">
        <v>0</v>
      </c>
      <c r="D2" s="8" t="s">
        <v>1</v>
      </c>
    </row>
    <row r="3" spans="1:28" ht="12.75" customHeight="1" x14ac:dyDescent="0.4">
      <c r="C3" s="8" t="s">
        <v>2</v>
      </c>
      <c r="D3" s="8" t="s">
        <v>1</v>
      </c>
    </row>
    <row r="4" spans="1:28" ht="12.75" customHeight="1" x14ac:dyDescent="0.4">
      <c r="C4" s="8" t="s">
        <v>3</v>
      </c>
      <c r="D4" s="8" t="s">
        <v>4</v>
      </c>
    </row>
    <row r="5" spans="1:28" ht="12.75" customHeight="1" x14ac:dyDescent="0.4">
      <c r="C5" s="8"/>
      <c r="D5" s="8"/>
    </row>
    <row r="6" spans="1:28" ht="12.75" customHeight="1" x14ac:dyDescent="0.4">
      <c r="C6" s="8"/>
      <c r="D6" s="8"/>
    </row>
    <row r="7" spans="1:28" ht="12.75" customHeight="1" x14ac:dyDescent="0.4">
      <c r="C7" s="8"/>
      <c r="D7" s="8"/>
    </row>
    <row r="8" spans="1:28" ht="12.75" customHeight="1" x14ac:dyDescent="0.4">
      <c r="C8" s="8"/>
      <c r="D8" s="8"/>
    </row>
    <row r="9" spans="1:28" ht="12.75" customHeight="1" x14ac:dyDescent="0.4">
      <c r="C9" s="8" t="s">
        <v>168</v>
      </c>
      <c r="D9" s="8" t="s">
        <v>204</v>
      </c>
    </row>
    <row r="10" spans="1:28" ht="12.75" customHeight="1" x14ac:dyDescent="0.4"/>
    <row r="11" spans="1:28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28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90" t="s">
        <v>7</v>
      </c>
    </row>
    <row r="13" spans="1:28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13" t="s">
        <v>188</v>
      </c>
      <c r="V13" s="13" t="s">
        <v>189</v>
      </c>
      <c r="W13" s="13" t="s">
        <v>190</v>
      </c>
      <c r="X13" s="13" t="s">
        <v>191</v>
      </c>
      <c r="Y13" s="13" t="s">
        <v>192</v>
      </c>
      <c r="Z13" s="13" t="s">
        <v>193</v>
      </c>
      <c r="AA13" s="13" t="s">
        <v>194</v>
      </c>
      <c r="AB13" s="80"/>
    </row>
    <row r="14" spans="1:28" ht="12.75" customHeight="1" x14ac:dyDescent="0.4">
      <c r="A14" s="15"/>
      <c r="B14" s="75" t="s">
        <v>10</v>
      </c>
      <c r="C14" s="66"/>
      <c r="D14" s="16" t="s">
        <v>11</v>
      </c>
      <c r="E14" s="16">
        <v>135</v>
      </c>
      <c r="F14" s="16">
        <v>141</v>
      </c>
      <c r="G14" s="16">
        <v>138</v>
      </c>
      <c r="H14" s="16">
        <v>132</v>
      </c>
      <c r="I14" s="16">
        <v>126</v>
      </c>
      <c r="J14" s="16">
        <v>129</v>
      </c>
      <c r="K14" s="16">
        <v>113</v>
      </c>
      <c r="L14" s="16">
        <v>147</v>
      </c>
      <c r="M14" s="16">
        <v>142</v>
      </c>
      <c r="N14" s="16">
        <v>130</v>
      </c>
      <c r="O14" s="16">
        <v>120</v>
      </c>
      <c r="P14" s="16">
        <v>129</v>
      </c>
      <c r="Q14" s="16">
        <v>140</v>
      </c>
      <c r="R14" s="16">
        <v>142</v>
      </c>
      <c r="S14" s="16">
        <v>142</v>
      </c>
      <c r="T14" s="16">
        <v>142</v>
      </c>
      <c r="U14" s="16">
        <v>144</v>
      </c>
      <c r="V14" s="16">
        <v>125</v>
      </c>
      <c r="W14" s="16">
        <v>141</v>
      </c>
      <c r="X14" s="16">
        <v>135</v>
      </c>
      <c r="Y14" s="16">
        <v>138</v>
      </c>
      <c r="Z14" s="16">
        <v>130</v>
      </c>
      <c r="AA14" s="16">
        <v>101</v>
      </c>
      <c r="AB14" s="13">
        <f t="shared" ref="AB14:AB16" si="0">SUM(E14:AA14)</f>
        <v>3062</v>
      </c>
    </row>
    <row r="15" spans="1:28" ht="12.75" customHeight="1" x14ac:dyDescent="0.4">
      <c r="A15" s="15"/>
      <c r="B15" s="76"/>
      <c r="C15" s="77"/>
      <c r="D15" s="16" t="s">
        <v>12</v>
      </c>
      <c r="E15" s="16">
        <v>146</v>
      </c>
      <c r="F15" s="16">
        <v>143</v>
      </c>
      <c r="G15" s="16">
        <v>145</v>
      </c>
      <c r="H15" s="16">
        <v>150</v>
      </c>
      <c r="I15" s="16">
        <v>142</v>
      </c>
      <c r="J15" s="16">
        <v>132</v>
      </c>
      <c r="K15" s="16">
        <v>117</v>
      </c>
      <c r="L15" s="16">
        <v>131</v>
      </c>
      <c r="M15" s="16">
        <v>136</v>
      </c>
      <c r="N15" s="16">
        <v>137</v>
      </c>
      <c r="O15" s="16">
        <v>134</v>
      </c>
      <c r="P15" s="16">
        <v>138</v>
      </c>
      <c r="Q15" s="16">
        <v>140</v>
      </c>
      <c r="R15" s="16">
        <v>148</v>
      </c>
      <c r="S15" s="16">
        <v>146</v>
      </c>
      <c r="T15" s="16">
        <v>144</v>
      </c>
      <c r="U15" s="16">
        <v>134</v>
      </c>
      <c r="V15" s="16">
        <v>115</v>
      </c>
      <c r="W15" s="16">
        <v>142</v>
      </c>
      <c r="X15" s="16">
        <v>124</v>
      </c>
      <c r="Y15" s="16">
        <v>136</v>
      </c>
      <c r="Z15" s="16">
        <v>140</v>
      </c>
      <c r="AA15" s="16">
        <v>106</v>
      </c>
      <c r="AB15" s="13">
        <f t="shared" si="0"/>
        <v>3126</v>
      </c>
    </row>
    <row r="16" spans="1:28" ht="12.75" customHeight="1" x14ac:dyDescent="0.4">
      <c r="A16" s="18"/>
      <c r="B16" s="73"/>
      <c r="C16" s="69"/>
      <c r="D16" s="13" t="s">
        <v>13</v>
      </c>
      <c r="E16" s="13">
        <f t="shared" ref="E16:AA16" si="1">SUM(E14:E15)</f>
        <v>281</v>
      </c>
      <c r="F16" s="13">
        <f t="shared" si="1"/>
        <v>284</v>
      </c>
      <c r="G16" s="13">
        <f t="shared" si="1"/>
        <v>283</v>
      </c>
      <c r="H16" s="13">
        <f t="shared" si="1"/>
        <v>282</v>
      </c>
      <c r="I16" s="13">
        <f t="shared" si="1"/>
        <v>268</v>
      </c>
      <c r="J16" s="13">
        <f t="shared" si="1"/>
        <v>261</v>
      </c>
      <c r="K16" s="13">
        <f t="shared" si="1"/>
        <v>230</v>
      </c>
      <c r="L16" s="13">
        <f t="shared" si="1"/>
        <v>278</v>
      </c>
      <c r="M16" s="13">
        <f t="shared" si="1"/>
        <v>278</v>
      </c>
      <c r="N16" s="13">
        <f t="shared" si="1"/>
        <v>267</v>
      </c>
      <c r="O16" s="13">
        <f t="shared" si="1"/>
        <v>254</v>
      </c>
      <c r="P16" s="13">
        <f t="shared" si="1"/>
        <v>267</v>
      </c>
      <c r="Q16" s="13">
        <f t="shared" si="1"/>
        <v>280</v>
      </c>
      <c r="R16" s="13">
        <f t="shared" si="1"/>
        <v>290</v>
      </c>
      <c r="S16" s="13">
        <f t="shared" si="1"/>
        <v>288</v>
      </c>
      <c r="T16" s="13">
        <f t="shared" si="1"/>
        <v>286</v>
      </c>
      <c r="U16" s="13">
        <f t="shared" si="1"/>
        <v>278</v>
      </c>
      <c r="V16" s="13">
        <f t="shared" si="1"/>
        <v>240</v>
      </c>
      <c r="W16" s="13">
        <f t="shared" si="1"/>
        <v>283</v>
      </c>
      <c r="X16" s="13">
        <f t="shared" si="1"/>
        <v>259</v>
      </c>
      <c r="Y16" s="13">
        <f t="shared" si="1"/>
        <v>274</v>
      </c>
      <c r="Z16" s="13">
        <f t="shared" si="1"/>
        <v>270</v>
      </c>
      <c r="AA16" s="13">
        <f t="shared" si="1"/>
        <v>207</v>
      </c>
      <c r="AB16" s="13">
        <f t="shared" si="0"/>
        <v>6188</v>
      </c>
    </row>
    <row r="17" spans="1:28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9"/>
    </row>
    <row r="18" spans="1:28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9"/>
    </row>
    <row r="19" spans="1:28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95</v>
      </c>
      <c r="F19" s="16">
        <v>118</v>
      </c>
      <c r="G19" s="16">
        <v>103</v>
      </c>
      <c r="H19" s="16">
        <v>100</v>
      </c>
      <c r="I19" s="16">
        <v>97</v>
      </c>
      <c r="J19" s="16">
        <v>96</v>
      </c>
      <c r="K19" s="16">
        <v>90</v>
      </c>
      <c r="L19" s="16">
        <v>86</v>
      </c>
      <c r="M19" s="16">
        <v>85</v>
      </c>
      <c r="N19" s="16">
        <v>98</v>
      </c>
      <c r="O19" s="16">
        <v>80</v>
      </c>
      <c r="P19" s="16">
        <v>79</v>
      </c>
      <c r="Q19" s="16">
        <v>96</v>
      </c>
      <c r="R19" s="16">
        <v>105</v>
      </c>
      <c r="S19" s="16">
        <v>97</v>
      </c>
      <c r="T19" s="16">
        <v>97</v>
      </c>
      <c r="U19" s="16">
        <v>99</v>
      </c>
      <c r="V19" s="16">
        <v>105</v>
      </c>
      <c r="W19" s="16">
        <v>97</v>
      </c>
      <c r="X19" s="16">
        <v>91</v>
      </c>
      <c r="Y19" s="16">
        <v>95</v>
      </c>
      <c r="Z19" s="16">
        <v>94</v>
      </c>
      <c r="AA19" s="16">
        <v>67</v>
      </c>
      <c r="AB19" s="13">
        <f t="shared" ref="AB19:AB30" si="2">SUM(E19:AA19)</f>
        <v>2170</v>
      </c>
    </row>
    <row r="20" spans="1:28" ht="12.75" customHeight="1" x14ac:dyDescent="0.4">
      <c r="A20" s="21"/>
      <c r="B20" s="77"/>
      <c r="C20" s="79"/>
      <c r="D20" s="16" t="s">
        <v>12</v>
      </c>
      <c r="E20" s="16">
        <v>117</v>
      </c>
      <c r="F20" s="16">
        <v>122</v>
      </c>
      <c r="G20" s="16">
        <v>106</v>
      </c>
      <c r="H20" s="16">
        <v>122</v>
      </c>
      <c r="I20" s="16">
        <v>114</v>
      </c>
      <c r="J20" s="16">
        <v>113</v>
      </c>
      <c r="K20" s="16">
        <v>93</v>
      </c>
      <c r="L20" s="16">
        <v>124</v>
      </c>
      <c r="M20" s="16">
        <v>96</v>
      </c>
      <c r="N20" s="16">
        <v>102</v>
      </c>
      <c r="O20" s="16">
        <v>98</v>
      </c>
      <c r="P20" s="16">
        <v>108</v>
      </c>
      <c r="Q20" s="16">
        <v>114</v>
      </c>
      <c r="R20" s="16">
        <v>122</v>
      </c>
      <c r="S20" s="16">
        <v>116</v>
      </c>
      <c r="T20" s="16">
        <v>108</v>
      </c>
      <c r="U20" s="16">
        <v>98</v>
      </c>
      <c r="V20" s="16">
        <v>96</v>
      </c>
      <c r="W20" s="16">
        <v>117</v>
      </c>
      <c r="X20" s="16">
        <v>96</v>
      </c>
      <c r="Y20" s="16">
        <v>106</v>
      </c>
      <c r="Z20" s="16">
        <v>103</v>
      </c>
      <c r="AA20" s="16">
        <v>80</v>
      </c>
      <c r="AB20" s="13">
        <f t="shared" si="2"/>
        <v>2471</v>
      </c>
    </row>
    <row r="21" spans="1:28" ht="12.75" customHeight="1" x14ac:dyDescent="0.4">
      <c r="A21" s="22"/>
      <c r="B21" s="69"/>
      <c r="C21" s="80"/>
      <c r="D21" s="13" t="s">
        <v>13</v>
      </c>
      <c r="E21" s="13">
        <f t="shared" ref="E21:AA21" si="3">SUM(E19:E20)</f>
        <v>212</v>
      </c>
      <c r="F21" s="13">
        <f t="shared" si="3"/>
        <v>240</v>
      </c>
      <c r="G21" s="13">
        <f t="shared" si="3"/>
        <v>209</v>
      </c>
      <c r="H21" s="13">
        <f t="shared" si="3"/>
        <v>222</v>
      </c>
      <c r="I21" s="13">
        <f t="shared" si="3"/>
        <v>211</v>
      </c>
      <c r="J21" s="13">
        <f t="shared" si="3"/>
        <v>209</v>
      </c>
      <c r="K21" s="13">
        <f t="shared" si="3"/>
        <v>183</v>
      </c>
      <c r="L21" s="13">
        <f t="shared" si="3"/>
        <v>210</v>
      </c>
      <c r="M21" s="13">
        <f t="shared" si="3"/>
        <v>181</v>
      </c>
      <c r="N21" s="13">
        <f t="shared" si="3"/>
        <v>200</v>
      </c>
      <c r="O21" s="13">
        <f t="shared" si="3"/>
        <v>178</v>
      </c>
      <c r="P21" s="13">
        <f t="shared" si="3"/>
        <v>187</v>
      </c>
      <c r="Q21" s="13">
        <f t="shared" si="3"/>
        <v>210</v>
      </c>
      <c r="R21" s="13">
        <f t="shared" si="3"/>
        <v>227</v>
      </c>
      <c r="S21" s="13">
        <f t="shared" si="3"/>
        <v>213</v>
      </c>
      <c r="T21" s="13">
        <f t="shared" si="3"/>
        <v>205</v>
      </c>
      <c r="U21" s="13">
        <f t="shared" si="3"/>
        <v>197</v>
      </c>
      <c r="V21" s="13">
        <f t="shared" si="3"/>
        <v>201</v>
      </c>
      <c r="W21" s="13">
        <f t="shared" si="3"/>
        <v>214</v>
      </c>
      <c r="X21" s="13">
        <f t="shared" si="3"/>
        <v>187</v>
      </c>
      <c r="Y21" s="13">
        <f t="shared" si="3"/>
        <v>201</v>
      </c>
      <c r="Z21" s="13">
        <f t="shared" si="3"/>
        <v>197</v>
      </c>
      <c r="AA21" s="13">
        <f t="shared" si="3"/>
        <v>147</v>
      </c>
      <c r="AB21" s="13">
        <f t="shared" si="2"/>
        <v>4641</v>
      </c>
    </row>
    <row r="22" spans="1:28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2</v>
      </c>
      <c r="N22" s="16">
        <v>0</v>
      </c>
      <c r="O22" s="16">
        <v>0</v>
      </c>
      <c r="P22" s="16">
        <v>1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3">
        <f t="shared" si="2"/>
        <v>3</v>
      </c>
    </row>
    <row r="23" spans="1:28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2</v>
      </c>
      <c r="J23" s="16">
        <v>0</v>
      </c>
      <c r="K23" s="16">
        <v>0</v>
      </c>
      <c r="L23" s="16">
        <v>0</v>
      </c>
      <c r="M23" s="16">
        <v>6</v>
      </c>
      <c r="N23" s="16">
        <v>0</v>
      </c>
      <c r="O23" s="16">
        <v>0</v>
      </c>
      <c r="P23" s="16">
        <v>1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3">
        <f t="shared" si="2"/>
        <v>9</v>
      </c>
    </row>
    <row r="24" spans="1:28" ht="12.75" customHeight="1" x14ac:dyDescent="0.4">
      <c r="A24" s="22"/>
      <c r="B24" s="69"/>
      <c r="C24" s="80"/>
      <c r="D24" s="13" t="s">
        <v>13</v>
      </c>
      <c r="E24" s="13">
        <f t="shared" ref="E24:AA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2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8</v>
      </c>
      <c r="N24" s="13">
        <f t="shared" si="4"/>
        <v>0</v>
      </c>
      <c r="O24" s="13">
        <f t="shared" si="4"/>
        <v>0</v>
      </c>
      <c r="P24" s="13">
        <f t="shared" si="4"/>
        <v>2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4"/>
        <v>0</v>
      </c>
      <c r="AA24" s="13">
        <f t="shared" si="4"/>
        <v>0</v>
      </c>
      <c r="AB24" s="13">
        <f t="shared" si="2"/>
        <v>12</v>
      </c>
    </row>
    <row r="25" spans="1:28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1</v>
      </c>
      <c r="F25" s="16">
        <v>0</v>
      </c>
      <c r="G25" s="16">
        <v>0</v>
      </c>
      <c r="H25" s="16">
        <v>1</v>
      </c>
      <c r="I25" s="16">
        <v>1</v>
      </c>
      <c r="J25" s="16">
        <v>1</v>
      </c>
      <c r="K25" s="16">
        <v>0</v>
      </c>
      <c r="L25" s="16">
        <v>1</v>
      </c>
      <c r="M25" s="16">
        <v>0</v>
      </c>
      <c r="N25" s="16">
        <v>2</v>
      </c>
      <c r="O25" s="16">
        <v>6</v>
      </c>
      <c r="P25" s="16">
        <v>0</v>
      </c>
      <c r="Q25" s="16">
        <v>0</v>
      </c>
      <c r="R25" s="16">
        <v>5</v>
      </c>
      <c r="S25" s="16">
        <v>1</v>
      </c>
      <c r="T25" s="16">
        <v>1</v>
      </c>
      <c r="U25" s="16">
        <v>3</v>
      </c>
      <c r="V25" s="16">
        <v>3</v>
      </c>
      <c r="W25" s="16">
        <v>0</v>
      </c>
      <c r="X25" s="16">
        <v>3</v>
      </c>
      <c r="Y25" s="16">
        <v>0</v>
      </c>
      <c r="Z25" s="16">
        <v>4</v>
      </c>
      <c r="AA25" s="16">
        <v>0</v>
      </c>
      <c r="AB25" s="13">
        <f t="shared" si="2"/>
        <v>33</v>
      </c>
    </row>
    <row r="26" spans="1:28" ht="12.75" customHeight="1" x14ac:dyDescent="0.4">
      <c r="A26" s="21"/>
      <c r="B26" s="77"/>
      <c r="C26" s="79"/>
      <c r="D26" s="16" t="s">
        <v>12</v>
      </c>
      <c r="E26" s="16">
        <v>0</v>
      </c>
      <c r="F26" s="16">
        <v>1</v>
      </c>
      <c r="G26" s="16">
        <v>1</v>
      </c>
      <c r="H26" s="16">
        <v>1</v>
      </c>
      <c r="I26" s="16">
        <v>0</v>
      </c>
      <c r="J26" s="16">
        <v>2</v>
      </c>
      <c r="K26" s="16">
        <v>0</v>
      </c>
      <c r="L26" s="16">
        <v>2</v>
      </c>
      <c r="M26" s="16">
        <v>0</v>
      </c>
      <c r="N26" s="16">
        <v>2</v>
      </c>
      <c r="O26" s="16">
        <v>3</v>
      </c>
      <c r="P26" s="16">
        <v>0</v>
      </c>
      <c r="Q26" s="16">
        <v>0</v>
      </c>
      <c r="R26" s="16">
        <v>4</v>
      </c>
      <c r="S26" s="16">
        <v>3</v>
      </c>
      <c r="T26" s="16">
        <v>1</v>
      </c>
      <c r="U26" s="16">
        <v>4</v>
      </c>
      <c r="V26" s="16">
        <v>6</v>
      </c>
      <c r="W26" s="16">
        <v>0</v>
      </c>
      <c r="X26" s="16">
        <v>2</v>
      </c>
      <c r="Y26" s="16">
        <v>0</v>
      </c>
      <c r="Z26" s="16">
        <v>5</v>
      </c>
      <c r="AA26" s="16">
        <v>1</v>
      </c>
      <c r="AB26" s="13">
        <f t="shared" si="2"/>
        <v>38</v>
      </c>
    </row>
    <row r="27" spans="1:28" ht="12.75" customHeight="1" x14ac:dyDescent="0.4">
      <c r="A27" s="22"/>
      <c r="B27" s="69"/>
      <c r="C27" s="80"/>
      <c r="D27" s="13" t="s">
        <v>13</v>
      </c>
      <c r="E27" s="13">
        <f t="shared" ref="E27:AA27" si="5">SUM(E25:E26)</f>
        <v>1</v>
      </c>
      <c r="F27" s="13">
        <f t="shared" si="5"/>
        <v>1</v>
      </c>
      <c r="G27" s="13">
        <f t="shared" si="5"/>
        <v>1</v>
      </c>
      <c r="H27" s="13">
        <f t="shared" si="5"/>
        <v>2</v>
      </c>
      <c r="I27" s="13">
        <f t="shared" si="5"/>
        <v>1</v>
      </c>
      <c r="J27" s="13">
        <f t="shared" si="5"/>
        <v>3</v>
      </c>
      <c r="K27" s="13">
        <f t="shared" si="5"/>
        <v>0</v>
      </c>
      <c r="L27" s="13">
        <f t="shared" si="5"/>
        <v>3</v>
      </c>
      <c r="M27" s="13">
        <f t="shared" si="5"/>
        <v>0</v>
      </c>
      <c r="N27" s="13">
        <f t="shared" si="5"/>
        <v>4</v>
      </c>
      <c r="O27" s="13">
        <f t="shared" si="5"/>
        <v>9</v>
      </c>
      <c r="P27" s="13">
        <f t="shared" si="5"/>
        <v>0</v>
      </c>
      <c r="Q27" s="13">
        <f t="shared" si="5"/>
        <v>0</v>
      </c>
      <c r="R27" s="13">
        <f t="shared" si="5"/>
        <v>9</v>
      </c>
      <c r="S27" s="13">
        <f t="shared" si="5"/>
        <v>4</v>
      </c>
      <c r="T27" s="13">
        <f t="shared" si="5"/>
        <v>2</v>
      </c>
      <c r="U27" s="13">
        <f t="shared" si="5"/>
        <v>7</v>
      </c>
      <c r="V27" s="13">
        <f t="shared" si="5"/>
        <v>9</v>
      </c>
      <c r="W27" s="13">
        <f t="shared" si="5"/>
        <v>0</v>
      </c>
      <c r="X27" s="13">
        <f t="shared" si="5"/>
        <v>5</v>
      </c>
      <c r="Y27" s="13">
        <f t="shared" si="5"/>
        <v>0</v>
      </c>
      <c r="Z27" s="13">
        <f t="shared" si="5"/>
        <v>9</v>
      </c>
      <c r="AA27" s="13">
        <f t="shared" si="5"/>
        <v>1</v>
      </c>
      <c r="AB27" s="13">
        <f t="shared" si="2"/>
        <v>71</v>
      </c>
    </row>
    <row r="28" spans="1:28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AA28" si="6">SUM(E19,E22,E25)</f>
        <v>96</v>
      </c>
      <c r="F28" s="13">
        <f t="shared" si="6"/>
        <v>118</v>
      </c>
      <c r="G28" s="13">
        <f t="shared" si="6"/>
        <v>103</v>
      </c>
      <c r="H28" s="13">
        <f t="shared" si="6"/>
        <v>101</v>
      </c>
      <c r="I28" s="13">
        <f t="shared" si="6"/>
        <v>98</v>
      </c>
      <c r="J28" s="13">
        <f t="shared" si="6"/>
        <v>97</v>
      </c>
      <c r="K28" s="13">
        <f t="shared" si="6"/>
        <v>90</v>
      </c>
      <c r="L28" s="13">
        <f t="shared" si="6"/>
        <v>87</v>
      </c>
      <c r="M28" s="13">
        <f t="shared" si="6"/>
        <v>87</v>
      </c>
      <c r="N28" s="13">
        <f t="shared" si="6"/>
        <v>100</v>
      </c>
      <c r="O28" s="13">
        <f t="shared" si="6"/>
        <v>86</v>
      </c>
      <c r="P28" s="13">
        <f t="shared" si="6"/>
        <v>80</v>
      </c>
      <c r="Q28" s="13">
        <f t="shared" si="6"/>
        <v>96</v>
      </c>
      <c r="R28" s="13">
        <f t="shared" si="6"/>
        <v>110</v>
      </c>
      <c r="S28" s="13">
        <f t="shared" si="6"/>
        <v>98</v>
      </c>
      <c r="T28" s="13">
        <f t="shared" si="6"/>
        <v>98</v>
      </c>
      <c r="U28" s="13">
        <f t="shared" si="6"/>
        <v>102</v>
      </c>
      <c r="V28" s="13">
        <f t="shared" si="6"/>
        <v>108</v>
      </c>
      <c r="W28" s="13">
        <f t="shared" si="6"/>
        <v>97</v>
      </c>
      <c r="X28" s="13">
        <f t="shared" si="6"/>
        <v>94</v>
      </c>
      <c r="Y28" s="13">
        <f t="shared" si="6"/>
        <v>95</v>
      </c>
      <c r="Z28" s="13">
        <f t="shared" si="6"/>
        <v>98</v>
      </c>
      <c r="AA28" s="13">
        <f t="shared" si="6"/>
        <v>67</v>
      </c>
      <c r="AB28" s="13">
        <f t="shared" si="2"/>
        <v>2206</v>
      </c>
    </row>
    <row r="29" spans="1:28" ht="12.75" customHeight="1" x14ac:dyDescent="0.4">
      <c r="A29" s="22"/>
      <c r="B29" s="77"/>
      <c r="C29" s="79"/>
      <c r="D29" s="13" t="s">
        <v>12</v>
      </c>
      <c r="E29" s="13">
        <f t="shared" ref="E29:AA29" si="7">SUM(E20,E23,E26)</f>
        <v>117</v>
      </c>
      <c r="F29" s="13">
        <f t="shared" si="7"/>
        <v>123</v>
      </c>
      <c r="G29" s="13">
        <f t="shared" si="7"/>
        <v>107</v>
      </c>
      <c r="H29" s="13">
        <f t="shared" si="7"/>
        <v>123</v>
      </c>
      <c r="I29" s="13">
        <f t="shared" si="7"/>
        <v>116</v>
      </c>
      <c r="J29" s="13">
        <f t="shared" si="7"/>
        <v>115</v>
      </c>
      <c r="K29" s="13">
        <f t="shared" si="7"/>
        <v>93</v>
      </c>
      <c r="L29" s="13">
        <f t="shared" si="7"/>
        <v>126</v>
      </c>
      <c r="M29" s="13">
        <f t="shared" si="7"/>
        <v>102</v>
      </c>
      <c r="N29" s="13">
        <f t="shared" si="7"/>
        <v>104</v>
      </c>
      <c r="O29" s="13">
        <f t="shared" si="7"/>
        <v>101</v>
      </c>
      <c r="P29" s="13">
        <f t="shared" si="7"/>
        <v>109</v>
      </c>
      <c r="Q29" s="13">
        <f t="shared" si="7"/>
        <v>114</v>
      </c>
      <c r="R29" s="13">
        <f t="shared" si="7"/>
        <v>126</v>
      </c>
      <c r="S29" s="13">
        <f t="shared" si="7"/>
        <v>119</v>
      </c>
      <c r="T29" s="13">
        <f t="shared" si="7"/>
        <v>109</v>
      </c>
      <c r="U29" s="13">
        <f t="shared" si="7"/>
        <v>102</v>
      </c>
      <c r="V29" s="13">
        <f t="shared" si="7"/>
        <v>102</v>
      </c>
      <c r="W29" s="13">
        <f t="shared" si="7"/>
        <v>117</v>
      </c>
      <c r="X29" s="13">
        <f t="shared" si="7"/>
        <v>98</v>
      </c>
      <c r="Y29" s="13">
        <f t="shared" si="7"/>
        <v>106</v>
      </c>
      <c r="Z29" s="13">
        <f t="shared" si="7"/>
        <v>108</v>
      </c>
      <c r="AA29" s="13">
        <f t="shared" si="7"/>
        <v>81</v>
      </c>
      <c r="AB29" s="13">
        <f t="shared" si="2"/>
        <v>2518</v>
      </c>
    </row>
    <row r="30" spans="1:28" ht="12.75" customHeight="1" x14ac:dyDescent="0.4">
      <c r="A30" s="22"/>
      <c r="B30" s="69"/>
      <c r="C30" s="80"/>
      <c r="D30" s="13" t="s">
        <v>13</v>
      </c>
      <c r="E30" s="13">
        <f t="shared" ref="E30:AA30" si="8">SUM(E28:E29)</f>
        <v>213</v>
      </c>
      <c r="F30" s="13">
        <f t="shared" si="8"/>
        <v>241</v>
      </c>
      <c r="G30" s="13">
        <f t="shared" si="8"/>
        <v>210</v>
      </c>
      <c r="H30" s="13">
        <f t="shared" si="8"/>
        <v>224</v>
      </c>
      <c r="I30" s="13">
        <f t="shared" si="8"/>
        <v>214</v>
      </c>
      <c r="J30" s="13">
        <f t="shared" si="8"/>
        <v>212</v>
      </c>
      <c r="K30" s="13">
        <f t="shared" si="8"/>
        <v>183</v>
      </c>
      <c r="L30" s="13">
        <f t="shared" si="8"/>
        <v>213</v>
      </c>
      <c r="M30" s="13">
        <f t="shared" si="8"/>
        <v>189</v>
      </c>
      <c r="N30" s="13">
        <f t="shared" si="8"/>
        <v>204</v>
      </c>
      <c r="O30" s="13">
        <f t="shared" si="8"/>
        <v>187</v>
      </c>
      <c r="P30" s="13">
        <f t="shared" si="8"/>
        <v>189</v>
      </c>
      <c r="Q30" s="13">
        <f t="shared" si="8"/>
        <v>210</v>
      </c>
      <c r="R30" s="13">
        <f t="shared" si="8"/>
        <v>236</v>
      </c>
      <c r="S30" s="13">
        <f t="shared" si="8"/>
        <v>217</v>
      </c>
      <c r="T30" s="13">
        <f t="shared" si="8"/>
        <v>207</v>
      </c>
      <c r="U30" s="13">
        <f t="shared" si="8"/>
        <v>204</v>
      </c>
      <c r="V30" s="13">
        <f t="shared" si="8"/>
        <v>210</v>
      </c>
      <c r="W30" s="13">
        <f t="shared" si="8"/>
        <v>214</v>
      </c>
      <c r="X30" s="13">
        <f t="shared" si="8"/>
        <v>192</v>
      </c>
      <c r="Y30" s="13">
        <f t="shared" si="8"/>
        <v>201</v>
      </c>
      <c r="Z30" s="13">
        <f t="shared" si="8"/>
        <v>206</v>
      </c>
      <c r="AA30" s="13">
        <f t="shared" si="8"/>
        <v>148</v>
      </c>
      <c r="AB30" s="13">
        <f t="shared" si="2"/>
        <v>4724</v>
      </c>
    </row>
    <row r="31" spans="1:28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9"/>
    </row>
    <row r="32" spans="1:28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49"/>
    </row>
    <row r="33" spans="1:28" ht="12.75" customHeight="1" x14ac:dyDescent="0.4">
      <c r="A33" s="16">
        <v>1</v>
      </c>
      <c r="B33" s="74" t="s">
        <v>26</v>
      </c>
      <c r="C33" s="61"/>
      <c r="D33" s="62"/>
      <c r="E33" s="16">
        <v>287</v>
      </c>
      <c r="F33" s="16">
        <v>290</v>
      </c>
      <c r="G33" s="16">
        <v>288</v>
      </c>
      <c r="H33" s="16">
        <v>285</v>
      </c>
      <c r="I33" s="16">
        <v>274</v>
      </c>
      <c r="J33" s="16">
        <v>267</v>
      </c>
      <c r="K33" s="16">
        <v>235</v>
      </c>
      <c r="L33" s="16">
        <v>284</v>
      </c>
      <c r="M33" s="16">
        <v>284</v>
      </c>
      <c r="N33" s="16">
        <v>273</v>
      </c>
      <c r="O33" s="16">
        <v>256</v>
      </c>
      <c r="P33" s="16">
        <v>273</v>
      </c>
      <c r="Q33" s="16">
        <v>286</v>
      </c>
      <c r="R33" s="16">
        <v>296</v>
      </c>
      <c r="S33" s="16">
        <v>294</v>
      </c>
      <c r="T33" s="16">
        <v>292</v>
      </c>
      <c r="U33" s="16">
        <v>284</v>
      </c>
      <c r="V33" s="16">
        <v>235</v>
      </c>
      <c r="W33" s="16">
        <v>269</v>
      </c>
      <c r="X33" s="16">
        <v>265</v>
      </c>
      <c r="Y33" s="16">
        <v>280</v>
      </c>
      <c r="Z33" s="16">
        <v>276</v>
      </c>
      <c r="AA33" s="16">
        <v>212</v>
      </c>
      <c r="AB33" s="13">
        <f t="shared" ref="AB33:AB36" si="9">SUM(E33:AA33)</f>
        <v>6285</v>
      </c>
    </row>
    <row r="34" spans="1:28" ht="12.75" customHeight="1" x14ac:dyDescent="0.4">
      <c r="A34" s="16">
        <v>2</v>
      </c>
      <c r="B34" s="74" t="s">
        <v>27</v>
      </c>
      <c r="C34" s="61"/>
      <c r="D34" s="62"/>
      <c r="E34" s="13">
        <v>213</v>
      </c>
      <c r="F34" s="13">
        <v>241</v>
      </c>
      <c r="G34" s="13">
        <v>210</v>
      </c>
      <c r="H34" s="13">
        <v>224</v>
      </c>
      <c r="I34" s="13">
        <v>214</v>
      </c>
      <c r="J34" s="13">
        <v>212</v>
      </c>
      <c r="K34" s="13">
        <v>183</v>
      </c>
      <c r="L34" s="13">
        <v>213</v>
      </c>
      <c r="M34" s="13">
        <v>189</v>
      </c>
      <c r="N34" s="13">
        <v>204</v>
      </c>
      <c r="O34" s="13">
        <v>187</v>
      </c>
      <c r="P34" s="13">
        <v>189</v>
      </c>
      <c r="Q34" s="13">
        <v>210</v>
      </c>
      <c r="R34" s="13">
        <v>236</v>
      </c>
      <c r="S34" s="13">
        <v>217</v>
      </c>
      <c r="T34" s="13">
        <v>207</v>
      </c>
      <c r="U34" s="13">
        <v>204</v>
      </c>
      <c r="V34" s="13">
        <v>210</v>
      </c>
      <c r="W34" s="13">
        <v>214</v>
      </c>
      <c r="X34" s="13">
        <v>192</v>
      </c>
      <c r="Y34" s="13">
        <v>201</v>
      </c>
      <c r="Z34" s="13">
        <v>206</v>
      </c>
      <c r="AA34" s="13">
        <v>148</v>
      </c>
      <c r="AB34" s="13">
        <f t="shared" si="9"/>
        <v>4724</v>
      </c>
    </row>
    <row r="35" spans="1:28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3</v>
      </c>
      <c r="G35" s="16">
        <v>0</v>
      </c>
      <c r="H35" s="16">
        <v>0</v>
      </c>
      <c r="I35" s="16">
        <v>1</v>
      </c>
      <c r="J35" s="16">
        <v>0</v>
      </c>
      <c r="K35" s="16">
        <v>0</v>
      </c>
      <c r="L35" s="16">
        <v>0</v>
      </c>
      <c r="M35" s="16">
        <v>1</v>
      </c>
      <c r="N35" s="16">
        <v>0</v>
      </c>
      <c r="O35" s="16">
        <v>0</v>
      </c>
      <c r="P35" s="16">
        <v>0</v>
      </c>
      <c r="Q35" s="16">
        <v>1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3">
        <f t="shared" si="9"/>
        <v>6</v>
      </c>
    </row>
    <row r="36" spans="1:28" ht="12.75" customHeight="1" x14ac:dyDescent="0.4">
      <c r="A36" s="16">
        <v>4</v>
      </c>
      <c r="B36" s="74" t="s">
        <v>29</v>
      </c>
      <c r="C36" s="61"/>
      <c r="D36" s="62"/>
      <c r="E36" s="13">
        <f t="shared" ref="E36:AA36" si="10">E33-(E34+E35)</f>
        <v>74</v>
      </c>
      <c r="F36" s="13">
        <f t="shared" si="10"/>
        <v>46</v>
      </c>
      <c r="G36" s="13">
        <f t="shared" si="10"/>
        <v>78</v>
      </c>
      <c r="H36" s="13">
        <f t="shared" si="10"/>
        <v>61</v>
      </c>
      <c r="I36" s="13">
        <f t="shared" si="10"/>
        <v>59</v>
      </c>
      <c r="J36" s="13">
        <f t="shared" si="10"/>
        <v>55</v>
      </c>
      <c r="K36" s="13">
        <f t="shared" si="10"/>
        <v>52</v>
      </c>
      <c r="L36" s="13">
        <f t="shared" si="10"/>
        <v>71</v>
      </c>
      <c r="M36" s="13">
        <f t="shared" si="10"/>
        <v>94</v>
      </c>
      <c r="N36" s="13">
        <f t="shared" si="10"/>
        <v>69</v>
      </c>
      <c r="O36" s="13">
        <f t="shared" si="10"/>
        <v>69</v>
      </c>
      <c r="P36" s="13">
        <f t="shared" si="10"/>
        <v>84</v>
      </c>
      <c r="Q36" s="13">
        <f t="shared" si="10"/>
        <v>75</v>
      </c>
      <c r="R36" s="13">
        <f t="shared" si="10"/>
        <v>60</v>
      </c>
      <c r="S36" s="13">
        <f t="shared" si="10"/>
        <v>77</v>
      </c>
      <c r="T36" s="13">
        <f t="shared" si="10"/>
        <v>85</v>
      </c>
      <c r="U36" s="13">
        <f t="shared" si="10"/>
        <v>80</v>
      </c>
      <c r="V36" s="13">
        <f t="shared" si="10"/>
        <v>25</v>
      </c>
      <c r="W36" s="13">
        <f t="shared" si="10"/>
        <v>55</v>
      </c>
      <c r="X36" s="13">
        <f t="shared" si="10"/>
        <v>73</v>
      </c>
      <c r="Y36" s="13">
        <f t="shared" si="10"/>
        <v>79</v>
      </c>
      <c r="Z36" s="13">
        <f t="shared" si="10"/>
        <v>70</v>
      </c>
      <c r="AA36" s="13">
        <f t="shared" si="10"/>
        <v>64</v>
      </c>
      <c r="AB36" s="13">
        <f t="shared" si="9"/>
        <v>1555</v>
      </c>
    </row>
    <row r="37" spans="1:28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49"/>
    </row>
    <row r="38" spans="1:28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49"/>
    </row>
    <row r="39" spans="1:28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1</v>
      </c>
      <c r="P39" s="16">
        <v>0</v>
      </c>
      <c r="Q39" s="16">
        <v>0</v>
      </c>
      <c r="R39" s="16">
        <v>0</v>
      </c>
      <c r="S39" s="16">
        <v>0</v>
      </c>
      <c r="T39" s="16">
        <v>2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/>
      <c r="AA39" s="16"/>
      <c r="AB39" s="13">
        <f t="shared" ref="AB39:AB41" si="11">SUM(E39:AA39)</f>
        <v>3</v>
      </c>
    </row>
    <row r="40" spans="1:28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6">
        <v>1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/>
      <c r="AA40" s="16"/>
      <c r="AB40" s="13">
        <f t="shared" si="11"/>
        <v>1</v>
      </c>
    </row>
    <row r="41" spans="1:28" ht="12.75" customHeight="1" x14ac:dyDescent="0.4">
      <c r="A41" s="25"/>
      <c r="B41" s="68"/>
      <c r="C41" s="69"/>
      <c r="D41" s="13" t="s">
        <v>13</v>
      </c>
      <c r="E41" s="13">
        <f t="shared" ref="E41:AA41" si="12">SUM(E39:E40)</f>
        <v>0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1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2"/>
        <v>0</v>
      </c>
      <c r="T41" s="13">
        <f t="shared" si="12"/>
        <v>3</v>
      </c>
      <c r="U41" s="13">
        <f t="shared" si="12"/>
        <v>0</v>
      </c>
      <c r="V41" s="13">
        <f t="shared" si="12"/>
        <v>0</v>
      </c>
      <c r="W41" s="13">
        <f t="shared" si="12"/>
        <v>0</v>
      </c>
      <c r="X41" s="13">
        <f t="shared" si="12"/>
        <v>0</v>
      </c>
      <c r="Y41" s="13">
        <f t="shared" si="12"/>
        <v>0</v>
      </c>
      <c r="Z41" s="13">
        <f t="shared" si="12"/>
        <v>0</v>
      </c>
      <c r="AA41" s="13">
        <f t="shared" si="12"/>
        <v>0</v>
      </c>
      <c r="AB41" s="13">
        <f t="shared" si="11"/>
        <v>4</v>
      </c>
    </row>
    <row r="42" spans="1:28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48"/>
      <c r="U42" s="16"/>
      <c r="V42" s="48"/>
      <c r="W42" s="16"/>
      <c r="X42" s="48"/>
      <c r="Y42" s="16"/>
      <c r="Z42" s="48"/>
      <c r="AA42" s="16"/>
      <c r="AB42" s="13"/>
    </row>
    <row r="43" spans="1:28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50"/>
      <c r="U43" s="13"/>
      <c r="V43" s="50"/>
      <c r="W43" s="13"/>
      <c r="X43" s="50"/>
      <c r="Y43" s="13"/>
      <c r="Z43" s="50"/>
      <c r="AA43" s="13"/>
      <c r="AB43" s="13"/>
    </row>
    <row r="44" spans="1:28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48"/>
      <c r="U44" s="16"/>
      <c r="V44" s="48"/>
      <c r="W44" s="16"/>
      <c r="X44" s="48"/>
      <c r="Y44" s="16"/>
      <c r="Z44" s="48"/>
      <c r="AA44" s="16"/>
      <c r="AB44" s="13"/>
    </row>
    <row r="45" spans="1:28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2</v>
      </c>
      <c r="F45" s="16">
        <v>2</v>
      </c>
      <c r="G45" s="16">
        <v>5</v>
      </c>
      <c r="H45" s="16">
        <v>4</v>
      </c>
      <c r="I45" s="16">
        <v>6</v>
      </c>
      <c r="J45" s="16">
        <v>6</v>
      </c>
      <c r="K45" s="16">
        <v>2</v>
      </c>
      <c r="L45" s="16">
        <v>6</v>
      </c>
      <c r="M45" s="16">
        <v>3</v>
      </c>
      <c r="N45" s="16">
        <v>1</v>
      </c>
      <c r="O45" s="16">
        <v>4</v>
      </c>
      <c r="P45" s="16">
        <v>5</v>
      </c>
      <c r="Q45" s="16">
        <v>2</v>
      </c>
      <c r="R45" s="16">
        <v>2</v>
      </c>
      <c r="S45" s="16">
        <v>7</v>
      </c>
      <c r="T45" s="16">
        <v>12</v>
      </c>
      <c r="U45" s="16">
        <v>4</v>
      </c>
      <c r="V45" s="16">
        <v>6</v>
      </c>
      <c r="W45" s="16">
        <v>5</v>
      </c>
      <c r="X45" s="16">
        <v>5</v>
      </c>
      <c r="Y45" s="16">
        <v>12</v>
      </c>
      <c r="Z45" s="16">
        <v>15</v>
      </c>
      <c r="AA45" s="16">
        <v>0</v>
      </c>
      <c r="AB45" s="13">
        <f t="shared" ref="AB45:AB54" si="13">SUM(E45:AA45)</f>
        <v>116</v>
      </c>
    </row>
    <row r="46" spans="1:28" ht="12.75" customHeight="1" x14ac:dyDescent="0.4">
      <c r="A46" s="20" t="s">
        <v>38</v>
      </c>
      <c r="B46" s="28"/>
      <c r="C46" s="29" t="s">
        <v>39</v>
      </c>
      <c r="D46" s="30"/>
      <c r="E46" s="16">
        <v>3</v>
      </c>
      <c r="F46" s="16">
        <v>3</v>
      </c>
      <c r="G46" s="16">
        <v>4</v>
      </c>
      <c r="H46" s="16">
        <v>4</v>
      </c>
      <c r="I46" s="16">
        <v>6</v>
      </c>
      <c r="J46" s="16">
        <v>0</v>
      </c>
      <c r="K46" s="16">
        <v>4</v>
      </c>
      <c r="L46" s="16">
        <v>2</v>
      </c>
      <c r="M46" s="16">
        <v>6</v>
      </c>
      <c r="N46" s="16">
        <v>3</v>
      </c>
      <c r="O46" s="16">
        <v>7</v>
      </c>
      <c r="P46" s="16">
        <v>2</v>
      </c>
      <c r="Q46" s="16">
        <v>5</v>
      </c>
      <c r="R46" s="16">
        <v>4</v>
      </c>
      <c r="S46" s="16">
        <v>1</v>
      </c>
      <c r="T46" s="16">
        <v>4</v>
      </c>
      <c r="U46" s="16">
        <v>5</v>
      </c>
      <c r="V46" s="16">
        <v>0</v>
      </c>
      <c r="W46" s="16">
        <v>4</v>
      </c>
      <c r="X46" s="16">
        <v>3</v>
      </c>
      <c r="Y46" s="16">
        <v>0</v>
      </c>
      <c r="Z46" s="16">
        <v>2</v>
      </c>
      <c r="AA46" s="16">
        <v>0</v>
      </c>
      <c r="AB46" s="13">
        <f t="shared" si="13"/>
        <v>72</v>
      </c>
    </row>
    <row r="47" spans="1:28" ht="12.75" customHeight="1" x14ac:dyDescent="0.4">
      <c r="A47" s="15"/>
      <c r="B47" s="28"/>
      <c r="C47" s="29" t="s">
        <v>40</v>
      </c>
      <c r="D47" s="30"/>
      <c r="E47" s="16">
        <v>2</v>
      </c>
      <c r="F47" s="16">
        <v>0</v>
      </c>
      <c r="G47" s="16">
        <v>1</v>
      </c>
      <c r="H47" s="16">
        <v>4</v>
      </c>
      <c r="I47" s="16">
        <v>4</v>
      </c>
      <c r="J47" s="16">
        <v>5</v>
      </c>
      <c r="K47" s="16">
        <v>0</v>
      </c>
      <c r="L47" s="16">
        <v>2</v>
      </c>
      <c r="M47" s="16">
        <v>4</v>
      </c>
      <c r="N47" s="16">
        <v>3</v>
      </c>
      <c r="O47" s="16">
        <v>5</v>
      </c>
      <c r="P47" s="16">
        <v>2</v>
      </c>
      <c r="Q47" s="16">
        <v>2</v>
      </c>
      <c r="R47" s="16">
        <v>3</v>
      </c>
      <c r="S47" s="16">
        <v>3</v>
      </c>
      <c r="T47" s="16">
        <v>0</v>
      </c>
      <c r="U47" s="16">
        <v>6</v>
      </c>
      <c r="V47" s="16">
        <v>1</v>
      </c>
      <c r="W47" s="16">
        <v>3</v>
      </c>
      <c r="X47" s="16">
        <v>1</v>
      </c>
      <c r="Y47" s="16">
        <v>4</v>
      </c>
      <c r="Z47" s="16">
        <v>0</v>
      </c>
      <c r="AA47" s="16">
        <v>1</v>
      </c>
      <c r="AB47" s="13">
        <f t="shared" si="13"/>
        <v>56</v>
      </c>
    </row>
    <row r="48" spans="1:28" ht="12.75" customHeight="1" x14ac:dyDescent="0.4">
      <c r="A48" s="15"/>
      <c r="B48" s="28"/>
      <c r="C48" s="29" t="s">
        <v>41</v>
      </c>
      <c r="D48" s="30"/>
      <c r="E48" s="16">
        <v>1</v>
      </c>
      <c r="F48" s="16">
        <v>0</v>
      </c>
      <c r="G48" s="16">
        <v>1</v>
      </c>
      <c r="H48" s="16">
        <v>0</v>
      </c>
      <c r="I48" s="16">
        <v>0</v>
      </c>
      <c r="J48" s="16">
        <v>1</v>
      </c>
      <c r="K48" s="16">
        <v>0</v>
      </c>
      <c r="L48" s="16">
        <v>1</v>
      </c>
      <c r="M48" s="16">
        <v>0</v>
      </c>
      <c r="N48" s="16">
        <v>0</v>
      </c>
      <c r="O48" s="16">
        <v>1</v>
      </c>
      <c r="P48" s="16">
        <v>0</v>
      </c>
      <c r="Q48" s="16">
        <v>2</v>
      </c>
      <c r="R48" s="16">
        <v>1</v>
      </c>
      <c r="S48" s="16">
        <v>0</v>
      </c>
      <c r="T48" s="16">
        <v>1</v>
      </c>
      <c r="U48" s="16">
        <v>2</v>
      </c>
      <c r="V48" s="16">
        <v>0</v>
      </c>
      <c r="W48" s="16">
        <v>0</v>
      </c>
      <c r="X48" s="16">
        <v>2</v>
      </c>
      <c r="Y48" s="16">
        <v>0</v>
      </c>
      <c r="Z48" s="16">
        <v>0</v>
      </c>
      <c r="AA48" s="16">
        <v>0</v>
      </c>
      <c r="AB48" s="13">
        <f t="shared" si="13"/>
        <v>13</v>
      </c>
    </row>
    <row r="49" spans="1:28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1</v>
      </c>
      <c r="P49" s="16">
        <v>0</v>
      </c>
      <c r="Q49" s="16">
        <v>0</v>
      </c>
      <c r="R49" s="16">
        <v>0</v>
      </c>
      <c r="S49" s="16">
        <v>0</v>
      </c>
      <c r="T49" s="16">
        <v>1</v>
      </c>
      <c r="U49" s="16">
        <v>1</v>
      </c>
      <c r="V49" s="16">
        <v>1</v>
      </c>
      <c r="W49" s="16">
        <v>0</v>
      </c>
      <c r="X49" s="16">
        <v>0</v>
      </c>
      <c r="Y49" s="16">
        <v>1</v>
      </c>
      <c r="Z49" s="16">
        <v>0</v>
      </c>
      <c r="AA49" s="16">
        <v>0</v>
      </c>
      <c r="AB49" s="13">
        <f t="shared" si="13"/>
        <v>5</v>
      </c>
    </row>
    <row r="50" spans="1:28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0</v>
      </c>
      <c r="I50" s="16">
        <v>1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1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1</v>
      </c>
      <c r="X50" s="16">
        <v>0</v>
      </c>
      <c r="Y50" s="16">
        <v>0</v>
      </c>
      <c r="Z50" s="16">
        <v>0</v>
      </c>
      <c r="AA50" s="16">
        <v>0</v>
      </c>
      <c r="AB50" s="13">
        <f t="shared" si="13"/>
        <v>3</v>
      </c>
    </row>
    <row r="51" spans="1:28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2</v>
      </c>
      <c r="H51" s="16">
        <v>0</v>
      </c>
      <c r="I51" s="16">
        <v>1</v>
      </c>
      <c r="J51" s="16">
        <v>1</v>
      </c>
      <c r="K51" s="16">
        <v>0</v>
      </c>
      <c r="L51" s="16">
        <v>2</v>
      </c>
      <c r="M51" s="16">
        <v>0</v>
      </c>
      <c r="N51" s="16">
        <v>0</v>
      </c>
      <c r="O51" s="16">
        <v>0</v>
      </c>
      <c r="P51" s="16">
        <v>0</v>
      </c>
      <c r="Q51" s="16">
        <v>0</v>
      </c>
      <c r="R51" s="16">
        <v>1</v>
      </c>
      <c r="S51" s="16">
        <v>0</v>
      </c>
      <c r="T51" s="16">
        <v>4</v>
      </c>
      <c r="U51" s="16">
        <v>7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6">
        <v>0</v>
      </c>
      <c r="AB51" s="13">
        <f t="shared" si="13"/>
        <v>18</v>
      </c>
    </row>
    <row r="52" spans="1:28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13">
        <f t="shared" si="13"/>
        <v>0</v>
      </c>
    </row>
    <row r="53" spans="1:28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13">
        <f t="shared" si="13"/>
        <v>0</v>
      </c>
    </row>
    <row r="54" spans="1:28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13">
        <f t="shared" si="13"/>
        <v>0</v>
      </c>
    </row>
    <row r="55" spans="1:28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AB55" si="14">SUM(E45:E54)</f>
        <v>8</v>
      </c>
      <c r="F55" s="13">
        <f t="shared" si="14"/>
        <v>5</v>
      </c>
      <c r="G55" s="13">
        <f t="shared" si="14"/>
        <v>13</v>
      </c>
      <c r="H55" s="13">
        <f t="shared" si="14"/>
        <v>12</v>
      </c>
      <c r="I55" s="13">
        <f t="shared" si="14"/>
        <v>18</v>
      </c>
      <c r="J55" s="13">
        <f t="shared" si="14"/>
        <v>13</v>
      </c>
      <c r="K55" s="13">
        <f t="shared" si="14"/>
        <v>6</v>
      </c>
      <c r="L55" s="13">
        <f t="shared" si="14"/>
        <v>13</v>
      </c>
      <c r="M55" s="13">
        <f t="shared" si="14"/>
        <v>13</v>
      </c>
      <c r="N55" s="13">
        <f t="shared" si="14"/>
        <v>7</v>
      </c>
      <c r="O55" s="13">
        <f t="shared" si="14"/>
        <v>18</v>
      </c>
      <c r="P55" s="13">
        <f t="shared" si="14"/>
        <v>10</v>
      </c>
      <c r="Q55" s="13">
        <f t="shared" si="14"/>
        <v>11</v>
      </c>
      <c r="R55" s="13">
        <f t="shared" si="14"/>
        <v>11</v>
      </c>
      <c r="S55" s="13">
        <f t="shared" si="14"/>
        <v>11</v>
      </c>
      <c r="T55" s="13">
        <f t="shared" si="14"/>
        <v>22</v>
      </c>
      <c r="U55" s="13">
        <f t="shared" si="14"/>
        <v>25</v>
      </c>
      <c r="V55" s="13">
        <f t="shared" si="14"/>
        <v>8</v>
      </c>
      <c r="W55" s="13">
        <f t="shared" si="14"/>
        <v>13</v>
      </c>
      <c r="X55" s="13">
        <f t="shared" si="14"/>
        <v>11</v>
      </c>
      <c r="Y55" s="13">
        <f t="shared" si="14"/>
        <v>17</v>
      </c>
      <c r="Z55" s="13">
        <f t="shared" si="14"/>
        <v>17</v>
      </c>
      <c r="AA55" s="13">
        <f t="shared" si="14"/>
        <v>1</v>
      </c>
      <c r="AB55" s="13">
        <f t="shared" si="14"/>
        <v>283</v>
      </c>
    </row>
    <row r="56" spans="1:28" ht="12.75" customHeight="1" x14ac:dyDescent="0.4">
      <c r="A56" s="86"/>
      <c r="B56" s="68"/>
      <c r="C56" s="68"/>
      <c r="D56" s="68"/>
      <c r="E56" s="68"/>
      <c r="AB56" s="13"/>
    </row>
    <row r="57" spans="1:28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9</v>
      </c>
      <c r="F57" s="16">
        <v>11</v>
      </c>
      <c r="G57" s="16">
        <v>9</v>
      </c>
      <c r="H57" s="16">
        <v>12</v>
      </c>
      <c r="I57" s="16">
        <v>4</v>
      </c>
      <c r="J57" s="16">
        <v>6</v>
      </c>
      <c r="K57" s="16">
        <v>3</v>
      </c>
      <c r="L57" s="16">
        <v>6</v>
      </c>
      <c r="M57" s="16">
        <v>11</v>
      </c>
      <c r="N57" s="16">
        <v>17</v>
      </c>
      <c r="O57" s="16">
        <v>15</v>
      </c>
      <c r="P57" s="16">
        <v>9</v>
      </c>
      <c r="Q57" s="16">
        <v>8</v>
      </c>
      <c r="R57" s="16">
        <v>6</v>
      </c>
      <c r="S57" s="16">
        <v>6</v>
      </c>
      <c r="T57" s="16">
        <v>11</v>
      </c>
      <c r="U57" s="16">
        <v>5</v>
      </c>
      <c r="V57" s="16">
        <v>12</v>
      </c>
      <c r="W57" s="16">
        <v>5</v>
      </c>
      <c r="X57" s="16">
        <v>7</v>
      </c>
      <c r="Y57" s="16">
        <v>9</v>
      </c>
      <c r="Z57" s="16">
        <v>17</v>
      </c>
      <c r="AA57" s="16">
        <v>15</v>
      </c>
      <c r="AB57" s="13">
        <f t="shared" ref="AB57:AB66" si="15">SUM(E57:AA57)</f>
        <v>213</v>
      </c>
    </row>
    <row r="58" spans="1:28" ht="12.75" customHeight="1" x14ac:dyDescent="0.4">
      <c r="A58" s="20" t="s">
        <v>38</v>
      </c>
      <c r="B58" s="28"/>
      <c r="C58" s="29" t="s">
        <v>47</v>
      </c>
      <c r="D58" s="30"/>
      <c r="E58" s="16">
        <v>5</v>
      </c>
      <c r="F58" s="16">
        <v>3</v>
      </c>
      <c r="G58" s="16">
        <v>4</v>
      </c>
      <c r="H58" s="16">
        <v>2</v>
      </c>
      <c r="I58" s="16">
        <v>4</v>
      </c>
      <c r="J58" s="16">
        <v>4</v>
      </c>
      <c r="K58" s="16">
        <v>5</v>
      </c>
      <c r="L58" s="16">
        <v>1</v>
      </c>
      <c r="M58" s="16">
        <v>6</v>
      </c>
      <c r="N58" s="16">
        <v>7</v>
      </c>
      <c r="O58" s="16">
        <v>7</v>
      </c>
      <c r="P58" s="16">
        <v>6</v>
      </c>
      <c r="Q58" s="16">
        <v>7</v>
      </c>
      <c r="R58" s="16">
        <v>1</v>
      </c>
      <c r="S58" s="16">
        <v>6</v>
      </c>
      <c r="T58" s="16">
        <v>13</v>
      </c>
      <c r="U58" s="16">
        <v>6</v>
      </c>
      <c r="V58" s="16">
        <v>10</v>
      </c>
      <c r="W58" s="16">
        <v>8</v>
      </c>
      <c r="X58" s="16">
        <v>2</v>
      </c>
      <c r="Y58" s="16">
        <v>4</v>
      </c>
      <c r="Z58" s="16">
        <v>7</v>
      </c>
      <c r="AA58" s="16">
        <v>3</v>
      </c>
      <c r="AB58" s="13">
        <f t="shared" si="15"/>
        <v>121</v>
      </c>
    </row>
    <row r="59" spans="1:28" ht="12.75" customHeight="1" x14ac:dyDescent="0.4">
      <c r="A59" s="15"/>
      <c r="B59" s="28"/>
      <c r="C59" s="29" t="s">
        <v>48</v>
      </c>
      <c r="D59" s="30"/>
      <c r="E59" s="16">
        <v>1</v>
      </c>
      <c r="F59" s="16">
        <v>1</v>
      </c>
      <c r="G59" s="16">
        <v>2</v>
      </c>
      <c r="H59" s="16">
        <v>1</v>
      </c>
      <c r="I59" s="16">
        <v>0</v>
      </c>
      <c r="J59" s="16">
        <v>3</v>
      </c>
      <c r="K59" s="16">
        <v>0</v>
      </c>
      <c r="L59" s="16">
        <v>2</v>
      </c>
      <c r="M59" s="16">
        <v>1</v>
      </c>
      <c r="N59" s="16">
        <v>2</v>
      </c>
      <c r="O59" s="16">
        <v>0</v>
      </c>
      <c r="P59" s="16">
        <v>0</v>
      </c>
      <c r="Q59" s="16">
        <v>4</v>
      </c>
      <c r="R59" s="16">
        <v>2</v>
      </c>
      <c r="S59" s="16">
        <v>1</v>
      </c>
      <c r="T59" s="16">
        <v>1</v>
      </c>
      <c r="U59" s="16">
        <v>7</v>
      </c>
      <c r="V59" s="16">
        <v>6</v>
      </c>
      <c r="W59" s="16">
        <v>3</v>
      </c>
      <c r="X59" s="16">
        <v>4</v>
      </c>
      <c r="Y59" s="16">
        <v>0</v>
      </c>
      <c r="Z59" s="16">
        <v>0</v>
      </c>
      <c r="AA59" s="16">
        <v>1</v>
      </c>
      <c r="AB59" s="13">
        <f t="shared" si="15"/>
        <v>42</v>
      </c>
    </row>
    <row r="60" spans="1:28" ht="12.75" customHeight="1" x14ac:dyDescent="0.4">
      <c r="A60" s="15"/>
      <c r="B60" s="28"/>
      <c r="C60" s="29" t="s">
        <v>49</v>
      </c>
      <c r="D60" s="30"/>
      <c r="E60" s="16">
        <v>1</v>
      </c>
      <c r="F60" s="16">
        <v>1</v>
      </c>
      <c r="G60" s="16">
        <v>1</v>
      </c>
      <c r="H60" s="16">
        <v>1</v>
      </c>
      <c r="I60" s="16">
        <v>1</v>
      </c>
      <c r="J60" s="16">
        <v>0</v>
      </c>
      <c r="K60" s="16">
        <v>3</v>
      </c>
      <c r="L60" s="16">
        <v>3</v>
      </c>
      <c r="M60" s="16">
        <v>4</v>
      </c>
      <c r="N60" s="16">
        <v>6</v>
      </c>
      <c r="O60" s="16">
        <v>2</v>
      </c>
      <c r="P60" s="16">
        <v>5</v>
      </c>
      <c r="Q60" s="16">
        <v>1</v>
      </c>
      <c r="R60" s="16">
        <v>1</v>
      </c>
      <c r="S60" s="16">
        <v>1</v>
      </c>
      <c r="T60" s="16">
        <v>14</v>
      </c>
      <c r="U60" s="16">
        <v>5</v>
      </c>
      <c r="V60" s="16">
        <v>2</v>
      </c>
      <c r="W60" s="16">
        <v>2</v>
      </c>
      <c r="X60" s="16">
        <v>1</v>
      </c>
      <c r="Y60" s="16">
        <v>2</v>
      </c>
      <c r="Z60" s="16">
        <v>1</v>
      </c>
      <c r="AA60" s="16">
        <v>2</v>
      </c>
      <c r="AB60" s="13">
        <f t="shared" si="15"/>
        <v>60</v>
      </c>
    </row>
    <row r="61" spans="1:28" ht="12.75" customHeight="1" x14ac:dyDescent="0.4">
      <c r="A61" s="15"/>
      <c r="B61" s="28"/>
      <c r="C61" s="29" t="s">
        <v>50</v>
      </c>
      <c r="D61" s="30"/>
      <c r="E61" s="16">
        <v>0</v>
      </c>
      <c r="F61" s="16">
        <v>0</v>
      </c>
      <c r="G61" s="16">
        <v>0</v>
      </c>
      <c r="H61" s="16">
        <v>0</v>
      </c>
      <c r="I61" s="16">
        <v>1</v>
      </c>
      <c r="J61" s="16">
        <v>4</v>
      </c>
      <c r="K61" s="16">
        <v>1</v>
      </c>
      <c r="L61" s="16">
        <v>1</v>
      </c>
      <c r="M61" s="16">
        <v>1</v>
      </c>
      <c r="N61" s="16">
        <v>2</v>
      </c>
      <c r="O61" s="16">
        <v>2</v>
      </c>
      <c r="P61" s="16">
        <v>0</v>
      </c>
      <c r="Q61" s="16">
        <v>1</v>
      </c>
      <c r="R61" s="16">
        <v>0</v>
      </c>
      <c r="S61" s="16">
        <v>1</v>
      </c>
      <c r="T61" s="16">
        <v>1</v>
      </c>
      <c r="U61" s="16">
        <v>0</v>
      </c>
      <c r="V61" s="16">
        <v>1</v>
      </c>
      <c r="W61" s="16">
        <v>0</v>
      </c>
      <c r="X61" s="16">
        <v>2</v>
      </c>
      <c r="Y61" s="16">
        <v>0</v>
      </c>
      <c r="Z61" s="16">
        <v>5</v>
      </c>
      <c r="AA61" s="16">
        <v>1</v>
      </c>
      <c r="AB61" s="13">
        <f t="shared" si="15"/>
        <v>24</v>
      </c>
    </row>
    <row r="62" spans="1:28" ht="12.75" customHeight="1" x14ac:dyDescent="0.4">
      <c r="A62" s="15"/>
      <c r="B62" s="28"/>
      <c r="C62" s="29" t="s">
        <v>51</v>
      </c>
      <c r="D62" s="30"/>
      <c r="E62" s="16">
        <v>4</v>
      </c>
      <c r="F62" s="16">
        <v>0</v>
      </c>
      <c r="G62" s="16">
        <v>0</v>
      </c>
      <c r="H62" s="16">
        <v>4</v>
      </c>
      <c r="I62" s="16">
        <v>6</v>
      </c>
      <c r="J62" s="16">
        <v>4</v>
      </c>
      <c r="K62" s="16">
        <v>15</v>
      </c>
      <c r="L62" s="16">
        <v>10</v>
      </c>
      <c r="M62" s="16">
        <v>1</v>
      </c>
      <c r="N62" s="16">
        <v>4</v>
      </c>
      <c r="O62" s="16">
        <v>4</v>
      </c>
      <c r="P62" s="16">
        <v>2</v>
      </c>
      <c r="Q62" s="16">
        <v>5</v>
      </c>
      <c r="R62" s="16">
        <v>1</v>
      </c>
      <c r="S62" s="16">
        <v>0</v>
      </c>
      <c r="T62" s="16">
        <v>2</v>
      </c>
      <c r="U62" s="16">
        <v>7</v>
      </c>
      <c r="V62" s="16">
        <v>12</v>
      </c>
      <c r="W62" s="16">
        <v>0</v>
      </c>
      <c r="X62" s="16">
        <v>1</v>
      </c>
      <c r="Y62" s="16">
        <v>0</v>
      </c>
      <c r="Z62" s="16">
        <v>1</v>
      </c>
      <c r="AA62" s="16">
        <v>5</v>
      </c>
      <c r="AB62" s="13">
        <f t="shared" si="15"/>
        <v>88</v>
      </c>
    </row>
    <row r="63" spans="1:28" ht="12.75" customHeight="1" x14ac:dyDescent="0.4">
      <c r="A63" s="15"/>
      <c r="B63" s="28"/>
      <c r="C63" s="29" t="s">
        <v>52</v>
      </c>
      <c r="D63" s="30"/>
      <c r="E63" s="16">
        <v>1</v>
      </c>
      <c r="F63" s="16">
        <v>0</v>
      </c>
      <c r="G63" s="16">
        <v>1</v>
      </c>
      <c r="H63" s="16">
        <v>0</v>
      </c>
      <c r="I63" s="16">
        <v>1</v>
      </c>
      <c r="J63" s="16">
        <v>0</v>
      </c>
      <c r="K63" s="16">
        <v>0</v>
      </c>
      <c r="L63" s="16">
        <v>0</v>
      </c>
      <c r="M63" s="16">
        <v>0</v>
      </c>
      <c r="N63" s="16">
        <v>1</v>
      </c>
      <c r="O63" s="16">
        <v>0</v>
      </c>
      <c r="P63" s="16">
        <v>0</v>
      </c>
      <c r="Q63" s="16">
        <v>0</v>
      </c>
      <c r="R63" s="16">
        <v>1</v>
      </c>
      <c r="S63" s="16">
        <v>3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1</v>
      </c>
      <c r="AA63" s="16">
        <v>0</v>
      </c>
      <c r="AB63" s="13">
        <f t="shared" si="15"/>
        <v>9</v>
      </c>
    </row>
    <row r="64" spans="1:28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13">
        <f t="shared" si="15"/>
        <v>0</v>
      </c>
    </row>
    <row r="65" spans="1:28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13">
        <f t="shared" si="15"/>
        <v>0</v>
      </c>
    </row>
    <row r="66" spans="1:28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13">
        <f t="shared" si="15"/>
        <v>0</v>
      </c>
    </row>
    <row r="67" spans="1:28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AB67" si="16">SUM(E57:E66)</f>
        <v>21</v>
      </c>
      <c r="F67" s="13">
        <f t="shared" si="16"/>
        <v>16</v>
      </c>
      <c r="G67" s="13">
        <f t="shared" si="16"/>
        <v>17</v>
      </c>
      <c r="H67" s="13">
        <f t="shared" si="16"/>
        <v>20</v>
      </c>
      <c r="I67" s="13">
        <f t="shared" si="16"/>
        <v>17</v>
      </c>
      <c r="J67" s="13">
        <f t="shared" si="16"/>
        <v>21</v>
      </c>
      <c r="K67" s="13">
        <f t="shared" si="16"/>
        <v>27</v>
      </c>
      <c r="L67" s="13">
        <f t="shared" si="16"/>
        <v>23</v>
      </c>
      <c r="M67" s="13">
        <f t="shared" si="16"/>
        <v>24</v>
      </c>
      <c r="N67" s="13">
        <f t="shared" si="16"/>
        <v>39</v>
      </c>
      <c r="O67" s="13">
        <f t="shared" si="16"/>
        <v>30</v>
      </c>
      <c r="P67" s="13">
        <f t="shared" si="16"/>
        <v>22</v>
      </c>
      <c r="Q67" s="13">
        <f t="shared" si="16"/>
        <v>26</v>
      </c>
      <c r="R67" s="13">
        <f t="shared" si="16"/>
        <v>12</v>
      </c>
      <c r="S67" s="13">
        <f t="shared" si="16"/>
        <v>18</v>
      </c>
      <c r="T67" s="13">
        <f t="shared" si="16"/>
        <v>42</v>
      </c>
      <c r="U67" s="13">
        <f t="shared" si="16"/>
        <v>30</v>
      </c>
      <c r="V67" s="13">
        <f t="shared" si="16"/>
        <v>43</v>
      </c>
      <c r="W67" s="13">
        <f t="shared" si="16"/>
        <v>18</v>
      </c>
      <c r="X67" s="13">
        <f t="shared" si="16"/>
        <v>17</v>
      </c>
      <c r="Y67" s="13">
        <f t="shared" si="16"/>
        <v>15</v>
      </c>
      <c r="Z67" s="13">
        <f t="shared" si="16"/>
        <v>32</v>
      </c>
      <c r="AA67" s="13">
        <f t="shared" si="16"/>
        <v>27</v>
      </c>
      <c r="AB67" s="13">
        <f t="shared" si="16"/>
        <v>557</v>
      </c>
    </row>
    <row r="68" spans="1:28" ht="12.75" customHeight="1" x14ac:dyDescent="0.4">
      <c r="A68" s="86"/>
      <c r="B68" s="68"/>
      <c r="C68" s="68"/>
      <c r="D68" s="68"/>
      <c r="E68" s="68"/>
    </row>
    <row r="69" spans="1:28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8</v>
      </c>
      <c r="F69" s="16">
        <v>12</v>
      </c>
      <c r="G69" s="16">
        <v>12</v>
      </c>
      <c r="H69" s="16">
        <v>9</v>
      </c>
      <c r="I69" s="16">
        <v>7</v>
      </c>
      <c r="J69" s="16">
        <v>7</v>
      </c>
      <c r="K69" s="16">
        <v>4</v>
      </c>
      <c r="L69" s="16">
        <v>9</v>
      </c>
      <c r="M69" s="16">
        <v>14</v>
      </c>
      <c r="N69" s="16">
        <v>6</v>
      </c>
      <c r="O69" s="16">
        <v>2</v>
      </c>
      <c r="P69" s="16">
        <v>5</v>
      </c>
      <c r="Q69" s="16">
        <v>12</v>
      </c>
      <c r="R69" s="16">
        <v>7</v>
      </c>
      <c r="S69" s="16">
        <v>5</v>
      </c>
      <c r="T69" s="16">
        <v>6</v>
      </c>
      <c r="U69" s="16">
        <v>10</v>
      </c>
      <c r="V69" s="16">
        <v>13</v>
      </c>
      <c r="W69" s="16">
        <v>7</v>
      </c>
      <c r="X69" s="16">
        <v>5</v>
      </c>
      <c r="Y69" s="16">
        <v>7</v>
      </c>
      <c r="Z69" s="16">
        <v>6</v>
      </c>
      <c r="AA69" s="16">
        <v>19</v>
      </c>
      <c r="AB69" s="13">
        <f t="shared" ref="AB69:AB78" si="17">SUM(E69:AA69)</f>
        <v>192</v>
      </c>
    </row>
    <row r="70" spans="1:28" ht="12.75" customHeight="1" x14ac:dyDescent="0.4">
      <c r="A70" s="20" t="s">
        <v>38</v>
      </c>
      <c r="B70" s="28"/>
      <c r="C70" s="29" t="s">
        <v>54</v>
      </c>
      <c r="D70" s="30"/>
      <c r="E70" s="16">
        <v>7</v>
      </c>
      <c r="F70" s="16">
        <v>0</v>
      </c>
      <c r="G70" s="16">
        <v>1</v>
      </c>
      <c r="H70" s="16">
        <v>0</v>
      </c>
      <c r="I70" s="16">
        <v>0</v>
      </c>
      <c r="J70" s="16">
        <v>2</v>
      </c>
      <c r="K70" s="16">
        <v>2</v>
      </c>
      <c r="L70" s="16">
        <v>9</v>
      </c>
      <c r="M70" s="16">
        <v>3</v>
      </c>
      <c r="N70" s="16">
        <v>12</v>
      </c>
      <c r="O70" s="16">
        <v>2</v>
      </c>
      <c r="P70" s="16">
        <v>4</v>
      </c>
      <c r="Q70" s="16">
        <v>5</v>
      </c>
      <c r="R70" s="16">
        <v>6</v>
      </c>
      <c r="S70" s="16">
        <v>5</v>
      </c>
      <c r="T70" s="16">
        <v>0</v>
      </c>
      <c r="U70" s="16">
        <v>4</v>
      </c>
      <c r="V70" s="16">
        <v>4</v>
      </c>
      <c r="W70" s="16">
        <v>0</v>
      </c>
      <c r="X70" s="16">
        <v>6</v>
      </c>
      <c r="Y70" s="16">
        <v>2</v>
      </c>
      <c r="Z70" s="16">
        <v>3</v>
      </c>
      <c r="AA70" s="16">
        <v>1</v>
      </c>
      <c r="AB70" s="13">
        <f t="shared" si="17"/>
        <v>78</v>
      </c>
    </row>
    <row r="71" spans="1:28" ht="12.75" customHeight="1" x14ac:dyDescent="0.4">
      <c r="A71" s="15"/>
      <c r="B71" s="28"/>
      <c r="C71" s="29" t="s">
        <v>55</v>
      </c>
      <c r="D71" s="30"/>
      <c r="E71" s="16">
        <v>54</v>
      </c>
      <c r="F71" s="16">
        <v>21</v>
      </c>
      <c r="G71" s="16">
        <v>14</v>
      </c>
      <c r="H71" s="16">
        <v>7</v>
      </c>
      <c r="I71" s="16">
        <v>6</v>
      </c>
      <c r="J71" s="16">
        <v>9</v>
      </c>
      <c r="K71" s="16">
        <v>13</v>
      </c>
      <c r="L71" s="16">
        <v>5</v>
      </c>
      <c r="M71" s="16">
        <v>1</v>
      </c>
      <c r="N71" s="16">
        <v>8</v>
      </c>
      <c r="O71" s="16">
        <v>3</v>
      </c>
      <c r="P71" s="16">
        <v>2</v>
      </c>
      <c r="Q71" s="16">
        <v>3</v>
      </c>
      <c r="R71" s="16">
        <v>9</v>
      </c>
      <c r="S71" s="16">
        <v>7</v>
      </c>
      <c r="T71" s="16">
        <v>5</v>
      </c>
      <c r="U71" s="16">
        <v>19</v>
      </c>
      <c r="V71" s="16">
        <v>23</v>
      </c>
      <c r="W71" s="16">
        <v>2</v>
      </c>
      <c r="X71" s="16">
        <v>3</v>
      </c>
      <c r="Y71" s="16">
        <v>6</v>
      </c>
      <c r="Z71" s="16">
        <v>10</v>
      </c>
      <c r="AA71" s="16">
        <v>20</v>
      </c>
      <c r="AB71" s="13">
        <f t="shared" si="17"/>
        <v>250</v>
      </c>
    </row>
    <row r="72" spans="1:28" ht="12.75" customHeight="1" x14ac:dyDescent="0.4">
      <c r="A72" s="15"/>
      <c r="B72" s="28"/>
      <c r="C72" s="29" t="s">
        <v>56</v>
      </c>
      <c r="D72" s="30"/>
      <c r="E72" s="16">
        <v>4</v>
      </c>
      <c r="F72" s="16">
        <v>87</v>
      </c>
      <c r="G72" s="16">
        <v>64</v>
      </c>
      <c r="H72" s="16">
        <v>13</v>
      </c>
      <c r="I72" s="16">
        <v>6</v>
      </c>
      <c r="J72" s="16">
        <v>5</v>
      </c>
      <c r="K72" s="16">
        <v>3</v>
      </c>
      <c r="L72" s="16">
        <v>9</v>
      </c>
      <c r="M72" s="16">
        <v>2</v>
      </c>
      <c r="N72" s="16">
        <v>6</v>
      </c>
      <c r="O72" s="16">
        <v>3</v>
      </c>
      <c r="P72" s="16">
        <v>6</v>
      </c>
      <c r="Q72" s="16">
        <v>13</v>
      </c>
      <c r="R72" s="16">
        <v>5</v>
      </c>
      <c r="S72" s="16">
        <v>6</v>
      </c>
      <c r="T72" s="16">
        <v>4</v>
      </c>
      <c r="U72" s="16">
        <v>7</v>
      </c>
      <c r="V72" s="16">
        <v>2</v>
      </c>
      <c r="W72" s="16">
        <v>11</v>
      </c>
      <c r="X72" s="16">
        <v>10</v>
      </c>
      <c r="Y72" s="16">
        <v>4</v>
      </c>
      <c r="Z72" s="16">
        <v>5</v>
      </c>
      <c r="AA72" s="16">
        <v>3</v>
      </c>
      <c r="AB72" s="13">
        <f t="shared" si="17"/>
        <v>278</v>
      </c>
    </row>
    <row r="73" spans="1:28" ht="12.75" customHeight="1" x14ac:dyDescent="0.4">
      <c r="A73" s="15"/>
      <c r="B73" s="28"/>
      <c r="C73" s="29" t="s">
        <v>57</v>
      </c>
      <c r="D73" s="30"/>
      <c r="E73" s="16">
        <v>1</v>
      </c>
      <c r="F73" s="16">
        <v>0</v>
      </c>
      <c r="G73" s="16">
        <v>0</v>
      </c>
      <c r="H73" s="16">
        <v>2</v>
      </c>
      <c r="I73" s="16">
        <v>0</v>
      </c>
      <c r="J73" s="16">
        <v>0</v>
      </c>
      <c r="K73" s="16">
        <v>0</v>
      </c>
      <c r="L73" s="16">
        <v>1</v>
      </c>
      <c r="M73" s="16">
        <v>0</v>
      </c>
      <c r="N73" s="16">
        <v>3</v>
      </c>
      <c r="O73" s="16">
        <v>1</v>
      </c>
      <c r="P73" s="16">
        <v>2</v>
      </c>
      <c r="Q73" s="16">
        <v>2</v>
      </c>
      <c r="R73" s="16">
        <v>1</v>
      </c>
      <c r="S73" s="16">
        <v>2</v>
      </c>
      <c r="T73" s="16">
        <v>0</v>
      </c>
      <c r="U73" s="16">
        <v>1</v>
      </c>
      <c r="V73" s="16">
        <v>3</v>
      </c>
      <c r="W73" s="16">
        <v>2</v>
      </c>
      <c r="X73" s="16">
        <v>1</v>
      </c>
      <c r="Y73" s="16">
        <v>2</v>
      </c>
      <c r="Z73" s="16">
        <v>1</v>
      </c>
      <c r="AA73" s="16">
        <v>1</v>
      </c>
      <c r="AB73" s="13">
        <f t="shared" si="17"/>
        <v>26</v>
      </c>
    </row>
    <row r="74" spans="1:28" ht="12.75" customHeight="1" x14ac:dyDescent="0.4">
      <c r="A74" s="15"/>
      <c r="B74" s="28"/>
      <c r="C74" s="29" t="s">
        <v>58</v>
      </c>
      <c r="D74" s="30"/>
      <c r="E74" s="16">
        <v>3</v>
      </c>
      <c r="F74" s="16">
        <v>5</v>
      </c>
      <c r="G74" s="16">
        <v>3</v>
      </c>
      <c r="H74" s="16">
        <v>2</v>
      </c>
      <c r="I74" s="16">
        <v>4</v>
      </c>
      <c r="J74" s="16">
        <v>0</v>
      </c>
      <c r="K74" s="16">
        <v>2</v>
      </c>
      <c r="L74" s="16">
        <v>1</v>
      </c>
      <c r="M74" s="16">
        <v>6</v>
      </c>
      <c r="N74" s="16">
        <v>6</v>
      </c>
      <c r="O74" s="16">
        <v>18</v>
      </c>
      <c r="P74" s="16">
        <v>7</v>
      </c>
      <c r="Q74" s="16">
        <v>9</v>
      </c>
      <c r="R74" s="16">
        <v>4</v>
      </c>
      <c r="S74" s="16">
        <v>1</v>
      </c>
      <c r="T74" s="16">
        <v>3</v>
      </c>
      <c r="U74" s="16">
        <v>7</v>
      </c>
      <c r="V74" s="16">
        <v>3</v>
      </c>
      <c r="W74" s="16">
        <v>8</v>
      </c>
      <c r="X74" s="16">
        <v>6</v>
      </c>
      <c r="Y74" s="16">
        <v>24</v>
      </c>
      <c r="Z74" s="16">
        <v>14</v>
      </c>
      <c r="AA74" s="16">
        <v>20</v>
      </c>
      <c r="AB74" s="13">
        <f t="shared" si="17"/>
        <v>156</v>
      </c>
    </row>
    <row r="75" spans="1:28" ht="12.75" customHeight="1" x14ac:dyDescent="0.4">
      <c r="A75" s="15"/>
      <c r="B75" s="28"/>
      <c r="C75" s="29" t="s">
        <v>59</v>
      </c>
      <c r="D75" s="30"/>
      <c r="E75" s="16">
        <v>0</v>
      </c>
      <c r="F75" s="16">
        <v>0</v>
      </c>
      <c r="G75" s="16">
        <v>0</v>
      </c>
      <c r="H75" s="16">
        <v>1</v>
      </c>
      <c r="I75" s="16">
        <v>1</v>
      </c>
      <c r="J75" s="16">
        <v>0</v>
      </c>
      <c r="K75" s="16">
        <v>1</v>
      </c>
      <c r="L75" s="16">
        <v>3</v>
      </c>
      <c r="M75" s="16">
        <v>3</v>
      </c>
      <c r="N75" s="16">
        <v>0</v>
      </c>
      <c r="O75" s="16">
        <v>2</v>
      </c>
      <c r="P75" s="16">
        <v>4</v>
      </c>
      <c r="Q75" s="16">
        <v>4</v>
      </c>
      <c r="R75" s="16">
        <v>2</v>
      </c>
      <c r="S75" s="16">
        <v>3</v>
      </c>
      <c r="T75" s="16">
        <v>1</v>
      </c>
      <c r="U75" s="16">
        <v>1</v>
      </c>
      <c r="V75" s="16">
        <v>1</v>
      </c>
      <c r="W75" s="16">
        <v>0</v>
      </c>
      <c r="X75" s="16">
        <v>1</v>
      </c>
      <c r="Y75" s="16">
        <v>1</v>
      </c>
      <c r="Z75" s="16">
        <v>4</v>
      </c>
      <c r="AA75" s="16">
        <v>2</v>
      </c>
      <c r="AB75" s="13">
        <f t="shared" si="17"/>
        <v>35</v>
      </c>
    </row>
    <row r="76" spans="1:28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13">
        <f t="shared" si="17"/>
        <v>0</v>
      </c>
    </row>
    <row r="77" spans="1:28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13">
        <f t="shared" si="17"/>
        <v>0</v>
      </c>
    </row>
    <row r="78" spans="1:28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13">
        <f t="shared" si="17"/>
        <v>0</v>
      </c>
    </row>
    <row r="79" spans="1:28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AB79" si="18">SUM(E69:E78)</f>
        <v>77</v>
      </c>
      <c r="F79" s="13">
        <f t="shared" si="18"/>
        <v>125</v>
      </c>
      <c r="G79" s="13">
        <f t="shared" si="18"/>
        <v>94</v>
      </c>
      <c r="H79" s="13">
        <f t="shared" si="18"/>
        <v>34</v>
      </c>
      <c r="I79" s="13">
        <f t="shared" si="18"/>
        <v>24</v>
      </c>
      <c r="J79" s="13">
        <f t="shared" si="18"/>
        <v>23</v>
      </c>
      <c r="K79" s="13">
        <f t="shared" si="18"/>
        <v>25</v>
      </c>
      <c r="L79" s="13">
        <f t="shared" si="18"/>
        <v>37</v>
      </c>
      <c r="M79" s="13">
        <f t="shared" si="18"/>
        <v>29</v>
      </c>
      <c r="N79" s="13">
        <f t="shared" si="18"/>
        <v>41</v>
      </c>
      <c r="O79" s="13">
        <f t="shared" si="18"/>
        <v>31</v>
      </c>
      <c r="P79" s="13">
        <f t="shared" si="18"/>
        <v>30</v>
      </c>
      <c r="Q79" s="13">
        <f t="shared" si="18"/>
        <v>48</v>
      </c>
      <c r="R79" s="13">
        <f t="shared" si="18"/>
        <v>34</v>
      </c>
      <c r="S79" s="13">
        <f t="shared" si="18"/>
        <v>29</v>
      </c>
      <c r="T79" s="13">
        <f t="shared" si="18"/>
        <v>19</v>
      </c>
      <c r="U79" s="13">
        <f t="shared" si="18"/>
        <v>49</v>
      </c>
      <c r="V79" s="13">
        <f t="shared" si="18"/>
        <v>49</v>
      </c>
      <c r="W79" s="13">
        <f t="shared" si="18"/>
        <v>30</v>
      </c>
      <c r="X79" s="13">
        <f t="shared" si="18"/>
        <v>32</v>
      </c>
      <c r="Y79" s="13">
        <f t="shared" si="18"/>
        <v>46</v>
      </c>
      <c r="Z79" s="13">
        <f t="shared" si="18"/>
        <v>43</v>
      </c>
      <c r="AA79" s="13">
        <f t="shared" si="18"/>
        <v>66</v>
      </c>
      <c r="AB79" s="13">
        <f t="shared" si="18"/>
        <v>1015</v>
      </c>
    </row>
    <row r="80" spans="1:28" ht="12.75" customHeight="1" x14ac:dyDescent="0.4">
      <c r="A80" s="86"/>
      <c r="B80" s="68"/>
      <c r="C80" s="68"/>
      <c r="D80" s="68"/>
      <c r="E80" s="68"/>
    </row>
    <row r="81" spans="1:28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1</v>
      </c>
      <c r="F81" s="16">
        <v>2</v>
      </c>
      <c r="G81" s="16">
        <v>2</v>
      </c>
      <c r="H81" s="16">
        <v>3</v>
      </c>
      <c r="I81" s="16">
        <v>2</v>
      </c>
      <c r="J81" s="16">
        <v>0</v>
      </c>
      <c r="K81" s="16">
        <v>1</v>
      </c>
      <c r="L81" s="16">
        <v>2</v>
      </c>
      <c r="M81" s="16">
        <v>3</v>
      </c>
      <c r="N81" s="16">
        <v>0</v>
      </c>
      <c r="O81" s="16">
        <v>3</v>
      </c>
      <c r="P81" s="16">
        <v>4</v>
      </c>
      <c r="Q81" s="16">
        <v>5</v>
      </c>
      <c r="R81" s="16">
        <v>1</v>
      </c>
      <c r="S81" s="16">
        <v>4</v>
      </c>
      <c r="T81" s="16">
        <v>2</v>
      </c>
      <c r="U81" s="16">
        <v>0</v>
      </c>
      <c r="V81" s="16">
        <v>7</v>
      </c>
      <c r="W81" s="16">
        <v>2</v>
      </c>
      <c r="X81" s="16">
        <v>2</v>
      </c>
      <c r="Y81" s="16">
        <v>0</v>
      </c>
      <c r="Z81" s="16">
        <v>0</v>
      </c>
      <c r="AA81" s="16">
        <v>1</v>
      </c>
      <c r="AB81" s="13">
        <f t="shared" ref="AB81:AB90" si="19">SUM(E81:AA81)</f>
        <v>47</v>
      </c>
    </row>
    <row r="82" spans="1:28" ht="12.75" customHeight="1" x14ac:dyDescent="0.4">
      <c r="A82" s="20" t="s">
        <v>38</v>
      </c>
      <c r="B82" s="28"/>
      <c r="C82" s="29" t="s">
        <v>61</v>
      </c>
      <c r="D82" s="30"/>
      <c r="E82" s="16">
        <v>0</v>
      </c>
      <c r="F82" s="16">
        <v>16</v>
      </c>
      <c r="G82" s="16">
        <v>2</v>
      </c>
      <c r="H82" s="16">
        <v>7</v>
      </c>
      <c r="I82" s="16">
        <v>0</v>
      </c>
      <c r="J82" s="16">
        <v>1</v>
      </c>
      <c r="K82" s="16">
        <v>1</v>
      </c>
      <c r="L82" s="16">
        <v>9</v>
      </c>
      <c r="M82" s="16">
        <v>2</v>
      </c>
      <c r="N82" s="16">
        <v>2</v>
      </c>
      <c r="O82" s="16">
        <v>5</v>
      </c>
      <c r="P82" s="16">
        <v>3</v>
      </c>
      <c r="Q82" s="16">
        <v>5</v>
      </c>
      <c r="R82" s="16">
        <v>12</v>
      </c>
      <c r="S82" s="16">
        <v>4</v>
      </c>
      <c r="T82" s="16">
        <v>24</v>
      </c>
      <c r="U82" s="16">
        <v>14</v>
      </c>
      <c r="V82" s="16">
        <v>6</v>
      </c>
      <c r="W82" s="16">
        <v>2</v>
      </c>
      <c r="X82" s="16">
        <v>2</v>
      </c>
      <c r="Y82" s="16">
        <v>0</v>
      </c>
      <c r="Z82" s="16">
        <v>0</v>
      </c>
      <c r="AA82" s="16">
        <v>0</v>
      </c>
      <c r="AB82" s="13">
        <f t="shared" si="19"/>
        <v>117</v>
      </c>
    </row>
    <row r="83" spans="1:28" ht="12.75" customHeight="1" x14ac:dyDescent="0.4">
      <c r="A83" s="15"/>
      <c r="B83" s="28"/>
      <c r="C83" s="29" t="s">
        <v>62</v>
      </c>
      <c r="D83" s="30"/>
      <c r="E83" s="16">
        <v>1</v>
      </c>
      <c r="F83" s="16">
        <v>1</v>
      </c>
      <c r="G83" s="16">
        <v>1</v>
      </c>
      <c r="H83" s="16">
        <v>0</v>
      </c>
      <c r="I83" s="16">
        <v>0</v>
      </c>
      <c r="J83" s="16">
        <v>0</v>
      </c>
      <c r="K83" s="16">
        <v>0</v>
      </c>
      <c r="L83" s="16">
        <v>0</v>
      </c>
      <c r="M83" s="16">
        <v>0</v>
      </c>
      <c r="N83" s="16">
        <v>5</v>
      </c>
      <c r="O83" s="16">
        <v>0</v>
      </c>
      <c r="P83" s="16">
        <v>1</v>
      </c>
      <c r="Q83" s="16">
        <v>0</v>
      </c>
      <c r="R83" s="16">
        <v>0</v>
      </c>
      <c r="S83" s="16">
        <v>1</v>
      </c>
      <c r="T83" s="16">
        <v>0</v>
      </c>
      <c r="U83" s="16">
        <v>1</v>
      </c>
      <c r="V83" s="16">
        <v>0</v>
      </c>
      <c r="W83" s="16">
        <v>1</v>
      </c>
      <c r="X83" s="16">
        <v>1</v>
      </c>
      <c r="Y83" s="16">
        <v>0</v>
      </c>
      <c r="Z83" s="16">
        <v>0</v>
      </c>
      <c r="AA83" s="16">
        <v>1</v>
      </c>
      <c r="AB83" s="13">
        <f t="shared" si="19"/>
        <v>14</v>
      </c>
    </row>
    <row r="84" spans="1:28" ht="12.75" customHeight="1" x14ac:dyDescent="0.4">
      <c r="A84" s="15"/>
      <c r="B84" s="28"/>
      <c r="C84" s="29" t="s">
        <v>63</v>
      </c>
      <c r="D84" s="30"/>
      <c r="E84" s="16">
        <v>0</v>
      </c>
      <c r="F84" s="16">
        <v>0</v>
      </c>
      <c r="G84" s="16">
        <v>2</v>
      </c>
      <c r="H84" s="16">
        <v>1</v>
      </c>
      <c r="I84" s="16">
        <v>0</v>
      </c>
      <c r="J84" s="16">
        <v>0</v>
      </c>
      <c r="K84" s="16">
        <v>0</v>
      </c>
      <c r="L84" s="16">
        <v>0</v>
      </c>
      <c r="M84" s="16">
        <v>1</v>
      </c>
      <c r="N84" s="16">
        <v>5</v>
      </c>
      <c r="O84" s="16">
        <v>1</v>
      </c>
      <c r="P84" s="16">
        <v>1</v>
      </c>
      <c r="Q84" s="16">
        <v>1</v>
      </c>
      <c r="R84" s="16">
        <v>0</v>
      </c>
      <c r="S84" s="16">
        <v>1</v>
      </c>
      <c r="T84" s="16">
        <v>0</v>
      </c>
      <c r="U84" s="16">
        <v>1</v>
      </c>
      <c r="V84" s="16">
        <v>0</v>
      </c>
      <c r="W84" s="16">
        <v>0</v>
      </c>
      <c r="X84" s="16">
        <v>0</v>
      </c>
      <c r="Y84" s="16">
        <v>0</v>
      </c>
      <c r="Z84" s="16">
        <v>1</v>
      </c>
      <c r="AA84" s="16">
        <v>0</v>
      </c>
      <c r="AB84" s="13">
        <f t="shared" si="19"/>
        <v>15</v>
      </c>
    </row>
    <row r="85" spans="1:28" ht="12.75" customHeight="1" x14ac:dyDescent="0.4">
      <c r="A85" s="15"/>
      <c r="B85" s="28"/>
      <c r="C85" s="29" t="s">
        <v>64</v>
      </c>
      <c r="D85" s="30"/>
      <c r="E85" s="16">
        <v>2</v>
      </c>
      <c r="F85" s="16">
        <v>0</v>
      </c>
      <c r="G85" s="16">
        <v>0</v>
      </c>
      <c r="H85" s="16">
        <v>0</v>
      </c>
      <c r="I85" s="16">
        <v>3</v>
      </c>
      <c r="J85" s="16">
        <v>0</v>
      </c>
      <c r="K85" s="16">
        <v>0</v>
      </c>
      <c r="L85" s="16">
        <v>2</v>
      </c>
      <c r="M85" s="16">
        <v>5</v>
      </c>
      <c r="N85" s="16">
        <v>0</v>
      </c>
      <c r="O85" s="16">
        <v>4</v>
      </c>
      <c r="P85" s="16">
        <v>0</v>
      </c>
      <c r="Q85" s="16">
        <v>1</v>
      </c>
      <c r="R85" s="16">
        <v>6</v>
      </c>
      <c r="S85" s="16">
        <v>11</v>
      </c>
      <c r="T85" s="16">
        <v>5</v>
      </c>
      <c r="U85" s="16">
        <v>4</v>
      </c>
      <c r="V85" s="16">
        <v>4</v>
      </c>
      <c r="W85" s="16">
        <v>0</v>
      </c>
      <c r="X85" s="16">
        <v>0</v>
      </c>
      <c r="Y85" s="16">
        <v>0</v>
      </c>
      <c r="Z85" s="16">
        <v>1</v>
      </c>
      <c r="AA85" s="16">
        <v>0</v>
      </c>
      <c r="AB85" s="13">
        <f t="shared" si="19"/>
        <v>48</v>
      </c>
    </row>
    <row r="86" spans="1:28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1</v>
      </c>
      <c r="H86" s="16">
        <v>1</v>
      </c>
      <c r="I86" s="16">
        <v>0</v>
      </c>
      <c r="J86" s="16">
        <v>0</v>
      </c>
      <c r="K86" s="16">
        <v>1</v>
      </c>
      <c r="L86" s="16">
        <v>0</v>
      </c>
      <c r="M86" s="16">
        <v>0</v>
      </c>
      <c r="N86" s="16">
        <v>4</v>
      </c>
      <c r="O86" s="16">
        <v>0</v>
      </c>
      <c r="P86" s="16">
        <v>0</v>
      </c>
      <c r="Q86" s="16">
        <v>1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1</v>
      </c>
      <c r="AB86" s="13">
        <f t="shared" si="19"/>
        <v>9</v>
      </c>
    </row>
    <row r="87" spans="1:28" ht="12.75" customHeight="1" x14ac:dyDescent="0.4">
      <c r="A87" s="15"/>
      <c r="B87" s="28"/>
      <c r="C87" s="29" t="s">
        <v>66</v>
      </c>
      <c r="D87" s="30"/>
      <c r="E87" s="16">
        <v>5</v>
      </c>
      <c r="F87" s="16">
        <v>1</v>
      </c>
      <c r="G87" s="16">
        <v>0</v>
      </c>
      <c r="H87" s="16">
        <v>1</v>
      </c>
      <c r="I87" s="16">
        <v>0</v>
      </c>
      <c r="J87" s="16">
        <v>0</v>
      </c>
      <c r="K87" s="16">
        <v>2</v>
      </c>
      <c r="L87" s="16">
        <v>0</v>
      </c>
      <c r="M87" s="16">
        <v>0</v>
      </c>
      <c r="N87" s="16">
        <v>4</v>
      </c>
      <c r="O87" s="16">
        <v>2</v>
      </c>
      <c r="P87" s="16">
        <v>5</v>
      </c>
      <c r="Q87" s="16">
        <v>0</v>
      </c>
      <c r="R87" s="16">
        <v>3</v>
      </c>
      <c r="S87" s="16">
        <v>2</v>
      </c>
      <c r="T87" s="16">
        <v>0</v>
      </c>
      <c r="U87" s="16">
        <v>3</v>
      </c>
      <c r="V87" s="16">
        <v>0</v>
      </c>
      <c r="W87" s="16">
        <v>2</v>
      </c>
      <c r="X87" s="16">
        <v>1</v>
      </c>
      <c r="Y87" s="16">
        <v>0</v>
      </c>
      <c r="Z87" s="16">
        <v>1</v>
      </c>
      <c r="AA87" s="16">
        <v>0</v>
      </c>
      <c r="AB87" s="13">
        <f t="shared" si="19"/>
        <v>32</v>
      </c>
    </row>
    <row r="88" spans="1:28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13">
        <f t="shared" si="19"/>
        <v>0</v>
      </c>
    </row>
    <row r="89" spans="1:28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13">
        <f t="shared" si="19"/>
        <v>0</v>
      </c>
    </row>
    <row r="90" spans="1:28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13">
        <f t="shared" si="19"/>
        <v>0</v>
      </c>
    </row>
    <row r="91" spans="1:28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AB91" si="20">SUM(E81:E90)</f>
        <v>9</v>
      </c>
      <c r="F91" s="13">
        <f t="shared" si="20"/>
        <v>20</v>
      </c>
      <c r="G91" s="13">
        <f t="shared" si="20"/>
        <v>8</v>
      </c>
      <c r="H91" s="13">
        <f t="shared" si="20"/>
        <v>13</v>
      </c>
      <c r="I91" s="13">
        <f t="shared" si="20"/>
        <v>5</v>
      </c>
      <c r="J91" s="13">
        <f t="shared" si="20"/>
        <v>1</v>
      </c>
      <c r="K91" s="13">
        <f t="shared" si="20"/>
        <v>5</v>
      </c>
      <c r="L91" s="13">
        <f t="shared" si="20"/>
        <v>13</v>
      </c>
      <c r="M91" s="13">
        <f t="shared" si="20"/>
        <v>11</v>
      </c>
      <c r="N91" s="13">
        <f t="shared" si="20"/>
        <v>20</v>
      </c>
      <c r="O91" s="13">
        <f t="shared" si="20"/>
        <v>15</v>
      </c>
      <c r="P91" s="13">
        <f t="shared" si="20"/>
        <v>14</v>
      </c>
      <c r="Q91" s="13">
        <f t="shared" si="20"/>
        <v>13</v>
      </c>
      <c r="R91" s="13">
        <f t="shared" si="20"/>
        <v>22</v>
      </c>
      <c r="S91" s="13">
        <f t="shared" si="20"/>
        <v>23</v>
      </c>
      <c r="T91" s="13">
        <f t="shared" si="20"/>
        <v>31</v>
      </c>
      <c r="U91" s="13">
        <f t="shared" si="20"/>
        <v>23</v>
      </c>
      <c r="V91" s="13">
        <f t="shared" si="20"/>
        <v>17</v>
      </c>
      <c r="W91" s="13">
        <f t="shared" si="20"/>
        <v>7</v>
      </c>
      <c r="X91" s="13">
        <f t="shared" si="20"/>
        <v>6</v>
      </c>
      <c r="Y91" s="13">
        <f t="shared" si="20"/>
        <v>0</v>
      </c>
      <c r="Z91" s="13">
        <f t="shared" si="20"/>
        <v>3</v>
      </c>
      <c r="AA91" s="13">
        <f t="shared" si="20"/>
        <v>3</v>
      </c>
      <c r="AB91" s="13">
        <f t="shared" si="20"/>
        <v>282</v>
      </c>
    </row>
    <row r="92" spans="1:28" ht="12.75" customHeight="1" x14ac:dyDescent="0.4">
      <c r="A92" s="86"/>
      <c r="B92" s="68"/>
      <c r="C92" s="68"/>
      <c r="D92" s="68"/>
      <c r="E92" s="68"/>
    </row>
    <row r="93" spans="1:28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1</v>
      </c>
      <c r="F93" s="16">
        <v>0</v>
      </c>
      <c r="G93" s="16">
        <v>2</v>
      </c>
      <c r="H93" s="16">
        <v>1</v>
      </c>
      <c r="I93" s="16">
        <v>0</v>
      </c>
      <c r="J93" s="16">
        <v>0</v>
      </c>
      <c r="K93" s="16">
        <v>2</v>
      </c>
      <c r="L93" s="16">
        <v>2</v>
      </c>
      <c r="M93" s="16">
        <v>0</v>
      </c>
      <c r="N93" s="16">
        <v>0</v>
      </c>
      <c r="O93" s="16">
        <v>2</v>
      </c>
      <c r="P93" s="16">
        <v>0</v>
      </c>
      <c r="Q93" s="16">
        <v>5</v>
      </c>
      <c r="R93" s="16">
        <v>2</v>
      </c>
      <c r="S93" s="16">
        <v>1</v>
      </c>
      <c r="T93" s="16">
        <v>1</v>
      </c>
      <c r="U93" s="16">
        <v>4</v>
      </c>
      <c r="V93" s="16">
        <v>0</v>
      </c>
      <c r="W93" s="16">
        <v>0</v>
      </c>
      <c r="X93" s="16">
        <v>0</v>
      </c>
      <c r="Y93" s="16">
        <v>1</v>
      </c>
      <c r="Z93" s="16">
        <v>1</v>
      </c>
      <c r="AA93" s="16">
        <v>6</v>
      </c>
      <c r="AB93" s="13">
        <f t="shared" ref="AB93:AB102" si="21">SUM(E93:AA93)</f>
        <v>31</v>
      </c>
    </row>
    <row r="94" spans="1:28" ht="12.75" customHeight="1" x14ac:dyDescent="0.4">
      <c r="A94" s="20" t="s">
        <v>38</v>
      </c>
      <c r="B94" s="28"/>
      <c r="C94" s="29" t="s">
        <v>69</v>
      </c>
      <c r="D94" s="30"/>
      <c r="E94" s="16">
        <v>0</v>
      </c>
      <c r="F94" s="16">
        <v>1</v>
      </c>
      <c r="G94" s="16">
        <v>0</v>
      </c>
      <c r="H94" s="16">
        <v>0</v>
      </c>
      <c r="I94" s="16">
        <v>1</v>
      </c>
      <c r="J94" s="16">
        <v>0</v>
      </c>
      <c r="K94" s="16">
        <v>1</v>
      </c>
      <c r="L94" s="16">
        <v>1</v>
      </c>
      <c r="M94" s="16">
        <v>0</v>
      </c>
      <c r="N94" s="16">
        <v>1</v>
      </c>
      <c r="O94" s="16">
        <v>0</v>
      </c>
      <c r="P94" s="16">
        <v>0</v>
      </c>
      <c r="Q94" s="16">
        <v>6</v>
      </c>
      <c r="R94" s="16">
        <v>1</v>
      </c>
      <c r="S94" s="16">
        <v>4</v>
      </c>
      <c r="T94" s="16">
        <v>1</v>
      </c>
      <c r="U94" s="16">
        <v>11</v>
      </c>
      <c r="V94" s="16">
        <v>29</v>
      </c>
      <c r="W94" s="16">
        <v>1</v>
      </c>
      <c r="X94" s="16">
        <v>3</v>
      </c>
      <c r="Y94" s="16">
        <v>3</v>
      </c>
      <c r="Z94" s="16">
        <v>5</v>
      </c>
      <c r="AA94" s="16">
        <v>3</v>
      </c>
      <c r="AB94" s="13">
        <f t="shared" si="21"/>
        <v>72</v>
      </c>
    </row>
    <row r="95" spans="1:28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1</v>
      </c>
      <c r="N95" s="16">
        <v>0</v>
      </c>
      <c r="O95" s="16">
        <v>0</v>
      </c>
      <c r="P95" s="16">
        <v>0</v>
      </c>
      <c r="Q95" s="16">
        <v>6</v>
      </c>
      <c r="R95" s="16">
        <v>1</v>
      </c>
      <c r="S95" s="16">
        <v>2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1</v>
      </c>
      <c r="Z95" s="16">
        <v>0</v>
      </c>
      <c r="AA95" s="16">
        <v>0</v>
      </c>
      <c r="AB95" s="13">
        <f t="shared" si="21"/>
        <v>11</v>
      </c>
    </row>
    <row r="96" spans="1:28" ht="12.75" customHeight="1" x14ac:dyDescent="0.4">
      <c r="A96" s="15"/>
      <c r="B96" s="28"/>
      <c r="C96" s="29" t="s">
        <v>71</v>
      </c>
      <c r="D96" s="30"/>
      <c r="E96" s="16">
        <v>3</v>
      </c>
      <c r="F96" s="16">
        <v>0</v>
      </c>
      <c r="G96" s="16">
        <v>3</v>
      </c>
      <c r="H96" s="16">
        <v>1</v>
      </c>
      <c r="I96" s="16">
        <v>1</v>
      </c>
      <c r="J96" s="16">
        <v>0</v>
      </c>
      <c r="K96" s="16">
        <v>3</v>
      </c>
      <c r="L96" s="16">
        <v>0</v>
      </c>
      <c r="M96" s="16">
        <v>2</v>
      </c>
      <c r="N96" s="16">
        <v>2</v>
      </c>
      <c r="O96" s="16">
        <v>1</v>
      </c>
      <c r="P96" s="16">
        <v>1</v>
      </c>
      <c r="Q96" s="16">
        <v>1</v>
      </c>
      <c r="R96" s="16">
        <v>1</v>
      </c>
      <c r="S96" s="16">
        <v>1</v>
      </c>
      <c r="T96" s="16">
        <v>0</v>
      </c>
      <c r="U96" s="16">
        <v>2</v>
      </c>
      <c r="V96" s="16">
        <v>0</v>
      </c>
      <c r="W96" s="16">
        <v>0</v>
      </c>
      <c r="X96" s="16">
        <v>0</v>
      </c>
      <c r="Y96" s="16">
        <v>2</v>
      </c>
      <c r="Z96" s="16">
        <v>0</v>
      </c>
      <c r="AA96" s="16">
        <v>0</v>
      </c>
      <c r="AB96" s="13">
        <f t="shared" si="21"/>
        <v>24</v>
      </c>
    </row>
    <row r="97" spans="1:28" ht="12.75" customHeight="1" x14ac:dyDescent="0.4">
      <c r="A97" s="15"/>
      <c r="B97" s="28"/>
      <c r="C97" s="29" t="s">
        <v>72</v>
      </c>
      <c r="D97" s="30"/>
      <c r="E97" s="16">
        <v>19</v>
      </c>
      <c r="F97" s="16">
        <v>3</v>
      </c>
      <c r="G97" s="16">
        <v>10</v>
      </c>
      <c r="H97" s="16">
        <v>6</v>
      </c>
      <c r="I97" s="16">
        <v>10</v>
      </c>
      <c r="J97" s="16">
        <v>4</v>
      </c>
      <c r="K97" s="16">
        <v>20</v>
      </c>
      <c r="L97" s="16">
        <v>9</v>
      </c>
      <c r="M97" s="16">
        <v>7</v>
      </c>
      <c r="N97" s="16">
        <v>3</v>
      </c>
      <c r="O97" s="16">
        <v>12</v>
      </c>
      <c r="P97" s="16">
        <v>5</v>
      </c>
      <c r="Q97" s="16">
        <v>2</v>
      </c>
      <c r="R97" s="16">
        <v>4</v>
      </c>
      <c r="S97" s="16">
        <v>0</v>
      </c>
      <c r="T97" s="16">
        <v>2</v>
      </c>
      <c r="U97" s="16">
        <v>5</v>
      </c>
      <c r="V97" s="16">
        <v>4</v>
      </c>
      <c r="W97" s="16">
        <v>0</v>
      </c>
      <c r="X97" s="16">
        <v>2</v>
      </c>
      <c r="Y97" s="16">
        <v>1</v>
      </c>
      <c r="Z97" s="16">
        <v>0</v>
      </c>
      <c r="AA97" s="16">
        <v>2</v>
      </c>
      <c r="AB97" s="13">
        <f t="shared" si="21"/>
        <v>130</v>
      </c>
    </row>
    <row r="98" spans="1:28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0</v>
      </c>
      <c r="G98" s="16">
        <v>0</v>
      </c>
      <c r="H98" s="16">
        <v>1</v>
      </c>
      <c r="I98" s="16">
        <v>0</v>
      </c>
      <c r="J98" s="16">
        <v>0</v>
      </c>
      <c r="K98" s="16">
        <v>0</v>
      </c>
      <c r="L98" s="16">
        <v>0</v>
      </c>
      <c r="M98" s="16">
        <v>1</v>
      </c>
      <c r="N98" s="16">
        <v>0</v>
      </c>
      <c r="O98" s="16">
        <v>2</v>
      </c>
      <c r="P98" s="16">
        <v>0</v>
      </c>
      <c r="Q98" s="16">
        <v>5</v>
      </c>
      <c r="R98" s="16">
        <v>11</v>
      </c>
      <c r="S98" s="16">
        <v>4</v>
      </c>
      <c r="T98" s="16">
        <v>1</v>
      </c>
      <c r="U98" s="16">
        <v>0</v>
      </c>
      <c r="V98" s="16">
        <v>1</v>
      </c>
      <c r="W98" s="16">
        <v>0</v>
      </c>
      <c r="X98" s="16">
        <v>0</v>
      </c>
      <c r="Y98" s="16">
        <v>0</v>
      </c>
      <c r="Z98" s="16">
        <v>0</v>
      </c>
      <c r="AA98" s="16">
        <v>1</v>
      </c>
      <c r="AB98" s="13">
        <f t="shared" si="21"/>
        <v>27</v>
      </c>
    </row>
    <row r="99" spans="1:28" ht="12.75" customHeight="1" x14ac:dyDescent="0.4">
      <c r="A99" s="15"/>
      <c r="B99" s="28"/>
      <c r="C99" s="29" t="s">
        <v>74</v>
      </c>
      <c r="D99" s="30"/>
      <c r="E99" s="16">
        <v>2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0</v>
      </c>
      <c r="P99" s="16">
        <v>0</v>
      </c>
      <c r="Q99" s="16">
        <v>1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1</v>
      </c>
      <c r="AA99" s="16">
        <v>0</v>
      </c>
      <c r="AB99" s="13">
        <f t="shared" si="21"/>
        <v>5</v>
      </c>
    </row>
    <row r="100" spans="1:28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13">
        <f t="shared" si="21"/>
        <v>0</v>
      </c>
    </row>
    <row r="101" spans="1:28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13">
        <f t="shared" si="21"/>
        <v>0</v>
      </c>
    </row>
    <row r="102" spans="1:28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13">
        <f t="shared" si="21"/>
        <v>0</v>
      </c>
    </row>
    <row r="103" spans="1:28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AB103" si="22">SUM(E93:E102)</f>
        <v>25</v>
      </c>
      <c r="F103" s="13">
        <f t="shared" si="22"/>
        <v>4</v>
      </c>
      <c r="G103" s="13">
        <f t="shared" si="22"/>
        <v>15</v>
      </c>
      <c r="H103" s="13">
        <f t="shared" si="22"/>
        <v>9</v>
      </c>
      <c r="I103" s="13">
        <f t="shared" si="22"/>
        <v>12</v>
      </c>
      <c r="J103" s="13">
        <f t="shared" si="22"/>
        <v>4</v>
      </c>
      <c r="K103" s="13">
        <f t="shared" si="22"/>
        <v>26</v>
      </c>
      <c r="L103" s="13">
        <f t="shared" si="22"/>
        <v>12</v>
      </c>
      <c r="M103" s="13">
        <f t="shared" si="22"/>
        <v>11</v>
      </c>
      <c r="N103" s="13">
        <f t="shared" si="22"/>
        <v>7</v>
      </c>
      <c r="O103" s="13">
        <f t="shared" si="22"/>
        <v>17</v>
      </c>
      <c r="P103" s="13">
        <f t="shared" si="22"/>
        <v>6</v>
      </c>
      <c r="Q103" s="13">
        <f t="shared" si="22"/>
        <v>26</v>
      </c>
      <c r="R103" s="13">
        <f t="shared" si="22"/>
        <v>20</v>
      </c>
      <c r="S103" s="13">
        <f t="shared" si="22"/>
        <v>12</v>
      </c>
      <c r="T103" s="13">
        <f t="shared" si="22"/>
        <v>5</v>
      </c>
      <c r="U103" s="13">
        <f t="shared" si="22"/>
        <v>22</v>
      </c>
      <c r="V103" s="13">
        <f t="shared" si="22"/>
        <v>34</v>
      </c>
      <c r="W103" s="13">
        <f t="shared" si="22"/>
        <v>1</v>
      </c>
      <c r="X103" s="13">
        <f t="shared" si="22"/>
        <v>5</v>
      </c>
      <c r="Y103" s="13">
        <f t="shared" si="22"/>
        <v>8</v>
      </c>
      <c r="Z103" s="13">
        <f t="shared" si="22"/>
        <v>7</v>
      </c>
      <c r="AA103" s="13">
        <f t="shared" si="22"/>
        <v>12</v>
      </c>
      <c r="AB103" s="13">
        <f t="shared" si="22"/>
        <v>300</v>
      </c>
    </row>
    <row r="104" spans="1:28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</row>
    <row r="105" spans="1:28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0</v>
      </c>
      <c r="H105" s="16">
        <v>1</v>
      </c>
      <c r="I105" s="16">
        <v>1</v>
      </c>
      <c r="J105" s="16">
        <v>0</v>
      </c>
      <c r="K105" s="16">
        <v>0</v>
      </c>
      <c r="L105" s="16">
        <v>0</v>
      </c>
      <c r="M105" s="16">
        <v>0</v>
      </c>
      <c r="N105" s="16">
        <v>1</v>
      </c>
      <c r="O105" s="16">
        <v>1</v>
      </c>
      <c r="P105" s="16">
        <v>0</v>
      </c>
      <c r="Q105" s="16">
        <v>0</v>
      </c>
      <c r="R105" s="16">
        <v>0</v>
      </c>
      <c r="S105" s="16">
        <v>1</v>
      </c>
      <c r="T105" s="16">
        <v>2</v>
      </c>
      <c r="U105" s="16">
        <v>0</v>
      </c>
      <c r="V105" s="16">
        <v>1</v>
      </c>
      <c r="W105" s="16">
        <v>2</v>
      </c>
      <c r="X105" s="16">
        <v>0</v>
      </c>
      <c r="Y105" s="16">
        <v>0</v>
      </c>
      <c r="Z105" s="16">
        <v>1</v>
      </c>
      <c r="AA105" s="16">
        <v>2</v>
      </c>
      <c r="AB105" s="13">
        <f t="shared" ref="AB105:AB114" si="23">SUM(E105:AA105)</f>
        <v>13</v>
      </c>
    </row>
    <row r="106" spans="1:28" ht="12.75" customHeight="1" x14ac:dyDescent="0.4">
      <c r="A106" s="20" t="s">
        <v>38</v>
      </c>
      <c r="B106" s="28"/>
      <c r="C106" s="29" t="s">
        <v>77</v>
      </c>
      <c r="D106" s="40"/>
      <c r="E106" s="16">
        <v>1</v>
      </c>
      <c r="F106" s="16">
        <v>1</v>
      </c>
      <c r="G106" s="16">
        <v>0</v>
      </c>
      <c r="H106" s="16">
        <v>0</v>
      </c>
      <c r="I106" s="16">
        <v>1</v>
      </c>
      <c r="J106" s="16">
        <v>0</v>
      </c>
      <c r="K106" s="16">
        <v>0</v>
      </c>
      <c r="L106" s="16">
        <v>0</v>
      </c>
      <c r="M106" s="16">
        <v>0</v>
      </c>
      <c r="N106" s="16">
        <v>0</v>
      </c>
      <c r="O106" s="16">
        <v>0</v>
      </c>
      <c r="P106" s="16">
        <v>0</v>
      </c>
      <c r="Q106" s="16">
        <v>1</v>
      </c>
      <c r="R106" s="16">
        <v>2</v>
      </c>
      <c r="S106" s="16">
        <v>2</v>
      </c>
      <c r="T106" s="16">
        <v>1</v>
      </c>
      <c r="U106" s="16">
        <v>0</v>
      </c>
      <c r="V106" s="16">
        <v>0</v>
      </c>
      <c r="W106" s="16">
        <v>0</v>
      </c>
      <c r="X106" s="16">
        <v>0</v>
      </c>
      <c r="Y106" s="16">
        <v>1</v>
      </c>
      <c r="Z106" s="16">
        <v>1</v>
      </c>
      <c r="AA106" s="16">
        <v>0</v>
      </c>
      <c r="AB106" s="13">
        <f t="shared" si="23"/>
        <v>11</v>
      </c>
    </row>
    <row r="107" spans="1:28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13">
        <f t="shared" si="23"/>
        <v>0</v>
      </c>
    </row>
    <row r="108" spans="1:28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13">
        <f t="shared" si="23"/>
        <v>0</v>
      </c>
    </row>
    <row r="109" spans="1:28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13">
        <f t="shared" si="23"/>
        <v>0</v>
      </c>
    </row>
    <row r="110" spans="1:28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13">
        <f t="shared" si="23"/>
        <v>0</v>
      </c>
    </row>
    <row r="111" spans="1:28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13">
        <f t="shared" si="23"/>
        <v>0</v>
      </c>
    </row>
    <row r="112" spans="1:28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13">
        <f t="shared" si="23"/>
        <v>0</v>
      </c>
    </row>
    <row r="113" spans="1:28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13">
        <f t="shared" si="23"/>
        <v>0</v>
      </c>
    </row>
    <row r="114" spans="1:28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13">
        <f t="shared" si="23"/>
        <v>0</v>
      </c>
    </row>
    <row r="115" spans="1:28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AB115" si="24">SUM(E105:E114)</f>
        <v>1</v>
      </c>
      <c r="F115" s="13">
        <f t="shared" si="24"/>
        <v>1</v>
      </c>
      <c r="G115" s="13">
        <f t="shared" si="24"/>
        <v>0</v>
      </c>
      <c r="H115" s="13">
        <f t="shared" si="24"/>
        <v>1</v>
      </c>
      <c r="I115" s="13">
        <f t="shared" si="24"/>
        <v>2</v>
      </c>
      <c r="J115" s="13">
        <f t="shared" si="24"/>
        <v>0</v>
      </c>
      <c r="K115" s="13">
        <f t="shared" si="24"/>
        <v>0</v>
      </c>
      <c r="L115" s="13">
        <f t="shared" si="24"/>
        <v>0</v>
      </c>
      <c r="M115" s="13">
        <f t="shared" si="24"/>
        <v>0</v>
      </c>
      <c r="N115" s="13">
        <f t="shared" si="24"/>
        <v>1</v>
      </c>
      <c r="O115" s="13">
        <f t="shared" si="24"/>
        <v>1</v>
      </c>
      <c r="P115" s="13">
        <f t="shared" si="24"/>
        <v>0</v>
      </c>
      <c r="Q115" s="13">
        <f t="shared" si="24"/>
        <v>1</v>
      </c>
      <c r="R115" s="13">
        <f t="shared" si="24"/>
        <v>2</v>
      </c>
      <c r="S115" s="13">
        <f t="shared" si="24"/>
        <v>3</v>
      </c>
      <c r="T115" s="13">
        <f t="shared" si="24"/>
        <v>3</v>
      </c>
      <c r="U115" s="13">
        <f t="shared" si="24"/>
        <v>0</v>
      </c>
      <c r="V115" s="13">
        <f t="shared" si="24"/>
        <v>1</v>
      </c>
      <c r="W115" s="13">
        <f t="shared" si="24"/>
        <v>2</v>
      </c>
      <c r="X115" s="13">
        <f t="shared" si="24"/>
        <v>0</v>
      </c>
      <c r="Y115" s="13">
        <f t="shared" si="24"/>
        <v>1</v>
      </c>
      <c r="Z115" s="13">
        <f t="shared" si="24"/>
        <v>2</v>
      </c>
      <c r="AA115" s="13">
        <f t="shared" si="24"/>
        <v>2</v>
      </c>
      <c r="AB115" s="13">
        <f t="shared" si="24"/>
        <v>24</v>
      </c>
    </row>
    <row r="116" spans="1:28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AB116" s="13"/>
    </row>
    <row r="117" spans="1:28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0</v>
      </c>
      <c r="F117" s="16">
        <v>0</v>
      </c>
      <c r="G117" s="16">
        <v>1</v>
      </c>
      <c r="H117" s="16">
        <v>2</v>
      </c>
      <c r="I117" s="16">
        <v>1</v>
      </c>
      <c r="J117" s="16">
        <v>2</v>
      </c>
      <c r="K117" s="16">
        <v>0</v>
      </c>
      <c r="L117" s="16">
        <v>2</v>
      </c>
      <c r="M117" s="16">
        <v>0</v>
      </c>
      <c r="N117" s="16">
        <v>0</v>
      </c>
      <c r="O117" s="16">
        <v>0</v>
      </c>
      <c r="P117" s="16">
        <v>0</v>
      </c>
      <c r="Q117" s="16">
        <v>0</v>
      </c>
      <c r="R117" s="16">
        <v>2</v>
      </c>
      <c r="S117" s="16">
        <v>0</v>
      </c>
      <c r="T117" s="16">
        <v>4</v>
      </c>
      <c r="U117" s="16">
        <v>2</v>
      </c>
      <c r="V117" s="16">
        <v>5</v>
      </c>
      <c r="W117" s="16">
        <v>0</v>
      </c>
      <c r="X117" s="16">
        <v>3</v>
      </c>
      <c r="Y117" s="16">
        <v>6</v>
      </c>
      <c r="Z117" s="16">
        <v>0</v>
      </c>
      <c r="AA117" s="16">
        <v>0</v>
      </c>
      <c r="AB117" s="13">
        <f t="shared" ref="AB117:AB126" si="25">SUM(E117:AA117)</f>
        <v>30</v>
      </c>
    </row>
    <row r="118" spans="1:28" ht="12.75" customHeight="1" x14ac:dyDescent="0.4">
      <c r="A118" s="20" t="s">
        <v>38</v>
      </c>
      <c r="B118" s="28"/>
      <c r="C118" s="29" t="s">
        <v>80</v>
      </c>
      <c r="D118" s="30"/>
      <c r="E118" s="16">
        <v>1</v>
      </c>
      <c r="F118" s="16">
        <v>0</v>
      </c>
      <c r="G118" s="16">
        <v>1</v>
      </c>
      <c r="H118" s="16">
        <v>0</v>
      </c>
      <c r="I118" s="16">
        <v>0</v>
      </c>
      <c r="J118" s="16">
        <v>1</v>
      </c>
      <c r="K118" s="16">
        <v>2</v>
      </c>
      <c r="L118" s="16">
        <v>5</v>
      </c>
      <c r="M118" s="16">
        <v>4</v>
      </c>
      <c r="N118" s="16">
        <v>1</v>
      </c>
      <c r="O118" s="16">
        <v>4</v>
      </c>
      <c r="P118" s="16">
        <v>0</v>
      </c>
      <c r="Q118" s="16">
        <v>2</v>
      </c>
      <c r="R118" s="16">
        <v>1</v>
      </c>
      <c r="S118" s="16">
        <v>0</v>
      </c>
      <c r="T118" s="16">
        <v>5</v>
      </c>
      <c r="U118" s="16">
        <v>4</v>
      </c>
      <c r="V118" s="16">
        <v>0</v>
      </c>
      <c r="W118" s="16">
        <v>3</v>
      </c>
      <c r="X118" s="16">
        <v>3</v>
      </c>
      <c r="Y118" s="16">
        <v>12</v>
      </c>
      <c r="Z118" s="16">
        <v>2</v>
      </c>
      <c r="AA118" s="16">
        <v>0</v>
      </c>
      <c r="AB118" s="13">
        <f t="shared" si="25"/>
        <v>51</v>
      </c>
    </row>
    <row r="119" spans="1:28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0</v>
      </c>
      <c r="O119" s="16">
        <v>0</v>
      </c>
      <c r="P119" s="16">
        <v>1</v>
      </c>
      <c r="Q119" s="16">
        <v>0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3">
        <f t="shared" si="25"/>
        <v>1</v>
      </c>
    </row>
    <row r="120" spans="1:28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3">
        <f t="shared" si="25"/>
        <v>0</v>
      </c>
    </row>
    <row r="121" spans="1:28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1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53">
        <v>1</v>
      </c>
      <c r="U121" s="53">
        <v>0</v>
      </c>
      <c r="V121" s="53">
        <v>1</v>
      </c>
      <c r="W121" s="53">
        <v>0</v>
      </c>
      <c r="X121" s="53">
        <v>0</v>
      </c>
      <c r="Y121" s="53">
        <v>0</v>
      </c>
      <c r="Z121" s="53">
        <v>0</v>
      </c>
      <c r="AA121" s="53">
        <v>0</v>
      </c>
      <c r="AB121" s="13">
        <f t="shared" si="25"/>
        <v>3</v>
      </c>
    </row>
    <row r="122" spans="1:28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0</v>
      </c>
      <c r="G122" s="53">
        <v>0</v>
      </c>
      <c r="H122" s="53">
        <v>0</v>
      </c>
      <c r="I122" s="53">
        <v>0</v>
      </c>
      <c r="J122" s="53">
        <v>0</v>
      </c>
      <c r="K122" s="53">
        <v>0</v>
      </c>
      <c r="L122" s="53">
        <v>0</v>
      </c>
      <c r="M122" s="53">
        <v>1</v>
      </c>
      <c r="N122" s="53">
        <v>0</v>
      </c>
      <c r="O122" s="53">
        <v>0</v>
      </c>
      <c r="P122" s="16">
        <v>1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53">
        <v>0</v>
      </c>
      <c r="X122" s="53">
        <v>0</v>
      </c>
      <c r="Y122" s="53">
        <v>1</v>
      </c>
      <c r="Z122" s="53">
        <v>1</v>
      </c>
      <c r="AA122" s="53">
        <v>0</v>
      </c>
      <c r="AB122" s="13">
        <f t="shared" si="25"/>
        <v>4</v>
      </c>
    </row>
    <row r="123" spans="1:28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1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41">
        <v>0</v>
      </c>
      <c r="S123" s="41">
        <v>0</v>
      </c>
      <c r="T123" s="41">
        <v>0</v>
      </c>
      <c r="U123" s="41">
        <v>0</v>
      </c>
      <c r="V123" s="41">
        <v>0</v>
      </c>
      <c r="W123" s="41">
        <v>0</v>
      </c>
      <c r="X123" s="41">
        <v>0</v>
      </c>
      <c r="Y123" s="41">
        <v>0</v>
      </c>
      <c r="Z123" s="41">
        <v>0</v>
      </c>
      <c r="AA123" s="41">
        <v>0</v>
      </c>
      <c r="AB123" s="13">
        <f t="shared" si="25"/>
        <v>1</v>
      </c>
    </row>
    <row r="124" spans="1:28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13">
        <f t="shared" si="25"/>
        <v>0</v>
      </c>
    </row>
    <row r="125" spans="1:28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13">
        <f t="shared" si="25"/>
        <v>0</v>
      </c>
    </row>
    <row r="126" spans="1:28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13">
        <f t="shared" si="25"/>
        <v>0</v>
      </c>
    </row>
    <row r="127" spans="1:28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AB127" si="26">SUM(E117:E126)</f>
        <v>1</v>
      </c>
      <c r="F127" s="13">
        <f t="shared" si="26"/>
        <v>0</v>
      </c>
      <c r="G127" s="13">
        <f t="shared" si="26"/>
        <v>2</v>
      </c>
      <c r="H127" s="13">
        <f t="shared" si="26"/>
        <v>2</v>
      </c>
      <c r="I127" s="13">
        <f t="shared" si="26"/>
        <v>1</v>
      </c>
      <c r="J127" s="13">
        <f t="shared" si="26"/>
        <v>4</v>
      </c>
      <c r="K127" s="13">
        <f t="shared" si="26"/>
        <v>2</v>
      </c>
      <c r="L127" s="13">
        <f t="shared" si="26"/>
        <v>8</v>
      </c>
      <c r="M127" s="13">
        <f t="shared" si="26"/>
        <v>5</v>
      </c>
      <c r="N127" s="13">
        <f t="shared" si="26"/>
        <v>1</v>
      </c>
      <c r="O127" s="13">
        <f t="shared" si="26"/>
        <v>4</v>
      </c>
      <c r="P127" s="13">
        <f t="shared" si="26"/>
        <v>2</v>
      </c>
      <c r="Q127" s="13">
        <f t="shared" si="26"/>
        <v>2</v>
      </c>
      <c r="R127" s="13">
        <f t="shared" si="26"/>
        <v>3</v>
      </c>
      <c r="S127" s="13">
        <f t="shared" si="26"/>
        <v>0</v>
      </c>
      <c r="T127" s="13">
        <f t="shared" si="26"/>
        <v>10</v>
      </c>
      <c r="U127" s="13">
        <f t="shared" si="26"/>
        <v>6</v>
      </c>
      <c r="V127" s="13">
        <f t="shared" si="26"/>
        <v>6</v>
      </c>
      <c r="W127" s="13">
        <f t="shared" si="26"/>
        <v>3</v>
      </c>
      <c r="X127" s="13">
        <f t="shared" si="26"/>
        <v>6</v>
      </c>
      <c r="Y127" s="13">
        <f t="shared" si="26"/>
        <v>19</v>
      </c>
      <c r="Z127" s="13">
        <f t="shared" si="26"/>
        <v>3</v>
      </c>
      <c r="AA127" s="13">
        <f t="shared" si="26"/>
        <v>0</v>
      </c>
      <c r="AB127" s="13">
        <f t="shared" si="26"/>
        <v>90</v>
      </c>
    </row>
    <row r="128" spans="1:28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</row>
    <row r="129" spans="1:28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2</v>
      </c>
      <c r="F129" s="16">
        <v>0</v>
      </c>
      <c r="G129" s="16">
        <v>0</v>
      </c>
      <c r="H129" s="16">
        <v>2</v>
      </c>
      <c r="I129" s="16">
        <v>2</v>
      </c>
      <c r="J129" s="16">
        <v>2</v>
      </c>
      <c r="K129" s="16">
        <v>0</v>
      </c>
      <c r="L129" s="16">
        <v>1</v>
      </c>
      <c r="M129" s="16">
        <v>1</v>
      </c>
      <c r="N129" s="16">
        <v>2</v>
      </c>
      <c r="O129" s="16">
        <v>0</v>
      </c>
      <c r="P129" s="16">
        <v>11</v>
      </c>
      <c r="Q129" s="16">
        <v>4</v>
      </c>
      <c r="R129" s="16">
        <v>0</v>
      </c>
      <c r="S129" s="16">
        <v>3</v>
      </c>
      <c r="T129" s="16">
        <v>3</v>
      </c>
      <c r="U129" s="16">
        <v>0</v>
      </c>
      <c r="V129" s="16">
        <v>1</v>
      </c>
      <c r="W129" s="16">
        <v>0</v>
      </c>
      <c r="X129" s="16">
        <v>0</v>
      </c>
      <c r="Y129" s="16">
        <v>0</v>
      </c>
      <c r="Z129" s="16">
        <v>0</v>
      </c>
      <c r="AA129" s="16">
        <v>1</v>
      </c>
      <c r="AB129" s="13">
        <f t="shared" ref="AB129:AB138" si="27">SUM(E129:AA129)</f>
        <v>35</v>
      </c>
    </row>
    <row r="130" spans="1:28" ht="12.75" customHeight="1" x14ac:dyDescent="0.4">
      <c r="A130" s="20" t="s">
        <v>38</v>
      </c>
      <c r="B130" s="28"/>
      <c r="C130" s="29" t="s">
        <v>88</v>
      </c>
      <c r="D130" s="30"/>
      <c r="E130" s="16">
        <v>21</v>
      </c>
      <c r="F130" s="16">
        <v>2</v>
      </c>
      <c r="G130" s="16">
        <v>2</v>
      </c>
      <c r="H130" s="16">
        <v>4</v>
      </c>
      <c r="I130" s="16">
        <v>2</v>
      </c>
      <c r="J130" s="16">
        <v>3</v>
      </c>
      <c r="K130" s="16">
        <v>1</v>
      </c>
      <c r="L130" s="16">
        <v>2</v>
      </c>
      <c r="M130" s="16">
        <v>5</v>
      </c>
      <c r="N130" s="16">
        <v>8</v>
      </c>
      <c r="O130" s="16">
        <v>13</v>
      </c>
      <c r="P130" s="16">
        <v>47</v>
      </c>
      <c r="Q130" s="16">
        <v>7</v>
      </c>
      <c r="R130" s="16">
        <v>6</v>
      </c>
      <c r="S130" s="16">
        <v>10</v>
      </c>
      <c r="T130" s="16">
        <v>1</v>
      </c>
      <c r="U130" s="16">
        <v>1</v>
      </c>
      <c r="V130" s="16">
        <v>4</v>
      </c>
      <c r="W130" s="16">
        <v>1</v>
      </c>
      <c r="X130" s="16">
        <v>1</v>
      </c>
      <c r="Y130" s="16">
        <v>0</v>
      </c>
      <c r="Z130" s="16">
        <v>3</v>
      </c>
      <c r="AA130" s="16">
        <v>0</v>
      </c>
      <c r="AB130" s="13">
        <f t="shared" si="27"/>
        <v>144</v>
      </c>
    </row>
    <row r="131" spans="1:28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0</v>
      </c>
      <c r="G131" s="16">
        <v>0</v>
      </c>
      <c r="H131" s="16">
        <v>0</v>
      </c>
      <c r="I131" s="16">
        <v>1</v>
      </c>
      <c r="J131" s="16">
        <v>0</v>
      </c>
      <c r="K131" s="16">
        <v>0</v>
      </c>
      <c r="L131" s="16">
        <v>0</v>
      </c>
      <c r="M131" s="16">
        <v>0</v>
      </c>
      <c r="N131" s="16">
        <v>1</v>
      </c>
      <c r="O131" s="16">
        <v>0</v>
      </c>
      <c r="P131" s="16">
        <v>0</v>
      </c>
      <c r="Q131" s="16">
        <v>0</v>
      </c>
      <c r="R131" s="16">
        <v>1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3">
        <f t="shared" si="27"/>
        <v>3</v>
      </c>
    </row>
    <row r="132" spans="1:28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1</v>
      </c>
      <c r="T132" s="16">
        <v>0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3">
        <f t="shared" si="27"/>
        <v>2</v>
      </c>
    </row>
    <row r="133" spans="1:28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0</v>
      </c>
      <c r="G133" s="16">
        <v>0</v>
      </c>
      <c r="H133" s="16">
        <v>1</v>
      </c>
      <c r="I133" s="16">
        <v>0</v>
      </c>
      <c r="J133" s="16">
        <v>0</v>
      </c>
      <c r="K133" s="16">
        <v>0</v>
      </c>
      <c r="L133" s="16">
        <v>3</v>
      </c>
      <c r="M133" s="16">
        <v>0</v>
      </c>
      <c r="N133" s="16">
        <v>0</v>
      </c>
      <c r="O133" s="16">
        <v>0</v>
      </c>
      <c r="P133" s="16">
        <v>0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3">
        <f t="shared" si="27"/>
        <v>4</v>
      </c>
    </row>
    <row r="134" spans="1:28" ht="12.75" customHeight="1" x14ac:dyDescent="0.4">
      <c r="A134" s="15"/>
      <c r="B134" s="28"/>
      <c r="C134" s="29" t="s">
        <v>92</v>
      </c>
      <c r="D134" s="30"/>
      <c r="E134" s="16">
        <v>0</v>
      </c>
      <c r="F134" s="16">
        <v>0</v>
      </c>
      <c r="G134" s="16">
        <v>0</v>
      </c>
      <c r="H134" s="16">
        <v>0</v>
      </c>
      <c r="I134" s="16">
        <v>2</v>
      </c>
      <c r="J134" s="16">
        <v>0</v>
      </c>
      <c r="K134" s="16">
        <v>0</v>
      </c>
      <c r="L134" s="16">
        <v>0</v>
      </c>
      <c r="M134" s="16">
        <v>1</v>
      </c>
      <c r="N134" s="16">
        <v>3</v>
      </c>
      <c r="O134" s="16">
        <v>0</v>
      </c>
      <c r="P134" s="16">
        <v>2</v>
      </c>
      <c r="Q134" s="16">
        <v>3</v>
      </c>
      <c r="R134" s="16">
        <v>0</v>
      </c>
      <c r="S134" s="16">
        <v>2</v>
      </c>
      <c r="T134" s="16">
        <v>0</v>
      </c>
      <c r="U134" s="16">
        <v>0</v>
      </c>
      <c r="V134" s="16">
        <v>0</v>
      </c>
      <c r="W134" s="16">
        <v>2</v>
      </c>
      <c r="X134" s="16">
        <v>0</v>
      </c>
      <c r="Y134" s="16">
        <v>0</v>
      </c>
      <c r="Z134" s="16">
        <v>0</v>
      </c>
      <c r="AA134" s="16">
        <v>0</v>
      </c>
      <c r="AB134" s="13">
        <f t="shared" si="27"/>
        <v>15</v>
      </c>
    </row>
    <row r="135" spans="1:28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0</v>
      </c>
      <c r="I135" s="16">
        <v>1</v>
      </c>
      <c r="J135" s="16">
        <v>0</v>
      </c>
      <c r="K135" s="16">
        <v>0</v>
      </c>
      <c r="L135" s="16">
        <v>0</v>
      </c>
      <c r="M135" s="16">
        <v>3</v>
      </c>
      <c r="N135" s="16">
        <v>2</v>
      </c>
      <c r="O135" s="16">
        <v>0</v>
      </c>
      <c r="P135" s="16">
        <v>0</v>
      </c>
      <c r="Q135" s="16">
        <v>0</v>
      </c>
      <c r="R135" s="16">
        <v>0</v>
      </c>
      <c r="S135" s="16">
        <v>1</v>
      </c>
      <c r="T135" s="16">
        <v>3</v>
      </c>
      <c r="U135" s="16">
        <v>1</v>
      </c>
      <c r="V135" s="16">
        <v>1</v>
      </c>
      <c r="W135" s="16">
        <v>0</v>
      </c>
      <c r="X135" s="16">
        <v>0</v>
      </c>
      <c r="Y135" s="16">
        <v>0</v>
      </c>
      <c r="Z135" s="16">
        <v>0</v>
      </c>
      <c r="AA135" s="16">
        <v>0</v>
      </c>
      <c r="AB135" s="13">
        <f t="shared" si="27"/>
        <v>12</v>
      </c>
    </row>
    <row r="136" spans="1:28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13">
        <f t="shared" si="27"/>
        <v>0</v>
      </c>
    </row>
    <row r="137" spans="1:28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13">
        <f t="shared" si="27"/>
        <v>0</v>
      </c>
    </row>
    <row r="138" spans="1:28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13">
        <f t="shared" si="27"/>
        <v>0</v>
      </c>
    </row>
    <row r="139" spans="1:28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AB139" si="28">SUM(E129:E138)</f>
        <v>23</v>
      </c>
      <c r="F139" s="13">
        <f t="shared" si="28"/>
        <v>2</v>
      </c>
      <c r="G139" s="13">
        <f t="shared" si="28"/>
        <v>2</v>
      </c>
      <c r="H139" s="13">
        <f t="shared" si="28"/>
        <v>7</v>
      </c>
      <c r="I139" s="13">
        <f t="shared" si="28"/>
        <v>8</v>
      </c>
      <c r="J139" s="13">
        <f t="shared" si="28"/>
        <v>5</v>
      </c>
      <c r="K139" s="13">
        <f t="shared" si="28"/>
        <v>1</v>
      </c>
      <c r="L139" s="13">
        <f t="shared" si="28"/>
        <v>6</v>
      </c>
      <c r="M139" s="13">
        <f t="shared" si="28"/>
        <v>10</v>
      </c>
      <c r="N139" s="13">
        <f t="shared" si="28"/>
        <v>16</v>
      </c>
      <c r="O139" s="13">
        <f t="shared" si="28"/>
        <v>13</v>
      </c>
      <c r="P139" s="13">
        <f t="shared" si="28"/>
        <v>61</v>
      </c>
      <c r="Q139" s="13">
        <f t="shared" si="28"/>
        <v>14</v>
      </c>
      <c r="R139" s="13">
        <f t="shared" si="28"/>
        <v>7</v>
      </c>
      <c r="S139" s="13">
        <f t="shared" si="28"/>
        <v>17</v>
      </c>
      <c r="T139" s="13">
        <f t="shared" si="28"/>
        <v>7</v>
      </c>
      <c r="U139" s="13">
        <f t="shared" si="28"/>
        <v>2</v>
      </c>
      <c r="V139" s="13">
        <f t="shared" si="28"/>
        <v>6</v>
      </c>
      <c r="W139" s="13">
        <f t="shared" si="28"/>
        <v>3</v>
      </c>
      <c r="X139" s="13">
        <f t="shared" si="28"/>
        <v>1</v>
      </c>
      <c r="Y139" s="13">
        <f t="shared" si="28"/>
        <v>0</v>
      </c>
      <c r="Z139" s="13">
        <f t="shared" si="28"/>
        <v>3</v>
      </c>
      <c r="AA139" s="13">
        <f t="shared" si="28"/>
        <v>1</v>
      </c>
      <c r="AB139" s="13">
        <f t="shared" si="28"/>
        <v>215</v>
      </c>
    </row>
    <row r="140" spans="1:28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</row>
    <row r="141" spans="1:28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1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3">
        <f t="shared" ref="AB141:AB150" si="29">SUM(E141:AA141)</f>
        <v>1</v>
      </c>
    </row>
    <row r="142" spans="1:28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1</v>
      </c>
      <c r="O142" s="16">
        <v>0</v>
      </c>
      <c r="P142" s="16">
        <v>0</v>
      </c>
      <c r="Q142" s="16">
        <v>1</v>
      </c>
      <c r="R142" s="16">
        <v>0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0</v>
      </c>
      <c r="AB142" s="13">
        <f t="shared" si="29"/>
        <v>2</v>
      </c>
    </row>
    <row r="143" spans="1:28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13">
        <f t="shared" si="29"/>
        <v>0</v>
      </c>
    </row>
    <row r="144" spans="1:28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13">
        <f t="shared" si="29"/>
        <v>0</v>
      </c>
    </row>
    <row r="145" spans="1:28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13">
        <f t="shared" si="29"/>
        <v>0</v>
      </c>
    </row>
    <row r="146" spans="1:28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13">
        <f t="shared" si="29"/>
        <v>0</v>
      </c>
    </row>
    <row r="147" spans="1:28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13">
        <f t="shared" si="29"/>
        <v>0</v>
      </c>
    </row>
    <row r="148" spans="1:28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13">
        <f t="shared" si="29"/>
        <v>0</v>
      </c>
    </row>
    <row r="149" spans="1:28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13">
        <f t="shared" si="29"/>
        <v>0</v>
      </c>
    </row>
    <row r="150" spans="1:28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13">
        <f t="shared" si="29"/>
        <v>0</v>
      </c>
    </row>
    <row r="151" spans="1:28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AB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1</v>
      </c>
      <c r="M151" s="13">
        <f t="shared" si="30"/>
        <v>0</v>
      </c>
      <c r="N151" s="13">
        <f t="shared" si="30"/>
        <v>1</v>
      </c>
      <c r="O151" s="13">
        <f t="shared" si="30"/>
        <v>0</v>
      </c>
      <c r="P151" s="13">
        <f t="shared" si="30"/>
        <v>0</v>
      </c>
      <c r="Q151" s="13">
        <f t="shared" si="30"/>
        <v>1</v>
      </c>
      <c r="R151" s="13">
        <f t="shared" si="30"/>
        <v>0</v>
      </c>
      <c r="S151" s="13">
        <f t="shared" si="30"/>
        <v>0</v>
      </c>
      <c r="T151" s="13">
        <f t="shared" si="30"/>
        <v>0</v>
      </c>
      <c r="U151" s="13">
        <f t="shared" si="30"/>
        <v>0</v>
      </c>
      <c r="V151" s="13">
        <f t="shared" si="30"/>
        <v>0</v>
      </c>
      <c r="W151" s="13">
        <f t="shared" si="30"/>
        <v>0</v>
      </c>
      <c r="X151" s="13">
        <f t="shared" si="30"/>
        <v>0</v>
      </c>
      <c r="Y151" s="13">
        <f t="shared" si="30"/>
        <v>0</v>
      </c>
      <c r="Z151" s="13">
        <f t="shared" si="30"/>
        <v>0</v>
      </c>
      <c r="AA151" s="13">
        <f t="shared" si="30"/>
        <v>0</v>
      </c>
      <c r="AB151" s="13">
        <f t="shared" si="30"/>
        <v>3</v>
      </c>
    </row>
    <row r="152" spans="1:28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13"/>
    </row>
    <row r="153" spans="1:28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2</v>
      </c>
      <c r="F153" s="16">
        <v>0</v>
      </c>
      <c r="G153" s="16">
        <v>2</v>
      </c>
      <c r="H153" s="16">
        <v>7</v>
      </c>
      <c r="I153" s="16">
        <v>15</v>
      </c>
      <c r="J153" s="16">
        <v>11</v>
      </c>
      <c r="K153" s="16">
        <v>3</v>
      </c>
      <c r="L153" s="16">
        <v>1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0</v>
      </c>
      <c r="T153" s="16">
        <v>2</v>
      </c>
      <c r="U153" s="16">
        <v>0</v>
      </c>
      <c r="V153" s="16">
        <v>0</v>
      </c>
      <c r="W153" s="16">
        <v>4</v>
      </c>
      <c r="X153" s="16">
        <v>4</v>
      </c>
      <c r="Y153" s="16">
        <v>0</v>
      </c>
      <c r="Z153" s="16">
        <v>2</v>
      </c>
      <c r="AA153" s="16">
        <v>0</v>
      </c>
      <c r="AB153" s="13">
        <f t="shared" ref="AB153:AB162" si="31">SUM(E153:AA153)</f>
        <v>53</v>
      </c>
    </row>
    <row r="154" spans="1:28" ht="12.75" customHeight="1" x14ac:dyDescent="0.4">
      <c r="A154" s="42" t="s">
        <v>38</v>
      </c>
      <c r="B154" s="28"/>
      <c r="C154" s="29" t="s">
        <v>99</v>
      </c>
      <c r="D154" s="30"/>
      <c r="E154" s="55">
        <v>11</v>
      </c>
      <c r="F154" s="16">
        <v>15</v>
      </c>
      <c r="G154" s="16">
        <v>28</v>
      </c>
      <c r="H154" s="16">
        <v>38</v>
      </c>
      <c r="I154" s="16">
        <v>69</v>
      </c>
      <c r="J154" s="16">
        <v>75</v>
      </c>
      <c r="K154" s="16">
        <v>25</v>
      </c>
      <c r="L154" s="16">
        <v>13</v>
      </c>
      <c r="M154" s="16">
        <v>6</v>
      </c>
      <c r="N154" s="16">
        <v>3</v>
      </c>
      <c r="O154" s="16">
        <v>4</v>
      </c>
      <c r="P154" s="16">
        <v>2</v>
      </c>
      <c r="Q154" s="16">
        <v>0</v>
      </c>
      <c r="R154" s="16">
        <v>1</v>
      </c>
      <c r="S154" s="16">
        <v>2</v>
      </c>
      <c r="T154" s="16">
        <v>5</v>
      </c>
      <c r="U154" s="16">
        <v>0</v>
      </c>
      <c r="V154" s="16">
        <v>1</v>
      </c>
      <c r="W154" s="16">
        <v>24</v>
      </c>
      <c r="X154" s="16">
        <v>18</v>
      </c>
      <c r="Y154" s="16">
        <v>19</v>
      </c>
      <c r="Z154" s="16">
        <v>11</v>
      </c>
      <c r="AA154" s="16">
        <v>0</v>
      </c>
      <c r="AB154" s="13">
        <f t="shared" si="31"/>
        <v>370</v>
      </c>
    </row>
    <row r="155" spans="1:28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0</v>
      </c>
      <c r="T155" s="16">
        <v>0</v>
      </c>
      <c r="U155" s="16">
        <v>0</v>
      </c>
      <c r="V155" s="16">
        <v>0</v>
      </c>
      <c r="W155" s="16">
        <v>1</v>
      </c>
      <c r="X155" s="16">
        <v>1</v>
      </c>
      <c r="Y155" s="16">
        <v>0</v>
      </c>
      <c r="Z155" s="16">
        <v>0</v>
      </c>
      <c r="AA155" s="16">
        <v>0</v>
      </c>
      <c r="AB155" s="13">
        <f t="shared" si="31"/>
        <v>2</v>
      </c>
    </row>
    <row r="156" spans="1:28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1</v>
      </c>
      <c r="G156" s="16">
        <v>0</v>
      </c>
      <c r="H156" s="16">
        <v>0</v>
      </c>
      <c r="I156" s="16">
        <v>0</v>
      </c>
      <c r="J156" s="16">
        <v>0</v>
      </c>
      <c r="K156" s="16">
        <v>2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1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1</v>
      </c>
      <c r="AB156" s="13">
        <f t="shared" si="31"/>
        <v>6</v>
      </c>
    </row>
    <row r="157" spans="1:28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1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1</v>
      </c>
      <c r="R157" s="16">
        <v>0</v>
      </c>
      <c r="S157" s="16">
        <v>0</v>
      </c>
      <c r="T157" s="16">
        <v>0</v>
      </c>
      <c r="U157" s="16">
        <v>1</v>
      </c>
      <c r="V157" s="16">
        <v>0</v>
      </c>
      <c r="W157" s="16">
        <v>0</v>
      </c>
      <c r="X157" s="16">
        <v>0</v>
      </c>
      <c r="Y157" s="16">
        <v>0</v>
      </c>
      <c r="Z157" s="16">
        <v>0</v>
      </c>
      <c r="AA157" s="16">
        <v>0</v>
      </c>
      <c r="AB157" s="13">
        <f t="shared" si="31"/>
        <v>3</v>
      </c>
    </row>
    <row r="158" spans="1:28" ht="12.75" customHeight="1" x14ac:dyDescent="0.4">
      <c r="A158" s="52"/>
      <c r="B158" s="28"/>
      <c r="C158" s="29" t="s">
        <v>103</v>
      </c>
      <c r="D158" s="30"/>
      <c r="E158" s="56">
        <v>3</v>
      </c>
      <c r="F158" s="53">
        <v>2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0</v>
      </c>
      <c r="M158" s="53">
        <v>2</v>
      </c>
      <c r="N158" s="53">
        <v>2</v>
      </c>
      <c r="O158" s="53">
        <v>0</v>
      </c>
      <c r="P158" s="16">
        <v>0</v>
      </c>
      <c r="Q158" s="53">
        <v>1</v>
      </c>
      <c r="R158" s="53">
        <v>0</v>
      </c>
      <c r="S158" s="53">
        <v>2</v>
      </c>
      <c r="T158" s="53">
        <v>1</v>
      </c>
      <c r="U158" s="53">
        <v>2</v>
      </c>
      <c r="V158" s="53">
        <v>0</v>
      </c>
      <c r="W158" s="53">
        <v>2</v>
      </c>
      <c r="X158" s="53">
        <v>1</v>
      </c>
      <c r="Y158" s="53">
        <v>0</v>
      </c>
      <c r="Z158" s="53">
        <v>6</v>
      </c>
      <c r="AA158" s="53">
        <v>0</v>
      </c>
      <c r="AB158" s="13">
        <f t="shared" si="31"/>
        <v>24</v>
      </c>
    </row>
    <row r="159" spans="1:28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1</v>
      </c>
      <c r="S159" s="53">
        <v>0</v>
      </c>
      <c r="T159" s="53">
        <v>0</v>
      </c>
      <c r="U159" s="53">
        <v>0</v>
      </c>
      <c r="V159" s="53">
        <v>0</v>
      </c>
      <c r="W159" s="53">
        <v>2</v>
      </c>
      <c r="X159" s="53">
        <v>0</v>
      </c>
      <c r="Y159" s="53">
        <v>0</v>
      </c>
      <c r="Z159" s="53">
        <v>4</v>
      </c>
      <c r="AA159" s="53">
        <v>1</v>
      </c>
      <c r="AB159" s="13">
        <f t="shared" si="31"/>
        <v>8</v>
      </c>
    </row>
    <row r="160" spans="1:28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13">
        <f t="shared" si="31"/>
        <v>0</v>
      </c>
    </row>
    <row r="161" spans="1:28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13">
        <f t="shared" si="31"/>
        <v>0</v>
      </c>
    </row>
    <row r="162" spans="1:28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13">
        <f t="shared" si="31"/>
        <v>0</v>
      </c>
    </row>
    <row r="163" spans="1:28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AB163" si="32">SUM(E153:E162)</f>
        <v>16</v>
      </c>
      <c r="F163" s="13">
        <f t="shared" si="32"/>
        <v>18</v>
      </c>
      <c r="G163" s="13">
        <f t="shared" si="32"/>
        <v>30</v>
      </c>
      <c r="H163" s="13">
        <f t="shared" si="32"/>
        <v>45</v>
      </c>
      <c r="I163" s="13">
        <f t="shared" si="32"/>
        <v>84</v>
      </c>
      <c r="J163" s="13">
        <f t="shared" si="32"/>
        <v>86</v>
      </c>
      <c r="K163" s="13">
        <f t="shared" si="32"/>
        <v>31</v>
      </c>
      <c r="L163" s="13">
        <f t="shared" si="32"/>
        <v>14</v>
      </c>
      <c r="M163" s="13">
        <f t="shared" si="32"/>
        <v>8</v>
      </c>
      <c r="N163" s="13">
        <f t="shared" si="32"/>
        <v>5</v>
      </c>
      <c r="O163" s="13">
        <f t="shared" si="32"/>
        <v>4</v>
      </c>
      <c r="P163" s="13">
        <f t="shared" si="32"/>
        <v>2</v>
      </c>
      <c r="Q163" s="13">
        <f t="shared" si="32"/>
        <v>2</v>
      </c>
      <c r="R163" s="13">
        <f t="shared" si="32"/>
        <v>2</v>
      </c>
      <c r="S163" s="13">
        <f t="shared" si="32"/>
        <v>5</v>
      </c>
      <c r="T163" s="13">
        <f t="shared" si="32"/>
        <v>9</v>
      </c>
      <c r="U163" s="13">
        <f t="shared" si="32"/>
        <v>3</v>
      </c>
      <c r="V163" s="13">
        <f t="shared" si="32"/>
        <v>1</v>
      </c>
      <c r="W163" s="13">
        <f t="shared" si="32"/>
        <v>33</v>
      </c>
      <c r="X163" s="13">
        <f t="shared" si="32"/>
        <v>24</v>
      </c>
      <c r="Y163" s="13">
        <f t="shared" si="32"/>
        <v>19</v>
      </c>
      <c r="Z163" s="13">
        <f t="shared" si="32"/>
        <v>23</v>
      </c>
      <c r="AA163" s="13">
        <f t="shared" si="32"/>
        <v>2</v>
      </c>
      <c r="AB163" s="13">
        <f t="shared" si="32"/>
        <v>466</v>
      </c>
    </row>
    <row r="164" spans="1:28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</row>
    <row r="165" spans="1:28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1</v>
      </c>
      <c r="M165" s="16">
        <v>1</v>
      </c>
      <c r="N165" s="16">
        <v>0</v>
      </c>
      <c r="O165" s="16">
        <v>0</v>
      </c>
      <c r="P165" s="16">
        <v>1</v>
      </c>
      <c r="Q165" s="16">
        <v>0</v>
      </c>
      <c r="R165" s="16">
        <v>0</v>
      </c>
      <c r="S165" s="16">
        <v>0</v>
      </c>
      <c r="T165" s="16">
        <v>1</v>
      </c>
      <c r="U165" s="16">
        <v>1</v>
      </c>
      <c r="V165" s="16">
        <v>0</v>
      </c>
      <c r="W165" s="16">
        <v>0</v>
      </c>
      <c r="X165" s="16">
        <v>0</v>
      </c>
      <c r="Y165" s="16">
        <v>1</v>
      </c>
      <c r="Z165" s="16">
        <v>0</v>
      </c>
      <c r="AA165" s="16">
        <v>0</v>
      </c>
      <c r="AB165" s="13">
        <f t="shared" ref="AB165:AB174" si="33">SUM(E165:AA165)</f>
        <v>6</v>
      </c>
    </row>
    <row r="166" spans="1:28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13">
        <f t="shared" si="33"/>
        <v>0</v>
      </c>
    </row>
    <row r="167" spans="1:28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13">
        <f t="shared" si="33"/>
        <v>0</v>
      </c>
    </row>
    <row r="168" spans="1:28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13">
        <f t="shared" si="33"/>
        <v>0</v>
      </c>
    </row>
    <row r="169" spans="1:28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13">
        <f t="shared" si="33"/>
        <v>0</v>
      </c>
    </row>
    <row r="170" spans="1:28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13">
        <f t="shared" si="33"/>
        <v>0</v>
      </c>
    </row>
    <row r="171" spans="1:28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13">
        <f t="shared" si="33"/>
        <v>0</v>
      </c>
    </row>
    <row r="172" spans="1:28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13">
        <f t="shared" si="33"/>
        <v>0</v>
      </c>
    </row>
    <row r="173" spans="1:28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13">
        <f t="shared" si="33"/>
        <v>0</v>
      </c>
    </row>
    <row r="174" spans="1:28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13">
        <f t="shared" si="33"/>
        <v>0</v>
      </c>
    </row>
    <row r="175" spans="1:28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AB175" si="34">SUM(E165:E174)</f>
        <v>0</v>
      </c>
      <c r="F175" s="13">
        <f t="shared" si="34"/>
        <v>0</v>
      </c>
      <c r="G175" s="13">
        <f t="shared" si="34"/>
        <v>0</v>
      </c>
      <c r="H175" s="13">
        <f t="shared" si="34"/>
        <v>0</v>
      </c>
      <c r="I175" s="13">
        <f t="shared" si="34"/>
        <v>0</v>
      </c>
      <c r="J175" s="13">
        <f t="shared" si="34"/>
        <v>0</v>
      </c>
      <c r="K175" s="13">
        <f t="shared" si="34"/>
        <v>0</v>
      </c>
      <c r="L175" s="13">
        <f t="shared" si="34"/>
        <v>1</v>
      </c>
      <c r="M175" s="13">
        <f t="shared" si="34"/>
        <v>1</v>
      </c>
      <c r="N175" s="13">
        <f t="shared" si="34"/>
        <v>0</v>
      </c>
      <c r="O175" s="13">
        <f t="shared" si="34"/>
        <v>0</v>
      </c>
      <c r="P175" s="13">
        <f t="shared" si="34"/>
        <v>1</v>
      </c>
      <c r="Q175" s="13">
        <f t="shared" si="34"/>
        <v>0</v>
      </c>
      <c r="R175" s="13">
        <f t="shared" si="34"/>
        <v>0</v>
      </c>
      <c r="S175" s="13">
        <f t="shared" si="34"/>
        <v>0</v>
      </c>
      <c r="T175" s="13">
        <f t="shared" si="34"/>
        <v>1</v>
      </c>
      <c r="U175" s="13">
        <f t="shared" si="34"/>
        <v>1</v>
      </c>
      <c r="V175" s="13">
        <f t="shared" si="34"/>
        <v>0</v>
      </c>
      <c r="W175" s="13">
        <f t="shared" si="34"/>
        <v>0</v>
      </c>
      <c r="X175" s="13">
        <f t="shared" si="34"/>
        <v>0</v>
      </c>
      <c r="Y175" s="13">
        <f t="shared" si="34"/>
        <v>1</v>
      </c>
      <c r="Z175" s="13">
        <f t="shared" si="34"/>
        <v>0</v>
      </c>
      <c r="AA175" s="13">
        <f t="shared" si="34"/>
        <v>0</v>
      </c>
      <c r="AB175" s="13">
        <f t="shared" si="34"/>
        <v>6</v>
      </c>
    </row>
    <row r="176" spans="1:28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</row>
    <row r="177" spans="1:28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3</v>
      </c>
      <c r="N177" s="16">
        <v>0</v>
      </c>
      <c r="O177" s="16">
        <v>0</v>
      </c>
      <c r="P177" s="16">
        <v>1</v>
      </c>
      <c r="Q177" s="16">
        <v>5</v>
      </c>
      <c r="R177" s="16">
        <v>0</v>
      </c>
      <c r="S177" s="16">
        <v>1</v>
      </c>
      <c r="T177" s="16">
        <v>1</v>
      </c>
      <c r="U177" s="16">
        <v>0</v>
      </c>
      <c r="V177" s="16">
        <v>2</v>
      </c>
      <c r="W177" s="16">
        <v>0</v>
      </c>
      <c r="X177" s="16">
        <v>0</v>
      </c>
      <c r="Y177" s="16">
        <v>0</v>
      </c>
      <c r="Z177" s="16">
        <v>0</v>
      </c>
      <c r="AA177" s="16">
        <v>0</v>
      </c>
      <c r="AB177" s="13">
        <f t="shared" ref="AB177:AB186" si="35">SUM(E177:AA177)</f>
        <v>13</v>
      </c>
    </row>
    <row r="178" spans="1:28" ht="12.75" customHeight="1" x14ac:dyDescent="0.4">
      <c r="A178" s="20" t="s">
        <v>38</v>
      </c>
      <c r="B178" s="28"/>
      <c r="C178" s="29" t="s">
        <v>109</v>
      </c>
      <c r="D178" s="30"/>
      <c r="E178" s="16">
        <v>2</v>
      </c>
      <c r="F178" s="16">
        <v>1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1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1</v>
      </c>
      <c r="T178" s="16">
        <v>0</v>
      </c>
      <c r="U178" s="16">
        <v>1</v>
      </c>
      <c r="V178" s="16">
        <v>0</v>
      </c>
      <c r="W178" s="16">
        <v>1</v>
      </c>
      <c r="X178" s="16">
        <v>0</v>
      </c>
      <c r="Y178" s="16">
        <v>0</v>
      </c>
      <c r="Z178" s="16">
        <v>0</v>
      </c>
      <c r="AA178" s="16">
        <v>0</v>
      </c>
      <c r="AB178" s="13">
        <f t="shared" si="35"/>
        <v>7</v>
      </c>
    </row>
    <row r="179" spans="1:28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1</v>
      </c>
      <c r="G179" s="16">
        <v>0</v>
      </c>
      <c r="H179" s="16">
        <v>1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2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1</v>
      </c>
      <c r="Y179" s="16">
        <v>0</v>
      </c>
      <c r="Z179" s="16">
        <v>0</v>
      </c>
      <c r="AA179" s="16">
        <v>0</v>
      </c>
      <c r="AB179" s="13">
        <f t="shared" si="35"/>
        <v>5</v>
      </c>
    </row>
    <row r="180" spans="1:28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1</v>
      </c>
      <c r="G180" s="16">
        <v>0</v>
      </c>
      <c r="H180" s="16">
        <v>1</v>
      </c>
      <c r="I180" s="16">
        <v>0</v>
      </c>
      <c r="J180" s="16">
        <v>0</v>
      </c>
      <c r="K180" s="16">
        <v>1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3">
        <f t="shared" si="35"/>
        <v>3</v>
      </c>
    </row>
    <row r="181" spans="1:28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3">
        <f t="shared" si="35"/>
        <v>0</v>
      </c>
    </row>
    <row r="182" spans="1:28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0</v>
      </c>
      <c r="H182" s="16">
        <v>2</v>
      </c>
      <c r="I182" s="16">
        <v>0</v>
      </c>
      <c r="J182" s="16">
        <v>0</v>
      </c>
      <c r="K182" s="16">
        <v>0</v>
      </c>
      <c r="L182" s="16">
        <v>3</v>
      </c>
      <c r="M182" s="16">
        <v>0</v>
      </c>
      <c r="N182" s="16">
        <v>0</v>
      </c>
      <c r="O182" s="16">
        <v>0</v>
      </c>
      <c r="P182" s="16">
        <v>1</v>
      </c>
      <c r="Q182" s="16">
        <v>1</v>
      </c>
      <c r="R182" s="16">
        <v>0</v>
      </c>
      <c r="S182" s="16">
        <v>0</v>
      </c>
      <c r="T182" s="16">
        <v>0</v>
      </c>
      <c r="U182" s="16">
        <v>1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3">
        <f t="shared" si="35"/>
        <v>8</v>
      </c>
    </row>
    <row r="183" spans="1:28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2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3">
        <f t="shared" si="35"/>
        <v>2</v>
      </c>
    </row>
    <row r="184" spans="1:28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13">
        <f t="shared" si="35"/>
        <v>0</v>
      </c>
    </row>
    <row r="185" spans="1:28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13">
        <f t="shared" si="35"/>
        <v>0</v>
      </c>
    </row>
    <row r="186" spans="1:28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13">
        <f t="shared" si="35"/>
        <v>0</v>
      </c>
    </row>
    <row r="187" spans="1:28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AB187" si="36">SUM(E177:E186)</f>
        <v>2</v>
      </c>
      <c r="F187" s="13">
        <f t="shared" si="36"/>
        <v>3</v>
      </c>
      <c r="G187" s="13">
        <f t="shared" si="36"/>
        <v>0</v>
      </c>
      <c r="H187" s="13">
        <f t="shared" si="36"/>
        <v>4</v>
      </c>
      <c r="I187" s="13">
        <f t="shared" si="36"/>
        <v>0</v>
      </c>
      <c r="J187" s="13">
        <f t="shared" si="36"/>
        <v>0</v>
      </c>
      <c r="K187" s="13">
        <f t="shared" si="36"/>
        <v>1</v>
      </c>
      <c r="L187" s="13">
        <f t="shared" si="36"/>
        <v>5</v>
      </c>
      <c r="M187" s="13">
        <f t="shared" si="36"/>
        <v>4</v>
      </c>
      <c r="N187" s="13">
        <f t="shared" si="36"/>
        <v>0</v>
      </c>
      <c r="O187" s="13">
        <f t="shared" si="36"/>
        <v>2</v>
      </c>
      <c r="P187" s="13">
        <f t="shared" si="36"/>
        <v>2</v>
      </c>
      <c r="Q187" s="13">
        <f t="shared" si="36"/>
        <v>6</v>
      </c>
      <c r="R187" s="13">
        <f t="shared" si="36"/>
        <v>0</v>
      </c>
      <c r="S187" s="13">
        <f t="shared" si="36"/>
        <v>2</v>
      </c>
      <c r="T187" s="13">
        <f t="shared" si="36"/>
        <v>1</v>
      </c>
      <c r="U187" s="13">
        <f t="shared" si="36"/>
        <v>2</v>
      </c>
      <c r="V187" s="13">
        <f t="shared" si="36"/>
        <v>2</v>
      </c>
      <c r="W187" s="13">
        <f t="shared" si="36"/>
        <v>1</v>
      </c>
      <c r="X187" s="13">
        <f t="shared" si="36"/>
        <v>1</v>
      </c>
      <c r="Y187" s="13">
        <f t="shared" si="36"/>
        <v>0</v>
      </c>
      <c r="Z187" s="13">
        <f t="shared" si="36"/>
        <v>0</v>
      </c>
      <c r="AA187" s="13">
        <f t="shared" si="36"/>
        <v>0</v>
      </c>
      <c r="AB187" s="13">
        <f t="shared" si="36"/>
        <v>38</v>
      </c>
    </row>
    <row r="188" spans="1:28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AB188" s="13"/>
    </row>
    <row r="189" spans="1:28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2</v>
      </c>
      <c r="N189" s="16">
        <v>0</v>
      </c>
      <c r="O189" s="16">
        <v>0</v>
      </c>
      <c r="P189" s="16">
        <v>0</v>
      </c>
      <c r="Q189" s="16">
        <v>0</v>
      </c>
      <c r="R189" s="16">
        <v>2</v>
      </c>
      <c r="S189" s="16">
        <v>0</v>
      </c>
      <c r="T189" s="16">
        <v>0</v>
      </c>
      <c r="U189" s="16">
        <v>0</v>
      </c>
      <c r="V189" s="16">
        <v>0</v>
      </c>
      <c r="W189" s="16">
        <v>1</v>
      </c>
      <c r="X189" s="16">
        <v>1</v>
      </c>
      <c r="Y189" s="16">
        <v>0</v>
      </c>
      <c r="Z189" s="16">
        <v>0</v>
      </c>
      <c r="AA189" s="16">
        <v>0</v>
      </c>
      <c r="AB189" s="13">
        <f t="shared" ref="AB189:AB198" si="37">SUM(E189:AA189)</f>
        <v>6</v>
      </c>
    </row>
    <row r="190" spans="1:28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1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3</v>
      </c>
      <c r="X190" s="16">
        <v>2</v>
      </c>
      <c r="Y190" s="16">
        <v>0</v>
      </c>
      <c r="Z190" s="16">
        <v>0</v>
      </c>
      <c r="AA190" s="16">
        <v>0</v>
      </c>
      <c r="AB190" s="13">
        <f t="shared" si="37"/>
        <v>6</v>
      </c>
    </row>
    <row r="191" spans="1:28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1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3">
        <f t="shared" si="37"/>
        <v>1</v>
      </c>
    </row>
    <row r="192" spans="1:28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0</v>
      </c>
      <c r="I192" s="16">
        <v>1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3</v>
      </c>
      <c r="S192" s="16">
        <v>0</v>
      </c>
      <c r="T192" s="16">
        <v>0</v>
      </c>
      <c r="U192" s="16">
        <v>0</v>
      </c>
      <c r="V192" s="16">
        <v>0</v>
      </c>
      <c r="W192" s="16">
        <v>2</v>
      </c>
      <c r="X192" s="16">
        <v>1</v>
      </c>
      <c r="Y192" s="16">
        <v>0</v>
      </c>
      <c r="Z192" s="16">
        <v>0</v>
      </c>
      <c r="AA192" s="16">
        <v>0</v>
      </c>
      <c r="AB192" s="13">
        <f t="shared" si="37"/>
        <v>7</v>
      </c>
    </row>
    <row r="193" spans="1:28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1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3">
        <f t="shared" si="37"/>
        <v>1</v>
      </c>
    </row>
    <row r="194" spans="1:28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3">
        <f t="shared" si="37"/>
        <v>0</v>
      </c>
    </row>
    <row r="195" spans="1:28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0</v>
      </c>
      <c r="G195" s="16">
        <v>0</v>
      </c>
      <c r="H195" s="16">
        <v>1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1</v>
      </c>
      <c r="V195" s="16">
        <v>1</v>
      </c>
      <c r="W195" s="16">
        <v>1</v>
      </c>
      <c r="X195" s="16">
        <v>0</v>
      </c>
      <c r="Y195" s="16">
        <v>0</v>
      </c>
      <c r="Z195" s="16">
        <v>0</v>
      </c>
      <c r="AA195" s="16">
        <v>0</v>
      </c>
      <c r="AB195" s="13">
        <f t="shared" si="37"/>
        <v>4</v>
      </c>
    </row>
    <row r="196" spans="1:28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13">
        <f t="shared" si="37"/>
        <v>0</v>
      </c>
    </row>
    <row r="197" spans="1:28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13">
        <f t="shared" si="37"/>
        <v>0</v>
      </c>
    </row>
    <row r="198" spans="1:28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13">
        <f t="shared" si="37"/>
        <v>0</v>
      </c>
    </row>
    <row r="199" spans="1:28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AB199" si="38">SUM(E189:E198)</f>
        <v>0</v>
      </c>
      <c r="F199" s="13">
        <f t="shared" si="38"/>
        <v>0</v>
      </c>
      <c r="G199" s="13">
        <f t="shared" si="38"/>
        <v>0</v>
      </c>
      <c r="H199" s="13">
        <f t="shared" si="38"/>
        <v>2</v>
      </c>
      <c r="I199" s="13">
        <f t="shared" si="38"/>
        <v>1</v>
      </c>
      <c r="J199" s="13">
        <f t="shared" si="38"/>
        <v>0</v>
      </c>
      <c r="K199" s="13">
        <f t="shared" si="38"/>
        <v>0</v>
      </c>
      <c r="L199" s="13">
        <f t="shared" si="38"/>
        <v>0</v>
      </c>
      <c r="M199" s="13">
        <f t="shared" si="38"/>
        <v>2</v>
      </c>
      <c r="N199" s="13">
        <f t="shared" si="38"/>
        <v>0</v>
      </c>
      <c r="O199" s="13">
        <f t="shared" si="38"/>
        <v>1</v>
      </c>
      <c r="P199" s="13">
        <f t="shared" si="38"/>
        <v>0</v>
      </c>
      <c r="Q199" s="13">
        <f t="shared" si="38"/>
        <v>1</v>
      </c>
      <c r="R199" s="13">
        <f t="shared" si="38"/>
        <v>5</v>
      </c>
      <c r="S199" s="13">
        <f t="shared" si="38"/>
        <v>0</v>
      </c>
      <c r="T199" s="13">
        <f t="shared" si="38"/>
        <v>0</v>
      </c>
      <c r="U199" s="13">
        <f t="shared" si="38"/>
        <v>1</v>
      </c>
      <c r="V199" s="13">
        <f t="shared" si="38"/>
        <v>1</v>
      </c>
      <c r="W199" s="13">
        <f t="shared" si="38"/>
        <v>7</v>
      </c>
      <c r="X199" s="13">
        <f t="shared" si="38"/>
        <v>4</v>
      </c>
      <c r="Y199" s="13">
        <f t="shared" si="38"/>
        <v>0</v>
      </c>
      <c r="Z199" s="13">
        <f t="shared" si="38"/>
        <v>0</v>
      </c>
      <c r="AA199" s="13">
        <f t="shared" si="38"/>
        <v>0</v>
      </c>
      <c r="AB199" s="13">
        <f t="shared" si="38"/>
        <v>25</v>
      </c>
    </row>
    <row r="200" spans="1:28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</row>
    <row r="201" spans="1:28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0</v>
      </c>
      <c r="F201" s="16">
        <v>0</v>
      </c>
      <c r="G201" s="16">
        <v>3</v>
      </c>
      <c r="H201" s="16">
        <v>1</v>
      </c>
      <c r="I201" s="16">
        <v>1</v>
      </c>
      <c r="J201" s="16">
        <v>2</v>
      </c>
      <c r="K201" s="16">
        <v>1</v>
      </c>
      <c r="L201" s="16">
        <v>3</v>
      </c>
      <c r="M201" s="16">
        <v>3</v>
      </c>
      <c r="N201" s="16">
        <v>9</v>
      </c>
      <c r="O201" s="16">
        <v>2</v>
      </c>
      <c r="P201" s="16">
        <v>1</v>
      </c>
      <c r="Q201" s="16">
        <v>3</v>
      </c>
      <c r="R201" s="16">
        <v>3</v>
      </c>
      <c r="S201" s="16">
        <v>1</v>
      </c>
      <c r="T201" s="16">
        <v>1</v>
      </c>
      <c r="U201" s="16">
        <v>1</v>
      </c>
      <c r="V201" s="16">
        <v>3</v>
      </c>
      <c r="W201" s="16">
        <v>4</v>
      </c>
      <c r="X201" s="16">
        <v>4</v>
      </c>
      <c r="Y201" s="16">
        <v>3</v>
      </c>
      <c r="Z201" s="16">
        <v>7</v>
      </c>
      <c r="AA201" s="16">
        <v>2</v>
      </c>
      <c r="AB201" s="13">
        <f t="shared" ref="AB201:AB210" si="39">SUM(E201:AA201)</f>
        <v>58</v>
      </c>
    </row>
    <row r="202" spans="1:28" ht="12.75" customHeight="1" x14ac:dyDescent="0.4">
      <c r="A202" s="20" t="s">
        <v>38</v>
      </c>
      <c r="B202" s="28"/>
      <c r="C202" s="29" t="s">
        <v>125</v>
      </c>
      <c r="D202" s="30"/>
      <c r="E202" s="16">
        <v>5</v>
      </c>
      <c r="F202" s="16">
        <v>0</v>
      </c>
      <c r="G202" s="16">
        <v>1</v>
      </c>
      <c r="H202" s="16">
        <v>0</v>
      </c>
      <c r="I202" s="16">
        <v>1</v>
      </c>
      <c r="J202" s="16">
        <v>1</v>
      </c>
      <c r="K202" s="16">
        <v>4</v>
      </c>
      <c r="L202" s="16">
        <v>2</v>
      </c>
      <c r="M202" s="16">
        <v>4</v>
      </c>
      <c r="N202" s="16">
        <v>5</v>
      </c>
      <c r="O202" s="16">
        <v>1</v>
      </c>
      <c r="P202" s="16">
        <v>1</v>
      </c>
      <c r="Q202" s="16">
        <v>3</v>
      </c>
      <c r="R202" s="16">
        <v>0</v>
      </c>
      <c r="S202" s="16">
        <v>4</v>
      </c>
      <c r="T202" s="16">
        <v>1</v>
      </c>
      <c r="U202" s="16">
        <v>3</v>
      </c>
      <c r="V202" s="16">
        <v>3</v>
      </c>
      <c r="W202" s="16">
        <v>21</v>
      </c>
      <c r="X202" s="16">
        <v>25</v>
      </c>
      <c r="Y202" s="16">
        <v>12</v>
      </c>
      <c r="Z202" s="16">
        <v>23</v>
      </c>
      <c r="AA202" s="16">
        <v>4</v>
      </c>
      <c r="AB202" s="13">
        <f t="shared" si="39"/>
        <v>124</v>
      </c>
    </row>
    <row r="203" spans="1:28" ht="12.75" customHeight="1" x14ac:dyDescent="0.4">
      <c r="A203" s="15"/>
      <c r="B203" s="28"/>
      <c r="C203" s="29" t="s">
        <v>126</v>
      </c>
      <c r="D203" s="30"/>
      <c r="E203" s="16">
        <v>0</v>
      </c>
      <c r="F203" s="16">
        <v>1</v>
      </c>
      <c r="G203" s="16">
        <v>0</v>
      </c>
      <c r="H203" s="16">
        <v>0</v>
      </c>
      <c r="I203" s="16">
        <v>2</v>
      </c>
      <c r="J203" s="16">
        <v>0</v>
      </c>
      <c r="K203" s="16">
        <v>0</v>
      </c>
      <c r="L203" s="16">
        <v>1</v>
      </c>
      <c r="M203" s="16">
        <v>0</v>
      </c>
      <c r="N203" s="16">
        <v>1</v>
      </c>
      <c r="O203" s="16">
        <v>4</v>
      </c>
      <c r="P203" s="16">
        <v>2</v>
      </c>
      <c r="Q203" s="16">
        <v>0</v>
      </c>
      <c r="R203" s="16">
        <v>5</v>
      </c>
      <c r="S203" s="16">
        <v>4</v>
      </c>
      <c r="T203" s="16">
        <v>6</v>
      </c>
      <c r="U203" s="16">
        <v>3</v>
      </c>
      <c r="V203" s="16">
        <v>2</v>
      </c>
      <c r="W203" s="16">
        <v>4</v>
      </c>
      <c r="X203" s="16">
        <v>1</v>
      </c>
      <c r="Y203" s="16">
        <v>1</v>
      </c>
      <c r="Z203" s="16">
        <v>0</v>
      </c>
      <c r="AA203" s="16">
        <v>9</v>
      </c>
      <c r="AB203" s="13">
        <f t="shared" si="39"/>
        <v>46</v>
      </c>
    </row>
    <row r="204" spans="1:28" ht="12.75" customHeight="1" x14ac:dyDescent="0.4">
      <c r="A204" s="15"/>
      <c r="B204" s="28"/>
      <c r="C204" s="29" t="s">
        <v>127</v>
      </c>
      <c r="D204" s="30"/>
      <c r="E204" s="16">
        <v>1</v>
      </c>
      <c r="F204" s="16">
        <v>1</v>
      </c>
      <c r="G204" s="16">
        <v>1</v>
      </c>
      <c r="H204" s="16">
        <v>6</v>
      </c>
      <c r="I204" s="16">
        <v>0</v>
      </c>
      <c r="J204" s="16">
        <v>2</v>
      </c>
      <c r="K204" s="16">
        <v>1</v>
      </c>
      <c r="L204" s="16">
        <v>27</v>
      </c>
      <c r="M204" s="16">
        <v>6</v>
      </c>
      <c r="N204" s="16">
        <v>11</v>
      </c>
      <c r="O204" s="16">
        <v>6</v>
      </c>
      <c r="P204" s="16">
        <v>4</v>
      </c>
      <c r="Q204" s="16">
        <v>4</v>
      </c>
      <c r="R204" s="16">
        <v>35</v>
      </c>
      <c r="S204" s="16">
        <v>4</v>
      </c>
      <c r="T204" s="16">
        <v>1</v>
      </c>
      <c r="U204" s="16">
        <v>1</v>
      </c>
      <c r="V204" s="16">
        <v>1</v>
      </c>
      <c r="W204" s="16">
        <v>1</v>
      </c>
      <c r="X204" s="16">
        <v>1</v>
      </c>
      <c r="Y204" s="16">
        <v>2</v>
      </c>
      <c r="Z204" s="16">
        <v>4</v>
      </c>
      <c r="AA204" s="16">
        <v>2</v>
      </c>
      <c r="AB204" s="13">
        <f t="shared" si="39"/>
        <v>122</v>
      </c>
    </row>
    <row r="205" spans="1:28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>
        <v>0</v>
      </c>
      <c r="K205" s="16">
        <v>0</v>
      </c>
      <c r="L205" s="16">
        <v>0</v>
      </c>
      <c r="M205" s="16">
        <v>1</v>
      </c>
      <c r="N205" s="16">
        <v>1</v>
      </c>
      <c r="O205" s="16">
        <v>0</v>
      </c>
      <c r="P205" s="16">
        <v>0</v>
      </c>
      <c r="Q205" s="16">
        <v>1</v>
      </c>
      <c r="R205" s="16">
        <v>0</v>
      </c>
      <c r="S205" s="16">
        <v>0</v>
      </c>
      <c r="T205" s="16">
        <v>0</v>
      </c>
      <c r="U205" s="16">
        <v>0</v>
      </c>
      <c r="V205" s="16">
        <v>0</v>
      </c>
      <c r="W205" s="16">
        <v>0</v>
      </c>
      <c r="X205" s="16">
        <v>1</v>
      </c>
      <c r="Y205" s="16">
        <v>0</v>
      </c>
      <c r="Z205" s="16">
        <v>0</v>
      </c>
      <c r="AA205" s="16">
        <v>0</v>
      </c>
      <c r="AB205" s="13">
        <f t="shared" si="39"/>
        <v>4</v>
      </c>
    </row>
    <row r="206" spans="1:28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1</v>
      </c>
      <c r="L206" s="16">
        <v>0</v>
      </c>
      <c r="M206" s="16">
        <v>0</v>
      </c>
      <c r="N206" s="16">
        <v>0</v>
      </c>
      <c r="O206" s="16">
        <v>0</v>
      </c>
      <c r="P206" s="16">
        <v>0</v>
      </c>
      <c r="Q206" s="16">
        <v>0</v>
      </c>
      <c r="R206" s="16">
        <v>0</v>
      </c>
      <c r="S206" s="16">
        <v>1</v>
      </c>
      <c r="T206" s="16">
        <v>0</v>
      </c>
      <c r="U206" s="16">
        <v>0</v>
      </c>
      <c r="V206" s="16">
        <v>0</v>
      </c>
      <c r="W206" s="16">
        <v>0</v>
      </c>
      <c r="X206" s="16">
        <v>0</v>
      </c>
      <c r="Y206" s="16">
        <v>0</v>
      </c>
      <c r="Z206" s="16">
        <v>0</v>
      </c>
      <c r="AA206" s="16">
        <v>0</v>
      </c>
      <c r="AB206" s="13">
        <f t="shared" si="39"/>
        <v>2</v>
      </c>
    </row>
    <row r="207" spans="1:28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0</v>
      </c>
      <c r="G207" s="16">
        <v>0</v>
      </c>
      <c r="H207" s="16">
        <v>0</v>
      </c>
      <c r="I207" s="16">
        <v>0</v>
      </c>
      <c r="J207" s="16">
        <v>0</v>
      </c>
      <c r="K207" s="16">
        <v>0</v>
      </c>
      <c r="L207" s="16">
        <v>0</v>
      </c>
      <c r="M207" s="16">
        <v>0</v>
      </c>
      <c r="N207" s="16">
        <v>0</v>
      </c>
      <c r="O207" s="16">
        <v>1</v>
      </c>
      <c r="P207" s="16">
        <v>1</v>
      </c>
      <c r="Q207" s="16">
        <v>1</v>
      </c>
      <c r="R207" s="16">
        <v>1</v>
      </c>
      <c r="S207" s="16">
        <v>2</v>
      </c>
      <c r="T207" s="16">
        <v>0</v>
      </c>
      <c r="U207" s="16">
        <v>1</v>
      </c>
      <c r="V207" s="16">
        <v>0</v>
      </c>
      <c r="W207" s="16">
        <v>0</v>
      </c>
      <c r="X207" s="16">
        <v>0</v>
      </c>
      <c r="Y207" s="16">
        <v>0</v>
      </c>
      <c r="Z207" s="16">
        <v>1</v>
      </c>
      <c r="AA207" s="16">
        <v>0</v>
      </c>
      <c r="AB207" s="13">
        <f t="shared" si="39"/>
        <v>8</v>
      </c>
    </row>
    <row r="208" spans="1:28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13">
        <f t="shared" si="39"/>
        <v>0</v>
      </c>
    </row>
    <row r="209" spans="1:28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13">
        <f t="shared" si="39"/>
        <v>0</v>
      </c>
    </row>
    <row r="210" spans="1:28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13">
        <f t="shared" si="39"/>
        <v>0</v>
      </c>
    </row>
    <row r="211" spans="1:28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AB211" si="40">SUM(E201:E210)</f>
        <v>6</v>
      </c>
      <c r="F211" s="13">
        <f t="shared" si="40"/>
        <v>2</v>
      </c>
      <c r="G211" s="13">
        <f t="shared" si="40"/>
        <v>5</v>
      </c>
      <c r="H211" s="13">
        <f t="shared" si="40"/>
        <v>7</v>
      </c>
      <c r="I211" s="13">
        <f t="shared" si="40"/>
        <v>4</v>
      </c>
      <c r="J211" s="13">
        <f t="shared" si="40"/>
        <v>5</v>
      </c>
      <c r="K211" s="13">
        <f t="shared" si="40"/>
        <v>7</v>
      </c>
      <c r="L211" s="13">
        <f t="shared" si="40"/>
        <v>33</v>
      </c>
      <c r="M211" s="13">
        <f t="shared" si="40"/>
        <v>14</v>
      </c>
      <c r="N211" s="13">
        <f t="shared" si="40"/>
        <v>27</v>
      </c>
      <c r="O211" s="13">
        <f t="shared" si="40"/>
        <v>14</v>
      </c>
      <c r="P211" s="13">
        <f t="shared" si="40"/>
        <v>9</v>
      </c>
      <c r="Q211" s="13">
        <f t="shared" si="40"/>
        <v>12</v>
      </c>
      <c r="R211" s="13">
        <f t="shared" si="40"/>
        <v>44</v>
      </c>
      <c r="S211" s="13">
        <f t="shared" si="40"/>
        <v>16</v>
      </c>
      <c r="T211" s="13">
        <f t="shared" si="40"/>
        <v>9</v>
      </c>
      <c r="U211" s="13">
        <f t="shared" si="40"/>
        <v>9</v>
      </c>
      <c r="V211" s="13">
        <f t="shared" si="40"/>
        <v>9</v>
      </c>
      <c r="W211" s="13">
        <f t="shared" si="40"/>
        <v>30</v>
      </c>
      <c r="X211" s="13">
        <f t="shared" si="40"/>
        <v>32</v>
      </c>
      <c r="Y211" s="13">
        <f t="shared" si="40"/>
        <v>18</v>
      </c>
      <c r="Z211" s="13">
        <f t="shared" si="40"/>
        <v>35</v>
      </c>
      <c r="AA211" s="13">
        <f t="shared" si="40"/>
        <v>17</v>
      </c>
      <c r="AB211" s="13">
        <f t="shared" si="40"/>
        <v>364</v>
      </c>
    </row>
    <row r="212" spans="1:28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</row>
    <row r="213" spans="1:28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1</v>
      </c>
      <c r="F213" s="16">
        <v>3</v>
      </c>
      <c r="G213" s="16">
        <v>0</v>
      </c>
      <c r="H213" s="16">
        <v>3</v>
      </c>
      <c r="I213" s="16">
        <v>1</v>
      </c>
      <c r="J213" s="16">
        <v>1</v>
      </c>
      <c r="K213" s="16">
        <v>1</v>
      </c>
      <c r="L213" s="16">
        <v>0</v>
      </c>
      <c r="M213" s="16">
        <v>0</v>
      </c>
      <c r="N213" s="16">
        <v>5</v>
      </c>
      <c r="O213" s="16">
        <v>2</v>
      </c>
      <c r="P213" s="16">
        <v>4</v>
      </c>
      <c r="Q213" s="16">
        <v>3</v>
      </c>
      <c r="R213" s="16">
        <v>1</v>
      </c>
      <c r="S213" s="16">
        <v>3</v>
      </c>
      <c r="T213" s="16">
        <v>5</v>
      </c>
      <c r="U213" s="16">
        <v>1</v>
      </c>
      <c r="V213" s="16">
        <v>0</v>
      </c>
      <c r="W213" s="16">
        <v>0</v>
      </c>
      <c r="X213" s="16">
        <v>1</v>
      </c>
      <c r="Y213" s="16">
        <v>2</v>
      </c>
      <c r="Z213" s="16">
        <v>3</v>
      </c>
      <c r="AA213" s="16">
        <v>4</v>
      </c>
      <c r="AB213" s="13">
        <f t="shared" ref="AB213:AB222" si="41">SUM(E213:AA213)</f>
        <v>44</v>
      </c>
    </row>
    <row r="214" spans="1:28" ht="12.75" customHeight="1" x14ac:dyDescent="0.4">
      <c r="A214" s="20" t="s">
        <v>38</v>
      </c>
      <c r="B214" s="27"/>
      <c r="C214" s="29" t="s">
        <v>133</v>
      </c>
      <c r="D214" s="40"/>
      <c r="E214" s="16">
        <v>0</v>
      </c>
      <c r="F214" s="16">
        <v>2</v>
      </c>
      <c r="G214" s="16">
        <v>0</v>
      </c>
      <c r="H214" s="16">
        <v>1</v>
      </c>
      <c r="I214" s="16">
        <v>0</v>
      </c>
      <c r="J214" s="16">
        <v>1</v>
      </c>
      <c r="K214" s="16">
        <v>0</v>
      </c>
      <c r="L214" s="16">
        <v>1</v>
      </c>
      <c r="M214" s="16">
        <v>0</v>
      </c>
      <c r="N214" s="16">
        <v>4</v>
      </c>
      <c r="O214" s="16">
        <v>1</v>
      </c>
      <c r="P214" s="16">
        <v>0</v>
      </c>
      <c r="Q214" s="16">
        <v>0</v>
      </c>
      <c r="R214" s="16">
        <v>4</v>
      </c>
      <c r="S214" s="16">
        <v>2</v>
      </c>
      <c r="T214" s="16">
        <v>3</v>
      </c>
      <c r="U214" s="16">
        <v>0</v>
      </c>
      <c r="V214" s="16">
        <v>0</v>
      </c>
      <c r="W214" s="16">
        <v>2</v>
      </c>
      <c r="X214" s="16">
        <v>3</v>
      </c>
      <c r="Y214" s="16">
        <v>0</v>
      </c>
      <c r="Z214" s="16">
        <v>0</v>
      </c>
      <c r="AA214" s="16">
        <v>1</v>
      </c>
      <c r="AB214" s="13">
        <f t="shared" si="41"/>
        <v>25</v>
      </c>
    </row>
    <row r="215" spans="1:28" ht="12.75" customHeight="1" x14ac:dyDescent="0.4">
      <c r="A215" s="15"/>
      <c r="B215" s="27"/>
      <c r="C215" s="29" t="s">
        <v>134</v>
      </c>
      <c r="D215" s="40"/>
      <c r="E215" s="16">
        <v>1</v>
      </c>
      <c r="F215" s="16">
        <v>0</v>
      </c>
      <c r="G215" s="16">
        <v>0</v>
      </c>
      <c r="H215" s="16">
        <v>0</v>
      </c>
      <c r="I215" s="16">
        <v>0</v>
      </c>
      <c r="J215" s="16">
        <v>0</v>
      </c>
      <c r="K215" s="16">
        <v>0</v>
      </c>
      <c r="L215" s="16">
        <v>1</v>
      </c>
      <c r="M215" s="16">
        <v>0</v>
      </c>
      <c r="N215" s="16">
        <v>2</v>
      </c>
      <c r="O215" s="16">
        <v>0</v>
      </c>
      <c r="P215" s="16">
        <v>3</v>
      </c>
      <c r="Q215" s="16">
        <v>1</v>
      </c>
      <c r="R215" s="16">
        <v>0</v>
      </c>
      <c r="S215" s="16">
        <v>2</v>
      </c>
      <c r="T215" s="16">
        <v>2</v>
      </c>
      <c r="U215" s="16">
        <v>0</v>
      </c>
      <c r="V215" s="16">
        <v>1</v>
      </c>
      <c r="W215" s="16">
        <v>0</v>
      </c>
      <c r="X215" s="16">
        <v>0</v>
      </c>
      <c r="Y215" s="16">
        <v>0</v>
      </c>
      <c r="Z215" s="16">
        <v>2</v>
      </c>
      <c r="AA215" s="16">
        <v>0</v>
      </c>
      <c r="AB215" s="13">
        <f t="shared" si="41"/>
        <v>15</v>
      </c>
    </row>
    <row r="216" spans="1:28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0</v>
      </c>
      <c r="G216" s="16">
        <v>0</v>
      </c>
      <c r="H216" s="16">
        <v>1</v>
      </c>
      <c r="I216" s="16">
        <v>0</v>
      </c>
      <c r="J216" s="16">
        <v>0</v>
      </c>
      <c r="K216" s="16">
        <v>0</v>
      </c>
      <c r="L216" s="16">
        <v>0</v>
      </c>
      <c r="M216" s="16">
        <v>0</v>
      </c>
      <c r="N216" s="16">
        <v>0</v>
      </c>
      <c r="O216" s="16">
        <v>3</v>
      </c>
      <c r="P216" s="16">
        <v>1</v>
      </c>
      <c r="Q216" s="16">
        <v>1</v>
      </c>
      <c r="R216" s="16">
        <v>0</v>
      </c>
      <c r="S216" s="16">
        <v>1</v>
      </c>
      <c r="T216" s="16">
        <v>0</v>
      </c>
      <c r="U216" s="16">
        <v>2</v>
      </c>
      <c r="V216" s="16">
        <v>0</v>
      </c>
      <c r="W216" s="16">
        <v>0</v>
      </c>
      <c r="X216" s="16">
        <v>0</v>
      </c>
      <c r="Y216" s="16">
        <v>0</v>
      </c>
      <c r="Z216" s="16">
        <v>0</v>
      </c>
      <c r="AA216" s="16">
        <v>0</v>
      </c>
      <c r="AB216" s="13">
        <f t="shared" si="41"/>
        <v>9</v>
      </c>
    </row>
    <row r="217" spans="1:28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0</v>
      </c>
      <c r="L217" s="16">
        <v>1</v>
      </c>
      <c r="M217" s="16">
        <v>0</v>
      </c>
      <c r="N217" s="16">
        <v>1</v>
      </c>
      <c r="O217" s="16">
        <v>0</v>
      </c>
      <c r="P217" s="16">
        <v>0</v>
      </c>
      <c r="Q217" s="16">
        <v>0</v>
      </c>
      <c r="R217" s="16">
        <v>0</v>
      </c>
      <c r="S217" s="16">
        <v>1</v>
      </c>
      <c r="T217" s="16">
        <v>0</v>
      </c>
      <c r="U217" s="16">
        <v>1</v>
      </c>
      <c r="V217" s="16">
        <v>0</v>
      </c>
      <c r="W217" s="16">
        <v>0</v>
      </c>
      <c r="X217" s="16">
        <v>0</v>
      </c>
      <c r="Y217" s="16">
        <v>0</v>
      </c>
      <c r="Z217" s="16">
        <v>1</v>
      </c>
      <c r="AA217" s="16">
        <v>0</v>
      </c>
      <c r="AB217" s="13">
        <f t="shared" si="41"/>
        <v>5</v>
      </c>
    </row>
    <row r="218" spans="1:28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0</v>
      </c>
      <c r="G218" s="16">
        <v>0</v>
      </c>
      <c r="H218" s="16">
        <v>0</v>
      </c>
      <c r="I218" s="16">
        <v>0</v>
      </c>
      <c r="J218" s="16">
        <v>0</v>
      </c>
      <c r="K218" s="16">
        <v>1</v>
      </c>
      <c r="L218" s="16">
        <v>0</v>
      </c>
      <c r="M218" s="16">
        <v>0</v>
      </c>
      <c r="N218" s="16">
        <v>0</v>
      </c>
      <c r="O218" s="16">
        <v>2</v>
      </c>
      <c r="P218" s="16">
        <v>0</v>
      </c>
      <c r="Q218" s="16">
        <v>0</v>
      </c>
      <c r="R218" s="16">
        <v>1</v>
      </c>
      <c r="S218" s="16">
        <v>1</v>
      </c>
      <c r="T218" s="16">
        <v>0</v>
      </c>
      <c r="U218" s="16">
        <v>1</v>
      </c>
      <c r="V218" s="16">
        <v>0</v>
      </c>
      <c r="W218" s="16">
        <v>0</v>
      </c>
      <c r="X218" s="16">
        <v>0</v>
      </c>
      <c r="Y218" s="16">
        <v>0</v>
      </c>
      <c r="Z218" s="16">
        <v>0</v>
      </c>
      <c r="AA218" s="16">
        <v>0</v>
      </c>
      <c r="AB218" s="13">
        <f t="shared" si="41"/>
        <v>6</v>
      </c>
    </row>
    <row r="219" spans="1:28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13">
        <f t="shared" si="41"/>
        <v>0</v>
      </c>
    </row>
    <row r="220" spans="1:28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13">
        <f t="shared" si="41"/>
        <v>0</v>
      </c>
    </row>
    <row r="221" spans="1:28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13">
        <f t="shared" si="41"/>
        <v>0</v>
      </c>
    </row>
    <row r="222" spans="1:28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13">
        <f t="shared" si="41"/>
        <v>0</v>
      </c>
    </row>
    <row r="223" spans="1:28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AB223" si="42">SUM(E213:E222)</f>
        <v>2</v>
      </c>
      <c r="F223" s="13">
        <f t="shared" si="42"/>
        <v>5</v>
      </c>
      <c r="G223" s="13">
        <f t="shared" si="42"/>
        <v>0</v>
      </c>
      <c r="H223" s="13">
        <f t="shared" si="42"/>
        <v>5</v>
      </c>
      <c r="I223" s="13">
        <f t="shared" si="42"/>
        <v>1</v>
      </c>
      <c r="J223" s="13">
        <f t="shared" si="42"/>
        <v>2</v>
      </c>
      <c r="K223" s="13">
        <f t="shared" si="42"/>
        <v>2</v>
      </c>
      <c r="L223" s="13">
        <f t="shared" si="42"/>
        <v>3</v>
      </c>
      <c r="M223" s="13">
        <f t="shared" si="42"/>
        <v>0</v>
      </c>
      <c r="N223" s="13">
        <f t="shared" si="42"/>
        <v>12</v>
      </c>
      <c r="O223" s="13">
        <f t="shared" si="42"/>
        <v>8</v>
      </c>
      <c r="P223" s="13">
        <f t="shared" si="42"/>
        <v>8</v>
      </c>
      <c r="Q223" s="13">
        <f t="shared" si="42"/>
        <v>5</v>
      </c>
      <c r="R223" s="13">
        <f t="shared" si="42"/>
        <v>6</v>
      </c>
      <c r="S223" s="13">
        <f t="shared" si="42"/>
        <v>10</v>
      </c>
      <c r="T223" s="13">
        <f t="shared" si="42"/>
        <v>10</v>
      </c>
      <c r="U223" s="13">
        <f t="shared" si="42"/>
        <v>5</v>
      </c>
      <c r="V223" s="13">
        <f t="shared" si="42"/>
        <v>1</v>
      </c>
      <c r="W223" s="13">
        <f t="shared" si="42"/>
        <v>2</v>
      </c>
      <c r="X223" s="13">
        <f t="shared" si="42"/>
        <v>4</v>
      </c>
      <c r="Y223" s="13">
        <f t="shared" si="42"/>
        <v>2</v>
      </c>
      <c r="Z223" s="13">
        <f t="shared" si="42"/>
        <v>6</v>
      </c>
      <c r="AA223" s="13">
        <f t="shared" si="42"/>
        <v>5</v>
      </c>
      <c r="AB223" s="13">
        <f t="shared" si="42"/>
        <v>104</v>
      </c>
    </row>
    <row r="224" spans="1:28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</row>
    <row r="225" spans="1:28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1</v>
      </c>
      <c r="G225" s="16">
        <v>0</v>
      </c>
      <c r="H225" s="16">
        <v>1</v>
      </c>
      <c r="I225" s="16">
        <v>0</v>
      </c>
      <c r="J225" s="16">
        <v>1</v>
      </c>
      <c r="K225" s="16">
        <v>0</v>
      </c>
      <c r="L225" s="16">
        <v>0</v>
      </c>
      <c r="M225" s="16">
        <v>2</v>
      </c>
      <c r="N225" s="16">
        <v>1</v>
      </c>
      <c r="O225" s="16">
        <v>0</v>
      </c>
      <c r="P225" s="16">
        <v>0</v>
      </c>
      <c r="Q225" s="16">
        <v>0</v>
      </c>
      <c r="R225" s="16">
        <v>2</v>
      </c>
      <c r="S225" s="16">
        <v>0</v>
      </c>
      <c r="T225" s="16">
        <v>0</v>
      </c>
      <c r="U225" s="16">
        <v>0</v>
      </c>
      <c r="V225" s="16">
        <v>2</v>
      </c>
      <c r="W225" s="16">
        <v>0</v>
      </c>
      <c r="X225" s="16">
        <v>0</v>
      </c>
      <c r="Y225" s="16">
        <v>0</v>
      </c>
      <c r="Z225" s="16">
        <v>0</v>
      </c>
      <c r="AA225" s="16">
        <v>0</v>
      </c>
      <c r="AB225" s="13">
        <f t="shared" ref="AB225:AB234" si="43">SUM(E225:AA225)</f>
        <v>10</v>
      </c>
    </row>
    <row r="226" spans="1:28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0</v>
      </c>
      <c r="L226" s="16">
        <v>1</v>
      </c>
      <c r="M226" s="16">
        <v>0</v>
      </c>
      <c r="N226" s="16">
        <v>1</v>
      </c>
      <c r="O226" s="16">
        <v>0</v>
      </c>
      <c r="P226" s="16">
        <v>0</v>
      </c>
      <c r="Q226" s="16">
        <v>0</v>
      </c>
      <c r="R226" s="16">
        <v>0</v>
      </c>
      <c r="S226" s="16">
        <v>0</v>
      </c>
      <c r="T226" s="16">
        <v>0</v>
      </c>
      <c r="U226" s="16">
        <v>0</v>
      </c>
      <c r="V226" s="16">
        <v>0</v>
      </c>
      <c r="W226" s="16">
        <v>0</v>
      </c>
      <c r="X226" s="16">
        <v>0</v>
      </c>
      <c r="Y226" s="16">
        <v>0</v>
      </c>
      <c r="Z226" s="16">
        <v>0</v>
      </c>
      <c r="AA226" s="16">
        <v>0</v>
      </c>
      <c r="AB226" s="13">
        <f t="shared" si="43"/>
        <v>2</v>
      </c>
    </row>
    <row r="227" spans="1:28" ht="12.75" customHeight="1" x14ac:dyDescent="0.4">
      <c r="A227" s="15"/>
      <c r="B227" s="27"/>
      <c r="C227" s="29" t="s">
        <v>141</v>
      </c>
      <c r="D227" s="40"/>
      <c r="E227" s="16">
        <v>0</v>
      </c>
      <c r="F227" s="16">
        <v>1</v>
      </c>
      <c r="G227" s="16">
        <v>2</v>
      </c>
      <c r="H227" s="16">
        <v>0</v>
      </c>
      <c r="I227" s="16">
        <v>1</v>
      </c>
      <c r="J227" s="16">
        <v>3</v>
      </c>
      <c r="K227" s="16">
        <v>12</v>
      </c>
      <c r="L227" s="16">
        <v>15</v>
      </c>
      <c r="M227" s="16">
        <v>4</v>
      </c>
      <c r="N227" s="16">
        <v>0</v>
      </c>
      <c r="O227" s="16">
        <v>4</v>
      </c>
      <c r="P227" s="16">
        <v>0</v>
      </c>
      <c r="Q227" s="16">
        <v>0</v>
      </c>
      <c r="R227" s="16">
        <v>0</v>
      </c>
      <c r="S227" s="16">
        <v>0</v>
      </c>
      <c r="T227" s="16">
        <v>2</v>
      </c>
      <c r="U227" s="16">
        <v>2</v>
      </c>
      <c r="V227" s="16">
        <v>1</v>
      </c>
      <c r="W227" s="16">
        <v>0</v>
      </c>
      <c r="X227" s="16">
        <v>0</v>
      </c>
      <c r="Y227" s="16">
        <v>1</v>
      </c>
      <c r="Z227" s="16">
        <v>2</v>
      </c>
      <c r="AA227" s="16">
        <v>0</v>
      </c>
      <c r="AB227" s="13">
        <f t="shared" si="43"/>
        <v>50</v>
      </c>
    </row>
    <row r="228" spans="1:28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1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6">
        <v>0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6">
        <v>0</v>
      </c>
      <c r="AA228" s="16">
        <v>0</v>
      </c>
      <c r="AB228" s="13">
        <f t="shared" si="43"/>
        <v>1</v>
      </c>
    </row>
    <row r="229" spans="1:28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1</v>
      </c>
      <c r="T229" s="16">
        <v>0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6">
        <v>0</v>
      </c>
      <c r="AA229" s="16">
        <v>0</v>
      </c>
      <c r="AB229" s="13">
        <f t="shared" si="43"/>
        <v>1</v>
      </c>
    </row>
    <row r="230" spans="1:28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0</v>
      </c>
      <c r="G230" s="16">
        <v>0</v>
      </c>
      <c r="H230" s="16">
        <v>0</v>
      </c>
      <c r="I230" s="16">
        <v>0</v>
      </c>
      <c r="J230" s="16">
        <v>0</v>
      </c>
      <c r="K230" s="16">
        <v>0</v>
      </c>
      <c r="L230" s="16">
        <v>1</v>
      </c>
      <c r="M230" s="16">
        <v>1</v>
      </c>
      <c r="N230" s="16">
        <v>0</v>
      </c>
      <c r="O230" s="16">
        <v>0</v>
      </c>
      <c r="P230" s="16">
        <v>1</v>
      </c>
      <c r="Q230" s="16">
        <v>0</v>
      </c>
      <c r="R230" s="16">
        <v>0</v>
      </c>
      <c r="S230" s="16">
        <v>1</v>
      </c>
      <c r="T230" s="16">
        <v>1</v>
      </c>
      <c r="U230" s="16">
        <v>1</v>
      </c>
      <c r="V230" s="16">
        <v>0</v>
      </c>
      <c r="W230" s="16">
        <v>0</v>
      </c>
      <c r="X230" s="16">
        <v>0</v>
      </c>
      <c r="Y230" s="16">
        <v>2</v>
      </c>
      <c r="Z230" s="16">
        <v>0</v>
      </c>
      <c r="AA230" s="16">
        <v>0</v>
      </c>
      <c r="AB230" s="13">
        <f t="shared" si="43"/>
        <v>8</v>
      </c>
    </row>
    <row r="231" spans="1:28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1</v>
      </c>
      <c r="Q231" s="16">
        <v>0</v>
      </c>
      <c r="R231" s="16">
        <v>4</v>
      </c>
      <c r="S231" s="16">
        <v>0</v>
      </c>
      <c r="T231" s="16">
        <v>1</v>
      </c>
      <c r="U231" s="16">
        <v>1</v>
      </c>
      <c r="V231" s="16">
        <v>2</v>
      </c>
      <c r="W231" s="16">
        <v>0</v>
      </c>
      <c r="X231" s="16">
        <v>0</v>
      </c>
      <c r="Y231" s="16">
        <v>0</v>
      </c>
      <c r="Z231" s="16">
        <v>0</v>
      </c>
      <c r="AA231" s="16">
        <v>0</v>
      </c>
      <c r="AB231" s="13">
        <f t="shared" si="43"/>
        <v>9</v>
      </c>
    </row>
    <row r="232" spans="1:28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13">
        <f t="shared" si="43"/>
        <v>0</v>
      </c>
    </row>
    <row r="233" spans="1:28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13">
        <f t="shared" si="43"/>
        <v>0</v>
      </c>
    </row>
    <row r="234" spans="1:28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13">
        <f t="shared" si="43"/>
        <v>0</v>
      </c>
    </row>
    <row r="235" spans="1:28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AB235" si="44">SUM(E225:E234)</f>
        <v>0</v>
      </c>
      <c r="F235" s="13">
        <f t="shared" si="44"/>
        <v>2</v>
      </c>
      <c r="G235" s="13">
        <f t="shared" si="44"/>
        <v>2</v>
      </c>
      <c r="H235" s="13">
        <f t="shared" si="44"/>
        <v>1</v>
      </c>
      <c r="I235" s="13">
        <f t="shared" si="44"/>
        <v>1</v>
      </c>
      <c r="J235" s="13">
        <f t="shared" si="44"/>
        <v>5</v>
      </c>
      <c r="K235" s="13">
        <f t="shared" si="44"/>
        <v>12</v>
      </c>
      <c r="L235" s="13">
        <f t="shared" si="44"/>
        <v>17</v>
      </c>
      <c r="M235" s="13">
        <f t="shared" si="44"/>
        <v>7</v>
      </c>
      <c r="N235" s="13">
        <f t="shared" si="44"/>
        <v>2</v>
      </c>
      <c r="O235" s="13">
        <f t="shared" si="44"/>
        <v>4</v>
      </c>
      <c r="P235" s="13">
        <f t="shared" si="44"/>
        <v>2</v>
      </c>
      <c r="Q235" s="13">
        <f t="shared" si="44"/>
        <v>0</v>
      </c>
      <c r="R235" s="13">
        <f t="shared" si="44"/>
        <v>6</v>
      </c>
      <c r="S235" s="13">
        <f t="shared" si="44"/>
        <v>2</v>
      </c>
      <c r="T235" s="13">
        <f t="shared" si="44"/>
        <v>4</v>
      </c>
      <c r="U235" s="13">
        <f t="shared" si="44"/>
        <v>4</v>
      </c>
      <c r="V235" s="13">
        <f t="shared" si="44"/>
        <v>5</v>
      </c>
      <c r="W235" s="13">
        <f t="shared" si="44"/>
        <v>0</v>
      </c>
      <c r="X235" s="13">
        <f t="shared" si="44"/>
        <v>0</v>
      </c>
      <c r="Y235" s="13">
        <f t="shared" si="44"/>
        <v>3</v>
      </c>
      <c r="Z235" s="13">
        <f t="shared" si="44"/>
        <v>2</v>
      </c>
      <c r="AA235" s="13">
        <f t="shared" si="44"/>
        <v>0</v>
      </c>
      <c r="AB235" s="13">
        <f t="shared" si="44"/>
        <v>81</v>
      </c>
    </row>
    <row r="236" spans="1:28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</row>
    <row r="237" spans="1:28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2</v>
      </c>
      <c r="F237" s="16">
        <v>0</v>
      </c>
      <c r="G237" s="16">
        <v>3</v>
      </c>
      <c r="H237" s="16">
        <v>6</v>
      </c>
      <c r="I237" s="16">
        <v>0</v>
      </c>
      <c r="J237" s="16">
        <v>0</v>
      </c>
      <c r="K237" s="16">
        <v>0</v>
      </c>
      <c r="L237" s="16">
        <v>1</v>
      </c>
      <c r="M237" s="16">
        <v>3</v>
      </c>
      <c r="N237" s="16">
        <v>0</v>
      </c>
      <c r="O237" s="16">
        <v>0</v>
      </c>
      <c r="P237" s="16">
        <v>2</v>
      </c>
      <c r="Q237" s="16">
        <v>5</v>
      </c>
      <c r="R237" s="16">
        <v>0</v>
      </c>
      <c r="S237" s="16">
        <v>0</v>
      </c>
      <c r="T237" s="16">
        <v>0</v>
      </c>
      <c r="U237" s="16">
        <v>1</v>
      </c>
      <c r="V237" s="16">
        <v>1</v>
      </c>
      <c r="W237" s="16">
        <v>6</v>
      </c>
      <c r="X237" s="16">
        <v>1</v>
      </c>
      <c r="Y237" s="16">
        <v>3</v>
      </c>
      <c r="Z237" s="16">
        <v>2</v>
      </c>
      <c r="AA237" s="16">
        <v>0</v>
      </c>
      <c r="AB237" s="13">
        <f t="shared" ref="AB237:AB246" si="45">SUM(E237:AA237)</f>
        <v>36</v>
      </c>
    </row>
    <row r="238" spans="1:28" ht="12.75" customHeight="1" x14ac:dyDescent="0.4">
      <c r="A238" s="20" t="s">
        <v>38</v>
      </c>
      <c r="B238" s="28"/>
      <c r="C238" s="29" t="s">
        <v>148</v>
      </c>
      <c r="D238" s="30"/>
      <c r="E238" s="16">
        <v>2</v>
      </c>
      <c r="F238" s="16">
        <v>0</v>
      </c>
      <c r="G238" s="16">
        <v>0</v>
      </c>
      <c r="H238" s="16">
        <v>1</v>
      </c>
      <c r="I238" s="16">
        <v>1</v>
      </c>
      <c r="J238" s="16">
        <v>0</v>
      </c>
      <c r="K238" s="16">
        <v>0</v>
      </c>
      <c r="L238" s="16">
        <v>1</v>
      </c>
      <c r="M238" s="16">
        <v>1</v>
      </c>
      <c r="N238" s="16">
        <v>0</v>
      </c>
      <c r="O238" s="16">
        <v>0</v>
      </c>
      <c r="P238" s="16">
        <v>0</v>
      </c>
      <c r="Q238" s="16">
        <v>0</v>
      </c>
      <c r="R238" s="16">
        <v>0</v>
      </c>
      <c r="S238" s="16">
        <v>0</v>
      </c>
      <c r="T238" s="16">
        <v>1</v>
      </c>
      <c r="U238" s="16">
        <v>1</v>
      </c>
      <c r="V238" s="16">
        <v>0</v>
      </c>
      <c r="W238" s="16">
        <v>2</v>
      </c>
      <c r="X238" s="16">
        <v>2</v>
      </c>
      <c r="Y238" s="16">
        <v>3</v>
      </c>
      <c r="Z238" s="16">
        <v>1</v>
      </c>
      <c r="AA238" s="16">
        <v>0</v>
      </c>
      <c r="AB238" s="13">
        <f t="shared" si="45"/>
        <v>16</v>
      </c>
    </row>
    <row r="239" spans="1:28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12</v>
      </c>
      <c r="G239" s="16">
        <v>6</v>
      </c>
      <c r="H239" s="16">
        <v>29</v>
      </c>
      <c r="I239" s="16">
        <v>14</v>
      </c>
      <c r="J239" s="16">
        <v>13</v>
      </c>
      <c r="K239" s="16">
        <v>10</v>
      </c>
      <c r="L239" s="16">
        <v>9</v>
      </c>
      <c r="M239" s="16">
        <v>12</v>
      </c>
      <c r="N239" s="16">
        <v>9</v>
      </c>
      <c r="O239" s="16">
        <v>3</v>
      </c>
      <c r="P239" s="16">
        <v>1</v>
      </c>
      <c r="Q239" s="16">
        <v>23</v>
      </c>
      <c r="R239" s="16">
        <v>45</v>
      </c>
      <c r="S239" s="16">
        <v>54</v>
      </c>
      <c r="T239" s="16">
        <v>10</v>
      </c>
      <c r="U239" s="16">
        <v>5</v>
      </c>
      <c r="V239" s="16">
        <v>4</v>
      </c>
      <c r="W239" s="16">
        <v>15</v>
      </c>
      <c r="X239" s="16">
        <v>7</v>
      </c>
      <c r="Y239" s="16">
        <v>16</v>
      </c>
      <c r="Z239" s="16">
        <v>5</v>
      </c>
      <c r="AA239" s="16">
        <v>4</v>
      </c>
      <c r="AB239" s="13">
        <f t="shared" si="45"/>
        <v>306</v>
      </c>
    </row>
    <row r="240" spans="1:28" ht="12.75" customHeight="1" x14ac:dyDescent="0.4">
      <c r="A240" s="15"/>
      <c r="B240" s="28"/>
      <c r="C240" s="29" t="s">
        <v>150</v>
      </c>
      <c r="D240" s="30"/>
      <c r="E240" s="16">
        <v>1</v>
      </c>
      <c r="F240" s="16">
        <v>0</v>
      </c>
      <c r="G240" s="16">
        <v>0</v>
      </c>
      <c r="H240" s="16">
        <v>4</v>
      </c>
      <c r="I240" s="16">
        <v>0</v>
      </c>
      <c r="J240" s="16">
        <v>14</v>
      </c>
      <c r="K240" s="16">
        <v>6</v>
      </c>
      <c r="L240" s="16">
        <v>0</v>
      </c>
      <c r="M240" s="16">
        <v>6</v>
      </c>
      <c r="N240" s="16">
        <v>3</v>
      </c>
      <c r="O240" s="16">
        <v>1</v>
      </c>
      <c r="P240" s="16">
        <v>2</v>
      </c>
      <c r="Q240" s="16">
        <v>3</v>
      </c>
      <c r="R240" s="16">
        <v>1</v>
      </c>
      <c r="S240" s="16">
        <v>0</v>
      </c>
      <c r="T240" s="16">
        <v>0</v>
      </c>
      <c r="U240" s="16">
        <v>0</v>
      </c>
      <c r="V240" s="16">
        <v>4</v>
      </c>
      <c r="W240" s="16">
        <v>25</v>
      </c>
      <c r="X240" s="16">
        <v>16</v>
      </c>
      <c r="Y240" s="16">
        <v>1</v>
      </c>
      <c r="Z240" s="16">
        <v>2</v>
      </c>
      <c r="AA240" s="16">
        <v>0</v>
      </c>
      <c r="AB240" s="13">
        <f t="shared" si="45"/>
        <v>89</v>
      </c>
    </row>
    <row r="241" spans="1:28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6">
        <v>0</v>
      </c>
      <c r="N241" s="16">
        <v>0</v>
      </c>
      <c r="O241" s="16">
        <v>2</v>
      </c>
      <c r="P241" s="16">
        <v>4</v>
      </c>
      <c r="Q241" s="16">
        <v>0</v>
      </c>
      <c r="R241" s="16">
        <v>0</v>
      </c>
      <c r="S241" s="16">
        <v>0</v>
      </c>
      <c r="T241" s="16">
        <v>0</v>
      </c>
      <c r="U241" s="16">
        <v>1</v>
      </c>
      <c r="V241" s="16">
        <v>0</v>
      </c>
      <c r="W241" s="16">
        <v>0</v>
      </c>
      <c r="X241" s="16">
        <v>0</v>
      </c>
      <c r="Y241" s="16">
        <v>0</v>
      </c>
      <c r="Z241" s="16">
        <v>0</v>
      </c>
      <c r="AA241" s="16">
        <v>0</v>
      </c>
      <c r="AB241" s="13">
        <f t="shared" si="45"/>
        <v>7</v>
      </c>
    </row>
    <row r="242" spans="1:28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6">
        <v>0</v>
      </c>
      <c r="Q242" s="16">
        <v>0</v>
      </c>
      <c r="R242" s="16">
        <v>0</v>
      </c>
      <c r="S242" s="16">
        <v>0</v>
      </c>
      <c r="T242" s="16">
        <v>0</v>
      </c>
      <c r="U242" s="16">
        <v>2</v>
      </c>
      <c r="V242" s="16">
        <v>0</v>
      </c>
      <c r="W242" s="16">
        <v>0</v>
      </c>
      <c r="X242" s="16">
        <v>1</v>
      </c>
      <c r="Y242" s="16">
        <v>0</v>
      </c>
      <c r="Z242" s="16">
        <v>0</v>
      </c>
      <c r="AA242" s="16">
        <v>0</v>
      </c>
      <c r="AB242" s="13">
        <f t="shared" si="45"/>
        <v>3</v>
      </c>
    </row>
    <row r="243" spans="1:28" ht="12.75" customHeight="1" x14ac:dyDescent="0.4">
      <c r="A243" s="15"/>
      <c r="B243" s="28"/>
      <c r="C243" s="29" t="s">
        <v>153</v>
      </c>
      <c r="D243" s="30"/>
      <c r="E243" s="16">
        <v>5</v>
      </c>
      <c r="F243" s="16">
        <v>0</v>
      </c>
      <c r="G243" s="16">
        <v>1</v>
      </c>
      <c r="H243" s="16">
        <v>1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1</v>
      </c>
      <c r="P243" s="16">
        <v>0</v>
      </c>
      <c r="Q243" s="16">
        <v>0</v>
      </c>
      <c r="R243" s="16">
        <v>0</v>
      </c>
      <c r="S243" s="16">
        <v>0</v>
      </c>
      <c r="T243" s="16">
        <v>0</v>
      </c>
      <c r="U243" s="16">
        <v>0</v>
      </c>
      <c r="V243" s="16">
        <v>0</v>
      </c>
      <c r="W243" s="16">
        <v>0</v>
      </c>
      <c r="X243" s="16">
        <v>1</v>
      </c>
      <c r="Y243" s="16">
        <v>0</v>
      </c>
      <c r="Z243" s="16">
        <v>0</v>
      </c>
      <c r="AA243" s="16">
        <v>0</v>
      </c>
      <c r="AB243" s="13">
        <f t="shared" si="45"/>
        <v>9</v>
      </c>
    </row>
    <row r="244" spans="1:28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13">
        <f t="shared" si="45"/>
        <v>0</v>
      </c>
    </row>
    <row r="245" spans="1:28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13">
        <f t="shared" si="45"/>
        <v>0</v>
      </c>
    </row>
    <row r="246" spans="1:28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13">
        <f t="shared" si="45"/>
        <v>0</v>
      </c>
    </row>
    <row r="247" spans="1:28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AB247" si="46">SUM(E237:E246)</f>
        <v>10</v>
      </c>
      <c r="F247" s="13">
        <f t="shared" si="46"/>
        <v>12</v>
      </c>
      <c r="G247" s="13">
        <f t="shared" si="46"/>
        <v>10</v>
      </c>
      <c r="H247" s="13">
        <f t="shared" si="46"/>
        <v>41</v>
      </c>
      <c r="I247" s="13">
        <f t="shared" si="46"/>
        <v>15</v>
      </c>
      <c r="J247" s="13">
        <f t="shared" si="46"/>
        <v>27</v>
      </c>
      <c r="K247" s="13">
        <f t="shared" si="46"/>
        <v>16</v>
      </c>
      <c r="L247" s="13">
        <f t="shared" si="46"/>
        <v>11</v>
      </c>
      <c r="M247" s="13">
        <f t="shared" si="46"/>
        <v>22</v>
      </c>
      <c r="N247" s="13">
        <f t="shared" si="46"/>
        <v>12</v>
      </c>
      <c r="O247" s="13">
        <f t="shared" si="46"/>
        <v>7</v>
      </c>
      <c r="P247" s="13">
        <f t="shared" si="46"/>
        <v>9</v>
      </c>
      <c r="Q247" s="13">
        <f t="shared" si="46"/>
        <v>31</v>
      </c>
      <c r="R247" s="13">
        <f t="shared" si="46"/>
        <v>46</v>
      </c>
      <c r="S247" s="13">
        <f t="shared" si="46"/>
        <v>54</v>
      </c>
      <c r="T247" s="13">
        <f t="shared" si="46"/>
        <v>11</v>
      </c>
      <c r="U247" s="13">
        <f t="shared" si="46"/>
        <v>10</v>
      </c>
      <c r="V247" s="13">
        <f t="shared" si="46"/>
        <v>9</v>
      </c>
      <c r="W247" s="13">
        <f t="shared" si="46"/>
        <v>48</v>
      </c>
      <c r="X247" s="13">
        <f t="shared" si="46"/>
        <v>28</v>
      </c>
      <c r="Y247" s="13">
        <f t="shared" si="46"/>
        <v>23</v>
      </c>
      <c r="Z247" s="13">
        <f t="shared" si="46"/>
        <v>10</v>
      </c>
      <c r="AA247" s="13">
        <f t="shared" si="46"/>
        <v>4</v>
      </c>
      <c r="AB247" s="13">
        <f t="shared" si="46"/>
        <v>466</v>
      </c>
    </row>
    <row r="248" spans="1:28" ht="12.75" customHeight="1" x14ac:dyDescent="0.4">
      <c r="A248" s="63"/>
      <c r="B248" s="61"/>
      <c r="C248" s="61"/>
      <c r="D248" s="61"/>
      <c r="E248" s="62"/>
    </row>
    <row r="249" spans="1:28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0</v>
      </c>
      <c r="H249" s="16">
        <v>0</v>
      </c>
      <c r="I249" s="16">
        <v>0</v>
      </c>
      <c r="J249" s="16">
        <v>1</v>
      </c>
      <c r="K249" s="16">
        <v>0</v>
      </c>
      <c r="L249" s="16">
        <v>0</v>
      </c>
      <c r="M249" s="16">
        <v>2</v>
      </c>
      <c r="N249" s="16">
        <v>1</v>
      </c>
      <c r="O249" s="16">
        <v>0</v>
      </c>
      <c r="P249" s="16">
        <v>0</v>
      </c>
      <c r="Q249" s="16">
        <v>1</v>
      </c>
      <c r="R249" s="16">
        <v>0</v>
      </c>
      <c r="S249" s="16">
        <v>1</v>
      </c>
      <c r="T249" s="16">
        <v>2</v>
      </c>
      <c r="U249" s="16">
        <v>0</v>
      </c>
      <c r="V249" s="16">
        <v>0</v>
      </c>
      <c r="W249" s="16">
        <v>0</v>
      </c>
      <c r="X249" s="16">
        <v>1</v>
      </c>
      <c r="Y249" s="16">
        <v>0</v>
      </c>
      <c r="Z249" s="16">
        <v>1</v>
      </c>
      <c r="AA249" s="16">
        <v>0</v>
      </c>
      <c r="AB249" s="13">
        <f t="shared" ref="AB249:AB258" si="47">SUM(E249:AA249)</f>
        <v>10</v>
      </c>
    </row>
    <row r="250" spans="1:28" ht="12.75" customHeight="1" x14ac:dyDescent="0.4">
      <c r="A250" s="20" t="s">
        <v>38</v>
      </c>
      <c r="B250" s="27"/>
      <c r="C250" s="29" t="s">
        <v>156</v>
      </c>
      <c r="D250" s="40"/>
      <c r="E250" s="16">
        <v>0</v>
      </c>
      <c r="F250" s="16">
        <v>0</v>
      </c>
      <c r="G250" s="16">
        <v>0</v>
      </c>
      <c r="H250" s="16">
        <v>2</v>
      </c>
      <c r="I250" s="16">
        <v>0</v>
      </c>
      <c r="J250" s="16">
        <v>0</v>
      </c>
      <c r="K250" s="16">
        <v>1</v>
      </c>
      <c r="L250" s="16">
        <v>0</v>
      </c>
      <c r="M250" s="16">
        <v>0</v>
      </c>
      <c r="N250" s="16">
        <v>0</v>
      </c>
      <c r="O250" s="16">
        <v>0</v>
      </c>
      <c r="P250" s="16">
        <v>0</v>
      </c>
      <c r="Q250" s="16">
        <v>0</v>
      </c>
      <c r="R250" s="16">
        <v>0</v>
      </c>
      <c r="S250" s="16">
        <v>0</v>
      </c>
      <c r="T250" s="16">
        <v>1</v>
      </c>
      <c r="U250" s="16">
        <v>0</v>
      </c>
      <c r="V250" s="16">
        <v>0</v>
      </c>
      <c r="W250" s="16">
        <v>0</v>
      </c>
      <c r="X250" s="16">
        <v>0</v>
      </c>
      <c r="Y250" s="16">
        <v>0</v>
      </c>
      <c r="Z250" s="16">
        <v>0</v>
      </c>
      <c r="AA250" s="16">
        <v>0</v>
      </c>
      <c r="AB250" s="13">
        <f t="shared" si="47"/>
        <v>4</v>
      </c>
    </row>
    <row r="251" spans="1:28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6">
        <v>1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6">
        <v>0</v>
      </c>
      <c r="T251" s="16">
        <v>0</v>
      </c>
      <c r="U251" s="16">
        <v>0</v>
      </c>
      <c r="V251" s="16">
        <v>0</v>
      </c>
      <c r="W251" s="16">
        <v>0</v>
      </c>
      <c r="X251" s="16">
        <v>0</v>
      </c>
      <c r="Y251" s="16">
        <v>0</v>
      </c>
      <c r="Z251" s="16">
        <v>1</v>
      </c>
      <c r="AA251" s="16">
        <v>0</v>
      </c>
      <c r="AB251" s="13">
        <f t="shared" si="47"/>
        <v>2</v>
      </c>
    </row>
    <row r="252" spans="1:28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6">
        <v>0</v>
      </c>
      <c r="T252" s="16">
        <v>0</v>
      </c>
      <c r="U252" s="16">
        <v>0</v>
      </c>
      <c r="V252" s="16">
        <v>0</v>
      </c>
      <c r="W252" s="16">
        <v>0</v>
      </c>
      <c r="X252" s="16">
        <v>0</v>
      </c>
      <c r="Y252" s="16">
        <v>0</v>
      </c>
      <c r="Z252" s="16">
        <v>0</v>
      </c>
      <c r="AA252" s="16">
        <v>0</v>
      </c>
      <c r="AB252" s="13">
        <f t="shared" si="47"/>
        <v>0</v>
      </c>
    </row>
    <row r="253" spans="1:28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0</v>
      </c>
      <c r="N253" s="16">
        <v>0</v>
      </c>
      <c r="O253" s="16">
        <v>0</v>
      </c>
      <c r="P253" s="16">
        <v>1</v>
      </c>
      <c r="Q253" s="16">
        <v>1</v>
      </c>
      <c r="R253" s="16">
        <v>0</v>
      </c>
      <c r="S253" s="16">
        <v>0</v>
      </c>
      <c r="T253" s="16">
        <v>0</v>
      </c>
      <c r="U253" s="16">
        <v>0</v>
      </c>
      <c r="V253" s="16">
        <v>0</v>
      </c>
      <c r="W253" s="16">
        <v>0</v>
      </c>
      <c r="X253" s="16">
        <v>0</v>
      </c>
      <c r="Y253" s="16">
        <v>0</v>
      </c>
      <c r="Z253" s="16">
        <v>0</v>
      </c>
      <c r="AA253" s="16">
        <v>0</v>
      </c>
      <c r="AB253" s="13">
        <f t="shared" si="47"/>
        <v>2</v>
      </c>
    </row>
    <row r="254" spans="1:28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13">
        <f t="shared" si="47"/>
        <v>0</v>
      </c>
    </row>
    <row r="255" spans="1:28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13">
        <f t="shared" si="47"/>
        <v>0</v>
      </c>
    </row>
    <row r="256" spans="1:28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13">
        <f t="shared" si="47"/>
        <v>0</v>
      </c>
    </row>
    <row r="257" spans="1:28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13">
        <f t="shared" si="47"/>
        <v>0</v>
      </c>
    </row>
    <row r="258" spans="1:28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13">
        <f t="shared" si="47"/>
        <v>0</v>
      </c>
    </row>
    <row r="259" spans="1:28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AB259" si="48">SUM(E249:E258)</f>
        <v>0</v>
      </c>
      <c r="F259" s="13">
        <f t="shared" si="48"/>
        <v>0</v>
      </c>
      <c r="G259" s="13">
        <f t="shared" si="48"/>
        <v>0</v>
      </c>
      <c r="H259" s="13">
        <f t="shared" si="48"/>
        <v>2</v>
      </c>
      <c r="I259" s="13">
        <f t="shared" si="48"/>
        <v>0</v>
      </c>
      <c r="J259" s="13">
        <f t="shared" si="48"/>
        <v>1</v>
      </c>
      <c r="K259" s="13">
        <f t="shared" si="48"/>
        <v>1</v>
      </c>
      <c r="L259" s="13">
        <f t="shared" si="48"/>
        <v>0</v>
      </c>
      <c r="M259" s="13">
        <f t="shared" si="48"/>
        <v>3</v>
      </c>
      <c r="N259" s="13">
        <f t="shared" si="48"/>
        <v>1</v>
      </c>
      <c r="O259" s="13">
        <f t="shared" si="48"/>
        <v>0</v>
      </c>
      <c r="P259" s="13">
        <f t="shared" si="48"/>
        <v>1</v>
      </c>
      <c r="Q259" s="13">
        <f t="shared" si="48"/>
        <v>2</v>
      </c>
      <c r="R259" s="13">
        <f t="shared" si="48"/>
        <v>0</v>
      </c>
      <c r="S259" s="13">
        <f t="shared" si="48"/>
        <v>1</v>
      </c>
      <c r="T259" s="13">
        <f t="shared" si="48"/>
        <v>3</v>
      </c>
      <c r="U259" s="13">
        <f t="shared" si="48"/>
        <v>0</v>
      </c>
      <c r="V259" s="13">
        <f t="shared" si="48"/>
        <v>0</v>
      </c>
      <c r="W259" s="13">
        <f t="shared" si="48"/>
        <v>0</v>
      </c>
      <c r="X259" s="13">
        <f t="shared" si="48"/>
        <v>1</v>
      </c>
      <c r="Y259" s="13">
        <f t="shared" si="48"/>
        <v>0</v>
      </c>
      <c r="Z259" s="13">
        <f t="shared" si="48"/>
        <v>2</v>
      </c>
      <c r="AA259" s="13">
        <f t="shared" si="48"/>
        <v>0</v>
      </c>
      <c r="AB259" s="13">
        <f t="shared" si="48"/>
        <v>18</v>
      </c>
    </row>
    <row r="260" spans="1:28" ht="12.75" customHeight="1" x14ac:dyDescent="0.4"/>
    <row r="261" spans="1:28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13"/>
    </row>
    <row r="262" spans="1:28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AA262" si="49">E55+E67+E79+E91+E103+E115+E127+E139+E151+E163+E175+E187+E199+E211+E223+E235+E247+E259</f>
        <v>201</v>
      </c>
      <c r="F262" s="16">
        <f t="shared" si="49"/>
        <v>215</v>
      </c>
      <c r="G262" s="16">
        <f t="shared" si="49"/>
        <v>198</v>
      </c>
      <c r="H262" s="16">
        <f t="shared" si="49"/>
        <v>205</v>
      </c>
      <c r="I262" s="16">
        <f t="shared" si="49"/>
        <v>193</v>
      </c>
      <c r="J262" s="16">
        <f t="shared" si="49"/>
        <v>197</v>
      </c>
      <c r="K262" s="16">
        <f t="shared" si="49"/>
        <v>162</v>
      </c>
      <c r="L262" s="16">
        <f t="shared" si="49"/>
        <v>197</v>
      </c>
      <c r="M262" s="16">
        <f t="shared" si="49"/>
        <v>164</v>
      </c>
      <c r="N262" s="16">
        <f t="shared" si="49"/>
        <v>192</v>
      </c>
      <c r="O262" s="16">
        <f t="shared" si="49"/>
        <v>169</v>
      </c>
      <c r="P262" s="16">
        <f t="shared" si="49"/>
        <v>179</v>
      </c>
      <c r="Q262" s="16">
        <f t="shared" si="49"/>
        <v>201</v>
      </c>
      <c r="R262" s="16">
        <f t="shared" si="49"/>
        <v>220</v>
      </c>
      <c r="S262" s="16">
        <f t="shared" si="49"/>
        <v>203</v>
      </c>
      <c r="T262" s="16">
        <f t="shared" si="49"/>
        <v>187</v>
      </c>
      <c r="U262" s="16">
        <f t="shared" si="49"/>
        <v>192</v>
      </c>
      <c r="V262" s="16">
        <f t="shared" si="49"/>
        <v>192</v>
      </c>
      <c r="W262" s="16">
        <f t="shared" si="49"/>
        <v>198</v>
      </c>
      <c r="X262" s="16">
        <f t="shared" si="49"/>
        <v>172</v>
      </c>
      <c r="Y262" s="16">
        <f t="shared" si="49"/>
        <v>172</v>
      </c>
      <c r="Z262" s="16">
        <f t="shared" si="49"/>
        <v>188</v>
      </c>
      <c r="AA262" s="16">
        <f t="shared" si="49"/>
        <v>140</v>
      </c>
      <c r="AB262" s="13">
        <f t="shared" ref="AB262:AB264" si="50">SUM(E262:AA262)</f>
        <v>4337</v>
      </c>
    </row>
    <row r="263" spans="1:28" ht="12.75" customHeight="1" x14ac:dyDescent="0.4">
      <c r="A263" s="22"/>
      <c r="B263" s="45" t="s">
        <v>164</v>
      </c>
      <c r="C263" s="71" t="s">
        <v>165</v>
      </c>
      <c r="D263" s="62"/>
      <c r="E263" s="16">
        <v>12</v>
      </c>
      <c r="F263" s="16">
        <v>26</v>
      </c>
      <c r="G263" s="16">
        <v>12</v>
      </c>
      <c r="H263" s="16">
        <v>19</v>
      </c>
      <c r="I263" s="16">
        <v>21</v>
      </c>
      <c r="J263" s="16">
        <v>15</v>
      </c>
      <c r="K263" s="16">
        <v>21</v>
      </c>
      <c r="L263" s="16">
        <v>16</v>
      </c>
      <c r="M263" s="16">
        <v>25</v>
      </c>
      <c r="N263" s="16">
        <v>12</v>
      </c>
      <c r="O263" s="16">
        <v>18</v>
      </c>
      <c r="P263" s="16">
        <v>10</v>
      </c>
      <c r="Q263" s="16">
        <v>9</v>
      </c>
      <c r="R263" s="16">
        <v>16</v>
      </c>
      <c r="S263" s="16">
        <v>14</v>
      </c>
      <c r="T263" s="16">
        <v>20</v>
      </c>
      <c r="U263" s="16">
        <v>12</v>
      </c>
      <c r="V263" s="16">
        <v>18</v>
      </c>
      <c r="W263" s="16">
        <v>16</v>
      </c>
      <c r="X263" s="16">
        <v>20</v>
      </c>
      <c r="Y263" s="16">
        <v>29</v>
      </c>
      <c r="Z263" s="16">
        <v>18</v>
      </c>
      <c r="AA263" s="16">
        <v>8</v>
      </c>
      <c r="AB263" s="13">
        <f t="shared" si="50"/>
        <v>387</v>
      </c>
    </row>
    <row r="264" spans="1:28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AA264" si="51">SUM(E262:E263)</f>
        <v>213</v>
      </c>
      <c r="F264" s="13">
        <f t="shared" si="51"/>
        <v>241</v>
      </c>
      <c r="G264" s="13">
        <f t="shared" si="51"/>
        <v>210</v>
      </c>
      <c r="H264" s="13">
        <f t="shared" si="51"/>
        <v>224</v>
      </c>
      <c r="I264" s="13">
        <f t="shared" si="51"/>
        <v>214</v>
      </c>
      <c r="J264" s="13">
        <f t="shared" si="51"/>
        <v>212</v>
      </c>
      <c r="K264" s="13">
        <f t="shared" si="51"/>
        <v>183</v>
      </c>
      <c r="L264" s="13">
        <f t="shared" si="51"/>
        <v>213</v>
      </c>
      <c r="M264" s="13">
        <f t="shared" si="51"/>
        <v>189</v>
      </c>
      <c r="N264" s="13">
        <f t="shared" si="51"/>
        <v>204</v>
      </c>
      <c r="O264" s="13">
        <f t="shared" si="51"/>
        <v>187</v>
      </c>
      <c r="P264" s="13">
        <f t="shared" si="51"/>
        <v>189</v>
      </c>
      <c r="Q264" s="13">
        <f t="shared" si="51"/>
        <v>210</v>
      </c>
      <c r="R264" s="13">
        <f t="shared" si="51"/>
        <v>236</v>
      </c>
      <c r="S264" s="13">
        <f t="shared" si="51"/>
        <v>217</v>
      </c>
      <c r="T264" s="13">
        <f t="shared" si="51"/>
        <v>207</v>
      </c>
      <c r="U264" s="13">
        <f t="shared" si="51"/>
        <v>204</v>
      </c>
      <c r="V264" s="13">
        <f t="shared" si="51"/>
        <v>210</v>
      </c>
      <c r="W264" s="13">
        <f t="shared" si="51"/>
        <v>214</v>
      </c>
      <c r="X264" s="13">
        <f t="shared" si="51"/>
        <v>192</v>
      </c>
      <c r="Y264" s="13">
        <f t="shared" si="51"/>
        <v>201</v>
      </c>
      <c r="Z264" s="13">
        <f t="shared" si="51"/>
        <v>206</v>
      </c>
      <c r="AA264" s="13">
        <f t="shared" si="51"/>
        <v>148</v>
      </c>
      <c r="AB264" s="13">
        <f t="shared" si="50"/>
        <v>4724</v>
      </c>
    </row>
    <row r="265" spans="1:28" ht="12.75" customHeight="1" x14ac:dyDescent="0.4"/>
    <row r="266" spans="1:28" ht="12.75" customHeight="1" x14ac:dyDescent="0.4"/>
    <row r="267" spans="1:28" ht="12.75" customHeight="1" x14ac:dyDescent="0.4"/>
    <row r="268" spans="1:28" ht="12.75" customHeight="1" x14ac:dyDescent="0.4"/>
    <row r="269" spans="1:28" ht="12.75" customHeight="1" x14ac:dyDescent="0.4"/>
    <row r="270" spans="1:28" ht="12.75" customHeight="1" x14ac:dyDescent="0.4"/>
    <row r="271" spans="1:28" ht="12.75" customHeight="1" x14ac:dyDescent="0.4"/>
    <row r="272" spans="1:28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AA12"/>
    <mergeCell ref="AB12:AB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34:T34">
    <cfRule type="expression" dxfId="371" priority="1">
      <formula>E34&lt;&gt;E64</formula>
    </cfRule>
  </conditionalFormatting>
  <conditionalFormatting sqref="E14:AA15">
    <cfRule type="containsBlanks" dxfId="370" priority="2">
      <formula>LEN(TRIM(E14))=0</formula>
    </cfRule>
  </conditionalFormatting>
  <conditionalFormatting sqref="E19:AA20">
    <cfRule type="containsBlanks" dxfId="369" priority="3">
      <formula>LEN(TRIM(E19))=0</formula>
    </cfRule>
  </conditionalFormatting>
  <conditionalFormatting sqref="E22:AA23 E25:AA26 E33:AA33 E35:AA35 E39:AA40">
    <cfRule type="containsBlanks" dxfId="368" priority="4">
      <formula>LEN(TRIM(E22))=0</formula>
    </cfRule>
  </conditionalFormatting>
  <conditionalFormatting sqref="E30:AA30">
    <cfRule type="expression" dxfId="367" priority="5">
      <formula>E30&lt;&gt;E47</formula>
    </cfRule>
    <cfRule type="expression" dxfId="366" priority="6">
      <formula>E30&lt;&gt;E34</formula>
    </cfRule>
  </conditionalFormatting>
  <conditionalFormatting sqref="E34:AA34">
    <cfRule type="expression" dxfId="365" priority="7">
      <formula>E30&lt;&gt;E34</formula>
    </cfRule>
    <cfRule type="expression" dxfId="364" priority="8">
      <formula>E30=E34</formula>
    </cfRule>
    <cfRule type="expression" dxfId="363" priority="9">
      <formula>E34&lt;&gt;E30</formula>
    </cfRule>
  </conditionalFormatting>
  <conditionalFormatting sqref="E45:AA54">
    <cfRule type="containsBlanks" dxfId="362" priority="10">
      <formula>LEN(TRIM(E45))=0</formula>
    </cfRule>
  </conditionalFormatting>
  <conditionalFormatting sqref="E57:AA66">
    <cfRule type="containsBlanks" dxfId="361" priority="11">
      <formula>LEN(TRIM(E57))=0</formula>
    </cfRule>
  </conditionalFormatting>
  <conditionalFormatting sqref="E69:AA78">
    <cfRule type="containsBlanks" dxfId="360" priority="12">
      <formula>LEN(TRIM(E69))=0</formula>
    </cfRule>
  </conditionalFormatting>
  <conditionalFormatting sqref="E81:AA90">
    <cfRule type="containsBlanks" dxfId="359" priority="13">
      <formula>LEN(TRIM(E81))=0</formula>
    </cfRule>
  </conditionalFormatting>
  <conditionalFormatting sqref="E93:AA102">
    <cfRule type="containsBlanks" dxfId="358" priority="14">
      <formula>LEN(TRIM(E93))=0</formula>
    </cfRule>
  </conditionalFormatting>
  <conditionalFormatting sqref="E105:AA114">
    <cfRule type="containsBlanks" dxfId="357" priority="15">
      <formula>LEN(TRIM(E105))=0</formula>
    </cfRule>
  </conditionalFormatting>
  <conditionalFormatting sqref="E117:AA126">
    <cfRule type="containsBlanks" dxfId="356" priority="16">
      <formula>LEN(TRIM(E117))=0</formula>
    </cfRule>
  </conditionalFormatting>
  <conditionalFormatting sqref="E129:AA138">
    <cfRule type="containsBlanks" dxfId="355" priority="17">
      <formula>LEN(TRIM(E129))=0</formula>
    </cfRule>
  </conditionalFormatting>
  <conditionalFormatting sqref="E141:AA150">
    <cfRule type="containsBlanks" dxfId="354" priority="18">
      <formula>LEN(TRIM(E141))=0</formula>
    </cfRule>
  </conditionalFormatting>
  <conditionalFormatting sqref="E153:AA162">
    <cfRule type="containsBlanks" dxfId="353" priority="19">
      <formula>LEN(TRIM(E153))=0</formula>
    </cfRule>
  </conditionalFormatting>
  <conditionalFormatting sqref="E165:AA174">
    <cfRule type="containsBlanks" dxfId="352" priority="20">
      <formula>LEN(TRIM(E165))=0</formula>
    </cfRule>
  </conditionalFormatting>
  <conditionalFormatting sqref="E177:AA186">
    <cfRule type="containsBlanks" dxfId="351" priority="21">
      <formula>LEN(TRIM(E177))=0</formula>
    </cfRule>
  </conditionalFormatting>
  <conditionalFormatting sqref="E189:AA198">
    <cfRule type="containsBlanks" dxfId="350" priority="22">
      <formula>LEN(TRIM(E189))=0</formula>
    </cfRule>
  </conditionalFormatting>
  <conditionalFormatting sqref="E201:AA210">
    <cfRule type="containsBlanks" dxfId="349" priority="23">
      <formula>LEN(TRIM(E201))=0</formula>
    </cfRule>
  </conditionalFormatting>
  <conditionalFormatting sqref="E213:AA222">
    <cfRule type="containsBlanks" dxfId="348" priority="24">
      <formula>LEN(TRIM(E213))=0</formula>
    </cfRule>
  </conditionalFormatting>
  <conditionalFormatting sqref="E225:AA234">
    <cfRule type="containsBlanks" dxfId="347" priority="25">
      <formula>LEN(TRIM(E225))=0</formula>
    </cfRule>
  </conditionalFormatting>
  <conditionalFormatting sqref="E237:AA246">
    <cfRule type="containsBlanks" dxfId="346" priority="26">
      <formula>LEN(TRIM(E237))=0</formula>
    </cfRule>
  </conditionalFormatting>
  <conditionalFormatting sqref="E249:AA258">
    <cfRule type="containsBlanks" dxfId="345" priority="27">
      <formula>LEN(TRIM(E249))=0</formula>
    </cfRule>
  </conditionalFormatting>
  <conditionalFormatting sqref="E262:AA263">
    <cfRule type="containsBlanks" dxfId="344" priority="28">
      <formula>LEN(TRIM(E262))=0</formula>
    </cfRule>
  </conditionalFormatting>
  <conditionalFormatting sqref="U34:AA34">
    <cfRule type="expression" dxfId="343" priority="29">
      <formula>U34&lt;&gt;U47</formula>
    </cfRule>
  </conditionalFormatting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FF00"/>
  </sheetPr>
  <dimension ref="A1:AD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29" width="8.7109375" customWidth="1"/>
    <col min="30" max="30" width="13.28515625" customWidth="1"/>
  </cols>
  <sheetData>
    <row r="1" spans="1:30" ht="12.75" customHeight="1" x14ac:dyDescent="0.4"/>
    <row r="2" spans="1:30" ht="12.75" customHeight="1" x14ac:dyDescent="0.4">
      <c r="C2" s="8" t="s">
        <v>0</v>
      </c>
      <c r="D2" s="8" t="s">
        <v>1</v>
      </c>
    </row>
    <row r="3" spans="1:30" ht="12.75" customHeight="1" x14ac:dyDescent="0.4">
      <c r="C3" s="8" t="s">
        <v>2</v>
      </c>
      <c r="D3" s="8" t="s">
        <v>1</v>
      </c>
    </row>
    <row r="4" spans="1:30" ht="12.75" customHeight="1" x14ac:dyDescent="0.4">
      <c r="C4" s="8" t="s">
        <v>3</v>
      </c>
      <c r="D4" s="8" t="s">
        <v>4</v>
      </c>
    </row>
    <row r="5" spans="1:30" ht="12.75" customHeight="1" x14ac:dyDescent="0.4">
      <c r="C5" s="8"/>
      <c r="D5" s="8"/>
    </row>
    <row r="6" spans="1:30" ht="12.75" customHeight="1" x14ac:dyDescent="0.4">
      <c r="C6" s="8"/>
      <c r="D6" s="8"/>
    </row>
    <row r="7" spans="1:30" ht="12.75" customHeight="1" x14ac:dyDescent="0.4">
      <c r="C7" s="8"/>
      <c r="D7" s="8"/>
    </row>
    <row r="8" spans="1:30" ht="12.75" customHeight="1" x14ac:dyDescent="0.4">
      <c r="C8" s="8"/>
      <c r="D8" s="8"/>
    </row>
    <row r="9" spans="1:30" ht="12.75" customHeight="1" x14ac:dyDescent="0.4">
      <c r="C9" s="8" t="s">
        <v>168</v>
      </c>
      <c r="D9" s="8" t="s">
        <v>205</v>
      </c>
    </row>
    <row r="10" spans="1:30" ht="12.75" customHeight="1" x14ac:dyDescent="0.4"/>
    <row r="11" spans="1:30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30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90" t="s">
        <v>7</v>
      </c>
    </row>
    <row r="13" spans="1:30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13" t="s">
        <v>188</v>
      </c>
      <c r="V13" s="13" t="s">
        <v>189</v>
      </c>
      <c r="W13" s="13" t="s">
        <v>190</v>
      </c>
      <c r="X13" s="13" t="s">
        <v>191</v>
      </c>
      <c r="Y13" s="13" t="s">
        <v>192</v>
      </c>
      <c r="Z13" s="13" t="s">
        <v>193</v>
      </c>
      <c r="AA13" s="13" t="s">
        <v>194</v>
      </c>
      <c r="AB13" s="13" t="s">
        <v>195</v>
      </c>
      <c r="AC13" s="13" t="s">
        <v>196</v>
      </c>
      <c r="AD13" s="80"/>
    </row>
    <row r="14" spans="1:30" ht="12.75" customHeight="1" x14ac:dyDescent="0.4">
      <c r="A14" s="15"/>
      <c r="B14" s="75" t="s">
        <v>10</v>
      </c>
      <c r="C14" s="66"/>
      <c r="D14" s="16" t="s">
        <v>11</v>
      </c>
      <c r="E14" s="16">
        <v>139</v>
      </c>
      <c r="F14" s="16">
        <v>140</v>
      </c>
      <c r="G14" s="16">
        <v>136</v>
      </c>
      <c r="H14" s="16">
        <v>118</v>
      </c>
      <c r="I14" s="16">
        <v>125</v>
      </c>
      <c r="J14" s="16">
        <v>145</v>
      </c>
      <c r="K14" s="16">
        <v>127</v>
      </c>
      <c r="L14" s="16">
        <v>112</v>
      </c>
      <c r="M14" s="16">
        <v>128</v>
      </c>
      <c r="N14" s="16">
        <v>109</v>
      </c>
      <c r="O14" s="16">
        <v>138</v>
      </c>
      <c r="P14" s="16">
        <v>143</v>
      </c>
      <c r="Q14" s="16">
        <v>141</v>
      </c>
      <c r="R14" s="16">
        <v>128</v>
      </c>
      <c r="S14" s="16">
        <v>134</v>
      </c>
      <c r="T14" s="16">
        <v>129</v>
      </c>
      <c r="U14" s="16">
        <v>112</v>
      </c>
      <c r="V14" s="16">
        <v>114</v>
      </c>
      <c r="W14" s="16">
        <v>117</v>
      </c>
      <c r="X14" s="16">
        <v>114</v>
      </c>
      <c r="Y14" s="16">
        <v>119</v>
      </c>
      <c r="Z14" s="16">
        <v>127</v>
      </c>
      <c r="AA14" s="16">
        <v>134</v>
      </c>
      <c r="AB14" s="16">
        <v>135</v>
      </c>
      <c r="AC14" s="16">
        <v>133</v>
      </c>
      <c r="AD14" s="13">
        <f t="shared" ref="AD14:AD16" si="0">SUM(E14:AC14)</f>
        <v>3197</v>
      </c>
    </row>
    <row r="15" spans="1:30" ht="12.75" customHeight="1" x14ac:dyDescent="0.4">
      <c r="A15" s="15"/>
      <c r="B15" s="76"/>
      <c r="C15" s="77"/>
      <c r="D15" s="16" t="s">
        <v>12</v>
      </c>
      <c r="E15" s="16">
        <v>133</v>
      </c>
      <c r="F15" s="16">
        <v>144</v>
      </c>
      <c r="G15" s="16">
        <v>148</v>
      </c>
      <c r="H15" s="16">
        <v>129</v>
      </c>
      <c r="I15" s="16">
        <v>136</v>
      </c>
      <c r="J15" s="16">
        <v>127</v>
      </c>
      <c r="K15" s="16">
        <v>121</v>
      </c>
      <c r="L15" s="16">
        <v>118</v>
      </c>
      <c r="M15" s="16">
        <v>134</v>
      </c>
      <c r="N15" s="16">
        <v>132</v>
      </c>
      <c r="O15" s="16">
        <v>142</v>
      </c>
      <c r="P15" s="16">
        <v>138</v>
      </c>
      <c r="Q15" s="16">
        <v>140</v>
      </c>
      <c r="R15" s="16">
        <v>133</v>
      </c>
      <c r="S15" s="16">
        <v>131</v>
      </c>
      <c r="T15" s="16">
        <v>135</v>
      </c>
      <c r="U15" s="16">
        <v>127</v>
      </c>
      <c r="V15" s="16">
        <v>117</v>
      </c>
      <c r="W15" s="16">
        <v>134</v>
      </c>
      <c r="X15" s="16">
        <v>128</v>
      </c>
      <c r="Y15" s="16">
        <v>136</v>
      </c>
      <c r="Z15" s="16">
        <v>130</v>
      </c>
      <c r="AA15" s="16">
        <v>146</v>
      </c>
      <c r="AB15" s="16">
        <v>124</v>
      </c>
      <c r="AC15" s="16">
        <v>138</v>
      </c>
      <c r="AD15" s="13">
        <f t="shared" si="0"/>
        <v>3321</v>
      </c>
    </row>
    <row r="16" spans="1:30" ht="12.75" customHeight="1" x14ac:dyDescent="0.4">
      <c r="A16" s="18"/>
      <c r="B16" s="73"/>
      <c r="C16" s="69"/>
      <c r="D16" s="13" t="s">
        <v>13</v>
      </c>
      <c r="E16" s="13">
        <f t="shared" ref="E16:AC16" si="1">SUM(E14:E15)</f>
        <v>272</v>
      </c>
      <c r="F16" s="13">
        <f t="shared" si="1"/>
        <v>284</v>
      </c>
      <c r="G16" s="13">
        <f t="shared" si="1"/>
        <v>284</v>
      </c>
      <c r="H16" s="13">
        <f t="shared" si="1"/>
        <v>247</v>
      </c>
      <c r="I16" s="13">
        <f t="shared" si="1"/>
        <v>261</v>
      </c>
      <c r="J16" s="13">
        <f t="shared" si="1"/>
        <v>272</v>
      </c>
      <c r="K16" s="13">
        <f t="shared" si="1"/>
        <v>248</v>
      </c>
      <c r="L16" s="13">
        <f t="shared" si="1"/>
        <v>230</v>
      </c>
      <c r="M16" s="13">
        <f t="shared" si="1"/>
        <v>262</v>
      </c>
      <c r="N16" s="13">
        <f t="shared" si="1"/>
        <v>241</v>
      </c>
      <c r="O16" s="13">
        <f t="shared" si="1"/>
        <v>280</v>
      </c>
      <c r="P16" s="13">
        <f t="shared" si="1"/>
        <v>281</v>
      </c>
      <c r="Q16" s="13">
        <f t="shared" si="1"/>
        <v>281</v>
      </c>
      <c r="R16" s="13">
        <f t="shared" si="1"/>
        <v>261</v>
      </c>
      <c r="S16" s="13">
        <f t="shared" si="1"/>
        <v>265</v>
      </c>
      <c r="T16" s="13">
        <f t="shared" si="1"/>
        <v>264</v>
      </c>
      <c r="U16" s="13">
        <f t="shared" si="1"/>
        <v>239</v>
      </c>
      <c r="V16" s="13">
        <f t="shared" si="1"/>
        <v>231</v>
      </c>
      <c r="W16" s="13">
        <f t="shared" si="1"/>
        <v>251</v>
      </c>
      <c r="X16" s="13">
        <f t="shared" si="1"/>
        <v>242</v>
      </c>
      <c r="Y16" s="13">
        <f t="shared" si="1"/>
        <v>255</v>
      </c>
      <c r="Z16" s="13">
        <f t="shared" si="1"/>
        <v>257</v>
      </c>
      <c r="AA16" s="13">
        <f t="shared" si="1"/>
        <v>280</v>
      </c>
      <c r="AB16" s="13">
        <f t="shared" si="1"/>
        <v>259</v>
      </c>
      <c r="AC16" s="13">
        <f t="shared" si="1"/>
        <v>271</v>
      </c>
      <c r="AD16" s="13">
        <f t="shared" si="0"/>
        <v>6518</v>
      </c>
    </row>
    <row r="17" spans="1:30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9"/>
    </row>
    <row r="18" spans="1:30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9"/>
    </row>
    <row r="19" spans="1:30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97</v>
      </c>
      <c r="F19" s="16">
        <v>98</v>
      </c>
      <c r="G19" s="16">
        <v>96</v>
      </c>
      <c r="H19" s="16">
        <v>85</v>
      </c>
      <c r="I19" s="16">
        <v>101</v>
      </c>
      <c r="J19" s="16">
        <v>118</v>
      </c>
      <c r="K19" s="16">
        <v>90</v>
      </c>
      <c r="L19" s="16">
        <v>79</v>
      </c>
      <c r="M19" s="16">
        <v>101</v>
      </c>
      <c r="N19" s="16">
        <v>77</v>
      </c>
      <c r="O19" s="16">
        <v>93</v>
      </c>
      <c r="P19" s="16">
        <v>104</v>
      </c>
      <c r="Q19" s="16">
        <v>117</v>
      </c>
      <c r="R19" s="16">
        <v>93</v>
      </c>
      <c r="S19" s="16">
        <v>105</v>
      </c>
      <c r="T19" s="16">
        <v>94</v>
      </c>
      <c r="U19" s="16">
        <v>77</v>
      </c>
      <c r="V19" s="16">
        <v>91</v>
      </c>
      <c r="W19" s="16">
        <v>90</v>
      </c>
      <c r="X19" s="16">
        <v>91</v>
      </c>
      <c r="Y19" s="16">
        <v>94</v>
      </c>
      <c r="Z19" s="16">
        <v>97</v>
      </c>
      <c r="AA19" s="16">
        <v>107</v>
      </c>
      <c r="AB19" s="16">
        <v>106</v>
      </c>
      <c r="AC19" s="16">
        <v>105</v>
      </c>
      <c r="AD19" s="13">
        <f t="shared" ref="AD19:AD30" si="2">SUM(E19:AC19)</f>
        <v>2406</v>
      </c>
    </row>
    <row r="20" spans="1:30" ht="12.75" customHeight="1" x14ac:dyDescent="0.4">
      <c r="A20" s="21"/>
      <c r="B20" s="77"/>
      <c r="C20" s="79"/>
      <c r="D20" s="16" t="s">
        <v>12</v>
      </c>
      <c r="E20" s="16">
        <v>104</v>
      </c>
      <c r="F20" s="16">
        <v>119</v>
      </c>
      <c r="G20" s="16">
        <v>119</v>
      </c>
      <c r="H20" s="16">
        <v>94</v>
      </c>
      <c r="I20" s="16">
        <v>111</v>
      </c>
      <c r="J20" s="16">
        <v>101</v>
      </c>
      <c r="K20" s="16">
        <v>92</v>
      </c>
      <c r="L20" s="16">
        <v>98</v>
      </c>
      <c r="M20" s="16">
        <v>115</v>
      </c>
      <c r="N20" s="16">
        <v>102</v>
      </c>
      <c r="O20" s="16">
        <v>108</v>
      </c>
      <c r="P20" s="16">
        <v>118</v>
      </c>
      <c r="Q20" s="16">
        <v>123</v>
      </c>
      <c r="R20" s="16">
        <v>100</v>
      </c>
      <c r="S20" s="16">
        <v>106</v>
      </c>
      <c r="T20" s="16">
        <v>104</v>
      </c>
      <c r="U20" s="16">
        <v>110</v>
      </c>
      <c r="V20" s="16">
        <v>90</v>
      </c>
      <c r="W20" s="16">
        <v>114</v>
      </c>
      <c r="X20" s="16">
        <v>108</v>
      </c>
      <c r="Y20" s="16">
        <v>101</v>
      </c>
      <c r="Z20" s="16">
        <v>112</v>
      </c>
      <c r="AA20" s="16">
        <v>114</v>
      </c>
      <c r="AB20" s="16">
        <v>106</v>
      </c>
      <c r="AC20" s="16">
        <v>99</v>
      </c>
      <c r="AD20" s="13">
        <f t="shared" si="2"/>
        <v>2668</v>
      </c>
    </row>
    <row r="21" spans="1:30" ht="12.75" customHeight="1" x14ac:dyDescent="0.4">
      <c r="A21" s="22"/>
      <c r="B21" s="69"/>
      <c r="C21" s="80"/>
      <c r="D21" s="13" t="s">
        <v>13</v>
      </c>
      <c r="E21" s="13">
        <f t="shared" ref="E21:AC21" si="3">SUM(E19:E20)</f>
        <v>201</v>
      </c>
      <c r="F21" s="13">
        <f t="shared" si="3"/>
        <v>217</v>
      </c>
      <c r="G21" s="13">
        <f t="shared" si="3"/>
        <v>215</v>
      </c>
      <c r="H21" s="13">
        <f t="shared" si="3"/>
        <v>179</v>
      </c>
      <c r="I21" s="13">
        <f t="shared" si="3"/>
        <v>212</v>
      </c>
      <c r="J21" s="13">
        <f t="shared" si="3"/>
        <v>219</v>
      </c>
      <c r="K21" s="13">
        <f t="shared" si="3"/>
        <v>182</v>
      </c>
      <c r="L21" s="13">
        <f t="shared" si="3"/>
        <v>177</v>
      </c>
      <c r="M21" s="13">
        <f t="shared" si="3"/>
        <v>216</v>
      </c>
      <c r="N21" s="13">
        <f t="shared" si="3"/>
        <v>179</v>
      </c>
      <c r="O21" s="13">
        <f t="shared" si="3"/>
        <v>201</v>
      </c>
      <c r="P21" s="13">
        <f t="shared" si="3"/>
        <v>222</v>
      </c>
      <c r="Q21" s="13">
        <f t="shared" si="3"/>
        <v>240</v>
      </c>
      <c r="R21" s="13">
        <f t="shared" si="3"/>
        <v>193</v>
      </c>
      <c r="S21" s="13">
        <f t="shared" si="3"/>
        <v>211</v>
      </c>
      <c r="T21" s="13">
        <f t="shared" si="3"/>
        <v>198</v>
      </c>
      <c r="U21" s="13">
        <f t="shared" si="3"/>
        <v>187</v>
      </c>
      <c r="V21" s="13">
        <f t="shared" si="3"/>
        <v>181</v>
      </c>
      <c r="W21" s="13">
        <f t="shared" si="3"/>
        <v>204</v>
      </c>
      <c r="X21" s="13">
        <f t="shared" si="3"/>
        <v>199</v>
      </c>
      <c r="Y21" s="13">
        <f t="shared" si="3"/>
        <v>195</v>
      </c>
      <c r="Z21" s="13">
        <f t="shared" si="3"/>
        <v>209</v>
      </c>
      <c r="AA21" s="13">
        <f t="shared" si="3"/>
        <v>221</v>
      </c>
      <c r="AB21" s="13">
        <f t="shared" si="3"/>
        <v>212</v>
      </c>
      <c r="AC21" s="13">
        <f t="shared" si="3"/>
        <v>204</v>
      </c>
      <c r="AD21" s="13">
        <f t="shared" si="2"/>
        <v>5074</v>
      </c>
    </row>
    <row r="22" spans="1:30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1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1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2</v>
      </c>
      <c r="AC22" s="16">
        <v>0</v>
      </c>
      <c r="AD22" s="13">
        <f t="shared" si="2"/>
        <v>4</v>
      </c>
    </row>
    <row r="23" spans="1:30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1</v>
      </c>
      <c r="J23" s="16">
        <v>0</v>
      </c>
      <c r="K23" s="16">
        <v>1</v>
      </c>
      <c r="L23" s="16">
        <v>0</v>
      </c>
      <c r="M23" s="16">
        <v>0</v>
      </c>
      <c r="N23" s="16">
        <v>0</v>
      </c>
      <c r="O23" s="16">
        <v>1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1</v>
      </c>
      <c r="AA23" s="16">
        <v>0</v>
      </c>
      <c r="AB23" s="16">
        <v>1</v>
      </c>
      <c r="AC23" s="16">
        <v>0</v>
      </c>
      <c r="AD23" s="13">
        <f t="shared" si="2"/>
        <v>5</v>
      </c>
    </row>
    <row r="24" spans="1:30" ht="12.75" customHeight="1" x14ac:dyDescent="0.4">
      <c r="A24" s="22"/>
      <c r="B24" s="69"/>
      <c r="C24" s="80"/>
      <c r="D24" s="13" t="s">
        <v>13</v>
      </c>
      <c r="E24" s="13">
        <f t="shared" ref="E24:AC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2</v>
      </c>
      <c r="J24" s="13">
        <f t="shared" si="4"/>
        <v>0</v>
      </c>
      <c r="K24" s="13">
        <f t="shared" si="4"/>
        <v>1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1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1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4"/>
        <v>1</v>
      </c>
      <c r="AA24" s="13">
        <f t="shared" si="4"/>
        <v>0</v>
      </c>
      <c r="AB24" s="13">
        <f t="shared" si="4"/>
        <v>3</v>
      </c>
      <c r="AC24" s="13">
        <f t="shared" si="4"/>
        <v>0</v>
      </c>
      <c r="AD24" s="13">
        <f t="shared" si="2"/>
        <v>9</v>
      </c>
    </row>
    <row r="25" spans="1:30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2</v>
      </c>
      <c r="F25" s="16">
        <v>2</v>
      </c>
      <c r="G25" s="16">
        <v>0</v>
      </c>
      <c r="H25" s="16">
        <v>2</v>
      </c>
      <c r="I25" s="16">
        <v>0</v>
      </c>
      <c r="J25" s="16">
        <v>0</v>
      </c>
      <c r="K25" s="16">
        <v>1</v>
      </c>
      <c r="L25" s="16">
        <v>0</v>
      </c>
      <c r="M25" s="16">
        <v>0</v>
      </c>
      <c r="N25" s="16">
        <v>0</v>
      </c>
      <c r="O25" s="16">
        <v>1</v>
      </c>
      <c r="P25" s="16">
        <v>0</v>
      </c>
      <c r="Q25" s="16">
        <v>0</v>
      </c>
      <c r="R25" s="16">
        <v>0</v>
      </c>
      <c r="S25" s="16">
        <v>2</v>
      </c>
      <c r="T25" s="16">
        <v>0</v>
      </c>
      <c r="U25" s="16">
        <v>0</v>
      </c>
      <c r="V25" s="16">
        <v>0</v>
      </c>
      <c r="W25" s="16">
        <v>3</v>
      </c>
      <c r="X25" s="16">
        <v>2</v>
      </c>
      <c r="Y25" s="16">
        <v>1</v>
      </c>
      <c r="Z25" s="16">
        <v>4</v>
      </c>
      <c r="AA25" s="16">
        <v>2</v>
      </c>
      <c r="AB25" s="16">
        <v>2</v>
      </c>
      <c r="AC25" s="16">
        <v>0</v>
      </c>
      <c r="AD25" s="13">
        <f t="shared" si="2"/>
        <v>24</v>
      </c>
    </row>
    <row r="26" spans="1:30" ht="12.75" customHeight="1" x14ac:dyDescent="0.4">
      <c r="A26" s="21"/>
      <c r="B26" s="77"/>
      <c r="C26" s="79"/>
      <c r="D26" s="16" t="s">
        <v>12</v>
      </c>
      <c r="E26" s="16">
        <v>3</v>
      </c>
      <c r="F26" s="16">
        <v>1</v>
      </c>
      <c r="G26" s="16">
        <v>0</v>
      </c>
      <c r="H26" s="16">
        <v>3</v>
      </c>
      <c r="I26" s="16">
        <v>2</v>
      </c>
      <c r="J26" s="16">
        <v>0</v>
      </c>
      <c r="K26" s="16">
        <v>2</v>
      </c>
      <c r="L26" s="16">
        <v>1</v>
      </c>
      <c r="M26" s="16">
        <v>3</v>
      </c>
      <c r="N26" s="16">
        <v>0</v>
      </c>
      <c r="O26" s="16">
        <v>1</v>
      </c>
      <c r="P26" s="16">
        <v>0</v>
      </c>
      <c r="Q26" s="16">
        <v>0</v>
      </c>
      <c r="R26" s="16">
        <v>3</v>
      </c>
      <c r="S26" s="16">
        <v>2</v>
      </c>
      <c r="T26" s="16">
        <v>3</v>
      </c>
      <c r="U26" s="16">
        <v>2</v>
      </c>
      <c r="V26" s="16">
        <v>0</v>
      </c>
      <c r="W26" s="16">
        <v>1</v>
      </c>
      <c r="X26" s="16">
        <v>1</v>
      </c>
      <c r="Y26" s="16">
        <v>0</v>
      </c>
      <c r="Z26" s="16">
        <v>1</v>
      </c>
      <c r="AA26" s="16">
        <v>4</v>
      </c>
      <c r="AB26" s="16">
        <v>3</v>
      </c>
      <c r="AC26" s="16">
        <v>3</v>
      </c>
      <c r="AD26" s="13">
        <f t="shared" si="2"/>
        <v>39</v>
      </c>
    </row>
    <row r="27" spans="1:30" ht="12.75" customHeight="1" x14ac:dyDescent="0.4">
      <c r="A27" s="22"/>
      <c r="B27" s="69"/>
      <c r="C27" s="80"/>
      <c r="D27" s="13" t="s">
        <v>13</v>
      </c>
      <c r="E27" s="13">
        <f t="shared" ref="E27:AC27" si="5">SUM(E25:E26)</f>
        <v>5</v>
      </c>
      <c r="F27" s="13">
        <f t="shared" si="5"/>
        <v>3</v>
      </c>
      <c r="G27" s="13">
        <f t="shared" si="5"/>
        <v>0</v>
      </c>
      <c r="H27" s="13">
        <f t="shared" si="5"/>
        <v>5</v>
      </c>
      <c r="I27" s="13">
        <f t="shared" si="5"/>
        <v>2</v>
      </c>
      <c r="J27" s="13">
        <f t="shared" si="5"/>
        <v>0</v>
      </c>
      <c r="K27" s="13">
        <f t="shared" si="5"/>
        <v>3</v>
      </c>
      <c r="L27" s="13">
        <f t="shared" si="5"/>
        <v>1</v>
      </c>
      <c r="M27" s="13">
        <f t="shared" si="5"/>
        <v>3</v>
      </c>
      <c r="N27" s="13">
        <f t="shared" si="5"/>
        <v>0</v>
      </c>
      <c r="O27" s="13">
        <f t="shared" si="5"/>
        <v>2</v>
      </c>
      <c r="P27" s="13">
        <f t="shared" si="5"/>
        <v>0</v>
      </c>
      <c r="Q27" s="13">
        <f t="shared" si="5"/>
        <v>0</v>
      </c>
      <c r="R27" s="13">
        <f t="shared" si="5"/>
        <v>3</v>
      </c>
      <c r="S27" s="13">
        <f t="shared" si="5"/>
        <v>4</v>
      </c>
      <c r="T27" s="13">
        <f t="shared" si="5"/>
        <v>3</v>
      </c>
      <c r="U27" s="13">
        <f t="shared" si="5"/>
        <v>2</v>
      </c>
      <c r="V27" s="13">
        <f t="shared" si="5"/>
        <v>0</v>
      </c>
      <c r="W27" s="13">
        <f t="shared" si="5"/>
        <v>4</v>
      </c>
      <c r="X27" s="13">
        <f t="shared" si="5"/>
        <v>3</v>
      </c>
      <c r="Y27" s="13">
        <f t="shared" si="5"/>
        <v>1</v>
      </c>
      <c r="Z27" s="13">
        <f t="shared" si="5"/>
        <v>5</v>
      </c>
      <c r="AA27" s="13">
        <f t="shared" si="5"/>
        <v>6</v>
      </c>
      <c r="AB27" s="13">
        <f t="shared" si="5"/>
        <v>5</v>
      </c>
      <c r="AC27" s="13">
        <f t="shared" si="5"/>
        <v>3</v>
      </c>
      <c r="AD27" s="13">
        <f t="shared" si="2"/>
        <v>63</v>
      </c>
    </row>
    <row r="28" spans="1:30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AC28" si="6">SUM(E19,E22,E25)</f>
        <v>99</v>
      </c>
      <c r="F28" s="13">
        <f t="shared" si="6"/>
        <v>100</v>
      </c>
      <c r="G28" s="13">
        <f t="shared" si="6"/>
        <v>96</v>
      </c>
      <c r="H28" s="13">
        <f t="shared" si="6"/>
        <v>87</v>
      </c>
      <c r="I28" s="13">
        <f t="shared" si="6"/>
        <v>102</v>
      </c>
      <c r="J28" s="13">
        <f t="shared" si="6"/>
        <v>118</v>
      </c>
      <c r="K28" s="13">
        <f t="shared" si="6"/>
        <v>91</v>
      </c>
      <c r="L28" s="13">
        <f t="shared" si="6"/>
        <v>79</v>
      </c>
      <c r="M28" s="13">
        <f t="shared" si="6"/>
        <v>101</v>
      </c>
      <c r="N28" s="13">
        <f t="shared" si="6"/>
        <v>77</v>
      </c>
      <c r="O28" s="13">
        <f t="shared" si="6"/>
        <v>94</v>
      </c>
      <c r="P28" s="13">
        <f t="shared" si="6"/>
        <v>104</v>
      </c>
      <c r="Q28" s="13">
        <f t="shared" si="6"/>
        <v>117</v>
      </c>
      <c r="R28" s="13">
        <f t="shared" si="6"/>
        <v>93</v>
      </c>
      <c r="S28" s="13">
        <f t="shared" si="6"/>
        <v>107</v>
      </c>
      <c r="T28" s="13">
        <f t="shared" si="6"/>
        <v>95</v>
      </c>
      <c r="U28" s="13">
        <f t="shared" si="6"/>
        <v>77</v>
      </c>
      <c r="V28" s="13">
        <f t="shared" si="6"/>
        <v>91</v>
      </c>
      <c r="W28" s="13">
        <f t="shared" si="6"/>
        <v>93</v>
      </c>
      <c r="X28" s="13">
        <f t="shared" si="6"/>
        <v>93</v>
      </c>
      <c r="Y28" s="13">
        <f t="shared" si="6"/>
        <v>95</v>
      </c>
      <c r="Z28" s="13">
        <f t="shared" si="6"/>
        <v>101</v>
      </c>
      <c r="AA28" s="13">
        <f t="shared" si="6"/>
        <v>109</v>
      </c>
      <c r="AB28" s="13">
        <f t="shared" si="6"/>
        <v>110</v>
      </c>
      <c r="AC28" s="13">
        <f t="shared" si="6"/>
        <v>105</v>
      </c>
      <c r="AD28" s="13">
        <f t="shared" si="2"/>
        <v>2434</v>
      </c>
    </row>
    <row r="29" spans="1:30" ht="12.75" customHeight="1" x14ac:dyDescent="0.4">
      <c r="A29" s="22"/>
      <c r="B29" s="77"/>
      <c r="C29" s="79"/>
      <c r="D29" s="13" t="s">
        <v>12</v>
      </c>
      <c r="E29" s="13">
        <f t="shared" ref="E29:AC29" si="7">SUM(E20,E23,E26)</f>
        <v>107</v>
      </c>
      <c r="F29" s="13">
        <f t="shared" si="7"/>
        <v>120</v>
      </c>
      <c r="G29" s="13">
        <f t="shared" si="7"/>
        <v>119</v>
      </c>
      <c r="H29" s="13">
        <f t="shared" si="7"/>
        <v>97</v>
      </c>
      <c r="I29" s="13">
        <f t="shared" si="7"/>
        <v>114</v>
      </c>
      <c r="J29" s="13">
        <f t="shared" si="7"/>
        <v>101</v>
      </c>
      <c r="K29" s="13">
        <f t="shared" si="7"/>
        <v>95</v>
      </c>
      <c r="L29" s="13">
        <f t="shared" si="7"/>
        <v>99</v>
      </c>
      <c r="M29" s="13">
        <f t="shared" si="7"/>
        <v>118</v>
      </c>
      <c r="N29" s="13">
        <f t="shared" si="7"/>
        <v>102</v>
      </c>
      <c r="O29" s="13">
        <f t="shared" si="7"/>
        <v>110</v>
      </c>
      <c r="P29" s="13">
        <f t="shared" si="7"/>
        <v>118</v>
      </c>
      <c r="Q29" s="13">
        <f t="shared" si="7"/>
        <v>123</v>
      </c>
      <c r="R29" s="13">
        <f t="shared" si="7"/>
        <v>103</v>
      </c>
      <c r="S29" s="13">
        <f t="shared" si="7"/>
        <v>108</v>
      </c>
      <c r="T29" s="13">
        <f t="shared" si="7"/>
        <v>107</v>
      </c>
      <c r="U29" s="13">
        <f t="shared" si="7"/>
        <v>112</v>
      </c>
      <c r="V29" s="13">
        <f t="shared" si="7"/>
        <v>90</v>
      </c>
      <c r="W29" s="13">
        <f t="shared" si="7"/>
        <v>115</v>
      </c>
      <c r="X29" s="13">
        <f t="shared" si="7"/>
        <v>109</v>
      </c>
      <c r="Y29" s="13">
        <f t="shared" si="7"/>
        <v>101</v>
      </c>
      <c r="Z29" s="13">
        <f t="shared" si="7"/>
        <v>114</v>
      </c>
      <c r="AA29" s="13">
        <f t="shared" si="7"/>
        <v>118</v>
      </c>
      <c r="AB29" s="13">
        <f t="shared" si="7"/>
        <v>110</v>
      </c>
      <c r="AC29" s="13">
        <f t="shared" si="7"/>
        <v>102</v>
      </c>
      <c r="AD29" s="13">
        <f t="shared" si="2"/>
        <v>2712</v>
      </c>
    </row>
    <row r="30" spans="1:30" ht="12.75" customHeight="1" x14ac:dyDescent="0.4">
      <c r="A30" s="22"/>
      <c r="B30" s="69"/>
      <c r="C30" s="80"/>
      <c r="D30" s="13" t="s">
        <v>13</v>
      </c>
      <c r="E30" s="13">
        <f t="shared" ref="E30:AC30" si="8">SUM(E28:E29)</f>
        <v>206</v>
      </c>
      <c r="F30" s="13">
        <f t="shared" si="8"/>
        <v>220</v>
      </c>
      <c r="G30" s="13">
        <f t="shared" si="8"/>
        <v>215</v>
      </c>
      <c r="H30" s="13">
        <f t="shared" si="8"/>
        <v>184</v>
      </c>
      <c r="I30" s="13">
        <f t="shared" si="8"/>
        <v>216</v>
      </c>
      <c r="J30" s="13">
        <f t="shared" si="8"/>
        <v>219</v>
      </c>
      <c r="K30" s="13">
        <f t="shared" si="8"/>
        <v>186</v>
      </c>
      <c r="L30" s="13">
        <f t="shared" si="8"/>
        <v>178</v>
      </c>
      <c r="M30" s="13">
        <f t="shared" si="8"/>
        <v>219</v>
      </c>
      <c r="N30" s="13">
        <f t="shared" si="8"/>
        <v>179</v>
      </c>
      <c r="O30" s="13">
        <f t="shared" si="8"/>
        <v>204</v>
      </c>
      <c r="P30" s="13">
        <f t="shared" si="8"/>
        <v>222</v>
      </c>
      <c r="Q30" s="13">
        <f t="shared" si="8"/>
        <v>240</v>
      </c>
      <c r="R30" s="13">
        <f t="shared" si="8"/>
        <v>196</v>
      </c>
      <c r="S30" s="13">
        <f t="shared" si="8"/>
        <v>215</v>
      </c>
      <c r="T30" s="13">
        <f t="shared" si="8"/>
        <v>202</v>
      </c>
      <c r="U30" s="13">
        <f t="shared" si="8"/>
        <v>189</v>
      </c>
      <c r="V30" s="13">
        <f t="shared" si="8"/>
        <v>181</v>
      </c>
      <c r="W30" s="13">
        <f t="shared" si="8"/>
        <v>208</v>
      </c>
      <c r="X30" s="13">
        <f t="shared" si="8"/>
        <v>202</v>
      </c>
      <c r="Y30" s="13">
        <f t="shared" si="8"/>
        <v>196</v>
      </c>
      <c r="Z30" s="13">
        <f t="shared" si="8"/>
        <v>215</v>
      </c>
      <c r="AA30" s="13">
        <f t="shared" si="8"/>
        <v>227</v>
      </c>
      <c r="AB30" s="13">
        <f t="shared" si="8"/>
        <v>220</v>
      </c>
      <c r="AC30" s="13">
        <f t="shared" si="8"/>
        <v>207</v>
      </c>
      <c r="AD30" s="13">
        <f t="shared" si="2"/>
        <v>5146</v>
      </c>
    </row>
    <row r="31" spans="1:30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9"/>
    </row>
    <row r="32" spans="1:30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49"/>
    </row>
    <row r="33" spans="1:30" ht="12.75" customHeight="1" x14ac:dyDescent="0.4">
      <c r="A33" s="16">
        <v>1</v>
      </c>
      <c r="B33" s="74" t="s">
        <v>26</v>
      </c>
      <c r="C33" s="61"/>
      <c r="D33" s="62"/>
      <c r="E33" s="16">
        <v>272</v>
      </c>
      <c r="F33" s="16">
        <v>284</v>
      </c>
      <c r="G33" s="16">
        <v>290</v>
      </c>
      <c r="H33" s="16">
        <v>252</v>
      </c>
      <c r="I33" s="16">
        <v>265</v>
      </c>
      <c r="J33" s="16">
        <v>277</v>
      </c>
      <c r="K33" s="16">
        <v>253</v>
      </c>
      <c r="L33" s="16">
        <v>235</v>
      </c>
      <c r="M33" s="16">
        <v>263</v>
      </c>
      <c r="N33" s="16">
        <v>243</v>
      </c>
      <c r="O33" s="16">
        <v>280</v>
      </c>
      <c r="P33" s="16">
        <v>287</v>
      </c>
      <c r="Q33" s="16">
        <v>286</v>
      </c>
      <c r="R33" s="16">
        <v>267</v>
      </c>
      <c r="S33" s="16">
        <v>268</v>
      </c>
      <c r="T33" s="16">
        <v>267</v>
      </c>
      <c r="U33" s="16">
        <v>244</v>
      </c>
      <c r="V33" s="16">
        <v>236</v>
      </c>
      <c r="W33" s="16">
        <v>254</v>
      </c>
      <c r="X33" s="16">
        <v>245</v>
      </c>
      <c r="Y33" s="16">
        <v>261</v>
      </c>
      <c r="Z33" s="16">
        <v>263</v>
      </c>
      <c r="AA33" s="16">
        <v>280</v>
      </c>
      <c r="AB33" s="16">
        <v>265</v>
      </c>
      <c r="AC33" s="16">
        <v>273</v>
      </c>
      <c r="AD33" s="13">
        <f t="shared" ref="AD33:AD36" si="9">SUM(E33:AC33)</f>
        <v>6610</v>
      </c>
    </row>
    <row r="34" spans="1:30" ht="12.75" customHeight="1" x14ac:dyDescent="0.4">
      <c r="A34" s="16">
        <v>2</v>
      </c>
      <c r="B34" s="74" t="s">
        <v>27</v>
      </c>
      <c r="C34" s="61"/>
      <c r="D34" s="62"/>
      <c r="E34" s="13">
        <v>206</v>
      </c>
      <c r="F34" s="13">
        <v>220</v>
      </c>
      <c r="G34" s="13">
        <v>215</v>
      </c>
      <c r="H34" s="13">
        <v>184</v>
      </c>
      <c r="I34" s="13">
        <v>216</v>
      </c>
      <c r="J34" s="13">
        <v>219</v>
      </c>
      <c r="K34" s="13">
        <v>186</v>
      </c>
      <c r="L34" s="13">
        <v>178</v>
      </c>
      <c r="M34" s="13">
        <v>219</v>
      </c>
      <c r="N34" s="13">
        <v>179</v>
      </c>
      <c r="O34" s="13">
        <v>204</v>
      </c>
      <c r="P34" s="13">
        <v>222</v>
      </c>
      <c r="Q34" s="13">
        <v>240</v>
      </c>
      <c r="R34" s="13">
        <v>196</v>
      </c>
      <c r="S34" s="13">
        <v>215</v>
      </c>
      <c r="T34" s="13">
        <v>202</v>
      </c>
      <c r="U34" s="13">
        <v>189</v>
      </c>
      <c r="V34" s="13">
        <v>181</v>
      </c>
      <c r="W34" s="13">
        <v>208</v>
      </c>
      <c r="X34" s="13">
        <v>202</v>
      </c>
      <c r="Y34" s="13">
        <v>196</v>
      </c>
      <c r="Z34" s="13">
        <v>215</v>
      </c>
      <c r="AA34" s="13">
        <v>227</v>
      </c>
      <c r="AB34" s="13">
        <v>220</v>
      </c>
      <c r="AC34" s="13">
        <v>207</v>
      </c>
      <c r="AD34" s="13">
        <f t="shared" si="9"/>
        <v>5146</v>
      </c>
    </row>
    <row r="35" spans="1:30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0</v>
      </c>
      <c r="G35" s="16">
        <v>0</v>
      </c>
      <c r="H35" s="16">
        <v>1</v>
      </c>
      <c r="I35" s="16">
        <v>4</v>
      </c>
      <c r="J35" s="16">
        <v>0</v>
      </c>
      <c r="K35" s="16">
        <v>1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1</v>
      </c>
      <c r="S35" s="16">
        <v>2</v>
      </c>
      <c r="T35" s="16">
        <v>1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1</v>
      </c>
      <c r="AA35" s="16">
        <v>1</v>
      </c>
      <c r="AB35" s="16">
        <v>1</v>
      </c>
      <c r="AC35" s="16">
        <v>0</v>
      </c>
      <c r="AD35" s="13">
        <f t="shared" si="9"/>
        <v>13</v>
      </c>
    </row>
    <row r="36" spans="1:30" ht="12.75" customHeight="1" x14ac:dyDescent="0.4">
      <c r="A36" s="16">
        <v>4</v>
      </c>
      <c r="B36" s="74" t="s">
        <v>29</v>
      </c>
      <c r="C36" s="61"/>
      <c r="D36" s="62"/>
      <c r="E36" s="13">
        <f t="shared" ref="E36:AC36" si="10">E33-(E34+E35)</f>
        <v>66</v>
      </c>
      <c r="F36" s="13">
        <f t="shared" si="10"/>
        <v>64</v>
      </c>
      <c r="G36" s="13">
        <f t="shared" si="10"/>
        <v>75</v>
      </c>
      <c r="H36" s="13">
        <f t="shared" si="10"/>
        <v>67</v>
      </c>
      <c r="I36" s="13">
        <f t="shared" si="10"/>
        <v>45</v>
      </c>
      <c r="J36" s="13">
        <f t="shared" si="10"/>
        <v>58</v>
      </c>
      <c r="K36" s="13">
        <f t="shared" si="10"/>
        <v>66</v>
      </c>
      <c r="L36" s="13">
        <f t="shared" si="10"/>
        <v>57</v>
      </c>
      <c r="M36" s="13">
        <f t="shared" si="10"/>
        <v>44</v>
      </c>
      <c r="N36" s="13">
        <f t="shared" si="10"/>
        <v>64</v>
      </c>
      <c r="O36" s="13">
        <f t="shared" si="10"/>
        <v>76</v>
      </c>
      <c r="P36" s="13">
        <f t="shared" si="10"/>
        <v>65</v>
      </c>
      <c r="Q36" s="13">
        <f t="shared" si="10"/>
        <v>46</v>
      </c>
      <c r="R36" s="13">
        <f t="shared" si="10"/>
        <v>70</v>
      </c>
      <c r="S36" s="13">
        <f t="shared" si="10"/>
        <v>51</v>
      </c>
      <c r="T36" s="13">
        <f t="shared" si="10"/>
        <v>64</v>
      </c>
      <c r="U36" s="13">
        <f t="shared" si="10"/>
        <v>55</v>
      </c>
      <c r="V36" s="13">
        <f t="shared" si="10"/>
        <v>55</v>
      </c>
      <c r="W36" s="13">
        <f t="shared" si="10"/>
        <v>46</v>
      </c>
      <c r="X36" s="13">
        <f t="shared" si="10"/>
        <v>43</v>
      </c>
      <c r="Y36" s="13">
        <f t="shared" si="10"/>
        <v>65</v>
      </c>
      <c r="Z36" s="13">
        <f t="shared" si="10"/>
        <v>47</v>
      </c>
      <c r="AA36" s="13">
        <f t="shared" si="10"/>
        <v>52</v>
      </c>
      <c r="AB36" s="13">
        <f t="shared" si="10"/>
        <v>44</v>
      </c>
      <c r="AC36" s="13">
        <f t="shared" si="10"/>
        <v>66</v>
      </c>
      <c r="AD36" s="13">
        <f t="shared" si="9"/>
        <v>1451</v>
      </c>
    </row>
    <row r="37" spans="1:30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49"/>
    </row>
    <row r="38" spans="1:30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49"/>
    </row>
    <row r="39" spans="1:30" ht="12.75" customHeight="1" x14ac:dyDescent="0.4">
      <c r="A39" s="20"/>
      <c r="B39" s="84" t="s">
        <v>32</v>
      </c>
      <c r="C39" s="66"/>
      <c r="D39" s="16" t="s">
        <v>11</v>
      </c>
      <c r="E39" s="16">
        <v>1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1</v>
      </c>
      <c r="O39" s="16">
        <v>0</v>
      </c>
      <c r="P39" s="16">
        <v>0</v>
      </c>
      <c r="Q39" s="16">
        <v>0</v>
      </c>
      <c r="R39" s="16">
        <v>2</v>
      </c>
      <c r="S39" s="16">
        <v>0</v>
      </c>
      <c r="T39" s="16">
        <v>1</v>
      </c>
      <c r="U39" s="16">
        <v>0</v>
      </c>
      <c r="V39" s="16">
        <v>0</v>
      </c>
      <c r="W39" s="16">
        <v>0</v>
      </c>
      <c r="X39" s="16">
        <v>0</v>
      </c>
      <c r="Y39" s="16">
        <v>1</v>
      </c>
      <c r="Z39" s="16">
        <v>0</v>
      </c>
      <c r="AA39" s="16">
        <v>2</v>
      </c>
      <c r="AB39" s="16">
        <v>2</v>
      </c>
      <c r="AC39" s="16">
        <v>0</v>
      </c>
      <c r="AD39" s="13">
        <f t="shared" ref="AD39:AD41" si="11">SUM(E39:AC39)</f>
        <v>10</v>
      </c>
    </row>
    <row r="40" spans="1:30" ht="12.75" customHeight="1" x14ac:dyDescent="0.4">
      <c r="A40" s="21"/>
      <c r="B40" s="85"/>
      <c r="C40" s="77"/>
      <c r="D40" s="16" t="s">
        <v>12</v>
      </c>
      <c r="E40" s="16">
        <v>1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1</v>
      </c>
      <c r="L40" s="16">
        <v>2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2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1</v>
      </c>
      <c r="AB40" s="16">
        <v>1</v>
      </c>
      <c r="AC40" s="16">
        <v>0</v>
      </c>
      <c r="AD40" s="13">
        <f t="shared" si="11"/>
        <v>8</v>
      </c>
    </row>
    <row r="41" spans="1:30" ht="12.75" customHeight="1" x14ac:dyDescent="0.4">
      <c r="A41" s="25"/>
      <c r="B41" s="68"/>
      <c r="C41" s="69"/>
      <c r="D41" s="13" t="s">
        <v>13</v>
      </c>
      <c r="E41" s="13">
        <f t="shared" ref="E41:AC41" si="12">SUM(E39:E40)</f>
        <v>2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1</v>
      </c>
      <c r="L41" s="13">
        <f t="shared" si="12"/>
        <v>2</v>
      </c>
      <c r="M41" s="13">
        <f t="shared" si="12"/>
        <v>0</v>
      </c>
      <c r="N41" s="13">
        <f t="shared" si="12"/>
        <v>1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4</v>
      </c>
      <c r="S41" s="13">
        <f t="shared" si="12"/>
        <v>0</v>
      </c>
      <c r="T41" s="13">
        <f t="shared" si="12"/>
        <v>1</v>
      </c>
      <c r="U41" s="13">
        <f t="shared" si="12"/>
        <v>0</v>
      </c>
      <c r="V41" s="13">
        <f t="shared" si="12"/>
        <v>0</v>
      </c>
      <c r="W41" s="13">
        <f t="shared" si="12"/>
        <v>0</v>
      </c>
      <c r="X41" s="13">
        <f t="shared" si="12"/>
        <v>0</v>
      </c>
      <c r="Y41" s="13">
        <f t="shared" si="12"/>
        <v>1</v>
      </c>
      <c r="Z41" s="13">
        <f t="shared" si="12"/>
        <v>0</v>
      </c>
      <c r="AA41" s="13">
        <f t="shared" si="12"/>
        <v>3</v>
      </c>
      <c r="AB41" s="13">
        <f t="shared" si="12"/>
        <v>3</v>
      </c>
      <c r="AC41" s="13">
        <f t="shared" si="12"/>
        <v>0</v>
      </c>
      <c r="AD41" s="13">
        <f t="shared" si="11"/>
        <v>18</v>
      </c>
    </row>
    <row r="42" spans="1:30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48"/>
      <c r="U42" s="16"/>
      <c r="V42" s="48"/>
      <c r="W42" s="16"/>
      <c r="X42" s="48"/>
      <c r="Y42" s="16"/>
      <c r="Z42" s="48"/>
      <c r="AA42" s="16"/>
      <c r="AB42" s="48"/>
      <c r="AC42" s="16"/>
      <c r="AD42" s="13"/>
    </row>
    <row r="43" spans="1:30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50"/>
      <c r="U43" s="13"/>
      <c r="V43" s="50"/>
      <c r="W43" s="13"/>
      <c r="X43" s="50"/>
      <c r="Y43" s="13"/>
      <c r="Z43" s="50"/>
      <c r="AA43" s="13"/>
      <c r="AB43" s="50"/>
      <c r="AC43" s="13"/>
      <c r="AD43" s="13"/>
    </row>
    <row r="44" spans="1:30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48"/>
      <c r="U44" s="16"/>
      <c r="V44" s="48"/>
      <c r="W44" s="16"/>
      <c r="X44" s="48"/>
      <c r="Y44" s="16"/>
      <c r="Z44" s="48"/>
      <c r="AA44" s="16"/>
      <c r="AB44" s="48"/>
      <c r="AC44" s="16"/>
      <c r="AD44" s="13"/>
    </row>
    <row r="45" spans="1:30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7</v>
      </c>
      <c r="F45" s="16">
        <v>5</v>
      </c>
      <c r="G45" s="16">
        <v>5</v>
      </c>
      <c r="H45" s="16">
        <v>1</v>
      </c>
      <c r="I45" s="16">
        <v>3</v>
      </c>
      <c r="J45" s="16">
        <v>0</v>
      </c>
      <c r="K45" s="16">
        <v>4</v>
      </c>
      <c r="L45" s="16">
        <v>4</v>
      </c>
      <c r="M45" s="16">
        <v>7</v>
      </c>
      <c r="N45" s="16">
        <v>7</v>
      </c>
      <c r="O45" s="16">
        <v>3</v>
      </c>
      <c r="P45" s="16">
        <v>2</v>
      </c>
      <c r="Q45" s="16">
        <v>4</v>
      </c>
      <c r="R45" s="16">
        <v>3</v>
      </c>
      <c r="S45" s="16">
        <v>4</v>
      </c>
      <c r="T45" s="16">
        <v>3</v>
      </c>
      <c r="U45" s="16">
        <v>1</v>
      </c>
      <c r="V45" s="16">
        <v>8</v>
      </c>
      <c r="W45" s="16">
        <v>1</v>
      </c>
      <c r="X45" s="16">
        <v>2</v>
      </c>
      <c r="Y45" s="16">
        <v>3</v>
      </c>
      <c r="Z45" s="16">
        <v>10</v>
      </c>
      <c r="AA45" s="16">
        <v>2</v>
      </c>
      <c r="AB45" s="16">
        <v>10</v>
      </c>
      <c r="AC45" s="16">
        <v>8</v>
      </c>
      <c r="AD45" s="13">
        <f t="shared" ref="AD45:AD54" si="13">SUM(E45:AC45)</f>
        <v>107</v>
      </c>
    </row>
    <row r="46" spans="1:30" ht="12.75" customHeight="1" x14ac:dyDescent="0.4">
      <c r="A46" s="20" t="s">
        <v>38</v>
      </c>
      <c r="B46" s="28"/>
      <c r="C46" s="29" t="s">
        <v>39</v>
      </c>
      <c r="D46" s="30"/>
      <c r="E46" s="16">
        <v>4</v>
      </c>
      <c r="F46" s="16">
        <v>4</v>
      </c>
      <c r="G46" s="16">
        <v>12</v>
      </c>
      <c r="H46" s="16">
        <v>1</v>
      </c>
      <c r="I46" s="16">
        <v>1</v>
      </c>
      <c r="J46" s="16">
        <v>5</v>
      </c>
      <c r="K46" s="16">
        <v>4</v>
      </c>
      <c r="L46" s="16">
        <v>6</v>
      </c>
      <c r="M46" s="16">
        <v>6</v>
      </c>
      <c r="N46" s="16">
        <v>1</v>
      </c>
      <c r="O46" s="16">
        <v>0</v>
      </c>
      <c r="P46" s="16">
        <v>2</v>
      </c>
      <c r="Q46" s="16">
        <v>0</v>
      </c>
      <c r="R46" s="16">
        <v>2</v>
      </c>
      <c r="S46" s="16">
        <v>4</v>
      </c>
      <c r="T46" s="16">
        <v>0</v>
      </c>
      <c r="U46" s="16">
        <v>0</v>
      </c>
      <c r="V46" s="16">
        <v>4</v>
      </c>
      <c r="W46" s="16">
        <v>1</v>
      </c>
      <c r="X46" s="16">
        <v>0</v>
      </c>
      <c r="Y46" s="16">
        <v>1</v>
      </c>
      <c r="Z46" s="16">
        <v>3</v>
      </c>
      <c r="AA46" s="16">
        <v>2</v>
      </c>
      <c r="AB46" s="16">
        <v>60</v>
      </c>
      <c r="AC46" s="16">
        <v>23</v>
      </c>
      <c r="AD46" s="13">
        <f t="shared" si="13"/>
        <v>146</v>
      </c>
    </row>
    <row r="47" spans="1:30" ht="12.75" customHeight="1" x14ac:dyDescent="0.4">
      <c r="A47" s="15"/>
      <c r="B47" s="28"/>
      <c r="C47" s="29" t="s">
        <v>40</v>
      </c>
      <c r="D47" s="30"/>
      <c r="E47" s="16">
        <v>2</v>
      </c>
      <c r="F47" s="16">
        <v>4</v>
      </c>
      <c r="G47" s="16">
        <v>14</v>
      </c>
      <c r="H47" s="16">
        <v>1</v>
      </c>
      <c r="I47" s="16">
        <v>1</v>
      </c>
      <c r="J47" s="16">
        <v>3</v>
      </c>
      <c r="K47" s="16">
        <v>3</v>
      </c>
      <c r="L47" s="16">
        <v>6</v>
      </c>
      <c r="M47" s="16">
        <v>2</v>
      </c>
      <c r="N47" s="16">
        <v>1</v>
      </c>
      <c r="O47" s="16">
        <v>0</v>
      </c>
      <c r="P47" s="16">
        <v>2</v>
      </c>
      <c r="Q47" s="16">
        <v>2</v>
      </c>
      <c r="R47" s="16">
        <v>4</v>
      </c>
      <c r="S47" s="16">
        <v>0</v>
      </c>
      <c r="T47" s="16">
        <v>2</v>
      </c>
      <c r="U47" s="16">
        <v>1</v>
      </c>
      <c r="V47" s="16">
        <v>0</v>
      </c>
      <c r="W47" s="16">
        <v>0</v>
      </c>
      <c r="X47" s="16">
        <v>0</v>
      </c>
      <c r="Y47" s="16">
        <v>2</v>
      </c>
      <c r="Z47" s="16">
        <v>6</v>
      </c>
      <c r="AA47" s="16">
        <v>1</v>
      </c>
      <c r="AB47" s="16">
        <v>0</v>
      </c>
      <c r="AC47" s="16">
        <v>0</v>
      </c>
      <c r="AD47" s="13">
        <f t="shared" si="13"/>
        <v>57</v>
      </c>
    </row>
    <row r="48" spans="1:30" ht="12.75" customHeight="1" x14ac:dyDescent="0.4">
      <c r="A48" s="15"/>
      <c r="B48" s="28"/>
      <c r="C48" s="29" t="s">
        <v>41</v>
      </c>
      <c r="D48" s="30"/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1</v>
      </c>
      <c r="L48" s="16">
        <v>1</v>
      </c>
      <c r="M48" s="16">
        <v>0</v>
      </c>
      <c r="N48" s="16">
        <v>0</v>
      </c>
      <c r="O48" s="16">
        <v>0</v>
      </c>
      <c r="P48" s="16">
        <v>0</v>
      </c>
      <c r="Q48" s="16">
        <v>1</v>
      </c>
      <c r="R48" s="16">
        <v>1</v>
      </c>
      <c r="S48" s="16">
        <v>0</v>
      </c>
      <c r="T48" s="16">
        <v>0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1</v>
      </c>
      <c r="AA48" s="16">
        <v>0</v>
      </c>
      <c r="AB48" s="16">
        <v>0</v>
      </c>
      <c r="AC48" s="16">
        <v>2</v>
      </c>
      <c r="AD48" s="13">
        <f t="shared" si="13"/>
        <v>7</v>
      </c>
    </row>
    <row r="49" spans="1:30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1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1</v>
      </c>
      <c r="Z49" s="16">
        <v>0</v>
      </c>
      <c r="AA49" s="16">
        <v>0</v>
      </c>
      <c r="AB49" s="16">
        <v>0</v>
      </c>
      <c r="AC49" s="16">
        <v>1</v>
      </c>
      <c r="AD49" s="13">
        <f t="shared" si="13"/>
        <v>3</v>
      </c>
    </row>
    <row r="50" spans="1:30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1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3">
        <f t="shared" si="13"/>
        <v>1</v>
      </c>
    </row>
    <row r="51" spans="1:30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0</v>
      </c>
      <c r="I51" s="16">
        <v>2</v>
      </c>
      <c r="J51" s="16">
        <v>0</v>
      </c>
      <c r="K51" s="16">
        <v>1</v>
      </c>
      <c r="L51" s="16">
        <v>0</v>
      </c>
      <c r="M51" s="16">
        <v>0</v>
      </c>
      <c r="N51" s="16">
        <v>0</v>
      </c>
      <c r="O51" s="16">
        <v>0</v>
      </c>
      <c r="P51" s="16">
        <v>0</v>
      </c>
      <c r="Q51" s="16">
        <v>0</v>
      </c>
      <c r="R51" s="16">
        <v>0</v>
      </c>
      <c r="S51" s="16">
        <v>0</v>
      </c>
      <c r="T51" s="16">
        <v>6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6">
        <v>0</v>
      </c>
      <c r="AB51" s="16">
        <v>0</v>
      </c>
      <c r="AC51" s="16">
        <v>0</v>
      </c>
      <c r="AD51" s="13">
        <f t="shared" si="13"/>
        <v>9</v>
      </c>
    </row>
    <row r="52" spans="1:30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13">
        <f t="shared" si="13"/>
        <v>0</v>
      </c>
    </row>
    <row r="53" spans="1:30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13">
        <f t="shared" si="13"/>
        <v>0</v>
      </c>
    </row>
    <row r="54" spans="1:30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13">
        <f t="shared" si="13"/>
        <v>0</v>
      </c>
    </row>
    <row r="55" spans="1:30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AD55" si="14">SUM(E45:E54)</f>
        <v>13</v>
      </c>
      <c r="F55" s="13">
        <f t="shared" si="14"/>
        <v>14</v>
      </c>
      <c r="G55" s="13">
        <f t="shared" si="14"/>
        <v>31</v>
      </c>
      <c r="H55" s="13">
        <f t="shared" si="14"/>
        <v>3</v>
      </c>
      <c r="I55" s="13">
        <f t="shared" si="14"/>
        <v>7</v>
      </c>
      <c r="J55" s="13">
        <f t="shared" si="14"/>
        <v>8</v>
      </c>
      <c r="K55" s="13">
        <f t="shared" si="14"/>
        <v>13</v>
      </c>
      <c r="L55" s="13">
        <f t="shared" si="14"/>
        <v>18</v>
      </c>
      <c r="M55" s="13">
        <f t="shared" si="14"/>
        <v>15</v>
      </c>
      <c r="N55" s="13">
        <f t="shared" si="14"/>
        <v>9</v>
      </c>
      <c r="O55" s="13">
        <f t="shared" si="14"/>
        <v>3</v>
      </c>
      <c r="P55" s="13">
        <f t="shared" si="14"/>
        <v>6</v>
      </c>
      <c r="Q55" s="13">
        <f t="shared" si="14"/>
        <v>7</v>
      </c>
      <c r="R55" s="13">
        <f t="shared" si="14"/>
        <v>10</v>
      </c>
      <c r="S55" s="13">
        <f t="shared" si="14"/>
        <v>8</v>
      </c>
      <c r="T55" s="13">
        <f t="shared" si="14"/>
        <v>11</v>
      </c>
      <c r="U55" s="13">
        <f t="shared" si="14"/>
        <v>2</v>
      </c>
      <c r="V55" s="13">
        <f t="shared" si="14"/>
        <v>12</v>
      </c>
      <c r="W55" s="13">
        <f t="shared" si="14"/>
        <v>2</v>
      </c>
      <c r="X55" s="13">
        <f t="shared" si="14"/>
        <v>2</v>
      </c>
      <c r="Y55" s="13">
        <f t="shared" si="14"/>
        <v>7</v>
      </c>
      <c r="Z55" s="13">
        <f t="shared" si="14"/>
        <v>20</v>
      </c>
      <c r="AA55" s="13">
        <f t="shared" si="14"/>
        <v>5</v>
      </c>
      <c r="AB55" s="13">
        <f t="shared" si="14"/>
        <v>70</v>
      </c>
      <c r="AC55" s="13">
        <f t="shared" si="14"/>
        <v>34</v>
      </c>
      <c r="AD55" s="13">
        <f t="shared" si="14"/>
        <v>330</v>
      </c>
    </row>
    <row r="56" spans="1:30" ht="12.75" customHeight="1" x14ac:dyDescent="0.4">
      <c r="A56" s="86"/>
      <c r="B56" s="68"/>
      <c r="C56" s="68"/>
      <c r="D56" s="68"/>
      <c r="E56" s="68"/>
      <c r="AD56" s="13"/>
    </row>
    <row r="57" spans="1:30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5</v>
      </c>
      <c r="F57" s="16">
        <v>8</v>
      </c>
      <c r="G57" s="16">
        <v>12</v>
      </c>
      <c r="H57" s="16">
        <v>11</v>
      </c>
      <c r="I57" s="16">
        <v>2</v>
      </c>
      <c r="J57" s="16">
        <v>6</v>
      </c>
      <c r="K57" s="16">
        <v>5</v>
      </c>
      <c r="L57" s="16">
        <v>10</v>
      </c>
      <c r="M57" s="16">
        <v>4</v>
      </c>
      <c r="N57" s="16">
        <v>3</v>
      </c>
      <c r="O57" s="16">
        <v>2</v>
      </c>
      <c r="P57" s="16">
        <v>3</v>
      </c>
      <c r="Q57" s="16">
        <v>11</v>
      </c>
      <c r="R57" s="16">
        <v>10</v>
      </c>
      <c r="S57" s="16">
        <v>7</v>
      </c>
      <c r="T57" s="16">
        <v>1</v>
      </c>
      <c r="U57" s="16">
        <v>6</v>
      </c>
      <c r="V57" s="16">
        <v>7</v>
      </c>
      <c r="W57" s="16">
        <v>1</v>
      </c>
      <c r="X57" s="16">
        <v>2</v>
      </c>
      <c r="Y57" s="16">
        <v>3</v>
      </c>
      <c r="Z57" s="16">
        <v>11</v>
      </c>
      <c r="AA57" s="16">
        <v>10</v>
      </c>
      <c r="AB57" s="16">
        <v>8</v>
      </c>
      <c r="AC57" s="16">
        <v>9</v>
      </c>
      <c r="AD57" s="13">
        <f t="shared" ref="AD57:AD66" si="15">SUM(E57:AC57)</f>
        <v>157</v>
      </c>
    </row>
    <row r="58" spans="1:30" ht="12.75" customHeight="1" x14ac:dyDescent="0.4">
      <c r="A58" s="20" t="s">
        <v>38</v>
      </c>
      <c r="B58" s="28"/>
      <c r="C58" s="29" t="s">
        <v>47</v>
      </c>
      <c r="D58" s="30"/>
      <c r="E58" s="16">
        <v>7</v>
      </c>
      <c r="F58" s="16">
        <v>5</v>
      </c>
      <c r="G58" s="16">
        <v>5</v>
      </c>
      <c r="H58" s="16">
        <v>6</v>
      </c>
      <c r="I58" s="16">
        <v>0</v>
      </c>
      <c r="J58" s="16">
        <v>6</v>
      </c>
      <c r="K58" s="16">
        <v>1</v>
      </c>
      <c r="L58" s="16">
        <v>4</v>
      </c>
      <c r="M58" s="16">
        <v>3</v>
      </c>
      <c r="N58" s="16">
        <v>2</v>
      </c>
      <c r="O58" s="16">
        <v>7</v>
      </c>
      <c r="P58" s="16">
        <v>0</v>
      </c>
      <c r="Q58" s="16">
        <v>23</v>
      </c>
      <c r="R58" s="16">
        <v>6</v>
      </c>
      <c r="S58" s="16">
        <v>7</v>
      </c>
      <c r="T58" s="16">
        <v>4</v>
      </c>
      <c r="U58" s="16">
        <v>2</v>
      </c>
      <c r="V58" s="16">
        <v>8</v>
      </c>
      <c r="W58" s="16">
        <v>2</v>
      </c>
      <c r="X58" s="16">
        <v>2</v>
      </c>
      <c r="Y58" s="16">
        <v>2</v>
      </c>
      <c r="Z58" s="16">
        <v>9</v>
      </c>
      <c r="AA58" s="16">
        <v>10</v>
      </c>
      <c r="AB58" s="16">
        <v>3</v>
      </c>
      <c r="AC58" s="16">
        <v>2</v>
      </c>
      <c r="AD58" s="13">
        <f t="shared" si="15"/>
        <v>126</v>
      </c>
    </row>
    <row r="59" spans="1:30" ht="12.75" customHeight="1" x14ac:dyDescent="0.4">
      <c r="A59" s="15"/>
      <c r="B59" s="28"/>
      <c r="C59" s="29" t="s">
        <v>48</v>
      </c>
      <c r="D59" s="30"/>
      <c r="E59" s="16">
        <v>3</v>
      </c>
      <c r="F59" s="16">
        <v>4</v>
      </c>
      <c r="G59" s="16">
        <v>1</v>
      </c>
      <c r="H59" s="16">
        <v>3</v>
      </c>
      <c r="I59" s="16">
        <v>2</v>
      </c>
      <c r="J59" s="16">
        <v>0</v>
      </c>
      <c r="K59" s="16">
        <v>1</v>
      </c>
      <c r="L59" s="16">
        <v>3</v>
      </c>
      <c r="M59" s="16">
        <v>1</v>
      </c>
      <c r="N59" s="16">
        <v>0</v>
      </c>
      <c r="O59" s="16">
        <v>2</v>
      </c>
      <c r="P59" s="16">
        <v>1</v>
      </c>
      <c r="Q59" s="16">
        <v>5</v>
      </c>
      <c r="R59" s="16">
        <v>1</v>
      </c>
      <c r="S59" s="16">
        <v>4</v>
      </c>
      <c r="T59" s="16">
        <v>3</v>
      </c>
      <c r="U59" s="16">
        <v>2</v>
      </c>
      <c r="V59" s="16">
        <v>1</v>
      </c>
      <c r="W59" s="16">
        <v>2</v>
      </c>
      <c r="X59" s="16">
        <v>0</v>
      </c>
      <c r="Y59" s="16">
        <v>1</v>
      </c>
      <c r="Z59" s="16">
        <v>1</v>
      </c>
      <c r="AA59" s="16">
        <v>2</v>
      </c>
      <c r="AB59" s="16">
        <v>1</v>
      </c>
      <c r="AC59" s="16">
        <v>4</v>
      </c>
      <c r="AD59" s="13">
        <f t="shared" si="15"/>
        <v>48</v>
      </c>
    </row>
    <row r="60" spans="1:30" ht="12.75" customHeight="1" x14ac:dyDescent="0.4">
      <c r="A60" s="15"/>
      <c r="B60" s="28"/>
      <c r="C60" s="29" t="s">
        <v>49</v>
      </c>
      <c r="D60" s="30"/>
      <c r="E60" s="16">
        <v>2</v>
      </c>
      <c r="F60" s="16">
        <v>2</v>
      </c>
      <c r="G60" s="16">
        <v>2</v>
      </c>
      <c r="H60" s="16">
        <v>2</v>
      </c>
      <c r="I60" s="16">
        <v>0</v>
      </c>
      <c r="J60" s="16">
        <v>0</v>
      </c>
      <c r="K60" s="16">
        <v>3</v>
      </c>
      <c r="L60" s="16">
        <v>1</v>
      </c>
      <c r="M60" s="16">
        <v>1</v>
      </c>
      <c r="N60" s="16">
        <v>1</v>
      </c>
      <c r="O60" s="16">
        <v>1</v>
      </c>
      <c r="P60" s="16">
        <v>1</v>
      </c>
      <c r="Q60" s="16">
        <v>1</v>
      </c>
      <c r="R60" s="16">
        <v>1</v>
      </c>
      <c r="S60" s="16">
        <v>3</v>
      </c>
      <c r="T60" s="16">
        <v>4</v>
      </c>
      <c r="U60" s="16">
        <v>1</v>
      </c>
      <c r="V60" s="16">
        <v>1</v>
      </c>
      <c r="W60" s="16">
        <v>1</v>
      </c>
      <c r="X60" s="16">
        <v>0</v>
      </c>
      <c r="Y60" s="16">
        <v>0</v>
      </c>
      <c r="Z60" s="16">
        <v>2</v>
      </c>
      <c r="AA60" s="16">
        <v>6</v>
      </c>
      <c r="AB60" s="16">
        <v>1</v>
      </c>
      <c r="AC60" s="16">
        <v>2</v>
      </c>
      <c r="AD60" s="13">
        <f t="shared" si="15"/>
        <v>39</v>
      </c>
    </row>
    <row r="61" spans="1:30" ht="12.75" customHeight="1" x14ac:dyDescent="0.4">
      <c r="A61" s="15"/>
      <c r="B61" s="28"/>
      <c r="C61" s="29" t="s">
        <v>50</v>
      </c>
      <c r="D61" s="30"/>
      <c r="E61" s="16">
        <v>3</v>
      </c>
      <c r="F61" s="16">
        <v>0</v>
      </c>
      <c r="G61" s="16">
        <v>0</v>
      </c>
      <c r="H61" s="16">
        <v>1</v>
      </c>
      <c r="I61" s="16">
        <v>1</v>
      </c>
      <c r="J61" s="16">
        <v>0</v>
      </c>
      <c r="K61" s="16">
        <v>0</v>
      </c>
      <c r="L61" s="16">
        <v>1</v>
      </c>
      <c r="M61" s="16">
        <v>0</v>
      </c>
      <c r="N61" s="16">
        <v>0</v>
      </c>
      <c r="O61" s="16">
        <v>0</v>
      </c>
      <c r="P61" s="16">
        <v>0</v>
      </c>
      <c r="Q61" s="16">
        <v>1</v>
      </c>
      <c r="R61" s="16">
        <v>0</v>
      </c>
      <c r="S61" s="16">
        <v>2</v>
      </c>
      <c r="T61" s="16">
        <v>0</v>
      </c>
      <c r="U61" s="16">
        <v>1</v>
      </c>
      <c r="V61" s="16">
        <v>0</v>
      </c>
      <c r="W61" s="16">
        <v>1</v>
      </c>
      <c r="X61" s="16">
        <v>0</v>
      </c>
      <c r="Y61" s="16">
        <v>0</v>
      </c>
      <c r="Z61" s="16">
        <v>0</v>
      </c>
      <c r="AA61" s="16">
        <v>0</v>
      </c>
      <c r="AB61" s="16">
        <v>0</v>
      </c>
      <c r="AC61" s="16">
        <v>1</v>
      </c>
      <c r="AD61" s="13">
        <f t="shared" si="15"/>
        <v>12</v>
      </c>
    </row>
    <row r="62" spans="1:30" ht="12.75" customHeight="1" x14ac:dyDescent="0.4">
      <c r="A62" s="15"/>
      <c r="B62" s="28"/>
      <c r="C62" s="29" t="s">
        <v>51</v>
      </c>
      <c r="D62" s="30"/>
      <c r="E62" s="16">
        <v>1</v>
      </c>
      <c r="F62" s="16">
        <v>2</v>
      </c>
      <c r="G62" s="16">
        <v>0</v>
      </c>
      <c r="H62" s="16">
        <v>0</v>
      </c>
      <c r="I62" s="16">
        <v>0</v>
      </c>
      <c r="J62" s="16">
        <v>1</v>
      </c>
      <c r="K62" s="16">
        <v>0</v>
      </c>
      <c r="L62" s="16">
        <v>0</v>
      </c>
      <c r="M62" s="16">
        <v>1</v>
      </c>
      <c r="N62" s="16">
        <v>1</v>
      </c>
      <c r="O62" s="16">
        <v>0</v>
      </c>
      <c r="P62" s="16">
        <v>0</v>
      </c>
      <c r="Q62" s="16">
        <v>2</v>
      </c>
      <c r="R62" s="16">
        <v>0</v>
      </c>
      <c r="S62" s="16">
        <v>1</v>
      </c>
      <c r="T62" s="16">
        <v>1</v>
      </c>
      <c r="U62" s="16">
        <v>0</v>
      </c>
      <c r="V62" s="16">
        <v>0</v>
      </c>
      <c r="W62" s="16">
        <v>0</v>
      </c>
      <c r="X62" s="16">
        <v>1</v>
      </c>
      <c r="Y62" s="16">
        <v>1</v>
      </c>
      <c r="Z62" s="16">
        <v>1</v>
      </c>
      <c r="AA62" s="16">
        <v>0</v>
      </c>
      <c r="AB62" s="16">
        <v>1</v>
      </c>
      <c r="AC62" s="16">
        <v>0</v>
      </c>
      <c r="AD62" s="13">
        <f t="shared" si="15"/>
        <v>14</v>
      </c>
    </row>
    <row r="63" spans="1:30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0</v>
      </c>
      <c r="G63" s="16">
        <v>0</v>
      </c>
      <c r="H63" s="16">
        <v>0</v>
      </c>
      <c r="I63" s="16">
        <v>0</v>
      </c>
      <c r="J63" s="16">
        <v>0</v>
      </c>
      <c r="K63" s="16">
        <v>1</v>
      </c>
      <c r="L63" s="16">
        <v>0</v>
      </c>
      <c r="M63" s="16">
        <v>1</v>
      </c>
      <c r="N63" s="16">
        <v>0</v>
      </c>
      <c r="O63" s="16">
        <v>0</v>
      </c>
      <c r="P63" s="16">
        <v>0</v>
      </c>
      <c r="Q63" s="16">
        <v>0</v>
      </c>
      <c r="R63" s="16">
        <v>1</v>
      </c>
      <c r="S63" s="16">
        <v>0</v>
      </c>
      <c r="T63" s="16">
        <v>0</v>
      </c>
      <c r="U63" s="16">
        <v>1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3">
        <f t="shared" si="15"/>
        <v>4</v>
      </c>
    </row>
    <row r="64" spans="1:30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13">
        <f t="shared" si="15"/>
        <v>0</v>
      </c>
    </row>
    <row r="65" spans="1:30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13">
        <f t="shared" si="15"/>
        <v>0</v>
      </c>
    </row>
    <row r="66" spans="1:30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13">
        <f t="shared" si="15"/>
        <v>0</v>
      </c>
    </row>
    <row r="67" spans="1:30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AD67" si="16">SUM(E57:E66)</f>
        <v>21</v>
      </c>
      <c r="F67" s="13">
        <f t="shared" si="16"/>
        <v>21</v>
      </c>
      <c r="G67" s="13">
        <f t="shared" si="16"/>
        <v>20</v>
      </c>
      <c r="H67" s="13">
        <f t="shared" si="16"/>
        <v>23</v>
      </c>
      <c r="I67" s="13">
        <f t="shared" si="16"/>
        <v>5</v>
      </c>
      <c r="J67" s="13">
        <f t="shared" si="16"/>
        <v>13</v>
      </c>
      <c r="K67" s="13">
        <f t="shared" si="16"/>
        <v>11</v>
      </c>
      <c r="L67" s="13">
        <f t="shared" si="16"/>
        <v>19</v>
      </c>
      <c r="M67" s="13">
        <f t="shared" si="16"/>
        <v>11</v>
      </c>
      <c r="N67" s="13">
        <f t="shared" si="16"/>
        <v>7</v>
      </c>
      <c r="O67" s="13">
        <f t="shared" si="16"/>
        <v>12</v>
      </c>
      <c r="P67" s="13">
        <f t="shared" si="16"/>
        <v>5</v>
      </c>
      <c r="Q67" s="13">
        <f t="shared" si="16"/>
        <v>43</v>
      </c>
      <c r="R67" s="13">
        <f t="shared" si="16"/>
        <v>19</v>
      </c>
      <c r="S67" s="13">
        <f t="shared" si="16"/>
        <v>24</v>
      </c>
      <c r="T67" s="13">
        <f t="shared" si="16"/>
        <v>13</v>
      </c>
      <c r="U67" s="13">
        <f t="shared" si="16"/>
        <v>13</v>
      </c>
      <c r="V67" s="13">
        <f t="shared" si="16"/>
        <v>17</v>
      </c>
      <c r="W67" s="13">
        <f t="shared" si="16"/>
        <v>7</v>
      </c>
      <c r="X67" s="13">
        <f t="shared" si="16"/>
        <v>5</v>
      </c>
      <c r="Y67" s="13">
        <f t="shared" si="16"/>
        <v>7</v>
      </c>
      <c r="Z67" s="13">
        <f t="shared" si="16"/>
        <v>24</v>
      </c>
      <c r="AA67" s="13">
        <f t="shared" si="16"/>
        <v>28</v>
      </c>
      <c r="AB67" s="13">
        <f t="shared" si="16"/>
        <v>14</v>
      </c>
      <c r="AC67" s="13">
        <f t="shared" si="16"/>
        <v>18</v>
      </c>
      <c r="AD67" s="13">
        <f t="shared" si="16"/>
        <v>400</v>
      </c>
    </row>
    <row r="68" spans="1:30" ht="12.75" customHeight="1" x14ac:dyDescent="0.4">
      <c r="A68" s="86"/>
      <c r="B68" s="68"/>
      <c r="C68" s="68"/>
      <c r="D68" s="68"/>
      <c r="E68" s="68"/>
    </row>
    <row r="69" spans="1:30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9</v>
      </c>
      <c r="F69" s="16">
        <v>8</v>
      </c>
      <c r="G69" s="16">
        <v>4</v>
      </c>
      <c r="H69" s="16">
        <v>6</v>
      </c>
      <c r="I69" s="16">
        <v>6</v>
      </c>
      <c r="J69" s="16">
        <v>8</v>
      </c>
      <c r="K69" s="16">
        <v>9</v>
      </c>
      <c r="L69" s="16">
        <v>5</v>
      </c>
      <c r="M69" s="16">
        <v>15</v>
      </c>
      <c r="N69" s="16">
        <v>3</v>
      </c>
      <c r="O69" s="16">
        <v>2</v>
      </c>
      <c r="P69" s="16">
        <v>3</v>
      </c>
      <c r="Q69" s="16">
        <v>10</v>
      </c>
      <c r="R69" s="16">
        <v>4</v>
      </c>
      <c r="S69" s="16">
        <v>6</v>
      </c>
      <c r="T69" s="16">
        <v>4</v>
      </c>
      <c r="U69" s="16">
        <v>2</v>
      </c>
      <c r="V69" s="16">
        <v>2</v>
      </c>
      <c r="W69" s="16">
        <v>8</v>
      </c>
      <c r="X69" s="16">
        <v>5</v>
      </c>
      <c r="Y69" s="16">
        <v>4</v>
      </c>
      <c r="Z69" s="16">
        <v>4</v>
      </c>
      <c r="AA69" s="16">
        <v>11</v>
      </c>
      <c r="AB69" s="16">
        <v>8</v>
      </c>
      <c r="AC69" s="16">
        <v>10</v>
      </c>
      <c r="AD69" s="13">
        <f t="shared" ref="AD69:AD78" si="17">SUM(E69:AC69)</f>
        <v>156</v>
      </c>
    </row>
    <row r="70" spans="1:30" ht="12.75" customHeight="1" x14ac:dyDescent="0.4">
      <c r="A70" s="20" t="s">
        <v>38</v>
      </c>
      <c r="B70" s="28"/>
      <c r="C70" s="29" t="s">
        <v>54</v>
      </c>
      <c r="D70" s="30"/>
      <c r="E70" s="16">
        <v>5</v>
      </c>
      <c r="F70" s="16">
        <v>2</v>
      </c>
      <c r="G70" s="16">
        <v>6</v>
      </c>
      <c r="H70" s="16">
        <v>13</v>
      </c>
      <c r="I70" s="16">
        <v>40</v>
      </c>
      <c r="J70" s="16">
        <v>22</v>
      </c>
      <c r="K70" s="16">
        <v>5</v>
      </c>
      <c r="L70" s="16">
        <v>3</v>
      </c>
      <c r="M70" s="16">
        <v>5</v>
      </c>
      <c r="N70" s="16">
        <v>1</v>
      </c>
      <c r="O70" s="16">
        <v>2</v>
      </c>
      <c r="P70" s="16">
        <v>14</v>
      </c>
      <c r="Q70" s="16">
        <v>1</v>
      </c>
      <c r="R70" s="16">
        <v>1</v>
      </c>
      <c r="S70" s="16">
        <v>1</v>
      </c>
      <c r="T70" s="16">
        <v>0</v>
      </c>
      <c r="U70" s="16">
        <v>1</v>
      </c>
      <c r="V70" s="16">
        <v>2</v>
      </c>
      <c r="W70" s="16">
        <v>1</v>
      </c>
      <c r="X70" s="16">
        <v>0</v>
      </c>
      <c r="Y70" s="16">
        <v>1</v>
      </c>
      <c r="Z70" s="16">
        <v>2</v>
      </c>
      <c r="AA70" s="16">
        <v>0</v>
      </c>
      <c r="AB70" s="16">
        <v>0</v>
      </c>
      <c r="AC70" s="16">
        <v>1</v>
      </c>
      <c r="AD70" s="13">
        <f t="shared" si="17"/>
        <v>129</v>
      </c>
    </row>
    <row r="71" spans="1:30" ht="12.75" customHeight="1" x14ac:dyDescent="0.4">
      <c r="A71" s="15"/>
      <c r="B71" s="28"/>
      <c r="C71" s="29" t="s">
        <v>55</v>
      </c>
      <c r="D71" s="30"/>
      <c r="E71" s="16">
        <v>3</v>
      </c>
      <c r="F71" s="16">
        <v>26</v>
      </c>
      <c r="G71" s="16">
        <v>4</v>
      </c>
      <c r="H71" s="16">
        <v>4</v>
      </c>
      <c r="I71" s="16">
        <v>7</v>
      </c>
      <c r="J71" s="16">
        <v>16</v>
      </c>
      <c r="K71" s="16">
        <v>2</v>
      </c>
      <c r="L71" s="16">
        <v>7</v>
      </c>
      <c r="M71" s="16">
        <v>2</v>
      </c>
      <c r="N71" s="16">
        <v>3</v>
      </c>
      <c r="O71" s="16">
        <v>0</v>
      </c>
      <c r="P71" s="16">
        <v>5</v>
      </c>
      <c r="Q71" s="16">
        <v>5</v>
      </c>
      <c r="R71" s="16">
        <v>2</v>
      </c>
      <c r="S71" s="16">
        <v>4</v>
      </c>
      <c r="T71" s="16">
        <v>2</v>
      </c>
      <c r="U71" s="16">
        <v>3</v>
      </c>
      <c r="V71" s="16">
        <v>1</v>
      </c>
      <c r="W71" s="16">
        <v>44</v>
      </c>
      <c r="X71" s="16">
        <v>34</v>
      </c>
      <c r="Y71" s="16">
        <v>25</v>
      </c>
      <c r="Z71" s="16">
        <v>1</v>
      </c>
      <c r="AA71" s="16">
        <v>5</v>
      </c>
      <c r="AB71" s="16">
        <v>3</v>
      </c>
      <c r="AC71" s="16">
        <v>3</v>
      </c>
      <c r="AD71" s="13">
        <f t="shared" si="17"/>
        <v>211</v>
      </c>
    </row>
    <row r="72" spans="1:30" ht="12.75" customHeight="1" x14ac:dyDescent="0.4">
      <c r="A72" s="15"/>
      <c r="B72" s="28"/>
      <c r="C72" s="29" t="s">
        <v>56</v>
      </c>
      <c r="D72" s="30"/>
      <c r="E72" s="16">
        <v>23</v>
      </c>
      <c r="F72" s="16">
        <v>22</v>
      </c>
      <c r="G72" s="16">
        <v>45</v>
      </c>
      <c r="H72" s="16">
        <v>55</v>
      </c>
      <c r="I72" s="16">
        <v>113</v>
      </c>
      <c r="J72" s="16">
        <v>81</v>
      </c>
      <c r="K72" s="16">
        <v>4</v>
      </c>
      <c r="L72" s="16">
        <v>3</v>
      </c>
      <c r="M72" s="16">
        <v>3</v>
      </c>
      <c r="N72" s="16">
        <v>1</v>
      </c>
      <c r="O72" s="16">
        <v>18</v>
      </c>
      <c r="P72" s="16">
        <v>31</v>
      </c>
      <c r="Q72" s="16">
        <v>2</v>
      </c>
      <c r="R72" s="16">
        <v>3</v>
      </c>
      <c r="S72" s="16">
        <v>15</v>
      </c>
      <c r="T72" s="16">
        <v>18</v>
      </c>
      <c r="U72" s="16">
        <v>2</v>
      </c>
      <c r="V72" s="16">
        <v>4</v>
      </c>
      <c r="W72" s="16">
        <v>7</v>
      </c>
      <c r="X72" s="16">
        <v>1</v>
      </c>
      <c r="Y72" s="16">
        <v>3</v>
      </c>
      <c r="Z72" s="16">
        <v>5</v>
      </c>
      <c r="AA72" s="16">
        <v>3</v>
      </c>
      <c r="AB72" s="16">
        <v>8</v>
      </c>
      <c r="AC72" s="16">
        <v>12</v>
      </c>
      <c r="AD72" s="13">
        <f t="shared" si="17"/>
        <v>482</v>
      </c>
    </row>
    <row r="73" spans="1:30" ht="12.75" customHeight="1" x14ac:dyDescent="0.4">
      <c r="A73" s="15"/>
      <c r="B73" s="28"/>
      <c r="C73" s="29" t="s">
        <v>57</v>
      </c>
      <c r="D73" s="30"/>
      <c r="E73" s="16">
        <v>0</v>
      </c>
      <c r="F73" s="16">
        <v>1</v>
      </c>
      <c r="G73" s="16">
        <v>0</v>
      </c>
      <c r="H73" s="16">
        <v>1</v>
      </c>
      <c r="I73" s="16">
        <v>0</v>
      </c>
      <c r="J73" s="16">
        <v>0</v>
      </c>
      <c r="K73" s="16">
        <v>2</v>
      </c>
      <c r="L73" s="16">
        <v>0</v>
      </c>
      <c r="M73" s="16">
        <v>0</v>
      </c>
      <c r="N73" s="16">
        <v>0</v>
      </c>
      <c r="O73" s="16">
        <v>0</v>
      </c>
      <c r="P73" s="16">
        <v>1</v>
      </c>
      <c r="Q73" s="16">
        <v>0</v>
      </c>
      <c r="R73" s="16">
        <v>0</v>
      </c>
      <c r="S73" s="16">
        <v>1</v>
      </c>
      <c r="T73" s="16">
        <v>2</v>
      </c>
      <c r="U73" s="16">
        <v>1</v>
      </c>
      <c r="V73" s="16">
        <v>1</v>
      </c>
      <c r="W73" s="16">
        <v>0</v>
      </c>
      <c r="X73" s="16">
        <v>4</v>
      </c>
      <c r="Y73" s="16">
        <v>0</v>
      </c>
      <c r="Z73" s="16">
        <v>0</v>
      </c>
      <c r="AA73" s="16">
        <v>3</v>
      </c>
      <c r="AB73" s="16">
        <v>1</v>
      </c>
      <c r="AC73" s="16">
        <v>0</v>
      </c>
      <c r="AD73" s="13">
        <f t="shared" si="17"/>
        <v>18</v>
      </c>
    </row>
    <row r="74" spans="1:30" ht="12.75" customHeight="1" x14ac:dyDescent="0.4">
      <c r="A74" s="15"/>
      <c r="B74" s="28"/>
      <c r="C74" s="29" t="s">
        <v>58</v>
      </c>
      <c r="D74" s="30"/>
      <c r="E74" s="16">
        <v>3</v>
      </c>
      <c r="F74" s="16">
        <v>5</v>
      </c>
      <c r="G74" s="16">
        <v>1</v>
      </c>
      <c r="H74" s="16">
        <v>1</v>
      </c>
      <c r="I74" s="16">
        <v>3</v>
      </c>
      <c r="J74" s="16">
        <v>2</v>
      </c>
      <c r="K74" s="16">
        <v>4</v>
      </c>
      <c r="L74" s="16">
        <v>3</v>
      </c>
      <c r="M74" s="16">
        <v>59</v>
      </c>
      <c r="N74" s="16">
        <v>7</v>
      </c>
      <c r="O74" s="16">
        <v>0</v>
      </c>
      <c r="P74" s="16">
        <v>6</v>
      </c>
      <c r="Q74" s="16">
        <v>49</v>
      </c>
      <c r="R74" s="16">
        <v>13</v>
      </c>
      <c r="S74" s="16">
        <v>5</v>
      </c>
      <c r="T74" s="16">
        <v>24</v>
      </c>
      <c r="U74" s="16">
        <v>15</v>
      </c>
      <c r="V74" s="16">
        <v>0</v>
      </c>
      <c r="W74" s="16">
        <v>3</v>
      </c>
      <c r="X74" s="16">
        <v>0</v>
      </c>
      <c r="Y74" s="16">
        <v>0</v>
      </c>
      <c r="Z74" s="16">
        <v>3</v>
      </c>
      <c r="AA74" s="16">
        <v>12</v>
      </c>
      <c r="AB74" s="16">
        <v>10</v>
      </c>
      <c r="AC74" s="16">
        <v>5</v>
      </c>
      <c r="AD74" s="13">
        <f t="shared" si="17"/>
        <v>233</v>
      </c>
    </row>
    <row r="75" spans="1:30" ht="12.75" customHeight="1" x14ac:dyDescent="0.4">
      <c r="A75" s="15"/>
      <c r="B75" s="28"/>
      <c r="C75" s="29" t="s">
        <v>59</v>
      </c>
      <c r="D75" s="30"/>
      <c r="E75" s="16">
        <v>3</v>
      </c>
      <c r="F75" s="16">
        <v>1</v>
      </c>
      <c r="G75" s="16">
        <v>0</v>
      </c>
      <c r="H75" s="16">
        <v>1</v>
      </c>
      <c r="I75" s="16">
        <v>1</v>
      </c>
      <c r="J75" s="16">
        <v>0</v>
      </c>
      <c r="K75" s="16">
        <v>4</v>
      </c>
      <c r="L75" s="16">
        <v>1</v>
      </c>
      <c r="M75" s="16">
        <v>5</v>
      </c>
      <c r="N75" s="16">
        <v>0</v>
      </c>
      <c r="O75" s="16">
        <v>0</v>
      </c>
      <c r="P75" s="16">
        <v>0</v>
      </c>
      <c r="Q75" s="16">
        <v>1</v>
      </c>
      <c r="R75" s="16">
        <v>3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2</v>
      </c>
      <c r="AA75" s="16">
        <v>2</v>
      </c>
      <c r="AB75" s="16">
        <v>0</v>
      </c>
      <c r="AC75" s="16">
        <v>1</v>
      </c>
      <c r="AD75" s="13">
        <f t="shared" si="17"/>
        <v>25</v>
      </c>
    </row>
    <row r="76" spans="1:30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13">
        <f t="shared" si="17"/>
        <v>0</v>
      </c>
    </row>
    <row r="77" spans="1:30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13">
        <f t="shared" si="17"/>
        <v>0</v>
      </c>
    </row>
    <row r="78" spans="1:30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13">
        <f t="shared" si="17"/>
        <v>0</v>
      </c>
    </row>
    <row r="79" spans="1:30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AD79" si="18">SUM(E69:E78)</f>
        <v>46</v>
      </c>
      <c r="F79" s="13">
        <f t="shared" si="18"/>
        <v>65</v>
      </c>
      <c r="G79" s="13">
        <f t="shared" si="18"/>
        <v>60</v>
      </c>
      <c r="H79" s="13">
        <f t="shared" si="18"/>
        <v>81</v>
      </c>
      <c r="I79" s="13">
        <f t="shared" si="18"/>
        <v>170</v>
      </c>
      <c r="J79" s="13">
        <f t="shared" si="18"/>
        <v>129</v>
      </c>
      <c r="K79" s="13">
        <f t="shared" si="18"/>
        <v>30</v>
      </c>
      <c r="L79" s="13">
        <f t="shared" si="18"/>
        <v>22</v>
      </c>
      <c r="M79" s="13">
        <f t="shared" si="18"/>
        <v>89</v>
      </c>
      <c r="N79" s="13">
        <f t="shared" si="18"/>
        <v>15</v>
      </c>
      <c r="O79" s="13">
        <f t="shared" si="18"/>
        <v>22</v>
      </c>
      <c r="P79" s="13">
        <f t="shared" si="18"/>
        <v>60</v>
      </c>
      <c r="Q79" s="13">
        <f t="shared" si="18"/>
        <v>68</v>
      </c>
      <c r="R79" s="13">
        <f t="shared" si="18"/>
        <v>26</v>
      </c>
      <c r="S79" s="13">
        <f t="shared" si="18"/>
        <v>32</v>
      </c>
      <c r="T79" s="13">
        <f t="shared" si="18"/>
        <v>50</v>
      </c>
      <c r="U79" s="13">
        <f t="shared" si="18"/>
        <v>24</v>
      </c>
      <c r="V79" s="13">
        <f t="shared" si="18"/>
        <v>10</v>
      </c>
      <c r="W79" s="13">
        <f t="shared" si="18"/>
        <v>63</v>
      </c>
      <c r="X79" s="13">
        <f t="shared" si="18"/>
        <v>44</v>
      </c>
      <c r="Y79" s="13">
        <f t="shared" si="18"/>
        <v>33</v>
      </c>
      <c r="Z79" s="13">
        <f t="shared" si="18"/>
        <v>17</v>
      </c>
      <c r="AA79" s="13">
        <f t="shared" si="18"/>
        <v>36</v>
      </c>
      <c r="AB79" s="13">
        <f t="shared" si="18"/>
        <v>30</v>
      </c>
      <c r="AC79" s="13">
        <f t="shared" si="18"/>
        <v>32</v>
      </c>
      <c r="AD79" s="13">
        <f t="shared" si="18"/>
        <v>1254</v>
      </c>
    </row>
    <row r="80" spans="1:30" ht="12.75" customHeight="1" x14ac:dyDescent="0.4">
      <c r="A80" s="86"/>
      <c r="B80" s="68"/>
      <c r="C80" s="68"/>
      <c r="D80" s="68"/>
      <c r="E80" s="68"/>
    </row>
    <row r="81" spans="1:30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1</v>
      </c>
      <c r="F81" s="16">
        <v>0</v>
      </c>
      <c r="G81" s="16">
        <v>3</v>
      </c>
      <c r="H81" s="16">
        <v>1</v>
      </c>
      <c r="I81" s="16">
        <v>0</v>
      </c>
      <c r="J81" s="16">
        <v>3</v>
      </c>
      <c r="K81" s="16">
        <v>1</v>
      </c>
      <c r="L81" s="16">
        <v>1</v>
      </c>
      <c r="M81" s="16">
        <v>0</v>
      </c>
      <c r="N81" s="16">
        <v>2</v>
      </c>
      <c r="O81" s="16">
        <v>2</v>
      </c>
      <c r="P81" s="16">
        <v>2</v>
      </c>
      <c r="Q81" s="16">
        <v>1</v>
      </c>
      <c r="R81" s="16">
        <v>0</v>
      </c>
      <c r="S81" s="16">
        <v>2</v>
      </c>
      <c r="T81" s="16">
        <v>2</v>
      </c>
      <c r="U81" s="16">
        <v>1</v>
      </c>
      <c r="V81" s="16">
        <v>2</v>
      </c>
      <c r="W81" s="16">
        <v>1</v>
      </c>
      <c r="X81" s="16">
        <v>2</v>
      </c>
      <c r="Y81" s="16">
        <v>1</v>
      </c>
      <c r="Z81" s="16">
        <v>8</v>
      </c>
      <c r="AA81" s="16">
        <v>3</v>
      </c>
      <c r="AB81" s="16">
        <v>0</v>
      </c>
      <c r="AC81" s="16">
        <v>0</v>
      </c>
      <c r="AD81" s="13">
        <f t="shared" ref="AD81:AD90" si="19">SUM(E81:AC81)</f>
        <v>39</v>
      </c>
    </row>
    <row r="82" spans="1:30" ht="12.75" customHeight="1" x14ac:dyDescent="0.4">
      <c r="A82" s="20" t="s">
        <v>38</v>
      </c>
      <c r="B82" s="28"/>
      <c r="C82" s="29" t="s">
        <v>61</v>
      </c>
      <c r="D82" s="30"/>
      <c r="E82" s="16">
        <v>21</v>
      </c>
      <c r="F82" s="16">
        <v>8</v>
      </c>
      <c r="G82" s="16">
        <v>10</v>
      </c>
      <c r="H82" s="16">
        <v>0</v>
      </c>
      <c r="I82" s="16">
        <v>1</v>
      </c>
      <c r="J82" s="16">
        <v>4</v>
      </c>
      <c r="K82" s="16">
        <v>1</v>
      </c>
      <c r="L82" s="16">
        <v>4</v>
      </c>
      <c r="M82" s="16">
        <v>0</v>
      </c>
      <c r="N82" s="16">
        <v>1</v>
      </c>
      <c r="O82" s="16">
        <v>0</v>
      </c>
      <c r="P82" s="16">
        <v>1</v>
      </c>
      <c r="Q82" s="16">
        <v>2</v>
      </c>
      <c r="R82" s="16">
        <v>2</v>
      </c>
      <c r="S82" s="16">
        <v>5</v>
      </c>
      <c r="T82" s="16">
        <v>0</v>
      </c>
      <c r="U82" s="16">
        <v>0</v>
      </c>
      <c r="V82" s="16">
        <v>1</v>
      </c>
      <c r="W82" s="16">
        <v>1</v>
      </c>
      <c r="X82" s="16">
        <v>0</v>
      </c>
      <c r="Y82" s="16">
        <v>2</v>
      </c>
      <c r="Z82" s="16">
        <v>5</v>
      </c>
      <c r="AA82" s="16">
        <v>9</v>
      </c>
      <c r="AB82" s="16">
        <v>1</v>
      </c>
      <c r="AC82" s="16">
        <v>3</v>
      </c>
      <c r="AD82" s="13">
        <f t="shared" si="19"/>
        <v>82</v>
      </c>
    </row>
    <row r="83" spans="1:30" ht="12.75" customHeight="1" x14ac:dyDescent="0.4">
      <c r="A83" s="15"/>
      <c r="B83" s="28"/>
      <c r="C83" s="29" t="s">
        <v>62</v>
      </c>
      <c r="D83" s="30"/>
      <c r="E83" s="16">
        <v>0</v>
      </c>
      <c r="F83" s="16">
        <v>1</v>
      </c>
      <c r="G83" s="16">
        <v>1</v>
      </c>
      <c r="H83" s="16">
        <v>0</v>
      </c>
      <c r="I83" s="16">
        <v>0</v>
      </c>
      <c r="J83" s="16">
        <v>0</v>
      </c>
      <c r="K83" s="16">
        <v>1</v>
      </c>
      <c r="L83" s="16">
        <v>1</v>
      </c>
      <c r="M83" s="16">
        <v>1</v>
      </c>
      <c r="N83" s="16">
        <v>0</v>
      </c>
      <c r="O83" s="16">
        <v>1</v>
      </c>
      <c r="P83" s="16">
        <v>1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1</v>
      </c>
      <c r="W83" s="16">
        <v>0</v>
      </c>
      <c r="X83" s="16">
        <v>2</v>
      </c>
      <c r="Y83" s="16">
        <v>0</v>
      </c>
      <c r="Z83" s="16">
        <v>0</v>
      </c>
      <c r="AA83" s="16">
        <v>0</v>
      </c>
      <c r="AB83" s="16">
        <v>0</v>
      </c>
      <c r="AC83" s="16">
        <v>3</v>
      </c>
      <c r="AD83" s="13">
        <f t="shared" si="19"/>
        <v>13</v>
      </c>
    </row>
    <row r="84" spans="1:30" ht="12.75" customHeight="1" x14ac:dyDescent="0.4">
      <c r="A84" s="15"/>
      <c r="B84" s="28"/>
      <c r="C84" s="29" t="s">
        <v>63</v>
      </c>
      <c r="D84" s="30"/>
      <c r="E84" s="16">
        <v>0</v>
      </c>
      <c r="F84" s="16">
        <v>1</v>
      </c>
      <c r="G84" s="16">
        <v>1</v>
      </c>
      <c r="H84" s="16">
        <v>2</v>
      </c>
      <c r="I84" s="16">
        <v>0</v>
      </c>
      <c r="J84" s="16">
        <v>0</v>
      </c>
      <c r="K84" s="16">
        <v>0</v>
      </c>
      <c r="L84" s="16">
        <v>0</v>
      </c>
      <c r="M84" s="16">
        <v>2</v>
      </c>
      <c r="N84" s="16">
        <v>0</v>
      </c>
      <c r="O84" s="16">
        <v>0</v>
      </c>
      <c r="P84" s="16">
        <v>1</v>
      </c>
      <c r="Q84" s="16">
        <v>1</v>
      </c>
      <c r="R84" s="16">
        <v>1</v>
      </c>
      <c r="S84" s="16">
        <v>2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1</v>
      </c>
      <c r="AA84" s="16">
        <v>1</v>
      </c>
      <c r="AB84" s="16">
        <v>0</v>
      </c>
      <c r="AC84" s="16">
        <v>0</v>
      </c>
      <c r="AD84" s="13">
        <f t="shared" si="19"/>
        <v>13</v>
      </c>
    </row>
    <row r="85" spans="1:30" ht="12.75" customHeight="1" x14ac:dyDescent="0.4">
      <c r="A85" s="15"/>
      <c r="B85" s="28"/>
      <c r="C85" s="29" t="s">
        <v>64</v>
      </c>
      <c r="D85" s="30"/>
      <c r="E85" s="16">
        <v>1</v>
      </c>
      <c r="F85" s="16">
        <v>6</v>
      </c>
      <c r="G85" s="16">
        <v>8</v>
      </c>
      <c r="H85" s="16">
        <v>7</v>
      </c>
      <c r="I85" s="16">
        <v>11</v>
      </c>
      <c r="J85" s="16">
        <v>25</v>
      </c>
      <c r="K85" s="16">
        <v>1</v>
      </c>
      <c r="L85" s="16">
        <v>3</v>
      </c>
      <c r="M85" s="16">
        <v>0</v>
      </c>
      <c r="N85" s="16">
        <v>9</v>
      </c>
      <c r="O85" s="16">
        <v>0</v>
      </c>
      <c r="P85" s="16">
        <v>1</v>
      </c>
      <c r="Q85" s="16">
        <v>1</v>
      </c>
      <c r="R85" s="16">
        <v>0</v>
      </c>
      <c r="S85" s="16">
        <v>0</v>
      </c>
      <c r="T85" s="16">
        <v>0</v>
      </c>
      <c r="U85" s="16">
        <v>4</v>
      </c>
      <c r="V85" s="16">
        <v>22</v>
      </c>
      <c r="W85" s="16">
        <v>4</v>
      </c>
      <c r="X85" s="16">
        <v>6</v>
      </c>
      <c r="Y85" s="16">
        <v>3</v>
      </c>
      <c r="Z85" s="16">
        <v>26</v>
      </c>
      <c r="AA85" s="16">
        <v>1</v>
      </c>
      <c r="AB85" s="16">
        <v>2</v>
      </c>
      <c r="AC85" s="16">
        <v>1</v>
      </c>
      <c r="AD85" s="13">
        <f t="shared" si="19"/>
        <v>142</v>
      </c>
    </row>
    <row r="86" spans="1:30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1</v>
      </c>
      <c r="H86" s="16">
        <v>0</v>
      </c>
      <c r="I86" s="16">
        <v>0</v>
      </c>
      <c r="J86" s="16">
        <v>0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1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1</v>
      </c>
      <c r="AA86" s="16">
        <v>1</v>
      </c>
      <c r="AB86" s="16">
        <v>0</v>
      </c>
      <c r="AC86" s="16">
        <v>0</v>
      </c>
      <c r="AD86" s="13">
        <f t="shared" si="19"/>
        <v>4</v>
      </c>
    </row>
    <row r="87" spans="1:30" ht="12.75" customHeight="1" x14ac:dyDescent="0.4">
      <c r="A87" s="15"/>
      <c r="B87" s="28"/>
      <c r="C87" s="29" t="s">
        <v>66</v>
      </c>
      <c r="D87" s="30"/>
      <c r="E87" s="16">
        <v>0</v>
      </c>
      <c r="F87" s="16">
        <v>1</v>
      </c>
      <c r="G87" s="16">
        <v>1</v>
      </c>
      <c r="H87" s="16">
        <v>0</v>
      </c>
      <c r="I87" s="16">
        <v>0</v>
      </c>
      <c r="J87" s="16">
        <v>0</v>
      </c>
      <c r="K87" s="16">
        <v>0</v>
      </c>
      <c r="L87" s="16">
        <v>1</v>
      </c>
      <c r="M87" s="16">
        <v>1</v>
      </c>
      <c r="N87" s="16">
        <v>0</v>
      </c>
      <c r="O87" s="16">
        <v>0</v>
      </c>
      <c r="P87" s="16">
        <v>1</v>
      </c>
      <c r="Q87" s="16">
        <v>0</v>
      </c>
      <c r="R87" s="16">
        <v>0</v>
      </c>
      <c r="S87" s="16">
        <v>1</v>
      </c>
      <c r="T87" s="16">
        <v>0</v>
      </c>
      <c r="U87" s="16">
        <v>0</v>
      </c>
      <c r="V87" s="16">
        <v>2</v>
      </c>
      <c r="W87" s="16">
        <v>1</v>
      </c>
      <c r="X87" s="16">
        <v>0</v>
      </c>
      <c r="Y87" s="16">
        <v>0</v>
      </c>
      <c r="Z87" s="16">
        <v>1</v>
      </c>
      <c r="AA87" s="16">
        <v>1</v>
      </c>
      <c r="AB87" s="16">
        <v>0</v>
      </c>
      <c r="AC87" s="16">
        <v>0</v>
      </c>
      <c r="AD87" s="13">
        <f t="shared" si="19"/>
        <v>11</v>
      </c>
    </row>
    <row r="88" spans="1:30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13">
        <f t="shared" si="19"/>
        <v>0</v>
      </c>
    </row>
    <row r="89" spans="1:30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13">
        <f t="shared" si="19"/>
        <v>0</v>
      </c>
    </row>
    <row r="90" spans="1:30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13">
        <f t="shared" si="19"/>
        <v>0</v>
      </c>
    </row>
    <row r="91" spans="1:30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AD91" si="20">SUM(E81:E90)</f>
        <v>23</v>
      </c>
      <c r="F91" s="13">
        <f t="shared" si="20"/>
        <v>17</v>
      </c>
      <c r="G91" s="13">
        <f t="shared" si="20"/>
        <v>25</v>
      </c>
      <c r="H91" s="13">
        <f t="shared" si="20"/>
        <v>10</v>
      </c>
      <c r="I91" s="13">
        <f t="shared" si="20"/>
        <v>12</v>
      </c>
      <c r="J91" s="13">
        <f t="shared" si="20"/>
        <v>32</v>
      </c>
      <c r="K91" s="13">
        <f t="shared" si="20"/>
        <v>4</v>
      </c>
      <c r="L91" s="13">
        <f t="shared" si="20"/>
        <v>10</v>
      </c>
      <c r="M91" s="13">
        <f t="shared" si="20"/>
        <v>4</v>
      </c>
      <c r="N91" s="13">
        <f t="shared" si="20"/>
        <v>12</v>
      </c>
      <c r="O91" s="13">
        <f t="shared" si="20"/>
        <v>3</v>
      </c>
      <c r="P91" s="13">
        <f t="shared" si="20"/>
        <v>7</v>
      </c>
      <c r="Q91" s="13">
        <f t="shared" si="20"/>
        <v>5</v>
      </c>
      <c r="R91" s="13">
        <f t="shared" si="20"/>
        <v>4</v>
      </c>
      <c r="S91" s="13">
        <f t="shared" si="20"/>
        <v>10</v>
      </c>
      <c r="T91" s="13">
        <f t="shared" si="20"/>
        <v>2</v>
      </c>
      <c r="U91" s="13">
        <f t="shared" si="20"/>
        <v>5</v>
      </c>
      <c r="V91" s="13">
        <f t="shared" si="20"/>
        <v>28</v>
      </c>
      <c r="W91" s="13">
        <f t="shared" si="20"/>
        <v>7</v>
      </c>
      <c r="X91" s="13">
        <f t="shared" si="20"/>
        <v>10</v>
      </c>
      <c r="Y91" s="13">
        <f t="shared" si="20"/>
        <v>6</v>
      </c>
      <c r="Z91" s="13">
        <f t="shared" si="20"/>
        <v>42</v>
      </c>
      <c r="AA91" s="13">
        <f t="shared" si="20"/>
        <v>16</v>
      </c>
      <c r="AB91" s="13">
        <f t="shared" si="20"/>
        <v>3</v>
      </c>
      <c r="AC91" s="13">
        <f t="shared" si="20"/>
        <v>7</v>
      </c>
      <c r="AD91" s="13">
        <f t="shared" si="20"/>
        <v>304</v>
      </c>
    </row>
    <row r="92" spans="1:30" ht="12.75" customHeight="1" x14ac:dyDescent="0.4">
      <c r="A92" s="86"/>
      <c r="B92" s="68"/>
      <c r="C92" s="68"/>
      <c r="D92" s="68"/>
      <c r="E92" s="68"/>
    </row>
    <row r="93" spans="1:30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1</v>
      </c>
      <c r="F93" s="16">
        <v>0</v>
      </c>
      <c r="G93" s="16">
        <v>0</v>
      </c>
      <c r="H93" s="16">
        <v>1</v>
      </c>
      <c r="I93" s="16">
        <v>0</v>
      </c>
      <c r="J93" s="16">
        <v>1</v>
      </c>
      <c r="K93" s="16">
        <v>2</v>
      </c>
      <c r="L93" s="16">
        <v>0</v>
      </c>
      <c r="M93" s="16">
        <v>0</v>
      </c>
      <c r="N93" s="16">
        <v>1</v>
      </c>
      <c r="O93" s="16">
        <v>4</v>
      </c>
      <c r="P93" s="16">
        <v>3</v>
      </c>
      <c r="Q93" s="16">
        <v>6</v>
      </c>
      <c r="R93" s="16">
        <v>1</v>
      </c>
      <c r="S93" s="16">
        <v>1</v>
      </c>
      <c r="T93" s="16">
        <v>1</v>
      </c>
      <c r="U93" s="16">
        <v>1</v>
      </c>
      <c r="V93" s="16">
        <v>2</v>
      </c>
      <c r="W93" s="16">
        <v>2</v>
      </c>
      <c r="X93" s="16">
        <v>0</v>
      </c>
      <c r="Y93" s="16">
        <v>0</v>
      </c>
      <c r="Z93" s="16">
        <v>0</v>
      </c>
      <c r="AA93" s="16">
        <v>2</v>
      </c>
      <c r="AB93" s="16">
        <v>0</v>
      </c>
      <c r="AC93" s="16">
        <v>2</v>
      </c>
      <c r="AD93" s="13">
        <f t="shared" ref="AD93:AD102" si="21">SUM(E93:AC93)</f>
        <v>31</v>
      </c>
    </row>
    <row r="94" spans="1:30" ht="12.75" customHeight="1" x14ac:dyDescent="0.4">
      <c r="A94" s="20" t="s">
        <v>38</v>
      </c>
      <c r="B94" s="28"/>
      <c r="C94" s="29" t="s">
        <v>69</v>
      </c>
      <c r="D94" s="30"/>
      <c r="E94" s="16">
        <v>0</v>
      </c>
      <c r="F94" s="16">
        <v>1</v>
      </c>
      <c r="G94" s="16">
        <v>0</v>
      </c>
      <c r="H94" s="16">
        <v>0</v>
      </c>
      <c r="I94" s="16">
        <v>0</v>
      </c>
      <c r="J94" s="16">
        <v>2</v>
      </c>
      <c r="K94" s="16">
        <v>0</v>
      </c>
      <c r="L94" s="16">
        <v>0</v>
      </c>
      <c r="M94" s="16">
        <v>1</v>
      </c>
      <c r="N94" s="16">
        <v>0</v>
      </c>
      <c r="O94" s="16">
        <v>0</v>
      </c>
      <c r="P94" s="16">
        <v>1</v>
      </c>
      <c r="Q94" s="16">
        <v>1</v>
      </c>
      <c r="R94" s="16">
        <v>2</v>
      </c>
      <c r="S94" s="16">
        <v>0</v>
      </c>
      <c r="T94" s="16">
        <v>1</v>
      </c>
      <c r="U94" s="16">
        <v>1</v>
      </c>
      <c r="V94" s="16">
        <v>1</v>
      </c>
      <c r="W94" s="16">
        <v>0</v>
      </c>
      <c r="X94" s="16">
        <v>2</v>
      </c>
      <c r="Y94" s="16">
        <v>0</v>
      </c>
      <c r="Z94" s="16">
        <v>1</v>
      </c>
      <c r="AA94" s="16">
        <v>1</v>
      </c>
      <c r="AB94" s="16">
        <v>0</v>
      </c>
      <c r="AC94" s="16">
        <v>0</v>
      </c>
      <c r="AD94" s="13">
        <f t="shared" si="21"/>
        <v>15</v>
      </c>
    </row>
    <row r="95" spans="1:30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2</v>
      </c>
      <c r="L95" s="16">
        <v>1</v>
      </c>
      <c r="M95" s="16">
        <v>0</v>
      </c>
      <c r="N95" s="16">
        <v>2</v>
      </c>
      <c r="O95" s="16">
        <v>1</v>
      </c>
      <c r="P95" s="16">
        <v>4</v>
      </c>
      <c r="Q95" s="16">
        <v>0</v>
      </c>
      <c r="R95" s="16">
        <v>4</v>
      </c>
      <c r="S95" s="16">
        <v>0</v>
      </c>
      <c r="T95" s="16">
        <v>2</v>
      </c>
      <c r="U95" s="16">
        <v>4</v>
      </c>
      <c r="V95" s="16">
        <v>5</v>
      </c>
      <c r="W95" s="16">
        <v>0</v>
      </c>
      <c r="X95" s="16">
        <v>0</v>
      </c>
      <c r="Y95" s="16">
        <v>0</v>
      </c>
      <c r="Z95" s="16">
        <v>1</v>
      </c>
      <c r="AA95" s="16">
        <v>0</v>
      </c>
      <c r="AB95" s="16">
        <v>0</v>
      </c>
      <c r="AC95" s="16">
        <v>0</v>
      </c>
      <c r="AD95" s="13">
        <f t="shared" si="21"/>
        <v>26</v>
      </c>
    </row>
    <row r="96" spans="1:30" ht="12.75" customHeight="1" x14ac:dyDescent="0.4">
      <c r="A96" s="15"/>
      <c r="B96" s="28"/>
      <c r="C96" s="29" t="s">
        <v>71</v>
      </c>
      <c r="D96" s="30"/>
      <c r="E96" s="16">
        <v>1</v>
      </c>
      <c r="F96" s="16">
        <v>0</v>
      </c>
      <c r="G96" s="16">
        <v>0</v>
      </c>
      <c r="H96" s="16">
        <v>0</v>
      </c>
      <c r="I96" s="16">
        <v>1</v>
      </c>
      <c r="J96" s="16">
        <v>1</v>
      </c>
      <c r="K96" s="16">
        <v>1</v>
      </c>
      <c r="L96" s="16">
        <v>1</v>
      </c>
      <c r="M96" s="16">
        <v>2</v>
      </c>
      <c r="N96" s="16">
        <v>3</v>
      </c>
      <c r="O96" s="16">
        <v>0</v>
      </c>
      <c r="P96" s="16">
        <v>0</v>
      </c>
      <c r="Q96" s="16">
        <v>0</v>
      </c>
      <c r="R96" s="16">
        <v>2</v>
      </c>
      <c r="S96" s="16">
        <v>2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0</v>
      </c>
      <c r="AA96" s="16">
        <v>1</v>
      </c>
      <c r="AB96" s="16">
        <v>1</v>
      </c>
      <c r="AC96" s="16">
        <v>0</v>
      </c>
      <c r="AD96" s="13">
        <f t="shared" si="21"/>
        <v>16</v>
      </c>
    </row>
    <row r="97" spans="1:30" ht="12.75" customHeight="1" x14ac:dyDescent="0.4">
      <c r="A97" s="15"/>
      <c r="B97" s="28"/>
      <c r="C97" s="29" t="s">
        <v>72</v>
      </c>
      <c r="D97" s="30"/>
      <c r="E97" s="16">
        <v>0</v>
      </c>
      <c r="F97" s="16">
        <v>1</v>
      </c>
      <c r="G97" s="16">
        <v>1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0</v>
      </c>
      <c r="O97" s="16">
        <v>0</v>
      </c>
      <c r="P97" s="16">
        <v>0</v>
      </c>
      <c r="Q97" s="16">
        <v>1</v>
      </c>
      <c r="R97" s="16">
        <v>0</v>
      </c>
      <c r="S97" s="16">
        <v>0</v>
      </c>
      <c r="T97" s="16">
        <v>2</v>
      </c>
      <c r="U97" s="16">
        <v>0</v>
      </c>
      <c r="V97" s="16">
        <v>0</v>
      </c>
      <c r="W97" s="16">
        <v>0</v>
      </c>
      <c r="X97" s="16">
        <v>0</v>
      </c>
      <c r="Y97" s="16">
        <v>1</v>
      </c>
      <c r="Z97" s="16">
        <v>3</v>
      </c>
      <c r="AA97" s="16">
        <v>0</v>
      </c>
      <c r="AB97" s="16">
        <v>0</v>
      </c>
      <c r="AC97" s="16">
        <v>0</v>
      </c>
      <c r="AD97" s="13">
        <f t="shared" si="21"/>
        <v>9</v>
      </c>
    </row>
    <row r="98" spans="1:30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0</v>
      </c>
      <c r="G98" s="16">
        <v>0</v>
      </c>
      <c r="H98" s="16">
        <v>3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3</v>
      </c>
      <c r="P98" s="16">
        <v>3</v>
      </c>
      <c r="Q98" s="16">
        <v>0</v>
      </c>
      <c r="R98" s="16">
        <v>1</v>
      </c>
      <c r="S98" s="16">
        <v>0</v>
      </c>
      <c r="T98" s="16">
        <v>0</v>
      </c>
      <c r="U98" s="16">
        <v>2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3</v>
      </c>
      <c r="AB98" s="16">
        <v>0</v>
      </c>
      <c r="AC98" s="16">
        <v>0</v>
      </c>
      <c r="AD98" s="13">
        <f t="shared" si="21"/>
        <v>15</v>
      </c>
    </row>
    <row r="99" spans="1:30" ht="12.75" customHeight="1" x14ac:dyDescent="0.4">
      <c r="A99" s="15"/>
      <c r="B99" s="28"/>
      <c r="C99" s="29" t="s">
        <v>74</v>
      </c>
      <c r="D99" s="30"/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4</v>
      </c>
      <c r="L99" s="16">
        <v>0</v>
      </c>
      <c r="M99" s="16">
        <v>0</v>
      </c>
      <c r="N99" s="16">
        <v>0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0</v>
      </c>
      <c r="AA99" s="16">
        <v>1</v>
      </c>
      <c r="AB99" s="16">
        <v>0</v>
      </c>
      <c r="AC99" s="16">
        <v>0</v>
      </c>
      <c r="AD99" s="13">
        <f t="shared" si="21"/>
        <v>6</v>
      </c>
    </row>
    <row r="100" spans="1:30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13">
        <f t="shared" si="21"/>
        <v>0</v>
      </c>
    </row>
    <row r="101" spans="1:30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13">
        <f t="shared" si="21"/>
        <v>0</v>
      </c>
    </row>
    <row r="102" spans="1:30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13">
        <f t="shared" si="21"/>
        <v>0</v>
      </c>
    </row>
    <row r="103" spans="1:30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AD103" si="22">SUM(E93:E102)</f>
        <v>2</v>
      </c>
      <c r="F103" s="13">
        <f t="shared" si="22"/>
        <v>2</v>
      </c>
      <c r="G103" s="13">
        <f t="shared" si="22"/>
        <v>1</v>
      </c>
      <c r="H103" s="13">
        <f t="shared" si="22"/>
        <v>4</v>
      </c>
      <c r="I103" s="13">
        <f t="shared" si="22"/>
        <v>1</v>
      </c>
      <c r="J103" s="13">
        <f t="shared" si="22"/>
        <v>4</v>
      </c>
      <c r="K103" s="13">
        <f t="shared" si="22"/>
        <v>9</v>
      </c>
      <c r="L103" s="13">
        <f t="shared" si="22"/>
        <v>2</v>
      </c>
      <c r="M103" s="13">
        <f t="shared" si="22"/>
        <v>3</v>
      </c>
      <c r="N103" s="13">
        <f t="shared" si="22"/>
        <v>6</v>
      </c>
      <c r="O103" s="13">
        <f t="shared" si="22"/>
        <v>9</v>
      </c>
      <c r="P103" s="13">
        <f t="shared" si="22"/>
        <v>11</v>
      </c>
      <c r="Q103" s="13">
        <f t="shared" si="22"/>
        <v>8</v>
      </c>
      <c r="R103" s="13">
        <f t="shared" si="22"/>
        <v>10</v>
      </c>
      <c r="S103" s="13">
        <f t="shared" si="22"/>
        <v>3</v>
      </c>
      <c r="T103" s="13">
        <f t="shared" si="22"/>
        <v>6</v>
      </c>
      <c r="U103" s="13">
        <f t="shared" si="22"/>
        <v>8</v>
      </c>
      <c r="V103" s="13">
        <f t="shared" si="22"/>
        <v>8</v>
      </c>
      <c r="W103" s="13">
        <f t="shared" si="22"/>
        <v>2</v>
      </c>
      <c r="X103" s="13">
        <f t="shared" si="22"/>
        <v>2</v>
      </c>
      <c r="Y103" s="13">
        <f t="shared" si="22"/>
        <v>1</v>
      </c>
      <c r="Z103" s="13">
        <f t="shared" si="22"/>
        <v>5</v>
      </c>
      <c r="AA103" s="13">
        <f t="shared" si="22"/>
        <v>8</v>
      </c>
      <c r="AB103" s="13">
        <f t="shared" si="22"/>
        <v>1</v>
      </c>
      <c r="AC103" s="13">
        <f t="shared" si="22"/>
        <v>2</v>
      </c>
      <c r="AD103" s="13">
        <f t="shared" si="22"/>
        <v>118</v>
      </c>
    </row>
    <row r="104" spans="1:30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</row>
    <row r="105" spans="1:30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1</v>
      </c>
      <c r="H105" s="16">
        <v>1</v>
      </c>
      <c r="I105" s="16">
        <v>0</v>
      </c>
      <c r="J105" s="16">
        <v>0</v>
      </c>
      <c r="K105" s="16">
        <v>0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2</v>
      </c>
      <c r="T105" s="16">
        <v>0</v>
      </c>
      <c r="U105" s="16">
        <v>0</v>
      </c>
      <c r="V105" s="16">
        <v>1</v>
      </c>
      <c r="W105" s="16">
        <v>0</v>
      </c>
      <c r="X105" s="16">
        <v>0</v>
      </c>
      <c r="Y105" s="16">
        <v>0</v>
      </c>
      <c r="Z105" s="16">
        <v>0</v>
      </c>
      <c r="AA105" s="16">
        <v>1</v>
      </c>
      <c r="AB105" s="16">
        <v>0</v>
      </c>
      <c r="AC105" s="16">
        <v>0</v>
      </c>
      <c r="AD105" s="13">
        <f t="shared" ref="AD105:AD114" si="23">SUM(E105:AC105)</f>
        <v>6</v>
      </c>
    </row>
    <row r="106" spans="1:30" ht="12.75" customHeight="1" x14ac:dyDescent="0.4">
      <c r="A106" s="20" t="s">
        <v>38</v>
      </c>
      <c r="B106" s="28"/>
      <c r="C106" s="29" t="s">
        <v>77</v>
      </c>
      <c r="D106" s="40"/>
      <c r="E106" s="16">
        <v>1</v>
      </c>
      <c r="F106" s="16">
        <v>0</v>
      </c>
      <c r="G106" s="16">
        <v>1</v>
      </c>
      <c r="H106" s="16">
        <v>0</v>
      </c>
      <c r="I106" s="16">
        <v>0</v>
      </c>
      <c r="J106" s="16">
        <v>0</v>
      </c>
      <c r="K106" s="16">
        <v>0</v>
      </c>
      <c r="L106" s="16">
        <v>1</v>
      </c>
      <c r="M106" s="16">
        <v>1</v>
      </c>
      <c r="N106" s="16">
        <v>0</v>
      </c>
      <c r="O106" s="16">
        <v>0</v>
      </c>
      <c r="P106" s="16">
        <v>0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1</v>
      </c>
      <c r="W106" s="16">
        <v>0</v>
      </c>
      <c r="X106" s="16">
        <v>0</v>
      </c>
      <c r="Y106" s="16">
        <v>1</v>
      </c>
      <c r="Z106" s="16">
        <v>0</v>
      </c>
      <c r="AA106" s="16">
        <v>2</v>
      </c>
      <c r="AB106" s="16">
        <v>1</v>
      </c>
      <c r="AC106" s="16">
        <v>0</v>
      </c>
      <c r="AD106" s="13">
        <f t="shared" si="23"/>
        <v>9</v>
      </c>
    </row>
    <row r="107" spans="1:30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13">
        <f t="shared" si="23"/>
        <v>0</v>
      </c>
    </row>
    <row r="108" spans="1:30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13">
        <f t="shared" si="23"/>
        <v>0</v>
      </c>
    </row>
    <row r="109" spans="1:30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13">
        <f t="shared" si="23"/>
        <v>0</v>
      </c>
    </row>
    <row r="110" spans="1:30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13">
        <f t="shared" si="23"/>
        <v>0</v>
      </c>
    </row>
    <row r="111" spans="1:30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13">
        <f t="shared" si="23"/>
        <v>0</v>
      </c>
    </row>
    <row r="112" spans="1:30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13">
        <f t="shared" si="23"/>
        <v>0</v>
      </c>
    </row>
    <row r="113" spans="1:30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13">
        <f t="shared" si="23"/>
        <v>0</v>
      </c>
    </row>
    <row r="114" spans="1:30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13">
        <f t="shared" si="23"/>
        <v>0</v>
      </c>
    </row>
    <row r="115" spans="1:30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AD115" si="24">SUM(E105:E114)</f>
        <v>1</v>
      </c>
      <c r="F115" s="13">
        <f t="shared" si="24"/>
        <v>0</v>
      </c>
      <c r="G115" s="13">
        <f t="shared" si="24"/>
        <v>2</v>
      </c>
      <c r="H115" s="13">
        <f t="shared" si="24"/>
        <v>1</v>
      </c>
      <c r="I115" s="13">
        <f t="shared" si="24"/>
        <v>0</v>
      </c>
      <c r="J115" s="13">
        <f t="shared" si="24"/>
        <v>0</v>
      </c>
      <c r="K115" s="13">
        <f t="shared" si="24"/>
        <v>0</v>
      </c>
      <c r="L115" s="13">
        <f t="shared" si="24"/>
        <v>1</v>
      </c>
      <c r="M115" s="13">
        <f t="shared" si="24"/>
        <v>1</v>
      </c>
      <c r="N115" s="13">
        <f t="shared" si="24"/>
        <v>0</v>
      </c>
      <c r="O115" s="13">
        <f t="shared" si="24"/>
        <v>0</v>
      </c>
      <c r="P115" s="13">
        <f t="shared" si="24"/>
        <v>0</v>
      </c>
      <c r="Q115" s="13">
        <f t="shared" si="24"/>
        <v>0</v>
      </c>
      <c r="R115" s="13">
        <f t="shared" si="24"/>
        <v>0</v>
      </c>
      <c r="S115" s="13">
        <f t="shared" si="24"/>
        <v>2</v>
      </c>
      <c r="T115" s="13">
        <f t="shared" si="24"/>
        <v>0</v>
      </c>
      <c r="U115" s="13">
        <f t="shared" si="24"/>
        <v>0</v>
      </c>
      <c r="V115" s="13">
        <f t="shared" si="24"/>
        <v>2</v>
      </c>
      <c r="W115" s="13">
        <f t="shared" si="24"/>
        <v>0</v>
      </c>
      <c r="X115" s="13">
        <f t="shared" si="24"/>
        <v>0</v>
      </c>
      <c r="Y115" s="13">
        <f t="shared" si="24"/>
        <v>1</v>
      </c>
      <c r="Z115" s="13">
        <f t="shared" si="24"/>
        <v>0</v>
      </c>
      <c r="AA115" s="13">
        <f t="shared" si="24"/>
        <v>3</v>
      </c>
      <c r="AB115" s="13">
        <f t="shared" si="24"/>
        <v>1</v>
      </c>
      <c r="AC115" s="13">
        <f t="shared" si="24"/>
        <v>0</v>
      </c>
      <c r="AD115" s="13">
        <f t="shared" si="24"/>
        <v>15</v>
      </c>
    </row>
    <row r="116" spans="1:30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AD116" s="13"/>
    </row>
    <row r="117" spans="1:30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1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0</v>
      </c>
      <c r="O117" s="16">
        <v>0</v>
      </c>
      <c r="P117" s="16">
        <v>1</v>
      </c>
      <c r="Q117" s="16">
        <v>3</v>
      </c>
      <c r="R117" s="16">
        <v>1</v>
      </c>
      <c r="S117" s="16">
        <v>0</v>
      </c>
      <c r="T117" s="16">
        <v>0</v>
      </c>
      <c r="U117" s="16">
        <v>1</v>
      </c>
      <c r="V117" s="16">
        <v>1</v>
      </c>
      <c r="W117" s="16">
        <v>1</v>
      </c>
      <c r="X117" s="16">
        <v>0</v>
      </c>
      <c r="Y117" s="16">
        <v>0</v>
      </c>
      <c r="Z117" s="16">
        <v>0</v>
      </c>
      <c r="AA117" s="16">
        <v>1</v>
      </c>
      <c r="AB117" s="16">
        <v>1</v>
      </c>
      <c r="AC117" s="16">
        <v>0</v>
      </c>
      <c r="AD117" s="13">
        <f t="shared" ref="AD117:AD126" si="25">SUM(E117:AC117)</f>
        <v>11</v>
      </c>
    </row>
    <row r="118" spans="1:30" ht="12.75" customHeight="1" x14ac:dyDescent="0.4">
      <c r="A118" s="20" t="s">
        <v>38</v>
      </c>
      <c r="B118" s="28"/>
      <c r="C118" s="29" t="s">
        <v>80</v>
      </c>
      <c r="D118" s="30"/>
      <c r="E118" s="16">
        <v>1</v>
      </c>
      <c r="F118" s="16">
        <v>1</v>
      </c>
      <c r="G118" s="16">
        <v>0</v>
      </c>
      <c r="H118" s="16">
        <v>2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1</v>
      </c>
      <c r="P118" s="16">
        <v>3</v>
      </c>
      <c r="Q118" s="16">
        <v>20</v>
      </c>
      <c r="R118" s="16">
        <v>14</v>
      </c>
      <c r="S118" s="16">
        <v>6</v>
      </c>
      <c r="T118" s="16">
        <v>2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6">
        <v>2</v>
      </c>
      <c r="AD118" s="13">
        <f t="shared" si="25"/>
        <v>53</v>
      </c>
    </row>
    <row r="119" spans="1:30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0</v>
      </c>
      <c r="O119" s="16">
        <v>0</v>
      </c>
      <c r="P119" s="16">
        <v>0</v>
      </c>
      <c r="Q119" s="16">
        <v>0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6">
        <v>0</v>
      </c>
      <c r="AD119" s="13">
        <f t="shared" si="25"/>
        <v>0</v>
      </c>
    </row>
    <row r="120" spans="1:30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0</v>
      </c>
      <c r="O120" s="16">
        <v>1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3">
        <f t="shared" si="25"/>
        <v>1</v>
      </c>
    </row>
    <row r="121" spans="1:30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3">
        <v>0</v>
      </c>
      <c r="Y121" s="53">
        <v>0</v>
      </c>
      <c r="Z121" s="53">
        <v>0</v>
      </c>
      <c r="AA121" s="53">
        <v>0</v>
      </c>
      <c r="AB121" s="53">
        <v>0</v>
      </c>
      <c r="AC121" s="53">
        <v>0</v>
      </c>
      <c r="AD121" s="13">
        <f t="shared" si="25"/>
        <v>0</v>
      </c>
    </row>
    <row r="122" spans="1:30" ht="12.75" customHeight="1" x14ac:dyDescent="0.4">
      <c r="A122" s="52"/>
      <c r="B122" s="28"/>
      <c r="C122" s="29" t="s">
        <v>84</v>
      </c>
      <c r="D122" s="30"/>
      <c r="E122" s="53">
        <v>1</v>
      </c>
      <c r="F122" s="53">
        <v>0</v>
      </c>
      <c r="G122" s="53">
        <v>0</v>
      </c>
      <c r="H122" s="53">
        <v>0</v>
      </c>
      <c r="I122" s="53">
        <v>0</v>
      </c>
      <c r="J122" s="53">
        <v>1</v>
      </c>
      <c r="K122" s="53">
        <v>1</v>
      </c>
      <c r="L122" s="53">
        <v>0</v>
      </c>
      <c r="M122" s="53">
        <v>0</v>
      </c>
      <c r="N122" s="53">
        <v>1</v>
      </c>
      <c r="O122" s="53">
        <v>0</v>
      </c>
      <c r="P122" s="16">
        <v>0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53">
        <v>0</v>
      </c>
      <c r="X122" s="53">
        <v>0</v>
      </c>
      <c r="Y122" s="53">
        <v>1</v>
      </c>
      <c r="Z122" s="53">
        <v>0</v>
      </c>
      <c r="AA122" s="53">
        <v>0</v>
      </c>
      <c r="AB122" s="53">
        <v>0</v>
      </c>
      <c r="AC122" s="53">
        <v>0</v>
      </c>
      <c r="AD122" s="13">
        <f t="shared" si="25"/>
        <v>5</v>
      </c>
    </row>
    <row r="123" spans="1:30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2</v>
      </c>
      <c r="N123" s="41">
        <v>0</v>
      </c>
      <c r="O123" s="41">
        <v>0</v>
      </c>
      <c r="P123" s="16">
        <v>0</v>
      </c>
      <c r="Q123" s="41">
        <v>0</v>
      </c>
      <c r="R123" s="41">
        <v>0</v>
      </c>
      <c r="S123" s="41">
        <v>0</v>
      </c>
      <c r="T123" s="41">
        <v>0</v>
      </c>
      <c r="U123" s="41">
        <v>0</v>
      </c>
      <c r="V123" s="41">
        <v>0</v>
      </c>
      <c r="W123" s="41">
        <v>0</v>
      </c>
      <c r="X123" s="41">
        <v>0</v>
      </c>
      <c r="Y123" s="41">
        <v>0</v>
      </c>
      <c r="Z123" s="41">
        <v>0</v>
      </c>
      <c r="AA123" s="41">
        <v>0</v>
      </c>
      <c r="AB123" s="41">
        <v>0</v>
      </c>
      <c r="AC123" s="41">
        <v>0</v>
      </c>
      <c r="AD123" s="13">
        <f t="shared" si="25"/>
        <v>2</v>
      </c>
    </row>
    <row r="124" spans="1:30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13">
        <f t="shared" si="25"/>
        <v>0</v>
      </c>
    </row>
    <row r="125" spans="1:30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13">
        <f t="shared" si="25"/>
        <v>0</v>
      </c>
    </row>
    <row r="126" spans="1:30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13">
        <f t="shared" si="25"/>
        <v>0</v>
      </c>
    </row>
    <row r="127" spans="1:30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AD127" si="26">SUM(E117:E126)</f>
        <v>3</v>
      </c>
      <c r="F127" s="13">
        <f t="shared" si="26"/>
        <v>1</v>
      </c>
      <c r="G127" s="13">
        <f t="shared" si="26"/>
        <v>0</v>
      </c>
      <c r="H127" s="13">
        <f t="shared" si="26"/>
        <v>2</v>
      </c>
      <c r="I127" s="13">
        <f t="shared" si="26"/>
        <v>0</v>
      </c>
      <c r="J127" s="13">
        <f t="shared" si="26"/>
        <v>1</v>
      </c>
      <c r="K127" s="13">
        <f t="shared" si="26"/>
        <v>1</v>
      </c>
      <c r="L127" s="13">
        <f t="shared" si="26"/>
        <v>0</v>
      </c>
      <c r="M127" s="13">
        <f t="shared" si="26"/>
        <v>2</v>
      </c>
      <c r="N127" s="13">
        <f t="shared" si="26"/>
        <v>2</v>
      </c>
      <c r="O127" s="13">
        <f t="shared" si="26"/>
        <v>2</v>
      </c>
      <c r="P127" s="13">
        <f t="shared" si="26"/>
        <v>4</v>
      </c>
      <c r="Q127" s="13">
        <f t="shared" si="26"/>
        <v>23</v>
      </c>
      <c r="R127" s="13">
        <f t="shared" si="26"/>
        <v>15</v>
      </c>
      <c r="S127" s="13">
        <f t="shared" si="26"/>
        <v>6</v>
      </c>
      <c r="T127" s="13">
        <f t="shared" si="26"/>
        <v>2</v>
      </c>
      <c r="U127" s="13">
        <f t="shared" si="26"/>
        <v>1</v>
      </c>
      <c r="V127" s="13">
        <f t="shared" si="26"/>
        <v>1</v>
      </c>
      <c r="W127" s="13">
        <f t="shared" si="26"/>
        <v>1</v>
      </c>
      <c r="X127" s="13">
        <f t="shared" si="26"/>
        <v>0</v>
      </c>
      <c r="Y127" s="13">
        <f t="shared" si="26"/>
        <v>1</v>
      </c>
      <c r="Z127" s="13">
        <f t="shared" si="26"/>
        <v>0</v>
      </c>
      <c r="AA127" s="13">
        <f t="shared" si="26"/>
        <v>1</v>
      </c>
      <c r="AB127" s="13">
        <f t="shared" si="26"/>
        <v>1</v>
      </c>
      <c r="AC127" s="13">
        <f t="shared" si="26"/>
        <v>2</v>
      </c>
      <c r="AD127" s="13">
        <f t="shared" si="26"/>
        <v>72</v>
      </c>
    </row>
    <row r="128" spans="1:30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</row>
    <row r="129" spans="1:30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1</v>
      </c>
      <c r="F129" s="16">
        <v>1</v>
      </c>
      <c r="G129" s="16">
        <v>0</v>
      </c>
      <c r="H129" s="16">
        <v>2</v>
      </c>
      <c r="I129" s="16">
        <v>0</v>
      </c>
      <c r="J129" s="16">
        <v>0</v>
      </c>
      <c r="K129" s="16">
        <v>1</v>
      </c>
      <c r="L129" s="16">
        <v>2</v>
      </c>
      <c r="M129" s="16">
        <v>7</v>
      </c>
      <c r="N129" s="16">
        <v>14</v>
      </c>
      <c r="O129" s="16">
        <v>10</v>
      </c>
      <c r="P129" s="16">
        <v>12</v>
      </c>
      <c r="Q129" s="16">
        <v>3</v>
      </c>
      <c r="R129" s="16">
        <v>4</v>
      </c>
      <c r="S129" s="16">
        <v>9</v>
      </c>
      <c r="T129" s="16">
        <v>14</v>
      </c>
      <c r="U129" s="16">
        <v>9</v>
      </c>
      <c r="V129" s="16">
        <v>16</v>
      </c>
      <c r="W129" s="16">
        <v>1</v>
      </c>
      <c r="X129" s="16">
        <v>1</v>
      </c>
      <c r="Y129" s="16">
        <v>0</v>
      </c>
      <c r="Z129" s="16">
        <v>4</v>
      </c>
      <c r="AA129" s="16">
        <v>0</v>
      </c>
      <c r="AB129" s="16">
        <v>0</v>
      </c>
      <c r="AC129" s="16">
        <v>0</v>
      </c>
      <c r="AD129" s="13">
        <f t="shared" ref="AD129:AD138" si="27">SUM(E129:AC129)</f>
        <v>111</v>
      </c>
    </row>
    <row r="130" spans="1:30" ht="12.75" customHeight="1" x14ac:dyDescent="0.4">
      <c r="A130" s="20" t="s">
        <v>38</v>
      </c>
      <c r="B130" s="28"/>
      <c r="C130" s="29" t="s">
        <v>88</v>
      </c>
      <c r="D130" s="30"/>
      <c r="E130" s="16">
        <v>2</v>
      </c>
      <c r="F130" s="16">
        <v>1</v>
      </c>
      <c r="G130" s="16">
        <v>2</v>
      </c>
      <c r="H130" s="16">
        <v>5</v>
      </c>
      <c r="I130" s="16">
        <v>0</v>
      </c>
      <c r="J130" s="16">
        <v>5</v>
      </c>
      <c r="K130" s="16">
        <v>5</v>
      </c>
      <c r="L130" s="16">
        <v>4</v>
      </c>
      <c r="M130" s="16">
        <v>2</v>
      </c>
      <c r="N130" s="16">
        <v>4</v>
      </c>
      <c r="O130" s="16">
        <v>8</v>
      </c>
      <c r="P130" s="16">
        <v>12</v>
      </c>
      <c r="Q130" s="16">
        <v>2</v>
      </c>
      <c r="R130" s="16">
        <v>17</v>
      </c>
      <c r="S130" s="16">
        <v>31</v>
      </c>
      <c r="T130" s="16">
        <v>1</v>
      </c>
      <c r="U130" s="16">
        <v>4</v>
      </c>
      <c r="V130" s="16">
        <v>1</v>
      </c>
      <c r="W130" s="16">
        <v>0</v>
      </c>
      <c r="X130" s="16">
        <v>0</v>
      </c>
      <c r="Y130" s="16">
        <v>0</v>
      </c>
      <c r="Z130" s="16">
        <v>1</v>
      </c>
      <c r="AA130" s="16">
        <v>2</v>
      </c>
      <c r="AB130" s="16">
        <v>0</v>
      </c>
      <c r="AC130" s="16">
        <v>4</v>
      </c>
      <c r="AD130" s="13">
        <f t="shared" si="27"/>
        <v>113</v>
      </c>
    </row>
    <row r="131" spans="1:30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0</v>
      </c>
      <c r="G131" s="16">
        <v>1</v>
      </c>
      <c r="H131" s="16">
        <v>1</v>
      </c>
      <c r="I131" s="16">
        <v>0</v>
      </c>
      <c r="J131" s="16">
        <v>0</v>
      </c>
      <c r="K131" s="16">
        <v>0</v>
      </c>
      <c r="L131" s="16">
        <v>0</v>
      </c>
      <c r="M131" s="16">
        <v>2</v>
      </c>
      <c r="N131" s="16">
        <v>21</v>
      </c>
      <c r="O131" s="16">
        <v>23</v>
      </c>
      <c r="P131" s="16">
        <v>26</v>
      </c>
      <c r="Q131" s="16">
        <v>10</v>
      </c>
      <c r="R131" s="16">
        <v>11</v>
      </c>
      <c r="S131" s="16">
        <v>7</v>
      </c>
      <c r="T131" s="16">
        <v>15</v>
      </c>
      <c r="U131" s="16">
        <v>19</v>
      </c>
      <c r="V131" s="16">
        <v>16</v>
      </c>
      <c r="W131" s="16">
        <v>1</v>
      </c>
      <c r="X131" s="16">
        <v>2</v>
      </c>
      <c r="Y131" s="16">
        <v>1</v>
      </c>
      <c r="Z131" s="16">
        <v>2</v>
      </c>
      <c r="AA131" s="16">
        <v>1</v>
      </c>
      <c r="AB131" s="16">
        <v>1</v>
      </c>
      <c r="AC131" s="16">
        <v>0</v>
      </c>
      <c r="AD131" s="13">
        <f t="shared" si="27"/>
        <v>160</v>
      </c>
    </row>
    <row r="132" spans="1:30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1</v>
      </c>
      <c r="G132" s="16">
        <v>1</v>
      </c>
      <c r="H132" s="16">
        <v>0</v>
      </c>
      <c r="I132" s="16">
        <v>1</v>
      </c>
      <c r="J132" s="16">
        <v>0</v>
      </c>
      <c r="K132" s="16">
        <v>1</v>
      </c>
      <c r="L132" s="16">
        <v>2</v>
      </c>
      <c r="M132" s="16">
        <v>0</v>
      </c>
      <c r="N132" s="16">
        <v>1</v>
      </c>
      <c r="O132" s="16">
        <v>2</v>
      </c>
      <c r="P132" s="16">
        <v>0</v>
      </c>
      <c r="Q132" s="16">
        <v>0</v>
      </c>
      <c r="R132" s="16">
        <v>0</v>
      </c>
      <c r="S132" s="16">
        <v>0</v>
      </c>
      <c r="T132" s="16">
        <v>2</v>
      </c>
      <c r="U132" s="16">
        <v>0</v>
      </c>
      <c r="V132" s="16">
        <v>6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6">
        <v>0</v>
      </c>
      <c r="AD132" s="13">
        <f t="shared" si="27"/>
        <v>17</v>
      </c>
    </row>
    <row r="133" spans="1:30" ht="12.75" customHeight="1" x14ac:dyDescent="0.4">
      <c r="A133" s="15"/>
      <c r="B133" s="28"/>
      <c r="C133" s="29" t="s">
        <v>91</v>
      </c>
      <c r="D133" s="30"/>
      <c r="E133" s="16">
        <v>1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1</v>
      </c>
      <c r="O133" s="16">
        <v>2</v>
      </c>
      <c r="P133" s="16">
        <v>4</v>
      </c>
      <c r="Q133" s="16">
        <v>0</v>
      </c>
      <c r="R133" s="16">
        <v>0</v>
      </c>
      <c r="S133" s="16">
        <v>0</v>
      </c>
      <c r="T133" s="16">
        <v>2</v>
      </c>
      <c r="U133" s="16">
        <v>2</v>
      </c>
      <c r="V133" s="16">
        <v>3</v>
      </c>
      <c r="W133" s="16">
        <v>1</v>
      </c>
      <c r="X133" s="16">
        <v>1</v>
      </c>
      <c r="Y133" s="16">
        <v>0</v>
      </c>
      <c r="Z133" s="16">
        <v>0</v>
      </c>
      <c r="AA133" s="16">
        <v>0</v>
      </c>
      <c r="AB133" s="16">
        <v>0</v>
      </c>
      <c r="AC133" s="16">
        <v>0</v>
      </c>
      <c r="AD133" s="13">
        <f t="shared" si="27"/>
        <v>17</v>
      </c>
    </row>
    <row r="134" spans="1:30" ht="12.75" customHeight="1" x14ac:dyDescent="0.4">
      <c r="A134" s="15"/>
      <c r="B134" s="28"/>
      <c r="C134" s="29" t="s">
        <v>92</v>
      </c>
      <c r="D134" s="30"/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6</v>
      </c>
      <c r="K134" s="16">
        <v>6</v>
      </c>
      <c r="L134" s="16">
        <v>4</v>
      </c>
      <c r="M134" s="16">
        <v>2</v>
      </c>
      <c r="N134" s="16">
        <v>48</v>
      </c>
      <c r="O134" s="16">
        <v>55</v>
      </c>
      <c r="P134" s="16">
        <v>32</v>
      </c>
      <c r="Q134" s="16">
        <v>11</v>
      </c>
      <c r="R134" s="16">
        <v>19</v>
      </c>
      <c r="S134" s="16">
        <v>15</v>
      </c>
      <c r="T134" s="16">
        <v>52</v>
      </c>
      <c r="U134" s="16">
        <v>61</v>
      </c>
      <c r="V134" s="16">
        <v>33</v>
      </c>
      <c r="W134" s="16">
        <v>2</v>
      </c>
      <c r="X134" s="16">
        <v>2</v>
      </c>
      <c r="Y134" s="16">
        <v>1</v>
      </c>
      <c r="Z134" s="16">
        <v>10</v>
      </c>
      <c r="AA134" s="16">
        <v>3</v>
      </c>
      <c r="AB134" s="16">
        <v>4</v>
      </c>
      <c r="AC134" s="16">
        <v>0</v>
      </c>
      <c r="AD134" s="13">
        <f t="shared" si="27"/>
        <v>366</v>
      </c>
    </row>
    <row r="135" spans="1:30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4</v>
      </c>
      <c r="O135" s="16">
        <v>3</v>
      </c>
      <c r="P135" s="16">
        <v>1</v>
      </c>
      <c r="Q135" s="16">
        <v>0</v>
      </c>
      <c r="R135" s="16">
        <v>0</v>
      </c>
      <c r="S135" s="16">
        <v>1</v>
      </c>
      <c r="T135" s="16">
        <v>2</v>
      </c>
      <c r="U135" s="16">
        <v>3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0</v>
      </c>
      <c r="AB135" s="16">
        <v>0</v>
      </c>
      <c r="AC135" s="16">
        <v>0</v>
      </c>
      <c r="AD135" s="13">
        <f t="shared" si="27"/>
        <v>14</v>
      </c>
    </row>
    <row r="136" spans="1:30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13">
        <f t="shared" si="27"/>
        <v>0</v>
      </c>
    </row>
    <row r="137" spans="1:30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13">
        <f t="shared" si="27"/>
        <v>0</v>
      </c>
    </row>
    <row r="138" spans="1:30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13">
        <f t="shared" si="27"/>
        <v>0</v>
      </c>
    </row>
    <row r="139" spans="1:30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AD139" si="28">SUM(E129:E138)</f>
        <v>4</v>
      </c>
      <c r="F139" s="13">
        <f t="shared" si="28"/>
        <v>3</v>
      </c>
      <c r="G139" s="13">
        <f t="shared" si="28"/>
        <v>4</v>
      </c>
      <c r="H139" s="13">
        <f t="shared" si="28"/>
        <v>8</v>
      </c>
      <c r="I139" s="13">
        <f t="shared" si="28"/>
        <v>1</v>
      </c>
      <c r="J139" s="13">
        <f t="shared" si="28"/>
        <v>11</v>
      </c>
      <c r="K139" s="13">
        <f t="shared" si="28"/>
        <v>13</v>
      </c>
      <c r="L139" s="13">
        <f t="shared" si="28"/>
        <v>12</v>
      </c>
      <c r="M139" s="13">
        <f t="shared" si="28"/>
        <v>13</v>
      </c>
      <c r="N139" s="13">
        <f t="shared" si="28"/>
        <v>93</v>
      </c>
      <c r="O139" s="13">
        <f t="shared" si="28"/>
        <v>103</v>
      </c>
      <c r="P139" s="13">
        <f t="shared" si="28"/>
        <v>87</v>
      </c>
      <c r="Q139" s="13">
        <f t="shared" si="28"/>
        <v>26</v>
      </c>
      <c r="R139" s="13">
        <f t="shared" si="28"/>
        <v>51</v>
      </c>
      <c r="S139" s="13">
        <f t="shared" si="28"/>
        <v>63</v>
      </c>
      <c r="T139" s="13">
        <f t="shared" si="28"/>
        <v>88</v>
      </c>
      <c r="U139" s="13">
        <f t="shared" si="28"/>
        <v>98</v>
      </c>
      <c r="V139" s="13">
        <f t="shared" si="28"/>
        <v>75</v>
      </c>
      <c r="W139" s="13">
        <f t="shared" si="28"/>
        <v>5</v>
      </c>
      <c r="X139" s="13">
        <f t="shared" si="28"/>
        <v>6</v>
      </c>
      <c r="Y139" s="13">
        <f t="shared" si="28"/>
        <v>2</v>
      </c>
      <c r="Z139" s="13">
        <f t="shared" si="28"/>
        <v>17</v>
      </c>
      <c r="AA139" s="13">
        <f t="shared" si="28"/>
        <v>6</v>
      </c>
      <c r="AB139" s="13">
        <f t="shared" si="28"/>
        <v>5</v>
      </c>
      <c r="AC139" s="13">
        <f t="shared" si="28"/>
        <v>4</v>
      </c>
      <c r="AD139" s="13">
        <f t="shared" si="28"/>
        <v>798</v>
      </c>
    </row>
    <row r="140" spans="1:30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</row>
    <row r="141" spans="1:30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1</v>
      </c>
      <c r="Q141" s="16">
        <v>0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3">
        <f t="shared" ref="AD141:AD150" si="29">SUM(E141:AC141)</f>
        <v>1</v>
      </c>
    </row>
    <row r="142" spans="1:30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1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0</v>
      </c>
      <c r="AB142" s="16">
        <v>0</v>
      </c>
      <c r="AC142" s="16">
        <v>0</v>
      </c>
      <c r="AD142" s="13">
        <f t="shared" si="29"/>
        <v>1</v>
      </c>
    </row>
    <row r="143" spans="1:30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13">
        <f t="shared" si="29"/>
        <v>0</v>
      </c>
    </row>
    <row r="144" spans="1:30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13">
        <f t="shared" si="29"/>
        <v>0</v>
      </c>
    </row>
    <row r="145" spans="1:30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13">
        <f t="shared" si="29"/>
        <v>0</v>
      </c>
    </row>
    <row r="146" spans="1:30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13">
        <f t="shared" si="29"/>
        <v>0</v>
      </c>
    </row>
    <row r="147" spans="1:30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13">
        <f t="shared" si="29"/>
        <v>0</v>
      </c>
    </row>
    <row r="148" spans="1:30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13">
        <f t="shared" si="29"/>
        <v>0</v>
      </c>
    </row>
    <row r="149" spans="1:30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13">
        <f t="shared" si="29"/>
        <v>0</v>
      </c>
    </row>
    <row r="150" spans="1:30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13">
        <f t="shared" si="29"/>
        <v>0</v>
      </c>
    </row>
    <row r="151" spans="1:30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AD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1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0</v>
      </c>
      <c r="M151" s="13">
        <f t="shared" si="30"/>
        <v>0</v>
      </c>
      <c r="N151" s="13">
        <f t="shared" si="30"/>
        <v>0</v>
      </c>
      <c r="O151" s="13">
        <f t="shared" si="30"/>
        <v>0</v>
      </c>
      <c r="P151" s="13">
        <f t="shared" si="30"/>
        <v>1</v>
      </c>
      <c r="Q151" s="13">
        <f t="shared" si="30"/>
        <v>0</v>
      </c>
      <c r="R151" s="13">
        <f t="shared" si="30"/>
        <v>0</v>
      </c>
      <c r="S151" s="13">
        <f t="shared" si="30"/>
        <v>0</v>
      </c>
      <c r="T151" s="13">
        <f t="shared" si="30"/>
        <v>0</v>
      </c>
      <c r="U151" s="13">
        <f t="shared" si="30"/>
        <v>0</v>
      </c>
      <c r="V151" s="13">
        <f t="shared" si="30"/>
        <v>0</v>
      </c>
      <c r="W151" s="13">
        <f t="shared" si="30"/>
        <v>0</v>
      </c>
      <c r="X151" s="13">
        <f t="shared" si="30"/>
        <v>0</v>
      </c>
      <c r="Y151" s="13">
        <f t="shared" si="30"/>
        <v>0</v>
      </c>
      <c r="Z151" s="13">
        <f t="shared" si="30"/>
        <v>0</v>
      </c>
      <c r="AA151" s="13">
        <f t="shared" si="30"/>
        <v>0</v>
      </c>
      <c r="AB151" s="13">
        <f t="shared" si="30"/>
        <v>0</v>
      </c>
      <c r="AC151" s="13">
        <f t="shared" si="30"/>
        <v>0</v>
      </c>
      <c r="AD151" s="13">
        <f t="shared" si="30"/>
        <v>2</v>
      </c>
    </row>
    <row r="152" spans="1:30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13"/>
    </row>
    <row r="153" spans="1:30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0</v>
      </c>
      <c r="H153" s="16">
        <v>1</v>
      </c>
      <c r="I153" s="16">
        <v>0</v>
      </c>
      <c r="J153" s="16">
        <v>0</v>
      </c>
      <c r="K153" s="16">
        <v>2</v>
      </c>
      <c r="L153" s="16">
        <v>5</v>
      </c>
      <c r="M153" s="16">
        <v>2</v>
      </c>
      <c r="N153" s="16">
        <v>0</v>
      </c>
      <c r="O153" s="16">
        <v>1</v>
      </c>
      <c r="P153" s="16">
        <v>0</v>
      </c>
      <c r="Q153" s="16">
        <v>0</v>
      </c>
      <c r="R153" s="16">
        <v>0</v>
      </c>
      <c r="S153" s="16">
        <v>0</v>
      </c>
      <c r="T153" s="16">
        <v>0</v>
      </c>
      <c r="U153" s="16">
        <v>0</v>
      </c>
      <c r="V153" s="16">
        <v>0</v>
      </c>
      <c r="W153" s="16">
        <v>12</v>
      </c>
      <c r="X153" s="16">
        <v>5</v>
      </c>
      <c r="Y153" s="16">
        <v>0</v>
      </c>
      <c r="Z153" s="16">
        <v>3</v>
      </c>
      <c r="AA153" s="16">
        <v>3</v>
      </c>
      <c r="AB153" s="16">
        <v>8</v>
      </c>
      <c r="AC153" s="16">
        <v>15</v>
      </c>
      <c r="AD153" s="13">
        <f t="shared" ref="AD153:AD162" si="31">SUM(E153:AC153)</f>
        <v>57</v>
      </c>
    </row>
    <row r="154" spans="1:30" ht="12.75" customHeight="1" x14ac:dyDescent="0.4">
      <c r="A154" s="42" t="s">
        <v>38</v>
      </c>
      <c r="B154" s="28"/>
      <c r="C154" s="29" t="s">
        <v>99</v>
      </c>
      <c r="D154" s="30"/>
      <c r="E154" s="55">
        <v>5</v>
      </c>
      <c r="F154" s="16">
        <v>6</v>
      </c>
      <c r="G154" s="16">
        <v>0</v>
      </c>
      <c r="H154" s="16">
        <v>10</v>
      </c>
      <c r="I154" s="16">
        <v>1</v>
      </c>
      <c r="J154" s="16">
        <v>0</v>
      </c>
      <c r="K154" s="16">
        <v>14</v>
      </c>
      <c r="L154" s="16">
        <v>13</v>
      </c>
      <c r="M154" s="16">
        <v>10</v>
      </c>
      <c r="N154" s="16">
        <v>0</v>
      </c>
      <c r="O154" s="16">
        <v>0</v>
      </c>
      <c r="P154" s="16">
        <v>2</v>
      </c>
      <c r="Q154" s="16">
        <v>0</v>
      </c>
      <c r="R154" s="16">
        <v>1</v>
      </c>
      <c r="S154" s="16">
        <v>3</v>
      </c>
      <c r="T154" s="16">
        <v>1</v>
      </c>
      <c r="U154" s="16">
        <v>2</v>
      </c>
      <c r="V154" s="16">
        <v>1</v>
      </c>
      <c r="W154" s="16">
        <v>94</v>
      </c>
      <c r="X154" s="16">
        <v>107</v>
      </c>
      <c r="Y154" s="16">
        <v>118</v>
      </c>
      <c r="Z154" s="16">
        <v>42</v>
      </c>
      <c r="AA154" s="16">
        <v>65</v>
      </c>
      <c r="AB154" s="16">
        <v>43</v>
      </c>
      <c r="AC154" s="16">
        <v>52</v>
      </c>
      <c r="AD154" s="13">
        <f t="shared" si="31"/>
        <v>590</v>
      </c>
    </row>
    <row r="155" spans="1:30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2</v>
      </c>
      <c r="M155" s="16">
        <v>1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0</v>
      </c>
      <c r="T155" s="16">
        <v>0</v>
      </c>
      <c r="U155" s="16">
        <v>0</v>
      </c>
      <c r="V155" s="16">
        <v>0</v>
      </c>
      <c r="W155" s="16">
        <v>1</v>
      </c>
      <c r="X155" s="16">
        <v>1</v>
      </c>
      <c r="Y155" s="16">
        <v>0</v>
      </c>
      <c r="Z155" s="16">
        <v>0</v>
      </c>
      <c r="AA155" s="16">
        <v>0</v>
      </c>
      <c r="AB155" s="16">
        <v>0</v>
      </c>
      <c r="AC155" s="16">
        <v>1</v>
      </c>
      <c r="AD155" s="13">
        <f t="shared" si="31"/>
        <v>6</v>
      </c>
    </row>
    <row r="156" spans="1:30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1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0</v>
      </c>
      <c r="T156" s="16">
        <v>0</v>
      </c>
      <c r="U156" s="16">
        <v>0</v>
      </c>
      <c r="V156" s="16">
        <v>0</v>
      </c>
      <c r="W156" s="16">
        <v>0</v>
      </c>
      <c r="X156" s="16">
        <v>1</v>
      </c>
      <c r="Y156" s="16">
        <v>0</v>
      </c>
      <c r="Z156" s="16">
        <v>0</v>
      </c>
      <c r="AA156" s="16">
        <v>0</v>
      </c>
      <c r="AB156" s="16">
        <v>0</v>
      </c>
      <c r="AC156" s="16">
        <v>2</v>
      </c>
      <c r="AD156" s="13">
        <f t="shared" si="31"/>
        <v>4</v>
      </c>
    </row>
    <row r="157" spans="1:30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1</v>
      </c>
      <c r="N157" s="16">
        <v>0</v>
      </c>
      <c r="O157" s="16">
        <v>0</v>
      </c>
      <c r="P157" s="16">
        <v>1</v>
      </c>
      <c r="Q157" s="16">
        <v>1</v>
      </c>
      <c r="R157" s="16">
        <v>0</v>
      </c>
      <c r="S157" s="16">
        <v>2</v>
      </c>
      <c r="T157" s="16">
        <v>0</v>
      </c>
      <c r="U157" s="16">
        <v>8</v>
      </c>
      <c r="V157" s="16">
        <v>0</v>
      </c>
      <c r="W157" s="16">
        <v>0</v>
      </c>
      <c r="X157" s="16">
        <v>0</v>
      </c>
      <c r="Y157" s="16">
        <v>2</v>
      </c>
      <c r="Z157" s="16">
        <v>0</v>
      </c>
      <c r="AA157" s="16">
        <v>0</v>
      </c>
      <c r="AB157" s="16">
        <v>0</v>
      </c>
      <c r="AC157" s="16">
        <v>0</v>
      </c>
      <c r="AD157" s="13">
        <f t="shared" si="31"/>
        <v>15</v>
      </c>
    </row>
    <row r="158" spans="1:30" ht="12.75" customHeight="1" x14ac:dyDescent="0.4">
      <c r="A158" s="52"/>
      <c r="B158" s="28"/>
      <c r="C158" s="29" t="s">
        <v>103</v>
      </c>
      <c r="D158" s="30"/>
      <c r="E158" s="56">
        <v>2</v>
      </c>
      <c r="F158" s="53">
        <v>0</v>
      </c>
      <c r="G158" s="53">
        <v>0</v>
      </c>
      <c r="H158" s="53">
        <v>0</v>
      </c>
      <c r="I158" s="53">
        <v>0</v>
      </c>
      <c r="J158" s="53">
        <v>0</v>
      </c>
      <c r="K158" s="53">
        <v>3</v>
      </c>
      <c r="L158" s="53">
        <v>0</v>
      </c>
      <c r="M158" s="53">
        <v>1</v>
      </c>
      <c r="N158" s="53">
        <v>0</v>
      </c>
      <c r="O158" s="53">
        <v>8</v>
      </c>
      <c r="P158" s="16">
        <v>4</v>
      </c>
      <c r="Q158" s="53">
        <v>0</v>
      </c>
      <c r="R158" s="53">
        <v>0</v>
      </c>
      <c r="S158" s="53">
        <v>2</v>
      </c>
      <c r="T158" s="53">
        <v>0</v>
      </c>
      <c r="U158" s="53">
        <v>0</v>
      </c>
      <c r="V158" s="53">
        <v>0</v>
      </c>
      <c r="W158" s="53">
        <v>0</v>
      </c>
      <c r="X158" s="53">
        <v>1</v>
      </c>
      <c r="Y158" s="53">
        <v>0</v>
      </c>
      <c r="Z158" s="53">
        <v>0</v>
      </c>
      <c r="AA158" s="53">
        <v>4</v>
      </c>
      <c r="AB158" s="53">
        <v>11</v>
      </c>
      <c r="AC158" s="53">
        <v>12</v>
      </c>
      <c r="AD158" s="13">
        <f t="shared" si="31"/>
        <v>48</v>
      </c>
    </row>
    <row r="159" spans="1:30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0</v>
      </c>
      <c r="Y159" s="53">
        <v>0</v>
      </c>
      <c r="Z159" s="53">
        <v>0</v>
      </c>
      <c r="AA159" s="53">
        <v>0</v>
      </c>
      <c r="AB159" s="53">
        <v>0</v>
      </c>
      <c r="AC159" s="53">
        <v>0</v>
      </c>
      <c r="AD159" s="13">
        <f t="shared" si="31"/>
        <v>0</v>
      </c>
    </row>
    <row r="160" spans="1:30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13">
        <f t="shared" si="31"/>
        <v>0</v>
      </c>
    </row>
    <row r="161" spans="1:30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13">
        <f t="shared" si="31"/>
        <v>0</v>
      </c>
    </row>
    <row r="162" spans="1:30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13">
        <f t="shared" si="31"/>
        <v>0</v>
      </c>
    </row>
    <row r="163" spans="1:30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AD163" si="32">SUM(E153:E162)</f>
        <v>7</v>
      </c>
      <c r="F163" s="13">
        <f t="shared" si="32"/>
        <v>6</v>
      </c>
      <c r="G163" s="13">
        <f t="shared" si="32"/>
        <v>0</v>
      </c>
      <c r="H163" s="13">
        <f t="shared" si="32"/>
        <v>11</v>
      </c>
      <c r="I163" s="13">
        <f t="shared" si="32"/>
        <v>1</v>
      </c>
      <c r="J163" s="13">
        <f t="shared" si="32"/>
        <v>0</v>
      </c>
      <c r="K163" s="13">
        <f t="shared" si="32"/>
        <v>19</v>
      </c>
      <c r="L163" s="13">
        <f t="shared" si="32"/>
        <v>21</v>
      </c>
      <c r="M163" s="13">
        <f t="shared" si="32"/>
        <v>15</v>
      </c>
      <c r="N163" s="13">
        <f t="shared" si="32"/>
        <v>0</v>
      </c>
      <c r="O163" s="13">
        <f t="shared" si="32"/>
        <v>9</v>
      </c>
      <c r="P163" s="13">
        <f t="shared" si="32"/>
        <v>7</v>
      </c>
      <c r="Q163" s="13">
        <f t="shared" si="32"/>
        <v>1</v>
      </c>
      <c r="R163" s="13">
        <f t="shared" si="32"/>
        <v>1</v>
      </c>
      <c r="S163" s="13">
        <f t="shared" si="32"/>
        <v>7</v>
      </c>
      <c r="T163" s="13">
        <f t="shared" si="32"/>
        <v>1</v>
      </c>
      <c r="U163" s="13">
        <f t="shared" si="32"/>
        <v>10</v>
      </c>
      <c r="V163" s="13">
        <f t="shared" si="32"/>
        <v>1</v>
      </c>
      <c r="W163" s="13">
        <f t="shared" si="32"/>
        <v>107</v>
      </c>
      <c r="X163" s="13">
        <f t="shared" si="32"/>
        <v>115</v>
      </c>
      <c r="Y163" s="13">
        <f t="shared" si="32"/>
        <v>120</v>
      </c>
      <c r="Z163" s="13">
        <f t="shared" si="32"/>
        <v>45</v>
      </c>
      <c r="AA163" s="13">
        <f t="shared" si="32"/>
        <v>72</v>
      </c>
      <c r="AB163" s="13">
        <f t="shared" si="32"/>
        <v>62</v>
      </c>
      <c r="AC163" s="13">
        <f t="shared" si="32"/>
        <v>82</v>
      </c>
      <c r="AD163" s="13">
        <f t="shared" si="32"/>
        <v>720</v>
      </c>
    </row>
    <row r="164" spans="1:30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</row>
    <row r="165" spans="1:30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0</v>
      </c>
      <c r="G165" s="16">
        <v>1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1</v>
      </c>
      <c r="U165" s="16">
        <v>0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1</v>
      </c>
      <c r="AB165" s="16">
        <v>0</v>
      </c>
      <c r="AC165" s="16">
        <v>0</v>
      </c>
      <c r="AD165" s="13">
        <f t="shared" ref="AD165:AD174" si="33">SUM(E165:AC165)</f>
        <v>3</v>
      </c>
    </row>
    <row r="166" spans="1:30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13">
        <f t="shared" si="33"/>
        <v>0</v>
      </c>
    </row>
    <row r="167" spans="1:30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13">
        <f t="shared" si="33"/>
        <v>0</v>
      </c>
    </row>
    <row r="168" spans="1:30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13">
        <f t="shared" si="33"/>
        <v>0</v>
      </c>
    </row>
    <row r="169" spans="1:30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13">
        <f t="shared" si="33"/>
        <v>0</v>
      </c>
    </row>
    <row r="170" spans="1:30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13">
        <f t="shared" si="33"/>
        <v>0</v>
      </c>
    </row>
    <row r="171" spans="1:30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13">
        <f t="shared" si="33"/>
        <v>0</v>
      </c>
    </row>
    <row r="172" spans="1:30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13">
        <f t="shared" si="33"/>
        <v>0</v>
      </c>
    </row>
    <row r="173" spans="1:30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13">
        <f t="shared" si="33"/>
        <v>0</v>
      </c>
    </row>
    <row r="174" spans="1:30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13">
        <f t="shared" si="33"/>
        <v>0</v>
      </c>
    </row>
    <row r="175" spans="1:30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AD175" si="34">SUM(E165:E174)</f>
        <v>0</v>
      </c>
      <c r="F175" s="13">
        <f t="shared" si="34"/>
        <v>0</v>
      </c>
      <c r="G175" s="13">
        <f t="shared" si="34"/>
        <v>1</v>
      </c>
      <c r="H175" s="13">
        <f t="shared" si="34"/>
        <v>0</v>
      </c>
      <c r="I175" s="13">
        <f t="shared" si="34"/>
        <v>0</v>
      </c>
      <c r="J175" s="13">
        <f t="shared" si="34"/>
        <v>0</v>
      </c>
      <c r="K175" s="13">
        <f t="shared" si="34"/>
        <v>0</v>
      </c>
      <c r="L175" s="13">
        <f t="shared" si="34"/>
        <v>0</v>
      </c>
      <c r="M175" s="13">
        <f t="shared" si="34"/>
        <v>0</v>
      </c>
      <c r="N175" s="13">
        <f t="shared" si="34"/>
        <v>0</v>
      </c>
      <c r="O175" s="13">
        <f t="shared" si="34"/>
        <v>0</v>
      </c>
      <c r="P175" s="13">
        <f t="shared" si="34"/>
        <v>0</v>
      </c>
      <c r="Q175" s="13">
        <f t="shared" si="34"/>
        <v>0</v>
      </c>
      <c r="R175" s="13">
        <f t="shared" si="34"/>
        <v>0</v>
      </c>
      <c r="S175" s="13">
        <f t="shared" si="34"/>
        <v>0</v>
      </c>
      <c r="T175" s="13">
        <f t="shared" si="34"/>
        <v>1</v>
      </c>
      <c r="U175" s="13">
        <f t="shared" si="34"/>
        <v>0</v>
      </c>
      <c r="V175" s="13">
        <f t="shared" si="34"/>
        <v>0</v>
      </c>
      <c r="W175" s="13">
        <f t="shared" si="34"/>
        <v>0</v>
      </c>
      <c r="X175" s="13">
        <f t="shared" si="34"/>
        <v>0</v>
      </c>
      <c r="Y175" s="13">
        <f t="shared" si="34"/>
        <v>0</v>
      </c>
      <c r="Z175" s="13">
        <f t="shared" si="34"/>
        <v>0</v>
      </c>
      <c r="AA175" s="13">
        <f t="shared" si="34"/>
        <v>1</v>
      </c>
      <c r="AB175" s="13">
        <f t="shared" si="34"/>
        <v>0</v>
      </c>
      <c r="AC175" s="13">
        <f t="shared" si="34"/>
        <v>0</v>
      </c>
      <c r="AD175" s="13">
        <f t="shared" si="34"/>
        <v>3</v>
      </c>
    </row>
    <row r="176" spans="1:30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</row>
    <row r="177" spans="1:30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0</v>
      </c>
      <c r="F177" s="16">
        <v>0</v>
      </c>
      <c r="G177" s="16">
        <v>0</v>
      </c>
      <c r="H177" s="16">
        <v>2</v>
      </c>
      <c r="I177" s="16">
        <v>0</v>
      </c>
      <c r="J177" s="16">
        <v>0</v>
      </c>
      <c r="K177" s="16">
        <v>1</v>
      </c>
      <c r="L177" s="16">
        <v>2</v>
      </c>
      <c r="M177" s="16">
        <v>0</v>
      </c>
      <c r="N177" s="16">
        <v>0</v>
      </c>
      <c r="O177" s="16">
        <v>1</v>
      </c>
      <c r="P177" s="16">
        <v>1</v>
      </c>
      <c r="Q177" s="16">
        <v>1</v>
      </c>
      <c r="R177" s="16">
        <v>3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1</v>
      </c>
      <c r="Z177" s="16">
        <v>0</v>
      </c>
      <c r="AA177" s="16">
        <v>2</v>
      </c>
      <c r="AB177" s="16">
        <v>0</v>
      </c>
      <c r="AC177" s="16">
        <v>0</v>
      </c>
      <c r="AD177" s="13">
        <f t="shared" ref="AD177:AD186" si="35">SUM(E177:AC177)</f>
        <v>14</v>
      </c>
    </row>
    <row r="178" spans="1:30" ht="12.75" customHeight="1" x14ac:dyDescent="0.4">
      <c r="A178" s="20" t="s">
        <v>38</v>
      </c>
      <c r="B178" s="28"/>
      <c r="C178" s="29" t="s">
        <v>109</v>
      </c>
      <c r="D178" s="30"/>
      <c r="E178" s="16">
        <v>1</v>
      </c>
      <c r="F178" s="16">
        <v>2</v>
      </c>
      <c r="G178" s="16">
        <v>0</v>
      </c>
      <c r="H178" s="16">
        <v>0</v>
      </c>
      <c r="I178" s="16">
        <v>1</v>
      </c>
      <c r="J178" s="16">
        <v>1</v>
      </c>
      <c r="K178" s="16">
        <v>1</v>
      </c>
      <c r="L178" s="16">
        <v>0</v>
      </c>
      <c r="M178" s="16">
        <v>0</v>
      </c>
      <c r="N178" s="16">
        <v>1</v>
      </c>
      <c r="O178" s="16">
        <v>5</v>
      </c>
      <c r="P178" s="16">
        <v>1</v>
      </c>
      <c r="Q178" s="16">
        <v>3</v>
      </c>
      <c r="R178" s="16">
        <v>1</v>
      </c>
      <c r="S178" s="16">
        <v>0</v>
      </c>
      <c r="T178" s="16">
        <v>1</v>
      </c>
      <c r="U178" s="16">
        <v>1</v>
      </c>
      <c r="V178" s="16">
        <v>1</v>
      </c>
      <c r="W178" s="16">
        <v>0</v>
      </c>
      <c r="X178" s="16">
        <v>1</v>
      </c>
      <c r="Y178" s="16">
        <v>0</v>
      </c>
      <c r="Z178" s="16">
        <v>1</v>
      </c>
      <c r="AA178" s="16">
        <v>0</v>
      </c>
      <c r="AB178" s="16">
        <v>1</v>
      </c>
      <c r="AC178" s="16">
        <v>0</v>
      </c>
      <c r="AD178" s="13">
        <f t="shared" si="35"/>
        <v>23</v>
      </c>
    </row>
    <row r="179" spans="1:30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0</v>
      </c>
      <c r="G179" s="16">
        <v>0</v>
      </c>
      <c r="H179" s="16">
        <v>1</v>
      </c>
      <c r="I179" s="16">
        <v>1</v>
      </c>
      <c r="J179" s="16">
        <v>1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1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0</v>
      </c>
      <c r="AC179" s="16">
        <v>0</v>
      </c>
      <c r="AD179" s="13">
        <f t="shared" si="35"/>
        <v>4</v>
      </c>
    </row>
    <row r="180" spans="1:30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1</v>
      </c>
      <c r="N180" s="16">
        <v>0</v>
      </c>
      <c r="O180" s="16">
        <v>0</v>
      </c>
      <c r="P180" s="16">
        <v>0</v>
      </c>
      <c r="Q180" s="16">
        <v>0</v>
      </c>
      <c r="R180" s="16">
        <v>1</v>
      </c>
      <c r="S180" s="16">
        <v>0</v>
      </c>
      <c r="T180" s="16">
        <v>0</v>
      </c>
      <c r="U180" s="16">
        <v>0</v>
      </c>
      <c r="V180" s="16">
        <v>0</v>
      </c>
      <c r="W180" s="16">
        <v>1</v>
      </c>
      <c r="X180" s="16">
        <v>0</v>
      </c>
      <c r="Y180" s="16">
        <v>0</v>
      </c>
      <c r="Z180" s="16">
        <v>0</v>
      </c>
      <c r="AA180" s="16">
        <v>0</v>
      </c>
      <c r="AB180" s="16">
        <v>1</v>
      </c>
      <c r="AC180" s="16">
        <v>1</v>
      </c>
      <c r="AD180" s="13">
        <f t="shared" si="35"/>
        <v>5</v>
      </c>
    </row>
    <row r="181" spans="1:30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3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1</v>
      </c>
      <c r="X181" s="16">
        <v>0</v>
      </c>
      <c r="Y181" s="16">
        <v>0</v>
      </c>
      <c r="Z181" s="16">
        <v>1</v>
      </c>
      <c r="AA181" s="16">
        <v>0</v>
      </c>
      <c r="AB181" s="16">
        <v>0</v>
      </c>
      <c r="AC181" s="16">
        <v>0</v>
      </c>
      <c r="AD181" s="13">
        <f t="shared" si="35"/>
        <v>5</v>
      </c>
    </row>
    <row r="182" spans="1:30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1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3</v>
      </c>
      <c r="V182" s="16">
        <v>1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1</v>
      </c>
      <c r="AC182" s="16">
        <v>0</v>
      </c>
      <c r="AD182" s="13">
        <f t="shared" si="35"/>
        <v>6</v>
      </c>
    </row>
    <row r="183" spans="1:30" ht="12.75" customHeight="1" x14ac:dyDescent="0.4">
      <c r="A183" s="15"/>
      <c r="B183" s="28"/>
      <c r="C183" s="29" t="s">
        <v>114</v>
      </c>
      <c r="D183" s="30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0</v>
      </c>
      <c r="AC183" s="16">
        <v>0</v>
      </c>
      <c r="AD183" s="13">
        <f t="shared" si="35"/>
        <v>0</v>
      </c>
    </row>
    <row r="184" spans="1:30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13">
        <f t="shared" si="35"/>
        <v>0</v>
      </c>
    </row>
    <row r="185" spans="1:30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13">
        <f t="shared" si="35"/>
        <v>0</v>
      </c>
    </row>
    <row r="186" spans="1:30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13">
        <f t="shared" si="35"/>
        <v>0</v>
      </c>
    </row>
    <row r="187" spans="1:30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AD187" si="36">SUM(E177:E186)</f>
        <v>1</v>
      </c>
      <c r="F187" s="13">
        <f t="shared" si="36"/>
        <v>5</v>
      </c>
      <c r="G187" s="13">
        <f t="shared" si="36"/>
        <v>0</v>
      </c>
      <c r="H187" s="13">
        <f t="shared" si="36"/>
        <v>3</v>
      </c>
      <c r="I187" s="13">
        <f t="shared" si="36"/>
        <v>2</v>
      </c>
      <c r="J187" s="13">
        <f t="shared" si="36"/>
        <v>2</v>
      </c>
      <c r="K187" s="13">
        <f t="shared" si="36"/>
        <v>3</v>
      </c>
      <c r="L187" s="13">
        <f t="shared" si="36"/>
        <v>2</v>
      </c>
      <c r="M187" s="13">
        <f t="shared" si="36"/>
        <v>1</v>
      </c>
      <c r="N187" s="13">
        <f t="shared" si="36"/>
        <v>1</v>
      </c>
      <c r="O187" s="13">
        <f t="shared" si="36"/>
        <v>6</v>
      </c>
      <c r="P187" s="13">
        <f t="shared" si="36"/>
        <v>2</v>
      </c>
      <c r="Q187" s="13">
        <f t="shared" si="36"/>
        <v>4</v>
      </c>
      <c r="R187" s="13">
        <f t="shared" si="36"/>
        <v>5</v>
      </c>
      <c r="S187" s="13">
        <f t="shared" si="36"/>
        <v>1</v>
      </c>
      <c r="T187" s="13">
        <f t="shared" si="36"/>
        <v>1</v>
      </c>
      <c r="U187" s="13">
        <f t="shared" si="36"/>
        <v>4</v>
      </c>
      <c r="V187" s="13">
        <f t="shared" si="36"/>
        <v>2</v>
      </c>
      <c r="W187" s="13">
        <f t="shared" si="36"/>
        <v>2</v>
      </c>
      <c r="X187" s="13">
        <f t="shared" si="36"/>
        <v>1</v>
      </c>
      <c r="Y187" s="13">
        <f t="shared" si="36"/>
        <v>1</v>
      </c>
      <c r="Z187" s="13">
        <f t="shared" si="36"/>
        <v>2</v>
      </c>
      <c r="AA187" s="13">
        <f t="shared" si="36"/>
        <v>2</v>
      </c>
      <c r="AB187" s="13">
        <f t="shared" si="36"/>
        <v>3</v>
      </c>
      <c r="AC187" s="13">
        <f t="shared" si="36"/>
        <v>1</v>
      </c>
      <c r="AD187" s="13">
        <f t="shared" si="36"/>
        <v>57</v>
      </c>
    </row>
    <row r="188" spans="1:30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AD188" s="13"/>
    </row>
    <row r="189" spans="1:30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2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6">
        <v>0</v>
      </c>
      <c r="AD189" s="13">
        <f t="shared" ref="AD189:AD198" si="37">SUM(E189:AC189)</f>
        <v>2</v>
      </c>
    </row>
    <row r="190" spans="1:30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1</v>
      </c>
      <c r="O190" s="16">
        <v>0</v>
      </c>
      <c r="P190" s="16">
        <v>0</v>
      </c>
      <c r="Q190" s="16">
        <v>1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3">
        <f t="shared" si="37"/>
        <v>2</v>
      </c>
    </row>
    <row r="191" spans="1:30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1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3">
        <f t="shared" si="37"/>
        <v>1</v>
      </c>
    </row>
    <row r="192" spans="1:30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2</v>
      </c>
      <c r="Y192" s="16">
        <v>0</v>
      </c>
      <c r="Z192" s="16">
        <v>0</v>
      </c>
      <c r="AA192" s="16">
        <v>0</v>
      </c>
      <c r="AB192" s="16">
        <v>0</v>
      </c>
      <c r="AC192" s="16">
        <v>0</v>
      </c>
      <c r="AD192" s="13">
        <f t="shared" si="37"/>
        <v>2</v>
      </c>
    </row>
    <row r="193" spans="1:30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3">
        <f t="shared" si="37"/>
        <v>0</v>
      </c>
    </row>
    <row r="194" spans="1:30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1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1</v>
      </c>
      <c r="S194" s="16">
        <v>0</v>
      </c>
      <c r="T194" s="16">
        <v>0</v>
      </c>
      <c r="U194" s="16">
        <v>0</v>
      </c>
      <c r="V194" s="16">
        <v>1</v>
      </c>
      <c r="W194" s="16">
        <v>0</v>
      </c>
      <c r="X194" s="16">
        <v>0</v>
      </c>
      <c r="Y194" s="16">
        <v>0</v>
      </c>
      <c r="Z194" s="16">
        <v>0</v>
      </c>
      <c r="AA194" s="16">
        <v>1</v>
      </c>
      <c r="AB194" s="16">
        <v>0</v>
      </c>
      <c r="AC194" s="16">
        <v>0</v>
      </c>
      <c r="AD194" s="13">
        <f t="shared" si="37"/>
        <v>4</v>
      </c>
    </row>
    <row r="195" spans="1:30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0</v>
      </c>
      <c r="G195" s="16">
        <v>1</v>
      </c>
      <c r="H195" s="16">
        <v>0</v>
      </c>
      <c r="I195" s="16">
        <v>1</v>
      </c>
      <c r="J195" s="16">
        <v>0</v>
      </c>
      <c r="K195" s="16">
        <v>0</v>
      </c>
      <c r="L195" s="16">
        <v>0</v>
      </c>
      <c r="M195" s="16">
        <v>0</v>
      </c>
      <c r="N195" s="16">
        <v>2</v>
      </c>
      <c r="O195" s="16">
        <v>2</v>
      </c>
      <c r="P195" s="16">
        <v>2</v>
      </c>
      <c r="Q195" s="16">
        <v>6</v>
      </c>
      <c r="R195" s="16">
        <v>5</v>
      </c>
      <c r="S195" s="16">
        <v>19</v>
      </c>
      <c r="T195" s="16">
        <v>4</v>
      </c>
      <c r="U195" s="16">
        <v>7</v>
      </c>
      <c r="V195" s="16">
        <v>3</v>
      </c>
      <c r="W195" s="16">
        <v>1</v>
      </c>
      <c r="X195" s="16">
        <v>0</v>
      </c>
      <c r="Y195" s="16">
        <v>1</v>
      </c>
      <c r="Z195" s="16">
        <v>0</v>
      </c>
      <c r="AA195" s="16">
        <v>0</v>
      </c>
      <c r="AB195" s="16">
        <v>0</v>
      </c>
      <c r="AC195" s="16">
        <v>2</v>
      </c>
      <c r="AD195" s="13">
        <f t="shared" si="37"/>
        <v>56</v>
      </c>
    </row>
    <row r="196" spans="1:30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13">
        <f t="shared" si="37"/>
        <v>0</v>
      </c>
    </row>
    <row r="197" spans="1:30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13">
        <f t="shared" si="37"/>
        <v>0</v>
      </c>
    </row>
    <row r="198" spans="1:30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13">
        <f t="shared" si="37"/>
        <v>0</v>
      </c>
    </row>
    <row r="199" spans="1:30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AD199" si="38">SUM(E189:E198)</f>
        <v>0</v>
      </c>
      <c r="F199" s="13">
        <f t="shared" si="38"/>
        <v>0</v>
      </c>
      <c r="G199" s="13">
        <f t="shared" si="38"/>
        <v>1</v>
      </c>
      <c r="H199" s="13">
        <f t="shared" si="38"/>
        <v>1</v>
      </c>
      <c r="I199" s="13">
        <f t="shared" si="38"/>
        <v>1</v>
      </c>
      <c r="J199" s="13">
        <f t="shared" si="38"/>
        <v>0</v>
      </c>
      <c r="K199" s="13">
        <f t="shared" si="38"/>
        <v>0</v>
      </c>
      <c r="L199" s="13">
        <f t="shared" si="38"/>
        <v>0</v>
      </c>
      <c r="M199" s="13">
        <f t="shared" si="38"/>
        <v>0</v>
      </c>
      <c r="N199" s="13">
        <f t="shared" si="38"/>
        <v>3</v>
      </c>
      <c r="O199" s="13">
        <f t="shared" si="38"/>
        <v>2</v>
      </c>
      <c r="P199" s="13">
        <f t="shared" si="38"/>
        <v>2</v>
      </c>
      <c r="Q199" s="13">
        <f t="shared" si="38"/>
        <v>9</v>
      </c>
      <c r="R199" s="13">
        <f t="shared" si="38"/>
        <v>7</v>
      </c>
      <c r="S199" s="13">
        <f t="shared" si="38"/>
        <v>19</v>
      </c>
      <c r="T199" s="13">
        <f t="shared" si="38"/>
        <v>4</v>
      </c>
      <c r="U199" s="13">
        <f t="shared" si="38"/>
        <v>7</v>
      </c>
      <c r="V199" s="13">
        <f t="shared" si="38"/>
        <v>4</v>
      </c>
      <c r="W199" s="13">
        <f t="shared" si="38"/>
        <v>1</v>
      </c>
      <c r="X199" s="13">
        <f t="shared" si="38"/>
        <v>2</v>
      </c>
      <c r="Y199" s="13">
        <f t="shared" si="38"/>
        <v>1</v>
      </c>
      <c r="Z199" s="13">
        <f t="shared" si="38"/>
        <v>0</v>
      </c>
      <c r="AA199" s="13">
        <f t="shared" si="38"/>
        <v>1</v>
      </c>
      <c r="AB199" s="13">
        <f t="shared" si="38"/>
        <v>0</v>
      </c>
      <c r="AC199" s="13">
        <f t="shared" si="38"/>
        <v>2</v>
      </c>
      <c r="AD199" s="13">
        <f t="shared" si="38"/>
        <v>67</v>
      </c>
    </row>
    <row r="200" spans="1:30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</row>
    <row r="201" spans="1:30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9</v>
      </c>
      <c r="F201" s="16">
        <v>1</v>
      </c>
      <c r="G201" s="16">
        <v>3</v>
      </c>
      <c r="H201" s="16">
        <v>3</v>
      </c>
      <c r="I201" s="16">
        <v>1</v>
      </c>
      <c r="J201" s="16">
        <v>2</v>
      </c>
      <c r="K201" s="16">
        <v>14</v>
      </c>
      <c r="L201" s="16">
        <v>4</v>
      </c>
      <c r="M201" s="16">
        <v>6</v>
      </c>
      <c r="N201" s="16">
        <v>5</v>
      </c>
      <c r="O201" s="16">
        <v>3</v>
      </c>
      <c r="P201" s="16">
        <v>1</v>
      </c>
      <c r="Q201" s="16">
        <v>1</v>
      </c>
      <c r="R201" s="16">
        <v>1</v>
      </c>
      <c r="S201" s="16">
        <v>0</v>
      </c>
      <c r="T201" s="16">
        <v>0</v>
      </c>
      <c r="U201" s="16">
        <v>1</v>
      </c>
      <c r="V201" s="16">
        <v>3</v>
      </c>
      <c r="W201" s="16">
        <v>0</v>
      </c>
      <c r="X201" s="16">
        <v>0</v>
      </c>
      <c r="Y201" s="16">
        <v>0</v>
      </c>
      <c r="Z201" s="16">
        <v>2</v>
      </c>
      <c r="AA201" s="16">
        <v>3</v>
      </c>
      <c r="AB201" s="16">
        <v>2</v>
      </c>
      <c r="AC201" s="16">
        <v>1</v>
      </c>
      <c r="AD201" s="13">
        <f t="shared" ref="AD201:AD210" si="39">SUM(E201:AC201)</f>
        <v>66</v>
      </c>
    </row>
    <row r="202" spans="1:30" ht="12.75" customHeight="1" x14ac:dyDescent="0.4">
      <c r="A202" s="20" t="s">
        <v>38</v>
      </c>
      <c r="B202" s="28"/>
      <c r="C202" s="29" t="s">
        <v>125</v>
      </c>
      <c r="D202" s="30"/>
      <c r="E202" s="16">
        <v>26</v>
      </c>
      <c r="F202" s="16">
        <v>26</v>
      </c>
      <c r="G202" s="16">
        <v>15</v>
      </c>
      <c r="H202" s="16">
        <v>8</v>
      </c>
      <c r="I202" s="16">
        <v>3</v>
      </c>
      <c r="J202" s="16">
        <v>4</v>
      </c>
      <c r="K202" s="16">
        <v>51</v>
      </c>
      <c r="L202" s="16">
        <v>37</v>
      </c>
      <c r="M202" s="16">
        <v>21</v>
      </c>
      <c r="N202" s="16">
        <v>3</v>
      </c>
      <c r="O202" s="16">
        <v>1</v>
      </c>
      <c r="P202" s="16">
        <v>0</v>
      </c>
      <c r="Q202" s="16">
        <v>2</v>
      </c>
      <c r="R202" s="16">
        <v>4</v>
      </c>
      <c r="S202" s="16">
        <v>0</v>
      </c>
      <c r="T202" s="16">
        <v>1</v>
      </c>
      <c r="U202" s="16">
        <v>1</v>
      </c>
      <c r="V202" s="16">
        <v>2</v>
      </c>
      <c r="W202" s="16">
        <v>0</v>
      </c>
      <c r="X202" s="16">
        <v>0</v>
      </c>
      <c r="Y202" s="16">
        <v>0</v>
      </c>
      <c r="Z202" s="16">
        <v>1</v>
      </c>
      <c r="AA202" s="16">
        <v>3</v>
      </c>
      <c r="AB202" s="16">
        <v>0</v>
      </c>
      <c r="AC202" s="16">
        <v>3</v>
      </c>
      <c r="AD202" s="13">
        <f t="shared" si="39"/>
        <v>212</v>
      </c>
    </row>
    <row r="203" spans="1:30" ht="12.75" customHeight="1" x14ac:dyDescent="0.4">
      <c r="A203" s="15"/>
      <c r="B203" s="28"/>
      <c r="C203" s="29" t="s">
        <v>126</v>
      </c>
      <c r="D203" s="30"/>
      <c r="E203" s="16">
        <v>0</v>
      </c>
      <c r="F203" s="16">
        <v>1</v>
      </c>
      <c r="G203" s="16">
        <v>0</v>
      </c>
      <c r="H203" s="16">
        <v>1</v>
      </c>
      <c r="I203" s="16">
        <v>0</v>
      </c>
      <c r="J203" s="16">
        <v>0</v>
      </c>
      <c r="K203" s="16">
        <v>1</v>
      </c>
      <c r="L203" s="16">
        <v>0</v>
      </c>
      <c r="M203" s="16">
        <v>1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9</v>
      </c>
      <c r="AA203" s="16">
        <v>1</v>
      </c>
      <c r="AB203" s="16">
        <v>1</v>
      </c>
      <c r="AC203" s="16">
        <v>2</v>
      </c>
      <c r="AD203" s="13">
        <f t="shared" si="39"/>
        <v>17</v>
      </c>
    </row>
    <row r="204" spans="1:30" ht="12.75" customHeight="1" x14ac:dyDescent="0.4">
      <c r="A204" s="15"/>
      <c r="B204" s="28"/>
      <c r="C204" s="29" t="s">
        <v>127</v>
      </c>
      <c r="D204" s="30"/>
      <c r="E204" s="16">
        <v>2</v>
      </c>
      <c r="F204" s="16">
        <v>22</v>
      </c>
      <c r="G204" s="16">
        <v>24</v>
      </c>
      <c r="H204" s="16">
        <v>2</v>
      </c>
      <c r="I204" s="16">
        <v>2</v>
      </c>
      <c r="J204" s="16">
        <v>3</v>
      </c>
      <c r="K204" s="16">
        <v>3</v>
      </c>
      <c r="L204" s="16">
        <v>5</v>
      </c>
      <c r="M204" s="16">
        <v>2</v>
      </c>
      <c r="N204" s="16">
        <v>0</v>
      </c>
      <c r="O204" s="16">
        <v>1</v>
      </c>
      <c r="P204" s="16">
        <v>0</v>
      </c>
      <c r="Q204" s="16">
        <v>0</v>
      </c>
      <c r="R204" s="16">
        <v>0</v>
      </c>
      <c r="S204" s="16">
        <v>0</v>
      </c>
      <c r="T204" s="16">
        <v>4</v>
      </c>
      <c r="U204" s="16">
        <v>0</v>
      </c>
      <c r="V204" s="16">
        <v>1</v>
      </c>
      <c r="W204" s="16">
        <v>0</v>
      </c>
      <c r="X204" s="16">
        <v>1</v>
      </c>
      <c r="Y204" s="16">
        <v>2</v>
      </c>
      <c r="Z204" s="16">
        <v>2</v>
      </c>
      <c r="AA204" s="16">
        <v>0</v>
      </c>
      <c r="AB204" s="16">
        <v>2</v>
      </c>
      <c r="AC204" s="16">
        <v>0</v>
      </c>
      <c r="AD204" s="13">
        <f t="shared" si="39"/>
        <v>78</v>
      </c>
    </row>
    <row r="205" spans="1:30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0</v>
      </c>
      <c r="H205" s="16">
        <v>0</v>
      </c>
      <c r="I205" s="16">
        <v>1</v>
      </c>
      <c r="J205" s="16">
        <v>0</v>
      </c>
      <c r="K205" s="16">
        <v>0</v>
      </c>
      <c r="L205" s="16">
        <v>1</v>
      </c>
      <c r="M205" s="16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0</v>
      </c>
      <c r="T205" s="16">
        <v>0</v>
      </c>
      <c r="U205" s="16">
        <v>0</v>
      </c>
      <c r="V205" s="16">
        <v>0</v>
      </c>
      <c r="W205" s="16">
        <v>0</v>
      </c>
      <c r="X205" s="16">
        <v>0</v>
      </c>
      <c r="Y205" s="16">
        <v>0</v>
      </c>
      <c r="Z205" s="16">
        <v>0</v>
      </c>
      <c r="AA205" s="16">
        <v>1</v>
      </c>
      <c r="AB205" s="16">
        <v>0</v>
      </c>
      <c r="AC205" s="16">
        <v>0</v>
      </c>
      <c r="AD205" s="13">
        <f t="shared" si="39"/>
        <v>3</v>
      </c>
    </row>
    <row r="206" spans="1:30" ht="12.75" customHeight="1" x14ac:dyDescent="0.4">
      <c r="A206" s="15"/>
      <c r="B206" s="28"/>
      <c r="C206" s="29" t="s">
        <v>129</v>
      </c>
      <c r="D206" s="30"/>
      <c r="E206" s="16">
        <v>1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0</v>
      </c>
      <c r="M206" s="16">
        <v>0</v>
      </c>
      <c r="N206" s="16">
        <v>0</v>
      </c>
      <c r="O206" s="16">
        <v>0</v>
      </c>
      <c r="P206" s="16">
        <v>0</v>
      </c>
      <c r="Q206" s="16">
        <v>0</v>
      </c>
      <c r="R206" s="16">
        <v>0</v>
      </c>
      <c r="S206" s="16">
        <v>0</v>
      </c>
      <c r="T206" s="16">
        <v>0</v>
      </c>
      <c r="U206" s="16">
        <v>0</v>
      </c>
      <c r="V206" s="16">
        <v>0</v>
      </c>
      <c r="W206" s="16">
        <v>0</v>
      </c>
      <c r="X206" s="16">
        <v>0</v>
      </c>
      <c r="Y206" s="16">
        <v>0</v>
      </c>
      <c r="Z206" s="16">
        <v>0</v>
      </c>
      <c r="AA206" s="16">
        <v>1</v>
      </c>
      <c r="AB206" s="16">
        <v>0</v>
      </c>
      <c r="AC206" s="16">
        <v>0</v>
      </c>
      <c r="AD206" s="13">
        <f t="shared" si="39"/>
        <v>2</v>
      </c>
    </row>
    <row r="207" spans="1:30" ht="12.75" customHeight="1" x14ac:dyDescent="0.4">
      <c r="A207" s="15"/>
      <c r="B207" s="28"/>
      <c r="C207" s="29" t="s">
        <v>130</v>
      </c>
      <c r="D207" s="30"/>
      <c r="E207" s="16">
        <v>1</v>
      </c>
      <c r="F207" s="16">
        <v>0</v>
      </c>
      <c r="G207" s="16">
        <v>0</v>
      </c>
      <c r="H207" s="16">
        <v>0</v>
      </c>
      <c r="I207" s="16">
        <v>0</v>
      </c>
      <c r="J207" s="16">
        <v>0</v>
      </c>
      <c r="K207" s="16">
        <v>0</v>
      </c>
      <c r="L207" s="16">
        <v>0</v>
      </c>
      <c r="M207" s="16">
        <v>6</v>
      </c>
      <c r="N207" s="16">
        <v>2</v>
      </c>
      <c r="O207" s="16">
        <v>1</v>
      </c>
      <c r="P207" s="16">
        <v>0</v>
      </c>
      <c r="Q207" s="16">
        <v>0</v>
      </c>
      <c r="R207" s="16">
        <v>0</v>
      </c>
      <c r="S207" s="16">
        <v>0</v>
      </c>
      <c r="T207" s="16">
        <v>0</v>
      </c>
      <c r="U207" s="16">
        <v>0</v>
      </c>
      <c r="V207" s="16">
        <v>3</v>
      </c>
      <c r="W207" s="16">
        <v>0</v>
      </c>
      <c r="X207" s="16">
        <v>0</v>
      </c>
      <c r="Y207" s="16">
        <v>0</v>
      </c>
      <c r="Z207" s="16">
        <v>0</v>
      </c>
      <c r="AA207" s="16">
        <v>0</v>
      </c>
      <c r="AB207" s="16">
        <v>0</v>
      </c>
      <c r="AC207" s="16">
        <v>0</v>
      </c>
      <c r="AD207" s="13">
        <f t="shared" si="39"/>
        <v>13</v>
      </c>
    </row>
    <row r="208" spans="1:30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13">
        <f t="shared" si="39"/>
        <v>0</v>
      </c>
    </row>
    <row r="209" spans="1:30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13">
        <f t="shared" si="39"/>
        <v>0</v>
      </c>
    </row>
    <row r="210" spans="1:30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13">
        <f t="shared" si="39"/>
        <v>0</v>
      </c>
    </row>
    <row r="211" spans="1:30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AD211" si="40">SUM(E201:E210)</f>
        <v>39</v>
      </c>
      <c r="F211" s="13">
        <f t="shared" si="40"/>
        <v>50</v>
      </c>
      <c r="G211" s="13">
        <f t="shared" si="40"/>
        <v>42</v>
      </c>
      <c r="H211" s="13">
        <f t="shared" si="40"/>
        <v>14</v>
      </c>
      <c r="I211" s="13">
        <f t="shared" si="40"/>
        <v>7</v>
      </c>
      <c r="J211" s="13">
        <f t="shared" si="40"/>
        <v>9</v>
      </c>
      <c r="K211" s="13">
        <f t="shared" si="40"/>
        <v>69</v>
      </c>
      <c r="L211" s="13">
        <f t="shared" si="40"/>
        <v>47</v>
      </c>
      <c r="M211" s="13">
        <f t="shared" si="40"/>
        <v>36</v>
      </c>
      <c r="N211" s="13">
        <f t="shared" si="40"/>
        <v>10</v>
      </c>
      <c r="O211" s="13">
        <f t="shared" si="40"/>
        <v>6</v>
      </c>
      <c r="P211" s="13">
        <f t="shared" si="40"/>
        <v>1</v>
      </c>
      <c r="Q211" s="13">
        <f t="shared" si="40"/>
        <v>3</v>
      </c>
      <c r="R211" s="13">
        <f t="shared" si="40"/>
        <v>5</v>
      </c>
      <c r="S211" s="13">
        <f t="shared" si="40"/>
        <v>0</v>
      </c>
      <c r="T211" s="13">
        <f t="shared" si="40"/>
        <v>5</v>
      </c>
      <c r="U211" s="13">
        <f t="shared" si="40"/>
        <v>2</v>
      </c>
      <c r="V211" s="13">
        <f t="shared" si="40"/>
        <v>9</v>
      </c>
      <c r="W211" s="13">
        <f t="shared" si="40"/>
        <v>0</v>
      </c>
      <c r="X211" s="13">
        <f t="shared" si="40"/>
        <v>1</v>
      </c>
      <c r="Y211" s="13">
        <f t="shared" si="40"/>
        <v>2</v>
      </c>
      <c r="Z211" s="13">
        <f t="shared" si="40"/>
        <v>14</v>
      </c>
      <c r="AA211" s="13">
        <f t="shared" si="40"/>
        <v>9</v>
      </c>
      <c r="AB211" s="13">
        <f t="shared" si="40"/>
        <v>5</v>
      </c>
      <c r="AC211" s="13">
        <f t="shared" si="40"/>
        <v>6</v>
      </c>
      <c r="AD211" s="13">
        <f t="shared" si="40"/>
        <v>391</v>
      </c>
    </row>
    <row r="212" spans="1:30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</row>
    <row r="213" spans="1:30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2</v>
      </c>
      <c r="F213" s="16">
        <v>1</v>
      </c>
      <c r="G213" s="16">
        <v>0</v>
      </c>
      <c r="H213" s="16">
        <v>3</v>
      </c>
      <c r="I213" s="16">
        <v>0</v>
      </c>
      <c r="J213" s="16">
        <v>0</v>
      </c>
      <c r="K213" s="16">
        <v>0</v>
      </c>
      <c r="L213" s="16">
        <v>1</v>
      </c>
      <c r="M213" s="16">
        <v>2</v>
      </c>
      <c r="N213" s="16">
        <v>2</v>
      </c>
      <c r="O213" s="16">
        <v>1</v>
      </c>
      <c r="P213" s="16">
        <v>0</v>
      </c>
      <c r="Q213" s="16">
        <v>0</v>
      </c>
      <c r="R213" s="16">
        <v>1</v>
      </c>
      <c r="S213" s="16">
        <v>1</v>
      </c>
      <c r="T213" s="16">
        <v>0</v>
      </c>
      <c r="U213" s="16">
        <v>0</v>
      </c>
      <c r="V213" s="16">
        <v>0</v>
      </c>
      <c r="W213" s="16">
        <v>0</v>
      </c>
      <c r="X213" s="16">
        <v>0</v>
      </c>
      <c r="Y213" s="16">
        <v>0</v>
      </c>
      <c r="Z213" s="16">
        <v>1</v>
      </c>
      <c r="AA213" s="16">
        <v>2</v>
      </c>
      <c r="AB213" s="16">
        <v>1</v>
      </c>
      <c r="AC213" s="16">
        <v>1</v>
      </c>
      <c r="AD213" s="13">
        <f t="shared" ref="AD213:AD222" si="41">SUM(E213:AC213)</f>
        <v>19</v>
      </c>
    </row>
    <row r="214" spans="1:30" ht="12.75" customHeight="1" x14ac:dyDescent="0.4">
      <c r="A214" s="20" t="s">
        <v>38</v>
      </c>
      <c r="B214" s="27"/>
      <c r="C214" s="29" t="s">
        <v>133</v>
      </c>
      <c r="D214" s="40"/>
      <c r="E214" s="16">
        <v>2</v>
      </c>
      <c r="F214" s="16">
        <v>1</v>
      </c>
      <c r="G214" s="16">
        <v>0</v>
      </c>
      <c r="H214" s="16">
        <v>0</v>
      </c>
      <c r="I214" s="16">
        <v>0</v>
      </c>
      <c r="J214" s="16">
        <v>0</v>
      </c>
      <c r="K214" s="16">
        <v>0</v>
      </c>
      <c r="L214" s="16">
        <v>1</v>
      </c>
      <c r="M214" s="16">
        <v>1</v>
      </c>
      <c r="N214" s="16">
        <v>1</v>
      </c>
      <c r="O214" s="16">
        <v>0</v>
      </c>
      <c r="P214" s="16">
        <v>1</v>
      </c>
      <c r="Q214" s="16">
        <v>0</v>
      </c>
      <c r="R214" s="16">
        <v>1</v>
      </c>
      <c r="S214" s="16">
        <v>0</v>
      </c>
      <c r="T214" s="16">
        <v>0</v>
      </c>
      <c r="U214" s="16">
        <v>0</v>
      </c>
      <c r="V214" s="16">
        <v>0</v>
      </c>
      <c r="W214" s="16">
        <v>1</v>
      </c>
      <c r="X214" s="16">
        <v>0</v>
      </c>
      <c r="Y214" s="16">
        <v>1</v>
      </c>
      <c r="Z214" s="16">
        <v>0</v>
      </c>
      <c r="AA214" s="16">
        <v>1</v>
      </c>
      <c r="AB214" s="16">
        <v>1</v>
      </c>
      <c r="AC214" s="16">
        <v>1</v>
      </c>
      <c r="AD214" s="13">
        <f t="shared" si="41"/>
        <v>13</v>
      </c>
    </row>
    <row r="215" spans="1:30" ht="12.75" customHeight="1" x14ac:dyDescent="0.4">
      <c r="A215" s="15"/>
      <c r="B215" s="27"/>
      <c r="C215" s="29" t="s">
        <v>134</v>
      </c>
      <c r="D215" s="40"/>
      <c r="E215" s="16">
        <v>1</v>
      </c>
      <c r="F215" s="16">
        <v>0</v>
      </c>
      <c r="G215" s="16">
        <v>0</v>
      </c>
      <c r="H215" s="16">
        <v>0</v>
      </c>
      <c r="I215" s="16">
        <v>0</v>
      </c>
      <c r="J215" s="16">
        <v>0</v>
      </c>
      <c r="K215" s="16">
        <v>0</v>
      </c>
      <c r="L215" s="16">
        <v>0</v>
      </c>
      <c r="M215" s="16">
        <v>1</v>
      </c>
      <c r="N215" s="16">
        <v>0</v>
      </c>
      <c r="O215" s="16">
        <v>0</v>
      </c>
      <c r="P215" s="16">
        <v>0</v>
      </c>
      <c r="Q215" s="16">
        <v>0</v>
      </c>
      <c r="R215" s="16">
        <v>0</v>
      </c>
      <c r="S215" s="16">
        <v>0</v>
      </c>
      <c r="T215" s="16">
        <v>0</v>
      </c>
      <c r="U215" s="16">
        <v>1</v>
      </c>
      <c r="V215" s="16">
        <v>0</v>
      </c>
      <c r="W215" s="16">
        <v>1</v>
      </c>
      <c r="X215" s="16">
        <v>0</v>
      </c>
      <c r="Y215" s="16">
        <v>0</v>
      </c>
      <c r="Z215" s="16">
        <v>1</v>
      </c>
      <c r="AA215" s="16">
        <v>1</v>
      </c>
      <c r="AB215" s="16">
        <v>0</v>
      </c>
      <c r="AC215" s="16">
        <v>2</v>
      </c>
      <c r="AD215" s="13">
        <f t="shared" si="41"/>
        <v>8</v>
      </c>
    </row>
    <row r="216" spans="1:30" ht="12.75" customHeight="1" x14ac:dyDescent="0.4">
      <c r="A216" s="15"/>
      <c r="B216" s="27"/>
      <c r="C216" s="29" t="s">
        <v>135</v>
      </c>
      <c r="D216" s="40"/>
      <c r="E216" s="16">
        <v>1</v>
      </c>
      <c r="F216" s="16">
        <v>1</v>
      </c>
      <c r="G216" s="16">
        <v>0</v>
      </c>
      <c r="H216" s="16">
        <v>0</v>
      </c>
      <c r="I216" s="16">
        <v>0</v>
      </c>
      <c r="J216" s="16">
        <v>0</v>
      </c>
      <c r="K216" s="16">
        <v>0</v>
      </c>
      <c r="L216" s="16">
        <v>0</v>
      </c>
      <c r="M216" s="16">
        <v>1</v>
      </c>
      <c r="N216" s="16">
        <v>0</v>
      </c>
      <c r="O216" s="16">
        <v>0</v>
      </c>
      <c r="P216" s="16">
        <v>1</v>
      </c>
      <c r="Q216" s="16">
        <v>0</v>
      </c>
      <c r="R216" s="16">
        <v>0</v>
      </c>
      <c r="S216" s="16">
        <v>0</v>
      </c>
      <c r="T216" s="16">
        <v>0</v>
      </c>
      <c r="U216" s="16">
        <v>0</v>
      </c>
      <c r="V216" s="16">
        <v>0</v>
      </c>
      <c r="W216" s="16">
        <v>1</v>
      </c>
      <c r="X216" s="16">
        <v>0</v>
      </c>
      <c r="Y216" s="16">
        <v>0</v>
      </c>
      <c r="Z216" s="16">
        <v>0</v>
      </c>
      <c r="AA216" s="16">
        <v>1</v>
      </c>
      <c r="AB216" s="16">
        <v>0</v>
      </c>
      <c r="AC216" s="16">
        <v>0</v>
      </c>
      <c r="AD216" s="13">
        <f t="shared" si="41"/>
        <v>6</v>
      </c>
    </row>
    <row r="217" spans="1:30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0</v>
      </c>
      <c r="L217" s="16">
        <v>0</v>
      </c>
      <c r="M217" s="16">
        <v>1</v>
      </c>
      <c r="N217" s="16">
        <v>0</v>
      </c>
      <c r="O217" s="16">
        <v>0</v>
      </c>
      <c r="P217" s="16">
        <v>0</v>
      </c>
      <c r="Q217" s="16">
        <v>0</v>
      </c>
      <c r="R217" s="16">
        <v>0</v>
      </c>
      <c r="S217" s="16">
        <v>0</v>
      </c>
      <c r="T217" s="16">
        <v>0</v>
      </c>
      <c r="U217" s="16">
        <v>1</v>
      </c>
      <c r="V217" s="16">
        <v>0</v>
      </c>
      <c r="W217" s="16">
        <v>1</v>
      </c>
      <c r="X217" s="16">
        <v>0</v>
      </c>
      <c r="Y217" s="16">
        <v>0</v>
      </c>
      <c r="Z217" s="16">
        <v>1</v>
      </c>
      <c r="AA217" s="16">
        <v>0</v>
      </c>
      <c r="AB217" s="16">
        <v>1</v>
      </c>
      <c r="AC217" s="16">
        <v>0</v>
      </c>
      <c r="AD217" s="13">
        <f t="shared" si="41"/>
        <v>5</v>
      </c>
    </row>
    <row r="218" spans="1:30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1</v>
      </c>
      <c r="G218" s="16">
        <v>2</v>
      </c>
      <c r="H218" s="16">
        <v>0</v>
      </c>
      <c r="I218" s="16">
        <v>0</v>
      </c>
      <c r="J218" s="16">
        <v>0</v>
      </c>
      <c r="K218" s="16">
        <v>0</v>
      </c>
      <c r="L218" s="16">
        <v>0</v>
      </c>
      <c r="M218" s="16">
        <v>0</v>
      </c>
      <c r="N218" s="16">
        <v>0</v>
      </c>
      <c r="O218" s="16">
        <v>0</v>
      </c>
      <c r="P218" s="16">
        <v>0</v>
      </c>
      <c r="Q218" s="16">
        <v>0</v>
      </c>
      <c r="R218" s="16">
        <v>0</v>
      </c>
      <c r="S218" s="16">
        <v>0</v>
      </c>
      <c r="T218" s="16">
        <v>0</v>
      </c>
      <c r="U218" s="16">
        <v>0</v>
      </c>
      <c r="V218" s="16">
        <v>0</v>
      </c>
      <c r="W218" s="16">
        <v>1</v>
      </c>
      <c r="X218" s="16">
        <v>0</v>
      </c>
      <c r="Y218" s="16">
        <v>0</v>
      </c>
      <c r="Z218" s="16">
        <v>0</v>
      </c>
      <c r="AA218" s="16">
        <v>0</v>
      </c>
      <c r="AB218" s="16">
        <v>0</v>
      </c>
      <c r="AC218" s="16">
        <v>0</v>
      </c>
      <c r="AD218" s="13">
        <f t="shared" si="41"/>
        <v>4</v>
      </c>
    </row>
    <row r="219" spans="1:30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13">
        <f t="shared" si="41"/>
        <v>0</v>
      </c>
    </row>
    <row r="220" spans="1:30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13">
        <f t="shared" si="41"/>
        <v>0</v>
      </c>
    </row>
    <row r="221" spans="1:30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13">
        <f t="shared" si="41"/>
        <v>0</v>
      </c>
    </row>
    <row r="222" spans="1:30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13">
        <f t="shared" si="41"/>
        <v>0</v>
      </c>
    </row>
    <row r="223" spans="1:30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AD223" si="42">SUM(E213:E222)</f>
        <v>6</v>
      </c>
      <c r="F223" s="13">
        <f t="shared" si="42"/>
        <v>4</v>
      </c>
      <c r="G223" s="13">
        <f t="shared" si="42"/>
        <v>2</v>
      </c>
      <c r="H223" s="13">
        <f t="shared" si="42"/>
        <v>3</v>
      </c>
      <c r="I223" s="13">
        <f t="shared" si="42"/>
        <v>0</v>
      </c>
      <c r="J223" s="13">
        <f t="shared" si="42"/>
        <v>0</v>
      </c>
      <c r="K223" s="13">
        <f t="shared" si="42"/>
        <v>0</v>
      </c>
      <c r="L223" s="13">
        <f t="shared" si="42"/>
        <v>2</v>
      </c>
      <c r="M223" s="13">
        <f t="shared" si="42"/>
        <v>6</v>
      </c>
      <c r="N223" s="13">
        <f t="shared" si="42"/>
        <v>3</v>
      </c>
      <c r="O223" s="13">
        <f t="shared" si="42"/>
        <v>1</v>
      </c>
      <c r="P223" s="13">
        <f t="shared" si="42"/>
        <v>2</v>
      </c>
      <c r="Q223" s="13">
        <f t="shared" si="42"/>
        <v>0</v>
      </c>
      <c r="R223" s="13">
        <f t="shared" si="42"/>
        <v>2</v>
      </c>
      <c r="S223" s="13">
        <f t="shared" si="42"/>
        <v>1</v>
      </c>
      <c r="T223" s="13">
        <f t="shared" si="42"/>
        <v>0</v>
      </c>
      <c r="U223" s="13">
        <f t="shared" si="42"/>
        <v>2</v>
      </c>
      <c r="V223" s="13">
        <f t="shared" si="42"/>
        <v>0</v>
      </c>
      <c r="W223" s="13">
        <f t="shared" si="42"/>
        <v>5</v>
      </c>
      <c r="X223" s="13">
        <f t="shared" si="42"/>
        <v>0</v>
      </c>
      <c r="Y223" s="13">
        <f t="shared" si="42"/>
        <v>1</v>
      </c>
      <c r="Z223" s="13">
        <f t="shared" si="42"/>
        <v>3</v>
      </c>
      <c r="AA223" s="13">
        <f t="shared" si="42"/>
        <v>5</v>
      </c>
      <c r="AB223" s="13">
        <f t="shared" si="42"/>
        <v>3</v>
      </c>
      <c r="AC223" s="13">
        <f t="shared" si="42"/>
        <v>4</v>
      </c>
      <c r="AD223" s="13">
        <f t="shared" si="42"/>
        <v>55</v>
      </c>
    </row>
    <row r="224" spans="1:30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</row>
    <row r="225" spans="1:30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1</v>
      </c>
      <c r="F225" s="16">
        <v>0</v>
      </c>
      <c r="G225" s="16">
        <v>0</v>
      </c>
      <c r="H225" s="16">
        <v>0</v>
      </c>
      <c r="I225" s="16">
        <v>0</v>
      </c>
      <c r="J225" s="16">
        <v>0</v>
      </c>
      <c r="K225" s="16">
        <v>0</v>
      </c>
      <c r="L225" s="16">
        <v>0</v>
      </c>
      <c r="M225" s="16">
        <v>1</v>
      </c>
      <c r="N225" s="16">
        <v>0</v>
      </c>
      <c r="O225" s="16">
        <v>0</v>
      </c>
      <c r="P225" s="16">
        <v>0</v>
      </c>
      <c r="Q225" s="16">
        <v>0</v>
      </c>
      <c r="R225" s="16">
        <v>0</v>
      </c>
      <c r="S225" s="16">
        <v>0</v>
      </c>
      <c r="T225" s="16">
        <v>0</v>
      </c>
      <c r="U225" s="16">
        <v>1</v>
      </c>
      <c r="V225" s="16">
        <v>0</v>
      </c>
      <c r="W225" s="16">
        <v>0</v>
      </c>
      <c r="X225" s="16">
        <v>0</v>
      </c>
      <c r="Y225" s="16">
        <v>0</v>
      </c>
      <c r="Z225" s="16">
        <v>0</v>
      </c>
      <c r="AA225" s="16">
        <v>0</v>
      </c>
      <c r="AB225" s="16">
        <v>0</v>
      </c>
      <c r="AC225" s="16">
        <v>0</v>
      </c>
      <c r="AD225" s="13">
        <f t="shared" ref="AD225:AD234" si="43">SUM(E225:AC225)</f>
        <v>3</v>
      </c>
    </row>
    <row r="226" spans="1:30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0</v>
      </c>
      <c r="L226" s="16">
        <v>0</v>
      </c>
      <c r="M226" s="16">
        <v>1</v>
      </c>
      <c r="N226" s="16">
        <v>0</v>
      </c>
      <c r="O226" s="16">
        <v>0</v>
      </c>
      <c r="P226" s="16">
        <v>0</v>
      </c>
      <c r="Q226" s="16">
        <v>0</v>
      </c>
      <c r="R226" s="16">
        <v>0</v>
      </c>
      <c r="S226" s="16">
        <v>0</v>
      </c>
      <c r="T226" s="16">
        <v>0</v>
      </c>
      <c r="U226" s="16">
        <v>0</v>
      </c>
      <c r="V226" s="16">
        <v>0</v>
      </c>
      <c r="W226" s="16">
        <v>0</v>
      </c>
      <c r="X226" s="16">
        <v>1</v>
      </c>
      <c r="Y226" s="16">
        <v>0</v>
      </c>
      <c r="Z226" s="16">
        <v>0</v>
      </c>
      <c r="AA226" s="16">
        <v>0</v>
      </c>
      <c r="AB226" s="16">
        <v>1</v>
      </c>
      <c r="AC226" s="16">
        <v>0</v>
      </c>
      <c r="AD226" s="13">
        <f t="shared" si="43"/>
        <v>3</v>
      </c>
    </row>
    <row r="227" spans="1:30" ht="12.75" customHeight="1" x14ac:dyDescent="0.4">
      <c r="A227" s="15"/>
      <c r="B227" s="27"/>
      <c r="C227" s="29" t="s">
        <v>141</v>
      </c>
      <c r="D227" s="40"/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6">
        <v>0</v>
      </c>
      <c r="M227" s="16">
        <v>0</v>
      </c>
      <c r="N227" s="16">
        <v>1</v>
      </c>
      <c r="O227" s="16">
        <v>0</v>
      </c>
      <c r="P227" s="16">
        <v>0</v>
      </c>
      <c r="Q227" s="16">
        <v>0</v>
      </c>
      <c r="R227" s="16">
        <v>0</v>
      </c>
      <c r="S227" s="16">
        <v>0</v>
      </c>
      <c r="T227" s="16">
        <v>0</v>
      </c>
      <c r="U227" s="16">
        <v>0</v>
      </c>
      <c r="V227" s="16">
        <v>0</v>
      </c>
      <c r="W227" s="16">
        <v>0</v>
      </c>
      <c r="X227" s="16">
        <v>0</v>
      </c>
      <c r="Y227" s="16">
        <v>0</v>
      </c>
      <c r="Z227" s="16">
        <v>1</v>
      </c>
      <c r="AA227" s="16">
        <v>0</v>
      </c>
      <c r="AB227" s="16">
        <v>0</v>
      </c>
      <c r="AC227" s="16">
        <v>0</v>
      </c>
      <c r="AD227" s="13">
        <f t="shared" si="43"/>
        <v>2</v>
      </c>
    </row>
    <row r="228" spans="1:30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6">
        <v>0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6">
        <v>0</v>
      </c>
      <c r="AA228" s="16">
        <v>0</v>
      </c>
      <c r="AB228" s="16">
        <v>0</v>
      </c>
      <c r="AC228" s="16">
        <v>0</v>
      </c>
      <c r="AD228" s="13">
        <f t="shared" si="43"/>
        <v>0</v>
      </c>
    </row>
    <row r="229" spans="1:30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2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0</v>
      </c>
      <c r="T229" s="16">
        <v>0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6">
        <v>1</v>
      </c>
      <c r="AA229" s="16">
        <v>0</v>
      </c>
      <c r="AB229" s="16">
        <v>2</v>
      </c>
      <c r="AC229" s="16">
        <v>0</v>
      </c>
      <c r="AD229" s="13">
        <f t="shared" si="43"/>
        <v>5</v>
      </c>
    </row>
    <row r="230" spans="1:30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1</v>
      </c>
      <c r="G230" s="16">
        <v>0</v>
      </c>
      <c r="H230" s="16">
        <v>0</v>
      </c>
      <c r="I230" s="16">
        <v>0</v>
      </c>
      <c r="J230" s="16">
        <v>0</v>
      </c>
      <c r="K230" s="16">
        <v>0</v>
      </c>
      <c r="L230" s="16">
        <v>1</v>
      </c>
      <c r="M230" s="16">
        <v>0</v>
      </c>
      <c r="N230" s="16">
        <v>0</v>
      </c>
      <c r="O230" s="16">
        <v>0</v>
      </c>
      <c r="P230" s="16">
        <v>0</v>
      </c>
      <c r="Q230" s="16">
        <v>0</v>
      </c>
      <c r="R230" s="16">
        <v>0</v>
      </c>
      <c r="S230" s="16">
        <v>0</v>
      </c>
      <c r="T230" s="16">
        <v>0</v>
      </c>
      <c r="U230" s="16">
        <v>0</v>
      </c>
      <c r="V230" s="16">
        <v>0</v>
      </c>
      <c r="W230" s="16">
        <v>0</v>
      </c>
      <c r="X230" s="16">
        <v>0</v>
      </c>
      <c r="Y230" s="16">
        <v>0</v>
      </c>
      <c r="Z230" s="16">
        <v>1</v>
      </c>
      <c r="AA230" s="16">
        <v>0</v>
      </c>
      <c r="AB230" s="16">
        <v>0</v>
      </c>
      <c r="AC230" s="16">
        <v>0</v>
      </c>
      <c r="AD230" s="13">
        <f t="shared" si="43"/>
        <v>3</v>
      </c>
    </row>
    <row r="231" spans="1:30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1</v>
      </c>
      <c r="P231" s="16">
        <v>0</v>
      </c>
      <c r="Q231" s="16">
        <v>0</v>
      </c>
      <c r="R231" s="16">
        <v>0</v>
      </c>
      <c r="S231" s="16">
        <v>0</v>
      </c>
      <c r="T231" s="16">
        <v>0</v>
      </c>
      <c r="U231" s="16">
        <v>2</v>
      </c>
      <c r="V231" s="16">
        <v>1</v>
      </c>
      <c r="W231" s="16">
        <v>0</v>
      </c>
      <c r="X231" s="16">
        <v>0</v>
      </c>
      <c r="Y231" s="16">
        <v>0</v>
      </c>
      <c r="Z231" s="16">
        <v>2</v>
      </c>
      <c r="AA231" s="16">
        <v>4</v>
      </c>
      <c r="AB231" s="16">
        <v>0</v>
      </c>
      <c r="AC231" s="16">
        <v>0</v>
      </c>
      <c r="AD231" s="13">
        <f t="shared" si="43"/>
        <v>10</v>
      </c>
    </row>
    <row r="232" spans="1:30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13">
        <f t="shared" si="43"/>
        <v>0</v>
      </c>
    </row>
    <row r="233" spans="1:30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13">
        <f t="shared" si="43"/>
        <v>0</v>
      </c>
    </row>
    <row r="234" spans="1:30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13">
        <f t="shared" si="43"/>
        <v>0</v>
      </c>
    </row>
    <row r="235" spans="1:30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AD235" si="44">SUM(E225:E234)</f>
        <v>1</v>
      </c>
      <c r="F235" s="13">
        <f t="shared" si="44"/>
        <v>1</v>
      </c>
      <c r="G235" s="13">
        <f t="shared" si="44"/>
        <v>0</v>
      </c>
      <c r="H235" s="13">
        <f t="shared" si="44"/>
        <v>0</v>
      </c>
      <c r="I235" s="13">
        <f t="shared" si="44"/>
        <v>0</v>
      </c>
      <c r="J235" s="13">
        <f t="shared" si="44"/>
        <v>0</v>
      </c>
      <c r="K235" s="13">
        <f t="shared" si="44"/>
        <v>0</v>
      </c>
      <c r="L235" s="13">
        <f t="shared" si="44"/>
        <v>1</v>
      </c>
      <c r="M235" s="13">
        <f t="shared" si="44"/>
        <v>4</v>
      </c>
      <c r="N235" s="13">
        <f t="shared" si="44"/>
        <v>1</v>
      </c>
      <c r="O235" s="13">
        <f t="shared" si="44"/>
        <v>1</v>
      </c>
      <c r="P235" s="13">
        <f t="shared" si="44"/>
        <v>0</v>
      </c>
      <c r="Q235" s="13">
        <f t="shared" si="44"/>
        <v>0</v>
      </c>
      <c r="R235" s="13">
        <f t="shared" si="44"/>
        <v>0</v>
      </c>
      <c r="S235" s="13">
        <f t="shared" si="44"/>
        <v>0</v>
      </c>
      <c r="T235" s="13">
        <f t="shared" si="44"/>
        <v>0</v>
      </c>
      <c r="U235" s="13">
        <f t="shared" si="44"/>
        <v>3</v>
      </c>
      <c r="V235" s="13">
        <f t="shared" si="44"/>
        <v>1</v>
      </c>
      <c r="W235" s="13">
        <f t="shared" si="44"/>
        <v>0</v>
      </c>
      <c r="X235" s="13">
        <f t="shared" si="44"/>
        <v>1</v>
      </c>
      <c r="Y235" s="13">
        <f t="shared" si="44"/>
        <v>0</v>
      </c>
      <c r="Z235" s="13">
        <f t="shared" si="44"/>
        <v>5</v>
      </c>
      <c r="AA235" s="13">
        <f t="shared" si="44"/>
        <v>4</v>
      </c>
      <c r="AB235" s="13">
        <f t="shared" si="44"/>
        <v>3</v>
      </c>
      <c r="AC235" s="13">
        <f t="shared" si="44"/>
        <v>0</v>
      </c>
      <c r="AD235" s="13">
        <f t="shared" si="44"/>
        <v>26</v>
      </c>
    </row>
    <row r="236" spans="1:30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</row>
    <row r="237" spans="1:30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1</v>
      </c>
      <c r="F237" s="16">
        <v>0</v>
      </c>
      <c r="G237" s="16">
        <v>1</v>
      </c>
      <c r="H237" s="16">
        <v>1</v>
      </c>
      <c r="I237" s="16">
        <v>0</v>
      </c>
      <c r="J237" s="16">
        <v>0</v>
      </c>
      <c r="K237" s="16">
        <v>0</v>
      </c>
      <c r="L237" s="16">
        <v>1</v>
      </c>
      <c r="M237" s="16">
        <v>0</v>
      </c>
      <c r="N237" s="16">
        <v>0</v>
      </c>
      <c r="O237" s="16">
        <v>1</v>
      </c>
      <c r="P237" s="16">
        <v>1</v>
      </c>
      <c r="Q237" s="16">
        <v>2</v>
      </c>
      <c r="R237" s="16">
        <v>3</v>
      </c>
      <c r="S237" s="16">
        <v>4</v>
      </c>
      <c r="T237" s="16">
        <v>0</v>
      </c>
      <c r="U237" s="16">
        <v>0</v>
      </c>
      <c r="V237" s="16">
        <v>0</v>
      </c>
      <c r="W237" s="16">
        <v>0</v>
      </c>
      <c r="X237" s="16">
        <v>0</v>
      </c>
      <c r="Y237" s="16">
        <v>0</v>
      </c>
      <c r="Z237" s="16">
        <v>1</v>
      </c>
      <c r="AA237" s="16">
        <v>3</v>
      </c>
      <c r="AB237" s="16">
        <v>0</v>
      </c>
      <c r="AC237" s="16">
        <v>2</v>
      </c>
      <c r="AD237" s="13">
        <f t="shared" ref="AD237:AD246" si="45">SUM(E237:AC237)</f>
        <v>21</v>
      </c>
    </row>
    <row r="238" spans="1:30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0</v>
      </c>
      <c r="G238" s="16">
        <v>0</v>
      </c>
      <c r="H238" s="16">
        <v>0</v>
      </c>
      <c r="I238" s="16">
        <v>0</v>
      </c>
      <c r="J238" s="16">
        <v>0</v>
      </c>
      <c r="K238" s="16">
        <v>0</v>
      </c>
      <c r="L238" s="16">
        <v>0</v>
      </c>
      <c r="M238" s="16">
        <v>0</v>
      </c>
      <c r="N238" s="16">
        <v>0</v>
      </c>
      <c r="O238" s="16">
        <v>0</v>
      </c>
      <c r="P238" s="16">
        <v>0</v>
      </c>
      <c r="Q238" s="16">
        <v>2</v>
      </c>
      <c r="R238" s="16">
        <v>2</v>
      </c>
      <c r="S238" s="16">
        <v>0</v>
      </c>
      <c r="T238" s="16">
        <v>0</v>
      </c>
      <c r="U238" s="16">
        <v>0</v>
      </c>
      <c r="V238" s="16">
        <v>0</v>
      </c>
      <c r="W238" s="16">
        <v>0</v>
      </c>
      <c r="X238" s="16">
        <v>0</v>
      </c>
      <c r="Y238" s="16">
        <v>1</v>
      </c>
      <c r="Z238" s="16">
        <v>0</v>
      </c>
      <c r="AA238" s="16">
        <v>1</v>
      </c>
      <c r="AB238" s="16">
        <v>0</v>
      </c>
      <c r="AC238" s="16">
        <v>0</v>
      </c>
      <c r="AD238" s="13">
        <f t="shared" si="45"/>
        <v>6</v>
      </c>
    </row>
    <row r="239" spans="1:30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0</v>
      </c>
      <c r="G239" s="16">
        <v>0</v>
      </c>
      <c r="H239" s="16">
        <v>1</v>
      </c>
      <c r="I239" s="16">
        <v>0</v>
      </c>
      <c r="J239" s="16">
        <v>0</v>
      </c>
      <c r="K239" s="16">
        <v>0</v>
      </c>
      <c r="L239" s="16">
        <v>0</v>
      </c>
      <c r="M239" s="16">
        <v>0</v>
      </c>
      <c r="N239" s="16">
        <v>0</v>
      </c>
      <c r="O239" s="16">
        <v>0</v>
      </c>
      <c r="P239" s="16">
        <v>0</v>
      </c>
      <c r="Q239" s="16">
        <v>0</v>
      </c>
      <c r="R239" s="16">
        <v>0</v>
      </c>
      <c r="S239" s="16">
        <v>1</v>
      </c>
      <c r="T239" s="16">
        <v>0</v>
      </c>
      <c r="U239" s="16">
        <v>0</v>
      </c>
      <c r="V239" s="16">
        <v>0</v>
      </c>
      <c r="W239" s="16">
        <v>0</v>
      </c>
      <c r="X239" s="16">
        <v>0</v>
      </c>
      <c r="Y239" s="16">
        <v>0</v>
      </c>
      <c r="Z239" s="16">
        <v>0</v>
      </c>
      <c r="AA239" s="16">
        <v>2</v>
      </c>
      <c r="AB239" s="16">
        <v>0</v>
      </c>
      <c r="AC239" s="16">
        <v>0</v>
      </c>
      <c r="AD239" s="13">
        <f t="shared" si="45"/>
        <v>4</v>
      </c>
    </row>
    <row r="240" spans="1:30" ht="12.75" customHeight="1" x14ac:dyDescent="0.4">
      <c r="A240" s="15"/>
      <c r="B240" s="28"/>
      <c r="C240" s="29" t="s">
        <v>150</v>
      </c>
      <c r="D240" s="30"/>
      <c r="E240" s="16">
        <v>0</v>
      </c>
      <c r="F240" s="16">
        <v>1</v>
      </c>
      <c r="G240" s="16">
        <v>5</v>
      </c>
      <c r="H240" s="16">
        <v>2</v>
      </c>
      <c r="I240" s="16">
        <v>1</v>
      </c>
      <c r="J240" s="16">
        <v>2</v>
      </c>
      <c r="K240" s="16">
        <v>1</v>
      </c>
      <c r="L240" s="16">
        <v>1</v>
      </c>
      <c r="M240" s="16">
        <v>3</v>
      </c>
      <c r="N240" s="16">
        <v>1</v>
      </c>
      <c r="O240" s="16">
        <v>1</v>
      </c>
      <c r="P240" s="16">
        <v>12</v>
      </c>
      <c r="Q240" s="16">
        <v>15</v>
      </c>
      <c r="R240" s="16">
        <v>18</v>
      </c>
      <c r="S240" s="16">
        <v>20</v>
      </c>
      <c r="T240" s="16">
        <v>2</v>
      </c>
      <c r="U240" s="16">
        <v>3</v>
      </c>
      <c r="V240" s="16">
        <v>1</v>
      </c>
      <c r="W240" s="16">
        <v>1</v>
      </c>
      <c r="X240" s="16">
        <v>0</v>
      </c>
      <c r="Y240" s="16">
        <v>0</v>
      </c>
      <c r="Z240" s="16">
        <v>0</v>
      </c>
      <c r="AA240" s="16">
        <v>0</v>
      </c>
      <c r="AB240" s="16">
        <v>0</v>
      </c>
      <c r="AC240" s="16">
        <v>0</v>
      </c>
      <c r="AD240" s="13">
        <f t="shared" si="45"/>
        <v>90</v>
      </c>
    </row>
    <row r="241" spans="1:30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1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6">
        <v>0</v>
      </c>
      <c r="N241" s="16">
        <v>0</v>
      </c>
      <c r="O241" s="16">
        <v>0</v>
      </c>
      <c r="P241" s="16">
        <v>0</v>
      </c>
      <c r="Q241" s="16">
        <v>0</v>
      </c>
      <c r="R241" s="16">
        <v>0</v>
      </c>
      <c r="S241" s="16">
        <v>0</v>
      </c>
      <c r="T241" s="16">
        <v>0</v>
      </c>
      <c r="U241" s="16">
        <v>0</v>
      </c>
      <c r="V241" s="16">
        <v>0</v>
      </c>
      <c r="W241" s="16">
        <v>0</v>
      </c>
      <c r="X241" s="16">
        <v>0</v>
      </c>
      <c r="Y241" s="16">
        <v>0</v>
      </c>
      <c r="Z241" s="16">
        <v>1</v>
      </c>
      <c r="AA241" s="16">
        <v>1</v>
      </c>
      <c r="AB241" s="16">
        <v>0</v>
      </c>
      <c r="AC241" s="16">
        <v>0</v>
      </c>
      <c r="AD241" s="13">
        <f t="shared" si="45"/>
        <v>3</v>
      </c>
    </row>
    <row r="242" spans="1:30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1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6">
        <v>0</v>
      </c>
      <c r="Q242" s="16">
        <v>0</v>
      </c>
      <c r="R242" s="16">
        <v>1</v>
      </c>
      <c r="S242" s="16">
        <v>0</v>
      </c>
      <c r="T242" s="16">
        <v>0</v>
      </c>
      <c r="U242" s="16">
        <v>0</v>
      </c>
      <c r="V242" s="16">
        <v>0</v>
      </c>
      <c r="W242" s="16">
        <v>0</v>
      </c>
      <c r="X242" s="16">
        <v>0</v>
      </c>
      <c r="Y242" s="16">
        <v>0</v>
      </c>
      <c r="Z242" s="16">
        <v>0</v>
      </c>
      <c r="AA242" s="16">
        <v>0</v>
      </c>
      <c r="AB242" s="16">
        <v>0</v>
      </c>
      <c r="AC242" s="16">
        <v>0</v>
      </c>
      <c r="AD242" s="13">
        <f t="shared" si="45"/>
        <v>2</v>
      </c>
    </row>
    <row r="243" spans="1:30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1</v>
      </c>
      <c r="P243" s="16">
        <v>0</v>
      </c>
      <c r="Q243" s="16">
        <v>1</v>
      </c>
      <c r="R243" s="16">
        <v>0</v>
      </c>
      <c r="S243" s="16">
        <v>0</v>
      </c>
      <c r="T243" s="16">
        <v>0</v>
      </c>
      <c r="U243" s="16">
        <v>0</v>
      </c>
      <c r="V243" s="16">
        <v>0</v>
      </c>
      <c r="W243" s="16">
        <v>0</v>
      </c>
      <c r="X243" s="16">
        <v>0</v>
      </c>
      <c r="Y243" s="16">
        <v>0</v>
      </c>
      <c r="Z243" s="16">
        <v>0</v>
      </c>
      <c r="AA243" s="16">
        <v>0</v>
      </c>
      <c r="AB243" s="16">
        <v>0</v>
      </c>
      <c r="AC243" s="16">
        <v>0</v>
      </c>
      <c r="AD243" s="13">
        <f t="shared" si="45"/>
        <v>2</v>
      </c>
    </row>
    <row r="244" spans="1:30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13">
        <f t="shared" si="45"/>
        <v>0</v>
      </c>
    </row>
    <row r="245" spans="1:30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13">
        <f t="shared" si="45"/>
        <v>0</v>
      </c>
    </row>
    <row r="246" spans="1:30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13">
        <f t="shared" si="45"/>
        <v>0</v>
      </c>
    </row>
    <row r="247" spans="1:30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AD247" si="46">SUM(E237:E246)</f>
        <v>1</v>
      </c>
      <c r="F247" s="13">
        <f t="shared" si="46"/>
        <v>3</v>
      </c>
      <c r="G247" s="13">
        <f t="shared" si="46"/>
        <v>6</v>
      </c>
      <c r="H247" s="13">
        <f t="shared" si="46"/>
        <v>4</v>
      </c>
      <c r="I247" s="13">
        <f t="shared" si="46"/>
        <v>1</v>
      </c>
      <c r="J247" s="13">
        <f t="shared" si="46"/>
        <v>2</v>
      </c>
      <c r="K247" s="13">
        <f t="shared" si="46"/>
        <v>1</v>
      </c>
      <c r="L247" s="13">
        <f t="shared" si="46"/>
        <v>2</v>
      </c>
      <c r="M247" s="13">
        <f t="shared" si="46"/>
        <v>3</v>
      </c>
      <c r="N247" s="13">
        <f t="shared" si="46"/>
        <v>1</v>
      </c>
      <c r="O247" s="13">
        <f t="shared" si="46"/>
        <v>3</v>
      </c>
      <c r="P247" s="13">
        <f t="shared" si="46"/>
        <v>13</v>
      </c>
      <c r="Q247" s="13">
        <f t="shared" si="46"/>
        <v>20</v>
      </c>
      <c r="R247" s="13">
        <f t="shared" si="46"/>
        <v>24</v>
      </c>
      <c r="S247" s="13">
        <f t="shared" si="46"/>
        <v>25</v>
      </c>
      <c r="T247" s="13">
        <f t="shared" si="46"/>
        <v>2</v>
      </c>
      <c r="U247" s="13">
        <f t="shared" si="46"/>
        <v>3</v>
      </c>
      <c r="V247" s="13">
        <f t="shared" si="46"/>
        <v>1</v>
      </c>
      <c r="W247" s="13">
        <f t="shared" si="46"/>
        <v>1</v>
      </c>
      <c r="X247" s="13">
        <f t="shared" si="46"/>
        <v>0</v>
      </c>
      <c r="Y247" s="13">
        <f t="shared" si="46"/>
        <v>1</v>
      </c>
      <c r="Z247" s="13">
        <f t="shared" si="46"/>
        <v>2</v>
      </c>
      <c r="AA247" s="13">
        <f t="shared" si="46"/>
        <v>7</v>
      </c>
      <c r="AB247" s="13">
        <f t="shared" si="46"/>
        <v>0</v>
      </c>
      <c r="AC247" s="13">
        <f t="shared" si="46"/>
        <v>2</v>
      </c>
      <c r="AD247" s="13">
        <f t="shared" si="46"/>
        <v>128</v>
      </c>
    </row>
    <row r="248" spans="1:30" ht="12.75" customHeight="1" x14ac:dyDescent="0.4">
      <c r="A248" s="63"/>
      <c r="B248" s="61"/>
      <c r="C248" s="61"/>
      <c r="D248" s="61"/>
      <c r="E248" s="62"/>
    </row>
    <row r="249" spans="1:30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0</v>
      </c>
      <c r="H249" s="16">
        <v>0</v>
      </c>
      <c r="I249" s="16">
        <v>0</v>
      </c>
      <c r="J249" s="16">
        <v>0</v>
      </c>
      <c r="K249" s="16">
        <v>0</v>
      </c>
      <c r="L249" s="16">
        <v>2</v>
      </c>
      <c r="M249" s="16">
        <v>0</v>
      </c>
      <c r="N249" s="16">
        <v>2</v>
      </c>
      <c r="O249" s="16">
        <v>0</v>
      </c>
      <c r="P249" s="16">
        <v>0</v>
      </c>
      <c r="Q249" s="16">
        <v>1</v>
      </c>
      <c r="R249" s="16">
        <v>0</v>
      </c>
      <c r="S249" s="16">
        <v>1</v>
      </c>
      <c r="T249" s="16">
        <v>1</v>
      </c>
      <c r="U249" s="16">
        <v>1</v>
      </c>
      <c r="V249" s="16">
        <v>1</v>
      </c>
      <c r="W249" s="16">
        <v>0</v>
      </c>
      <c r="X249" s="16">
        <v>0</v>
      </c>
      <c r="Y249" s="16">
        <v>0</v>
      </c>
      <c r="Z249" s="16">
        <v>0</v>
      </c>
      <c r="AA249" s="16">
        <v>2</v>
      </c>
      <c r="AB249" s="16">
        <v>1</v>
      </c>
      <c r="AC249" s="16">
        <v>1</v>
      </c>
      <c r="AD249" s="13">
        <f t="shared" ref="AD249:AD258" si="47">SUM(E249:AC249)</f>
        <v>13</v>
      </c>
    </row>
    <row r="250" spans="1:30" ht="12.75" customHeight="1" x14ac:dyDescent="0.4">
      <c r="A250" s="20" t="s">
        <v>38</v>
      </c>
      <c r="B250" s="27"/>
      <c r="C250" s="29" t="s">
        <v>156</v>
      </c>
      <c r="D250" s="40"/>
      <c r="E250" s="16">
        <v>3</v>
      </c>
      <c r="F250" s="16">
        <v>0</v>
      </c>
      <c r="G250" s="16">
        <v>0</v>
      </c>
      <c r="H250" s="16">
        <v>0</v>
      </c>
      <c r="I250" s="16">
        <v>0</v>
      </c>
      <c r="J250" s="16">
        <v>1</v>
      </c>
      <c r="K250" s="16">
        <v>0</v>
      </c>
      <c r="L250" s="16">
        <v>1</v>
      </c>
      <c r="M250" s="16">
        <v>0</v>
      </c>
      <c r="N250" s="16">
        <v>0</v>
      </c>
      <c r="O250" s="16">
        <v>0</v>
      </c>
      <c r="P250" s="16">
        <v>1</v>
      </c>
      <c r="Q250" s="16">
        <v>5</v>
      </c>
      <c r="R250" s="16">
        <v>2</v>
      </c>
      <c r="S250" s="16">
        <v>0</v>
      </c>
      <c r="T250" s="16">
        <v>0</v>
      </c>
      <c r="U250" s="16">
        <v>0</v>
      </c>
      <c r="V250" s="16">
        <v>0</v>
      </c>
      <c r="W250" s="16">
        <v>0</v>
      </c>
      <c r="X250" s="16">
        <v>0</v>
      </c>
      <c r="Y250" s="16">
        <v>0</v>
      </c>
      <c r="Z250" s="16">
        <v>0</v>
      </c>
      <c r="AA250" s="16">
        <v>0</v>
      </c>
      <c r="AB250" s="16">
        <v>5</v>
      </c>
      <c r="AC250" s="16">
        <v>1</v>
      </c>
      <c r="AD250" s="13">
        <f t="shared" si="47"/>
        <v>19</v>
      </c>
    </row>
    <row r="251" spans="1:30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6">
        <v>0</v>
      </c>
      <c r="T251" s="16">
        <v>1</v>
      </c>
      <c r="U251" s="16">
        <v>0</v>
      </c>
      <c r="V251" s="16">
        <v>0</v>
      </c>
      <c r="W251" s="16">
        <v>0</v>
      </c>
      <c r="X251" s="16">
        <v>0</v>
      </c>
      <c r="Y251" s="16">
        <v>0</v>
      </c>
      <c r="Z251" s="16">
        <v>0</v>
      </c>
      <c r="AA251" s="16">
        <v>0</v>
      </c>
      <c r="AB251" s="16">
        <v>1</v>
      </c>
      <c r="AC251" s="16">
        <v>0</v>
      </c>
      <c r="AD251" s="13">
        <f t="shared" si="47"/>
        <v>2</v>
      </c>
    </row>
    <row r="252" spans="1:30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6">
        <v>0</v>
      </c>
      <c r="T252" s="16">
        <v>0</v>
      </c>
      <c r="U252" s="16">
        <v>0</v>
      </c>
      <c r="V252" s="16">
        <v>0</v>
      </c>
      <c r="W252" s="16">
        <v>0</v>
      </c>
      <c r="X252" s="16">
        <v>0</v>
      </c>
      <c r="Y252" s="16">
        <v>0</v>
      </c>
      <c r="Z252" s="16">
        <v>0</v>
      </c>
      <c r="AA252" s="16">
        <v>0</v>
      </c>
      <c r="AB252" s="16">
        <v>0</v>
      </c>
      <c r="AC252" s="16">
        <v>0</v>
      </c>
      <c r="AD252" s="13">
        <f t="shared" si="47"/>
        <v>0</v>
      </c>
    </row>
    <row r="253" spans="1:30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1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6">
        <v>0</v>
      </c>
      <c r="U253" s="16">
        <v>0</v>
      </c>
      <c r="V253" s="16">
        <v>0</v>
      </c>
      <c r="W253" s="16">
        <v>0</v>
      </c>
      <c r="X253" s="16">
        <v>0</v>
      </c>
      <c r="Y253" s="16">
        <v>0</v>
      </c>
      <c r="Z253" s="16">
        <v>0</v>
      </c>
      <c r="AA253" s="16">
        <v>0</v>
      </c>
      <c r="AB253" s="16">
        <v>0</v>
      </c>
      <c r="AC253" s="16">
        <v>0</v>
      </c>
      <c r="AD253" s="13">
        <f t="shared" si="47"/>
        <v>1</v>
      </c>
    </row>
    <row r="254" spans="1:30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13">
        <f t="shared" si="47"/>
        <v>0</v>
      </c>
    </row>
    <row r="255" spans="1:30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13">
        <f t="shared" si="47"/>
        <v>0</v>
      </c>
    </row>
    <row r="256" spans="1:30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13">
        <f t="shared" si="47"/>
        <v>0</v>
      </c>
    </row>
    <row r="257" spans="1:30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13">
        <f t="shared" si="47"/>
        <v>0</v>
      </c>
    </row>
    <row r="258" spans="1:30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13">
        <f t="shared" si="47"/>
        <v>0</v>
      </c>
    </row>
    <row r="259" spans="1:30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AD259" si="48">SUM(E249:E258)</f>
        <v>3</v>
      </c>
      <c r="F259" s="13">
        <f t="shared" si="48"/>
        <v>0</v>
      </c>
      <c r="G259" s="13">
        <f t="shared" si="48"/>
        <v>0</v>
      </c>
      <c r="H259" s="13">
        <f t="shared" si="48"/>
        <v>0</v>
      </c>
      <c r="I259" s="13">
        <f t="shared" si="48"/>
        <v>0</v>
      </c>
      <c r="J259" s="13">
        <f t="shared" si="48"/>
        <v>1</v>
      </c>
      <c r="K259" s="13">
        <f t="shared" si="48"/>
        <v>0</v>
      </c>
      <c r="L259" s="13">
        <f t="shared" si="48"/>
        <v>3</v>
      </c>
      <c r="M259" s="13">
        <f t="shared" si="48"/>
        <v>1</v>
      </c>
      <c r="N259" s="13">
        <f t="shared" si="48"/>
        <v>2</v>
      </c>
      <c r="O259" s="13">
        <f t="shared" si="48"/>
        <v>0</v>
      </c>
      <c r="P259" s="13">
        <f t="shared" si="48"/>
        <v>1</v>
      </c>
      <c r="Q259" s="13">
        <f t="shared" si="48"/>
        <v>6</v>
      </c>
      <c r="R259" s="13">
        <f t="shared" si="48"/>
        <v>2</v>
      </c>
      <c r="S259" s="13">
        <f t="shared" si="48"/>
        <v>1</v>
      </c>
      <c r="T259" s="13">
        <f t="shared" si="48"/>
        <v>2</v>
      </c>
      <c r="U259" s="13">
        <f t="shared" si="48"/>
        <v>1</v>
      </c>
      <c r="V259" s="13">
        <f t="shared" si="48"/>
        <v>1</v>
      </c>
      <c r="W259" s="13">
        <f t="shared" si="48"/>
        <v>0</v>
      </c>
      <c r="X259" s="13">
        <f t="shared" si="48"/>
        <v>0</v>
      </c>
      <c r="Y259" s="13">
        <f t="shared" si="48"/>
        <v>0</v>
      </c>
      <c r="Z259" s="13">
        <f t="shared" si="48"/>
        <v>0</v>
      </c>
      <c r="AA259" s="13">
        <f t="shared" si="48"/>
        <v>2</v>
      </c>
      <c r="AB259" s="13">
        <f t="shared" si="48"/>
        <v>7</v>
      </c>
      <c r="AC259" s="13">
        <f t="shared" si="48"/>
        <v>2</v>
      </c>
      <c r="AD259" s="13">
        <f t="shared" si="48"/>
        <v>35</v>
      </c>
    </row>
    <row r="260" spans="1:30" ht="12.75" customHeight="1" x14ac:dyDescent="0.4"/>
    <row r="261" spans="1:30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13"/>
    </row>
    <row r="262" spans="1:30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AC262" si="49">E55+E67+E79+E91+E103+E115+E127+E139+E151+E163+E175+E187+E199+E211+E223+E235+E247+E259</f>
        <v>171</v>
      </c>
      <c r="F262" s="16">
        <f t="shared" si="49"/>
        <v>192</v>
      </c>
      <c r="G262" s="16">
        <f t="shared" si="49"/>
        <v>195</v>
      </c>
      <c r="H262" s="16">
        <f t="shared" si="49"/>
        <v>169</v>
      </c>
      <c r="I262" s="16">
        <f t="shared" si="49"/>
        <v>208</v>
      </c>
      <c r="J262" s="16">
        <f t="shared" si="49"/>
        <v>212</v>
      </c>
      <c r="K262" s="16">
        <f t="shared" si="49"/>
        <v>173</v>
      </c>
      <c r="L262" s="16">
        <f t="shared" si="49"/>
        <v>162</v>
      </c>
      <c r="M262" s="16">
        <f t="shared" si="49"/>
        <v>204</v>
      </c>
      <c r="N262" s="16">
        <f t="shared" si="49"/>
        <v>165</v>
      </c>
      <c r="O262" s="16">
        <f t="shared" si="49"/>
        <v>182</v>
      </c>
      <c r="P262" s="16">
        <f t="shared" si="49"/>
        <v>209</v>
      </c>
      <c r="Q262" s="16">
        <f t="shared" si="49"/>
        <v>223</v>
      </c>
      <c r="R262" s="16">
        <f t="shared" si="49"/>
        <v>181</v>
      </c>
      <c r="S262" s="16">
        <f t="shared" si="49"/>
        <v>202</v>
      </c>
      <c r="T262" s="16">
        <f t="shared" si="49"/>
        <v>188</v>
      </c>
      <c r="U262" s="16">
        <f t="shared" si="49"/>
        <v>183</v>
      </c>
      <c r="V262" s="16">
        <f t="shared" si="49"/>
        <v>172</v>
      </c>
      <c r="W262" s="16">
        <f t="shared" si="49"/>
        <v>203</v>
      </c>
      <c r="X262" s="16">
        <f t="shared" si="49"/>
        <v>189</v>
      </c>
      <c r="Y262" s="16">
        <f t="shared" si="49"/>
        <v>184</v>
      </c>
      <c r="Z262" s="16">
        <f t="shared" si="49"/>
        <v>196</v>
      </c>
      <c r="AA262" s="16">
        <f t="shared" si="49"/>
        <v>206</v>
      </c>
      <c r="AB262" s="16">
        <f t="shared" si="49"/>
        <v>208</v>
      </c>
      <c r="AC262" s="16">
        <f t="shared" si="49"/>
        <v>198</v>
      </c>
      <c r="AD262" s="13">
        <f t="shared" ref="AD262:AD264" si="50">SUM(E262:AC262)</f>
        <v>4775</v>
      </c>
    </row>
    <row r="263" spans="1:30" ht="12.75" customHeight="1" x14ac:dyDescent="0.4">
      <c r="A263" s="22"/>
      <c r="B263" s="45" t="s">
        <v>164</v>
      </c>
      <c r="C263" s="71" t="s">
        <v>165</v>
      </c>
      <c r="D263" s="62"/>
      <c r="E263" s="16">
        <v>35</v>
      </c>
      <c r="F263" s="16">
        <v>28</v>
      </c>
      <c r="G263" s="16">
        <v>20</v>
      </c>
      <c r="H263" s="16">
        <v>15</v>
      </c>
      <c r="I263" s="16">
        <v>8</v>
      </c>
      <c r="J263" s="16">
        <v>7</v>
      </c>
      <c r="K263" s="16">
        <v>13</v>
      </c>
      <c r="L263" s="16">
        <v>16</v>
      </c>
      <c r="M263" s="16">
        <v>15</v>
      </c>
      <c r="N263" s="16">
        <v>14</v>
      </c>
      <c r="O263" s="16">
        <v>22</v>
      </c>
      <c r="P263" s="16">
        <v>13</v>
      </c>
      <c r="Q263" s="16">
        <v>17</v>
      </c>
      <c r="R263" s="16">
        <v>15</v>
      </c>
      <c r="S263" s="16">
        <v>13</v>
      </c>
      <c r="T263" s="16">
        <v>14</v>
      </c>
      <c r="U263" s="16">
        <v>6</v>
      </c>
      <c r="V263" s="16">
        <v>9</v>
      </c>
      <c r="W263" s="16">
        <v>5</v>
      </c>
      <c r="X263" s="16">
        <v>13</v>
      </c>
      <c r="Y263" s="16">
        <v>12</v>
      </c>
      <c r="Z263" s="16">
        <v>19</v>
      </c>
      <c r="AA263" s="16">
        <v>21</v>
      </c>
      <c r="AB263" s="16">
        <v>12</v>
      </c>
      <c r="AC263" s="16">
        <v>9</v>
      </c>
      <c r="AD263" s="13">
        <f t="shared" si="50"/>
        <v>371</v>
      </c>
    </row>
    <row r="264" spans="1:30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AC264" si="51">SUM(E262:E263)</f>
        <v>206</v>
      </c>
      <c r="F264" s="13">
        <f t="shared" si="51"/>
        <v>220</v>
      </c>
      <c r="G264" s="13">
        <f t="shared" si="51"/>
        <v>215</v>
      </c>
      <c r="H264" s="13">
        <f t="shared" si="51"/>
        <v>184</v>
      </c>
      <c r="I264" s="13">
        <f t="shared" si="51"/>
        <v>216</v>
      </c>
      <c r="J264" s="13">
        <f t="shared" si="51"/>
        <v>219</v>
      </c>
      <c r="K264" s="13">
        <f t="shared" si="51"/>
        <v>186</v>
      </c>
      <c r="L264" s="13">
        <f t="shared" si="51"/>
        <v>178</v>
      </c>
      <c r="M264" s="13">
        <f t="shared" si="51"/>
        <v>219</v>
      </c>
      <c r="N264" s="13">
        <f t="shared" si="51"/>
        <v>179</v>
      </c>
      <c r="O264" s="13">
        <f t="shared" si="51"/>
        <v>204</v>
      </c>
      <c r="P264" s="13">
        <f t="shared" si="51"/>
        <v>222</v>
      </c>
      <c r="Q264" s="13">
        <f t="shared" si="51"/>
        <v>240</v>
      </c>
      <c r="R264" s="13">
        <f t="shared" si="51"/>
        <v>196</v>
      </c>
      <c r="S264" s="13">
        <f t="shared" si="51"/>
        <v>215</v>
      </c>
      <c r="T264" s="13">
        <f t="shared" si="51"/>
        <v>202</v>
      </c>
      <c r="U264" s="13">
        <f t="shared" si="51"/>
        <v>189</v>
      </c>
      <c r="V264" s="13">
        <f t="shared" si="51"/>
        <v>181</v>
      </c>
      <c r="W264" s="13">
        <f t="shared" si="51"/>
        <v>208</v>
      </c>
      <c r="X264" s="13">
        <f t="shared" si="51"/>
        <v>202</v>
      </c>
      <c r="Y264" s="13">
        <f t="shared" si="51"/>
        <v>196</v>
      </c>
      <c r="Z264" s="13">
        <f t="shared" si="51"/>
        <v>215</v>
      </c>
      <c r="AA264" s="13">
        <f t="shared" si="51"/>
        <v>227</v>
      </c>
      <c r="AB264" s="13">
        <f t="shared" si="51"/>
        <v>220</v>
      </c>
      <c r="AC264" s="13">
        <f t="shared" si="51"/>
        <v>207</v>
      </c>
      <c r="AD264" s="13">
        <f t="shared" si="50"/>
        <v>5146</v>
      </c>
    </row>
    <row r="265" spans="1:30" ht="12.75" customHeight="1" x14ac:dyDescent="0.4"/>
    <row r="266" spans="1:30" ht="12.75" customHeight="1" x14ac:dyDescent="0.4"/>
    <row r="267" spans="1:30" ht="12.75" customHeight="1" x14ac:dyDescent="0.4"/>
    <row r="268" spans="1:30" ht="12.75" customHeight="1" x14ac:dyDescent="0.4"/>
    <row r="269" spans="1:30" ht="12.75" customHeight="1" x14ac:dyDescent="0.4"/>
    <row r="270" spans="1:30" ht="12.75" customHeight="1" x14ac:dyDescent="0.4"/>
    <row r="271" spans="1:30" ht="12.75" customHeight="1" x14ac:dyDescent="0.4"/>
    <row r="272" spans="1:30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AC12"/>
    <mergeCell ref="AD12:AD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34:T34">
    <cfRule type="expression" dxfId="342" priority="1">
      <formula>E34&lt;&gt;E64</formula>
    </cfRule>
  </conditionalFormatting>
  <conditionalFormatting sqref="E13:AC13">
    <cfRule type="expression" dxfId="341" priority="30">
      <formula>E30=E264</formula>
    </cfRule>
  </conditionalFormatting>
  <conditionalFormatting sqref="E14:AC15">
    <cfRule type="containsBlanks" dxfId="340" priority="2">
      <formula>LEN(TRIM(E14))=0</formula>
    </cfRule>
  </conditionalFormatting>
  <conditionalFormatting sqref="E19:AC20">
    <cfRule type="containsBlanks" dxfId="339" priority="3">
      <formula>LEN(TRIM(E19))=0</formula>
    </cfRule>
  </conditionalFormatting>
  <conditionalFormatting sqref="E22:AC23 E25:AC26 E33:AC33 E35:AC35 E39:AC40">
    <cfRule type="containsBlanks" dxfId="338" priority="4">
      <formula>LEN(TRIM(E22))=0</formula>
    </cfRule>
  </conditionalFormatting>
  <conditionalFormatting sqref="E30:AC30">
    <cfRule type="expression" dxfId="337" priority="5">
      <formula>E30&lt;&gt;E47</formula>
    </cfRule>
    <cfRule type="expression" dxfId="336" priority="6">
      <formula>E30&lt;&gt;E34</formula>
    </cfRule>
  </conditionalFormatting>
  <conditionalFormatting sqref="E34:AC34">
    <cfRule type="expression" dxfId="335" priority="7">
      <formula>E30&lt;&gt;E34</formula>
    </cfRule>
    <cfRule type="expression" dxfId="334" priority="8">
      <formula>E30=E34</formula>
    </cfRule>
    <cfRule type="expression" dxfId="333" priority="9">
      <formula>E34&lt;&gt;E30</formula>
    </cfRule>
  </conditionalFormatting>
  <conditionalFormatting sqref="E45:AC54">
    <cfRule type="containsBlanks" dxfId="332" priority="10">
      <formula>LEN(TRIM(E45))=0</formula>
    </cfRule>
  </conditionalFormatting>
  <conditionalFormatting sqref="E57:AC66">
    <cfRule type="containsBlanks" dxfId="331" priority="11">
      <formula>LEN(TRIM(E57))=0</formula>
    </cfRule>
  </conditionalFormatting>
  <conditionalFormatting sqref="E69:AC78">
    <cfRule type="containsBlanks" dxfId="330" priority="12">
      <formula>LEN(TRIM(E69))=0</formula>
    </cfRule>
  </conditionalFormatting>
  <conditionalFormatting sqref="E81:AC90">
    <cfRule type="containsBlanks" dxfId="329" priority="13">
      <formula>LEN(TRIM(E81))=0</formula>
    </cfRule>
  </conditionalFormatting>
  <conditionalFormatting sqref="E93:AC102">
    <cfRule type="containsBlanks" dxfId="328" priority="14">
      <formula>LEN(TRIM(E93))=0</formula>
    </cfRule>
  </conditionalFormatting>
  <conditionalFormatting sqref="E105:AC114">
    <cfRule type="containsBlanks" dxfId="327" priority="15">
      <formula>LEN(TRIM(E105))=0</formula>
    </cfRule>
  </conditionalFormatting>
  <conditionalFormatting sqref="E117:AC126">
    <cfRule type="containsBlanks" dxfId="326" priority="16">
      <formula>LEN(TRIM(E117))=0</formula>
    </cfRule>
  </conditionalFormatting>
  <conditionalFormatting sqref="E129:AC138">
    <cfRule type="containsBlanks" dxfId="325" priority="17">
      <formula>LEN(TRIM(E129))=0</formula>
    </cfRule>
  </conditionalFormatting>
  <conditionalFormatting sqref="E141:AC150">
    <cfRule type="containsBlanks" dxfId="324" priority="18">
      <formula>LEN(TRIM(E141))=0</formula>
    </cfRule>
  </conditionalFormatting>
  <conditionalFormatting sqref="E153:AC162">
    <cfRule type="containsBlanks" dxfId="323" priority="19">
      <formula>LEN(TRIM(E153))=0</formula>
    </cfRule>
  </conditionalFormatting>
  <conditionalFormatting sqref="E165:AC174">
    <cfRule type="containsBlanks" dxfId="322" priority="20">
      <formula>LEN(TRIM(E165))=0</formula>
    </cfRule>
  </conditionalFormatting>
  <conditionalFormatting sqref="E177:AC186">
    <cfRule type="containsBlanks" dxfId="321" priority="21">
      <formula>LEN(TRIM(E177))=0</formula>
    </cfRule>
  </conditionalFormatting>
  <conditionalFormatting sqref="E189:AC198">
    <cfRule type="containsBlanks" dxfId="320" priority="22">
      <formula>LEN(TRIM(E189))=0</formula>
    </cfRule>
  </conditionalFormatting>
  <conditionalFormatting sqref="E201:AC210">
    <cfRule type="containsBlanks" dxfId="319" priority="23">
      <formula>LEN(TRIM(E201))=0</formula>
    </cfRule>
  </conditionalFormatting>
  <conditionalFormatting sqref="E213:AC222">
    <cfRule type="containsBlanks" dxfId="318" priority="24">
      <formula>LEN(TRIM(E213))=0</formula>
    </cfRule>
  </conditionalFormatting>
  <conditionalFormatting sqref="E225:AC234">
    <cfRule type="containsBlanks" dxfId="317" priority="25">
      <formula>LEN(TRIM(E225))=0</formula>
    </cfRule>
  </conditionalFormatting>
  <conditionalFormatting sqref="E237:AC246">
    <cfRule type="containsBlanks" dxfId="316" priority="26">
      <formula>LEN(TRIM(E237))=0</formula>
    </cfRule>
  </conditionalFormatting>
  <conditionalFormatting sqref="E249:AC258">
    <cfRule type="containsBlanks" dxfId="315" priority="27">
      <formula>LEN(TRIM(E249))=0</formula>
    </cfRule>
  </conditionalFormatting>
  <conditionalFormatting sqref="E262:AC263">
    <cfRule type="containsBlanks" dxfId="314" priority="28">
      <formula>LEN(TRIM(E262))=0</formula>
    </cfRule>
  </conditionalFormatting>
  <conditionalFormatting sqref="U34:AC34">
    <cfRule type="expression" dxfId="313" priority="29">
      <formula>U34&lt;&gt;U47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FF00"/>
  </sheetPr>
  <dimension ref="A1:T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19" width="8.7109375" customWidth="1"/>
    <col min="20" max="20" width="13.28515625" customWidth="1"/>
    <col min="21" max="26" width="8.7109375" customWidth="1"/>
  </cols>
  <sheetData>
    <row r="1" spans="1:20" ht="12.75" customHeight="1" x14ac:dyDescent="0.4"/>
    <row r="2" spans="1:20" ht="12.75" customHeight="1" x14ac:dyDescent="0.4">
      <c r="C2" s="8" t="s">
        <v>0</v>
      </c>
      <c r="D2" s="8" t="s">
        <v>1</v>
      </c>
    </row>
    <row r="3" spans="1:20" ht="12.75" customHeight="1" x14ac:dyDescent="0.4">
      <c r="C3" s="8" t="s">
        <v>2</v>
      </c>
      <c r="D3" s="8" t="s">
        <v>1</v>
      </c>
    </row>
    <row r="4" spans="1:20" ht="12.75" customHeight="1" x14ac:dyDescent="0.4">
      <c r="C4" s="8" t="s">
        <v>3</v>
      </c>
      <c r="D4" s="8" t="s">
        <v>4</v>
      </c>
    </row>
    <row r="5" spans="1:20" ht="12.75" customHeight="1" x14ac:dyDescent="0.4">
      <c r="C5" s="8"/>
      <c r="D5" s="8"/>
    </row>
    <row r="6" spans="1:20" ht="12.75" customHeight="1" x14ac:dyDescent="0.4">
      <c r="C6" s="8"/>
      <c r="D6" s="8"/>
    </row>
    <row r="7" spans="1:20" ht="12.75" customHeight="1" x14ac:dyDescent="0.4">
      <c r="C7" s="8"/>
      <c r="D7" s="8"/>
    </row>
    <row r="8" spans="1:20" ht="12.75" customHeight="1" x14ac:dyDescent="0.4">
      <c r="C8" s="8"/>
      <c r="D8" s="8"/>
    </row>
    <row r="9" spans="1:20" ht="12.75" customHeight="1" x14ac:dyDescent="0.4">
      <c r="C9" s="8" t="s">
        <v>168</v>
      </c>
      <c r="D9" s="8" t="s">
        <v>206</v>
      </c>
    </row>
    <row r="10" spans="1:20" ht="12.75" customHeight="1" x14ac:dyDescent="0.4"/>
    <row r="11" spans="1:20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20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90" t="s">
        <v>7</v>
      </c>
    </row>
    <row r="13" spans="1:20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80"/>
    </row>
    <row r="14" spans="1:20" ht="12.75" customHeight="1" x14ac:dyDescent="0.4">
      <c r="A14" s="15"/>
      <c r="B14" s="75" t="s">
        <v>10</v>
      </c>
      <c r="C14" s="66"/>
      <c r="D14" s="16" t="s">
        <v>11</v>
      </c>
      <c r="E14" s="16">
        <v>129</v>
      </c>
      <c r="F14" s="16">
        <v>123</v>
      </c>
      <c r="G14" s="16">
        <v>107</v>
      </c>
      <c r="H14" s="16">
        <v>122</v>
      </c>
      <c r="I14" s="16">
        <v>121</v>
      </c>
      <c r="J14" s="16">
        <v>131</v>
      </c>
      <c r="K14" s="16">
        <v>124</v>
      </c>
      <c r="L14" s="16">
        <v>137</v>
      </c>
      <c r="M14" s="16">
        <v>122</v>
      </c>
      <c r="N14" s="16">
        <v>115</v>
      </c>
      <c r="O14" s="16">
        <v>134</v>
      </c>
      <c r="P14" s="16">
        <v>127</v>
      </c>
      <c r="Q14" s="16">
        <v>116</v>
      </c>
      <c r="R14" s="16">
        <v>131</v>
      </c>
      <c r="S14" s="16">
        <v>125</v>
      </c>
      <c r="T14" s="13">
        <f t="shared" ref="T14:T16" si="0">SUM(E14:S14)</f>
        <v>1864</v>
      </c>
    </row>
    <row r="15" spans="1:20" ht="12.75" customHeight="1" x14ac:dyDescent="0.4">
      <c r="A15" s="15"/>
      <c r="B15" s="76"/>
      <c r="C15" s="77"/>
      <c r="D15" s="16" t="s">
        <v>12</v>
      </c>
      <c r="E15" s="16">
        <v>134</v>
      </c>
      <c r="F15" s="16">
        <v>135</v>
      </c>
      <c r="G15" s="16">
        <v>138</v>
      </c>
      <c r="H15" s="16">
        <v>132</v>
      </c>
      <c r="I15" s="16">
        <v>137</v>
      </c>
      <c r="J15" s="16">
        <v>128</v>
      </c>
      <c r="K15" s="16">
        <v>129</v>
      </c>
      <c r="L15" s="16">
        <v>125</v>
      </c>
      <c r="M15" s="16">
        <v>128</v>
      </c>
      <c r="N15" s="16">
        <v>130</v>
      </c>
      <c r="O15" s="16">
        <v>119</v>
      </c>
      <c r="P15" s="16">
        <v>127</v>
      </c>
      <c r="Q15" s="16">
        <v>133</v>
      </c>
      <c r="R15" s="16">
        <v>124</v>
      </c>
      <c r="S15" s="16">
        <v>129</v>
      </c>
      <c r="T15" s="13">
        <f t="shared" si="0"/>
        <v>1948</v>
      </c>
    </row>
    <row r="16" spans="1:20" ht="12.75" customHeight="1" x14ac:dyDescent="0.4">
      <c r="A16" s="18"/>
      <c r="B16" s="73"/>
      <c r="C16" s="69"/>
      <c r="D16" s="13" t="s">
        <v>13</v>
      </c>
      <c r="E16" s="13">
        <f t="shared" ref="E16:S16" si="1">SUM(E14:E15)</f>
        <v>263</v>
      </c>
      <c r="F16" s="13">
        <f t="shared" si="1"/>
        <v>258</v>
      </c>
      <c r="G16" s="13">
        <f t="shared" si="1"/>
        <v>245</v>
      </c>
      <c r="H16" s="13">
        <f t="shared" si="1"/>
        <v>254</v>
      </c>
      <c r="I16" s="13">
        <f t="shared" si="1"/>
        <v>258</v>
      </c>
      <c r="J16" s="13">
        <f t="shared" si="1"/>
        <v>259</v>
      </c>
      <c r="K16" s="13">
        <f t="shared" si="1"/>
        <v>253</v>
      </c>
      <c r="L16" s="13">
        <f t="shared" si="1"/>
        <v>262</v>
      </c>
      <c r="M16" s="13">
        <f t="shared" si="1"/>
        <v>250</v>
      </c>
      <c r="N16" s="13">
        <f t="shared" si="1"/>
        <v>245</v>
      </c>
      <c r="O16" s="13">
        <f t="shared" si="1"/>
        <v>253</v>
      </c>
      <c r="P16" s="13">
        <f t="shared" si="1"/>
        <v>254</v>
      </c>
      <c r="Q16" s="13">
        <f t="shared" si="1"/>
        <v>249</v>
      </c>
      <c r="R16" s="13">
        <f t="shared" si="1"/>
        <v>255</v>
      </c>
      <c r="S16" s="13">
        <f t="shared" si="1"/>
        <v>254</v>
      </c>
      <c r="T16" s="13">
        <f t="shared" si="0"/>
        <v>3812</v>
      </c>
    </row>
    <row r="17" spans="1:20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49"/>
    </row>
    <row r="18" spans="1:20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49"/>
    </row>
    <row r="19" spans="1:20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98</v>
      </c>
      <c r="F19" s="16">
        <v>96</v>
      </c>
      <c r="G19" s="16">
        <v>85</v>
      </c>
      <c r="H19" s="16">
        <v>95</v>
      </c>
      <c r="I19" s="16">
        <v>87</v>
      </c>
      <c r="J19" s="16">
        <v>101</v>
      </c>
      <c r="K19" s="16">
        <v>92</v>
      </c>
      <c r="L19" s="16">
        <v>109</v>
      </c>
      <c r="M19" s="16">
        <v>97</v>
      </c>
      <c r="N19" s="16">
        <v>88</v>
      </c>
      <c r="O19" s="16">
        <v>93</v>
      </c>
      <c r="P19" s="16">
        <v>80</v>
      </c>
      <c r="Q19" s="16">
        <v>83</v>
      </c>
      <c r="R19" s="16">
        <v>105</v>
      </c>
      <c r="S19" s="16">
        <v>92</v>
      </c>
      <c r="T19" s="13">
        <f t="shared" ref="T19:T30" si="2">SUM(E19:S19)</f>
        <v>1401</v>
      </c>
    </row>
    <row r="20" spans="1:20" ht="12.75" customHeight="1" x14ac:dyDescent="0.4">
      <c r="A20" s="21"/>
      <c r="B20" s="77"/>
      <c r="C20" s="79"/>
      <c r="D20" s="16" t="s">
        <v>12</v>
      </c>
      <c r="E20" s="16">
        <v>106</v>
      </c>
      <c r="F20" s="16">
        <v>108</v>
      </c>
      <c r="G20" s="16">
        <v>105</v>
      </c>
      <c r="H20" s="16">
        <v>104</v>
      </c>
      <c r="I20" s="16">
        <v>115</v>
      </c>
      <c r="J20" s="16">
        <v>101</v>
      </c>
      <c r="K20" s="16">
        <v>116</v>
      </c>
      <c r="L20" s="16">
        <v>109</v>
      </c>
      <c r="M20" s="16">
        <v>115</v>
      </c>
      <c r="N20" s="16">
        <v>113</v>
      </c>
      <c r="O20" s="16">
        <v>96</v>
      </c>
      <c r="P20" s="16">
        <v>96</v>
      </c>
      <c r="Q20" s="16">
        <v>106</v>
      </c>
      <c r="R20" s="16">
        <v>111</v>
      </c>
      <c r="S20" s="16">
        <v>101</v>
      </c>
      <c r="T20" s="13">
        <f t="shared" si="2"/>
        <v>1602</v>
      </c>
    </row>
    <row r="21" spans="1:20" ht="12.75" customHeight="1" x14ac:dyDescent="0.4">
      <c r="A21" s="22"/>
      <c r="B21" s="69"/>
      <c r="C21" s="80"/>
      <c r="D21" s="13" t="s">
        <v>13</v>
      </c>
      <c r="E21" s="13">
        <f t="shared" ref="E21:S21" si="3">SUM(E19:E20)</f>
        <v>204</v>
      </c>
      <c r="F21" s="13">
        <f t="shared" si="3"/>
        <v>204</v>
      </c>
      <c r="G21" s="13">
        <f t="shared" si="3"/>
        <v>190</v>
      </c>
      <c r="H21" s="13">
        <f t="shared" si="3"/>
        <v>199</v>
      </c>
      <c r="I21" s="13">
        <f t="shared" si="3"/>
        <v>202</v>
      </c>
      <c r="J21" s="13">
        <f t="shared" si="3"/>
        <v>202</v>
      </c>
      <c r="K21" s="13">
        <f t="shared" si="3"/>
        <v>208</v>
      </c>
      <c r="L21" s="13">
        <f t="shared" si="3"/>
        <v>218</v>
      </c>
      <c r="M21" s="13">
        <f t="shared" si="3"/>
        <v>212</v>
      </c>
      <c r="N21" s="13">
        <f t="shared" si="3"/>
        <v>201</v>
      </c>
      <c r="O21" s="13">
        <f t="shared" si="3"/>
        <v>189</v>
      </c>
      <c r="P21" s="13">
        <f t="shared" si="3"/>
        <v>176</v>
      </c>
      <c r="Q21" s="13">
        <f t="shared" si="3"/>
        <v>189</v>
      </c>
      <c r="R21" s="13">
        <f t="shared" si="3"/>
        <v>216</v>
      </c>
      <c r="S21" s="13">
        <f t="shared" si="3"/>
        <v>193</v>
      </c>
      <c r="T21" s="13">
        <f t="shared" si="2"/>
        <v>3003</v>
      </c>
    </row>
    <row r="22" spans="1:20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1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3">
        <f t="shared" si="2"/>
        <v>1</v>
      </c>
    </row>
    <row r="23" spans="1:20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2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3">
        <f t="shared" si="2"/>
        <v>2</v>
      </c>
    </row>
    <row r="24" spans="1:20" ht="12.75" customHeight="1" x14ac:dyDescent="0.4">
      <c r="A24" s="22"/>
      <c r="B24" s="69"/>
      <c r="C24" s="80"/>
      <c r="D24" s="13" t="s">
        <v>13</v>
      </c>
      <c r="E24" s="13">
        <f t="shared" ref="E24:S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1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2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2"/>
        <v>3</v>
      </c>
    </row>
    <row r="25" spans="1:20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2</v>
      </c>
      <c r="F25" s="16">
        <v>0</v>
      </c>
      <c r="G25" s="16">
        <v>2</v>
      </c>
      <c r="H25" s="16">
        <v>2</v>
      </c>
      <c r="I25" s="16">
        <v>0</v>
      </c>
      <c r="J25" s="16">
        <v>0</v>
      </c>
      <c r="K25" s="16">
        <v>3</v>
      </c>
      <c r="L25" s="16">
        <v>2</v>
      </c>
      <c r="M25" s="16">
        <v>0</v>
      </c>
      <c r="N25" s="16">
        <v>0</v>
      </c>
      <c r="O25" s="16">
        <v>2</v>
      </c>
      <c r="P25" s="16">
        <v>3</v>
      </c>
      <c r="Q25" s="16">
        <v>2</v>
      </c>
      <c r="R25" s="16">
        <v>0</v>
      </c>
      <c r="S25" s="16">
        <v>2</v>
      </c>
      <c r="T25" s="13">
        <f t="shared" si="2"/>
        <v>20</v>
      </c>
    </row>
    <row r="26" spans="1:20" ht="12.75" customHeight="1" x14ac:dyDescent="0.4">
      <c r="A26" s="21"/>
      <c r="B26" s="77"/>
      <c r="C26" s="79"/>
      <c r="D26" s="16" t="s">
        <v>12</v>
      </c>
      <c r="E26" s="16">
        <v>2</v>
      </c>
      <c r="F26" s="16">
        <v>0</v>
      </c>
      <c r="G26" s="16">
        <v>0</v>
      </c>
      <c r="H26" s="16">
        <v>2</v>
      </c>
      <c r="I26" s="16">
        <v>5</v>
      </c>
      <c r="J26" s="16">
        <v>1</v>
      </c>
      <c r="K26" s="16">
        <v>1</v>
      </c>
      <c r="L26" s="16">
        <v>0</v>
      </c>
      <c r="M26" s="16">
        <v>1</v>
      </c>
      <c r="N26" s="16">
        <v>0</v>
      </c>
      <c r="O26" s="16">
        <v>9</v>
      </c>
      <c r="P26" s="16">
        <v>3</v>
      </c>
      <c r="Q26" s="16">
        <v>0</v>
      </c>
      <c r="R26" s="16">
        <v>0</v>
      </c>
      <c r="S26" s="16">
        <v>3</v>
      </c>
      <c r="T26" s="13">
        <f t="shared" si="2"/>
        <v>27</v>
      </c>
    </row>
    <row r="27" spans="1:20" ht="12.75" customHeight="1" x14ac:dyDescent="0.4">
      <c r="A27" s="22"/>
      <c r="B27" s="69"/>
      <c r="C27" s="80"/>
      <c r="D27" s="13" t="s">
        <v>13</v>
      </c>
      <c r="E27" s="13">
        <f t="shared" ref="E27:S27" si="5">SUM(E25:E26)</f>
        <v>4</v>
      </c>
      <c r="F27" s="13">
        <f t="shared" si="5"/>
        <v>0</v>
      </c>
      <c r="G27" s="13">
        <f t="shared" si="5"/>
        <v>2</v>
      </c>
      <c r="H27" s="13">
        <f t="shared" si="5"/>
        <v>4</v>
      </c>
      <c r="I27" s="13">
        <f t="shared" si="5"/>
        <v>5</v>
      </c>
      <c r="J27" s="13">
        <f t="shared" si="5"/>
        <v>1</v>
      </c>
      <c r="K27" s="13">
        <f t="shared" si="5"/>
        <v>4</v>
      </c>
      <c r="L27" s="13">
        <f t="shared" si="5"/>
        <v>2</v>
      </c>
      <c r="M27" s="13">
        <f t="shared" si="5"/>
        <v>1</v>
      </c>
      <c r="N27" s="13">
        <f t="shared" si="5"/>
        <v>0</v>
      </c>
      <c r="O27" s="13">
        <f t="shared" si="5"/>
        <v>11</v>
      </c>
      <c r="P27" s="13">
        <f t="shared" si="5"/>
        <v>6</v>
      </c>
      <c r="Q27" s="13">
        <f t="shared" si="5"/>
        <v>2</v>
      </c>
      <c r="R27" s="13">
        <f t="shared" si="5"/>
        <v>0</v>
      </c>
      <c r="S27" s="13">
        <f t="shared" si="5"/>
        <v>5</v>
      </c>
      <c r="T27" s="13">
        <f t="shared" si="2"/>
        <v>47</v>
      </c>
    </row>
    <row r="28" spans="1:20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S28" si="6">SUM(E19,E22,E25)</f>
        <v>100</v>
      </c>
      <c r="F28" s="13">
        <f t="shared" si="6"/>
        <v>96</v>
      </c>
      <c r="G28" s="13">
        <f t="shared" si="6"/>
        <v>87</v>
      </c>
      <c r="H28" s="13">
        <f t="shared" si="6"/>
        <v>97</v>
      </c>
      <c r="I28" s="13">
        <f t="shared" si="6"/>
        <v>88</v>
      </c>
      <c r="J28" s="13">
        <f t="shared" si="6"/>
        <v>101</v>
      </c>
      <c r="K28" s="13">
        <f t="shared" si="6"/>
        <v>95</v>
      </c>
      <c r="L28" s="13">
        <f t="shared" si="6"/>
        <v>111</v>
      </c>
      <c r="M28" s="13">
        <f t="shared" si="6"/>
        <v>97</v>
      </c>
      <c r="N28" s="13">
        <f t="shared" si="6"/>
        <v>88</v>
      </c>
      <c r="O28" s="13">
        <f t="shared" si="6"/>
        <v>95</v>
      </c>
      <c r="P28" s="13">
        <f t="shared" si="6"/>
        <v>83</v>
      </c>
      <c r="Q28" s="13">
        <f t="shared" si="6"/>
        <v>85</v>
      </c>
      <c r="R28" s="13">
        <f t="shared" si="6"/>
        <v>105</v>
      </c>
      <c r="S28" s="13">
        <f t="shared" si="6"/>
        <v>94</v>
      </c>
      <c r="T28" s="13">
        <f t="shared" si="2"/>
        <v>1422</v>
      </c>
    </row>
    <row r="29" spans="1:20" ht="12.75" customHeight="1" x14ac:dyDescent="0.4">
      <c r="A29" s="22"/>
      <c r="B29" s="77"/>
      <c r="C29" s="79"/>
      <c r="D29" s="13" t="s">
        <v>12</v>
      </c>
      <c r="E29" s="13">
        <f t="shared" ref="E29:S29" si="7">SUM(E20,E23,E26)</f>
        <v>108</v>
      </c>
      <c r="F29" s="13">
        <f t="shared" si="7"/>
        <v>108</v>
      </c>
      <c r="G29" s="13">
        <f t="shared" si="7"/>
        <v>105</v>
      </c>
      <c r="H29" s="13">
        <f t="shared" si="7"/>
        <v>106</v>
      </c>
      <c r="I29" s="13">
        <f t="shared" si="7"/>
        <v>120</v>
      </c>
      <c r="J29" s="13">
        <f t="shared" si="7"/>
        <v>102</v>
      </c>
      <c r="K29" s="13">
        <f t="shared" si="7"/>
        <v>117</v>
      </c>
      <c r="L29" s="13">
        <f t="shared" si="7"/>
        <v>109</v>
      </c>
      <c r="M29" s="13">
        <f t="shared" si="7"/>
        <v>118</v>
      </c>
      <c r="N29" s="13">
        <f t="shared" si="7"/>
        <v>113</v>
      </c>
      <c r="O29" s="13">
        <f t="shared" si="7"/>
        <v>105</v>
      </c>
      <c r="P29" s="13">
        <f t="shared" si="7"/>
        <v>99</v>
      </c>
      <c r="Q29" s="13">
        <f t="shared" si="7"/>
        <v>106</v>
      </c>
      <c r="R29" s="13">
        <f t="shared" si="7"/>
        <v>111</v>
      </c>
      <c r="S29" s="13">
        <f t="shared" si="7"/>
        <v>104</v>
      </c>
      <c r="T29" s="13">
        <f t="shared" si="2"/>
        <v>1631</v>
      </c>
    </row>
    <row r="30" spans="1:20" ht="12.75" customHeight="1" x14ac:dyDescent="0.4">
      <c r="A30" s="22"/>
      <c r="B30" s="69"/>
      <c r="C30" s="80"/>
      <c r="D30" s="13" t="s">
        <v>13</v>
      </c>
      <c r="E30" s="13">
        <f t="shared" ref="E30:S30" si="8">SUM(E28:E29)</f>
        <v>208</v>
      </c>
      <c r="F30" s="13">
        <f t="shared" si="8"/>
        <v>204</v>
      </c>
      <c r="G30" s="13">
        <f t="shared" si="8"/>
        <v>192</v>
      </c>
      <c r="H30" s="13">
        <f t="shared" si="8"/>
        <v>203</v>
      </c>
      <c r="I30" s="13">
        <f t="shared" si="8"/>
        <v>208</v>
      </c>
      <c r="J30" s="13">
        <f t="shared" si="8"/>
        <v>203</v>
      </c>
      <c r="K30" s="13">
        <f t="shared" si="8"/>
        <v>212</v>
      </c>
      <c r="L30" s="13">
        <f t="shared" si="8"/>
        <v>220</v>
      </c>
      <c r="M30" s="13">
        <f t="shared" si="8"/>
        <v>215</v>
      </c>
      <c r="N30" s="13">
        <f t="shared" si="8"/>
        <v>201</v>
      </c>
      <c r="O30" s="13">
        <f t="shared" si="8"/>
        <v>200</v>
      </c>
      <c r="P30" s="13">
        <f t="shared" si="8"/>
        <v>182</v>
      </c>
      <c r="Q30" s="13">
        <f t="shared" si="8"/>
        <v>191</v>
      </c>
      <c r="R30" s="13">
        <f t="shared" si="8"/>
        <v>216</v>
      </c>
      <c r="S30" s="13">
        <f t="shared" si="8"/>
        <v>198</v>
      </c>
      <c r="T30" s="13">
        <f t="shared" si="2"/>
        <v>3053</v>
      </c>
    </row>
    <row r="31" spans="1:20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49"/>
    </row>
    <row r="32" spans="1:20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49"/>
    </row>
    <row r="33" spans="1:20" ht="12.75" customHeight="1" x14ac:dyDescent="0.4">
      <c r="A33" s="16">
        <v>1</v>
      </c>
      <c r="B33" s="74" t="s">
        <v>26</v>
      </c>
      <c r="C33" s="61"/>
      <c r="D33" s="62"/>
      <c r="E33" s="16">
        <v>269</v>
      </c>
      <c r="F33" s="16">
        <v>264</v>
      </c>
      <c r="G33" s="16">
        <v>250</v>
      </c>
      <c r="H33" s="16">
        <v>260</v>
      </c>
      <c r="I33" s="16">
        <v>264</v>
      </c>
      <c r="J33" s="16">
        <v>265</v>
      </c>
      <c r="K33" s="16">
        <v>259</v>
      </c>
      <c r="L33" s="16">
        <v>268</v>
      </c>
      <c r="M33" s="16">
        <v>255</v>
      </c>
      <c r="N33" s="16">
        <v>250</v>
      </c>
      <c r="O33" s="16">
        <v>259</v>
      </c>
      <c r="P33" s="16">
        <v>260</v>
      </c>
      <c r="Q33" s="16">
        <v>254</v>
      </c>
      <c r="R33" s="16">
        <v>261</v>
      </c>
      <c r="S33" s="16">
        <v>260</v>
      </c>
      <c r="T33" s="13">
        <f t="shared" ref="T33:T36" si="9">SUM(E33:S33)</f>
        <v>3898</v>
      </c>
    </row>
    <row r="34" spans="1:20" ht="12.75" customHeight="1" x14ac:dyDescent="0.4">
      <c r="A34" s="16">
        <v>2</v>
      </c>
      <c r="B34" s="74" t="s">
        <v>27</v>
      </c>
      <c r="C34" s="61"/>
      <c r="D34" s="62"/>
      <c r="E34" s="13">
        <v>208</v>
      </c>
      <c r="F34" s="13">
        <v>204</v>
      </c>
      <c r="G34" s="13">
        <v>192</v>
      </c>
      <c r="H34" s="13">
        <v>203</v>
      </c>
      <c r="I34" s="13">
        <v>208</v>
      </c>
      <c r="J34" s="13">
        <v>203</v>
      </c>
      <c r="K34" s="13">
        <v>212</v>
      </c>
      <c r="L34" s="13">
        <v>220</v>
      </c>
      <c r="M34" s="13">
        <v>215</v>
      </c>
      <c r="N34" s="13">
        <v>201</v>
      </c>
      <c r="O34" s="13">
        <v>200</v>
      </c>
      <c r="P34" s="13">
        <v>182</v>
      </c>
      <c r="Q34" s="13">
        <v>191</v>
      </c>
      <c r="R34" s="13">
        <v>216</v>
      </c>
      <c r="S34" s="13">
        <v>198</v>
      </c>
      <c r="T34" s="13">
        <f t="shared" si="9"/>
        <v>3053</v>
      </c>
    </row>
    <row r="35" spans="1:20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1</v>
      </c>
      <c r="O35" s="16">
        <v>1</v>
      </c>
      <c r="P35" s="16">
        <v>0</v>
      </c>
      <c r="Q35" s="16">
        <v>0</v>
      </c>
      <c r="R35" s="16">
        <v>0</v>
      </c>
      <c r="S35" s="16">
        <v>1</v>
      </c>
      <c r="T35" s="13">
        <f t="shared" si="9"/>
        <v>3</v>
      </c>
    </row>
    <row r="36" spans="1:20" ht="12.75" customHeight="1" x14ac:dyDescent="0.4">
      <c r="A36" s="16">
        <v>4</v>
      </c>
      <c r="B36" s="74" t="s">
        <v>29</v>
      </c>
      <c r="C36" s="61"/>
      <c r="D36" s="62"/>
      <c r="E36" s="13">
        <f t="shared" ref="E36:S36" si="10">E33-(E34+E35)</f>
        <v>61</v>
      </c>
      <c r="F36" s="13">
        <f t="shared" si="10"/>
        <v>60</v>
      </c>
      <c r="G36" s="13">
        <f t="shared" si="10"/>
        <v>58</v>
      </c>
      <c r="H36" s="13">
        <f t="shared" si="10"/>
        <v>57</v>
      </c>
      <c r="I36" s="13">
        <f t="shared" si="10"/>
        <v>56</v>
      </c>
      <c r="J36" s="13">
        <f t="shared" si="10"/>
        <v>62</v>
      </c>
      <c r="K36" s="13">
        <f t="shared" si="10"/>
        <v>47</v>
      </c>
      <c r="L36" s="13">
        <f t="shared" si="10"/>
        <v>48</v>
      </c>
      <c r="M36" s="13">
        <f t="shared" si="10"/>
        <v>40</v>
      </c>
      <c r="N36" s="13">
        <f t="shared" si="10"/>
        <v>48</v>
      </c>
      <c r="O36" s="13">
        <f t="shared" si="10"/>
        <v>58</v>
      </c>
      <c r="P36" s="13">
        <f t="shared" si="10"/>
        <v>78</v>
      </c>
      <c r="Q36" s="13">
        <f t="shared" si="10"/>
        <v>63</v>
      </c>
      <c r="R36" s="13">
        <f t="shared" si="10"/>
        <v>45</v>
      </c>
      <c r="S36" s="13">
        <f t="shared" si="10"/>
        <v>61</v>
      </c>
      <c r="T36" s="13">
        <f t="shared" si="9"/>
        <v>842</v>
      </c>
    </row>
    <row r="37" spans="1:20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49"/>
    </row>
    <row r="38" spans="1:20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49"/>
    </row>
    <row r="39" spans="1:20" ht="12.75" customHeight="1" x14ac:dyDescent="0.4">
      <c r="A39" s="20"/>
      <c r="B39" s="84" t="s">
        <v>32</v>
      </c>
      <c r="C39" s="66"/>
      <c r="D39" s="16" t="s">
        <v>11</v>
      </c>
      <c r="E39" s="16">
        <v>2</v>
      </c>
      <c r="F39" s="16">
        <v>0</v>
      </c>
      <c r="G39" s="16">
        <v>1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4</v>
      </c>
      <c r="T39" s="13">
        <f t="shared" ref="T39:T41" si="11">SUM(E39:S39)</f>
        <v>7</v>
      </c>
    </row>
    <row r="40" spans="1:20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3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3</v>
      </c>
      <c r="T40" s="13">
        <f t="shared" si="11"/>
        <v>6</v>
      </c>
    </row>
    <row r="41" spans="1:20" ht="12.75" customHeight="1" x14ac:dyDescent="0.4">
      <c r="A41" s="25"/>
      <c r="B41" s="68"/>
      <c r="C41" s="69"/>
      <c r="D41" s="13" t="s">
        <v>13</v>
      </c>
      <c r="E41" s="13">
        <f t="shared" ref="E41:S41" si="12">SUM(E39:E40)</f>
        <v>2</v>
      </c>
      <c r="F41" s="13">
        <f t="shared" si="12"/>
        <v>0</v>
      </c>
      <c r="G41" s="13">
        <f t="shared" si="12"/>
        <v>4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2"/>
        <v>7</v>
      </c>
      <c r="T41" s="13">
        <f t="shared" si="11"/>
        <v>13</v>
      </c>
    </row>
    <row r="42" spans="1:20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13"/>
    </row>
    <row r="43" spans="1:20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13"/>
    </row>
    <row r="44" spans="1:20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13"/>
    </row>
    <row r="45" spans="1:20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12</v>
      </c>
      <c r="F45" s="16">
        <v>6</v>
      </c>
      <c r="G45" s="16">
        <v>6</v>
      </c>
      <c r="H45" s="16">
        <v>4</v>
      </c>
      <c r="I45" s="16">
        <v>5</v>
      </c>
      <c r="J45" s="16">
        <v>7</v>
      </c>
      <c r="K45" s="16">
        <v>8</v>
      </c>
      <c r="L45" s="16">
        <v>8</v>
      </c>
      <c r="M45" s="16">
        <v>3</v>
      </c>
      <c r="N45" s="16">
        <v>5</v>
      </c>
      <c r="O45" s="16">
        <v>4</v>
      </c>
      <c r="P45" s="16">
        <v>9</v>
      </c>
      <c r="Q45" s="16">
        <v>8</v>
      </c>
      <c r="R45" s="16">
        <v>2</v>
      </c>
      <c r="S45" s="16">
        <v>8</v>
      </c>
      <c r="T45" s="13">
        <f t="shared" ref="T45:T54" si="13">SUM(E45:S45)</f>
        <v>95</v>
      </c>
    </row>
    <row r="46" spans="1:20" ht="12.75" customHeight="1" x14ac:dyDescent="0.4">
      <c r="A46" s="20" t="s">
        <v>38</v>
      </c>
      <c r="B46" s="28"/>
      <c r="C46" s="29" t="s">
        <v>39</v>
      </c>
      <c r="D46" s="30"/>
      <c r="E46" s="16">
        <v>5</v>
      </c>
      <c r="F46" s="16">
        <v>2</v>
      </c>
      <c r="G46" s="16">
        <v>3</v>
      </c>
      <c r="H46" s="16">
        <v>7</v>
      </c>
      <c r="I46" s="16">
        <v>2</v>
      </c>
      <c r="J46" s="16">
        <v>1</v>
      </c>
      <c r="K46" s="16">
        <v>2</v>
      </c>
      <c r="L46" s="16">
        <v>1</v>
      </c>
      <c r="M46" s="16">
        <v>1</v>
      </c>
      <c r="N46" s="16">
        <v>0</v>
      </c>
      <c r="O46" s="16">
        <v>1</v>
      </c>
      <c r="P46" s="16">
        <v>3</v>
      </c>
      <c r="Q46" s="16">
        <v>3</v>
      </c>
      <c r="R46" s="16">
        <v>1</v>
      </c>
      <c r="S46" s="16">
        <v>2</v>
      </c>
      <c r="T46" s="13">
        <f t="shared" si="13"/>
        <v>34</v>
      </c>
    </row>
    <row r="47" spans="1:20" ht="12.75" customHeight="1" x14ac:dyDescent="0.4">
      <c r="A47" s="15"/>
      <c r="B47" s="28"/>
      <c r="C47" s="29" t="s">
        <v>40</v>
      </c>
      <c r="D47" s="30"/>
      <c r="E47" s="16">
        <v>4</v>
      </c>
      <c r="F47" s="16">
        <v>11</v>
      </c>
      <c r="G47" s="16">
        <v>10</v>
      </c>
      <c r="H47" s="16">
        <v>7</v>
      </c>
      <c r="I47" s="16">
        <v>4</v>
      </c>
      <c r="J47" s="16">
        <v>0</v>
      </c>
      <c r="K47" s="16">
        <v>1</v>
      </c>
      <c r="L47" s="16">
        <v>1</v>
      </c>
      <c r="M47" s="16">
        <v>0</v>
      </c>
      <c r="N47" s="16">
        <v>2</v>
      </c>
      <c r="O47" s="16">
        <v>2</v>
      </c>
      <c r="P47" s="16">
        <v>2</v>
      </c>
      <c r="Q47" s="16">
        <v>4</v>
      </c>
      <c r="R47" s="16">
        <v>2</v>
      </c>
      <c r="S47" s="16">
        <v>1</v>
      </c>
      <c r="T47" s="13">
        <f t="shared" si="13"/>
        <v>51</v>
      </c>
    </row>
    <row r="48" spans="1:20" ht="12.75" customHeight="1" x14ac:dyDescent="0.4">
      <c r="A48" s="15"/>
      <c r="B48" s="28"/>
      <c r="C48" s="29" t="s">
        <v>41</v>
      </c>
      <c r="D48" s="30"/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1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1</v>
      </c>
      <c r="R48" s="16">
        <v>0</v>
      </c>
      <c r="S48" s="16">
        <v>0</v>
      </c>
      <c r="T48" s="13">
        <f t="shared" si="13"/>
        <v>2</v>
      </c>
    </row>
    <row r="49" spans="1:20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1</v>
      </c>
      <c r="P49" s="16">
        <v>0</v>
      </c>
      <c r="Q49" s="16">
        <v>0</v>
      </c>
      <c r="R49" s="16">
        <v>0</v>
      </c>
      <c r="S49" s="16">
        <v>0</v>
      </c>
      <c r="T49" s="13">
        <f t="shared" si="13"/>
        <v>2</v>
      </c>
    </row>
    <row r="50" spans="1:20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1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4</v>
      </c>
      <c r="R50" s="16">
        <v>0</v>
      </c>
      <c r="S50" s="16">
        <v>0</v>
      </c>
      <c r="T50" s="13">
        <f t="shared" si="13"/>
        <v>5</v>
      </c>
    </row>
    <row r="51" spans="1:20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2</v>
      </c>
      <c r="H51" s="16">
        <v>0</v>
      </c>
      <c r="I51" s="16">
        <v>3</v>
      </c>
      <c r="J51" s="16">
        <v>1</v>
      </c>
      <c r="K51" s="16">
        <v>6</v>
      </c>
      <c r="L51" s="16">
        <v>3</v>
      </c>
      <c r="M51" s="16">
        <v>9</v>
      </c>
      <c r="N51" s="16">
        <v>16</v>
      </c>
      <c r="O51" s="16">
        <v>6</v>
      </c>
      <c r="P51" s="16">
        <v>9</v>
      </c>
      <c r="Q51" s="16">
        <v>12</v>
      </c>
      <c r="R51" s="16">
        <v>6</v>
      </c>
      <c r="S51" s="16">
        <v>1</v>
      </c>
      <c r="T51" s="13">
        <f t="shared" si="13"/>
        <v>74</v>
      </c>
    </row>
    <row r="52" spans="1:20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13">
        <f t="shared" si="13"/>
        <v>0</v>
      </c>
    </row>
    <row r="53" spans="1:20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13">
        <f t="shared" si="13"/>
        <v>0</v>
      </c>
    </row>
    <row r="54" spans="1:20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13">
        <f t="shared" si="13"/>
        <v>0</v>
      </c>
    </row>
    <row r="55" spans="1:20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T55" si="14">SUM(E45:E54)</f>
        <v>21</v>
      </c>
      <c r="F55" s="13">
        <f t="shared" si="14"/>
        <v>19</v>
      </c>
      <c r="G55" s="13">
        <f t="shared" si="14"/>
        <v>22</v>
      </c>
      <c r="H55" s="13">
        <f t="shared" si="14"/>
        <v>18</v>
      </c>
      <c r="I55" s="13">
        <f t="shared" si="14"/>
        <v>14</v>
      </c>
      <c r="J55" s="13">
        <f t="shared" si="14"/>
        <v>10</v>
      </c>
      <c r="K55" s="13">
        <f t="shared" si="14"/>
        <v>18</v>
      </c>
      <c r="L55" s="13">
        <f t="shared" si="14"/>
        <v>13</v>
      </c>
      <c r="M55" s="13">
        <f t="shared" si="14"/>
        <v>13</v>
      </c>
      <c r="N55" s="13">
        <f t="shared" si="14"/>
        <v>23</v>
      </c>
      <c r="O55" s="13">
        <f t="shared" si="14"/>
        <v>14</v>
      </c>
      <c r="P55" s="13">
        <f t="shared" si="14"/>
        <v>23</v>
      </c>
      <c r="Q55" s="13">
        <f t="shared" si="14"/>
        <v>32</v>
      </c>
      <c r="R55" s="13">
        <f t="shared" si="14"/>
        <v>11</v>
      </c>
      <c r="S55" s="13">
        <f t="shared" si="14"/>
        <v>12</v>
      </c>
      <c r="T55" s="13">
        <f t="shared" si="14"/>
        <v>263</v>
      </c>
    </row>
    <row r="56" spans="1:20" ht="12.75" customHeight="1" x14ac:dyDescent="0.4">
      <c r="A56" s="86"/>
      <c r="B56" s="68"/>
      <c r="C56" s="68"/>
      <c r="D56" s="68"/>
      <c r="E56" s="68"/>
      <c r="T56" s="13"/>
    </row>
    <row r="57" spans="1:20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5</v>
      </c>
      <c r="F57" s="16">
        <v>12</v>
      </c>
      <c r="G57" s="16">
        <v>3</v>
      </c>
      <c r="H57" s="16">
        <v>7</v>
      </c>
      <c r="I57" s="16">
        <v>8</v>
      </c>
      <c r="J57" s="16">
        <v>7</v>
      </c>
      <c r="K57" s="16">
        <v>8</v>
      </c>
      <c r="L57" s="16">
        <v>6</v>
      </c>
      <c r="M57" s="16">
        <v>5</v>
      </c>
      <c r="N57" s="16">
        <v>3</v>
      </c>
      <c r="O57" s="16">
        <v>6</v>
      </c>
      <c r="P57" s="16">
        <v>4</v>
      </c>
      <c r="Q57" s="16">
        <v>8</v>
      </c>
      <c r="R57" s="16">
        <v>2</v>
      </c>
      <c r="S57" s="16">
        <v>0</v>
      </c>
      <c r="T57" s="13">
        <f t="shared" ref="T57:T66" si="15">SUM(E57:S57)</f>
        <v>84</v>
      </c>
    </row>
    <row r="58" spans="1:20" ht="12.75" customHeight="1" x14ac:dyDescent="0.4">
      <c r="A58" s="20" t="s">
        <v>38</v>
      </c>
      <c r="B58" s="28"/>
      <c r="C58" s="29" t="s">
        <v>47</v>
      </c>
      <c r="D58" s="30"/>
      <c r="E58" s="16">
        <v>11</v>
      </c>
      <c r="F58" s="16">
        <v>4</v>
      </c>
      <c r="G58" s="16">
        <v>3</v>
      </c>
      <c r="H58" s="16">
        <v>7</v>
      </c>
      <c r="I58" s="16">
        <v>12</v>
      </c>
      <c r="J58" s="16">
        <v>1</v>
      </c>
      <c r="K58" s="16">
        <v>2</v>
      </c>
      <c r="L58" s="16">
        <v>4</v>
      </c>
      <c r="M58" s="16">
        <v>9</v>
      </c>
      <c r="N58" s="16">
        <v>7</v>
      </c>
      <c r="O58" s="16">
        <v>6</v>
      </c>
      <c r="P58" s="16">
        <v>0</v>
      </c>
      <c r="Q58" s="16">
        <v>3</v>
      </c>
      <c r="R58" s="16">
        <v>3</v>
      </c>
      <c r="S58" s="16">
        <v>0</v>
      </c>
      <c r="T58" s="13">
        <f t="shared" si="15"/>
        <v>72</v>
      </c>
    </row>
    <row r="59" spans="1:20" ht="12.75" customHeight="1" x14ac:dyDescent="0.4">
      <c r="A59" s="15"/>
      <c r="B59" s="28"/>
      <c r="C59" s="29" t="s">
        <v>48</v>
      </c>
      <c r="D59" s="30"/>
      <c r="E59" s="16">
        <v>3</v>
      </c>
      <c r="F59" s="16">
        <v>3</v>
      </c>
      <c r="G59" s="16">
        <v>0</v>
      </c>
      <c r="H59" s="16">
        <v>1</v>
      </c>
      <c r="I59" s="16">
        <v>1</v>
      </c>
      <c r="J59" s="16">
        <v>2</v>
      </c>
      <c r="K59" s="16">
        <v>3</v>
      </c>
      <c r="L59" s="16">
        <v>1</v>
      </c>
      <c r="M59" s="16">
        <v>3</v>
      </c>
      <c r="N59" s="16">
        <v>2</v>
      </c>
      <c r="O59" s="16">
        <v>1</v>
      </c>
      <c r="P59" s="16">
        <v>0</v>
      </c>
      <c r="Q59" s="16">
        <v>0</v>
      </c>
      <c r="R59" s="16">
        <v>0</v>
      </c>
      <c r="S59" s="16">
        <v>0</v>
      </c>
      <c r="T59" s="13">
        <f t="shared" si="15"/>
        <v>20</v>
      </c>
    </row>
    <row r="60" spans="1:20" ht="12.75" customHeight="1" x14ac:dyDescent="0.4">
      <c r="A60" s="15"/>
      <c r="B60" s="28"/>
      <c r="C60" s="29" t="s">
        <v>49</v>
      </c>
      <c r="D60" s="30"/>
      <c r="E60" s="16">
        <v>0</v>
      </c>
      <c r="F60" s="16">
        <v>2</v>
      </c>
      <c r="G60" s="16">
        <v>2</v>
      </c>
      <c r="H60" s="16">
        <v>2</v>
      </c>
      <c r="I60" s="16">
        <v>2</v>
      </c>
      <c r="J60" s="16">
        <v>1</v>
      </c>
      <c r="K60" s="16">
        <v>0</v>
      </c>
      <c r="L60" s="16">
        <v>0</v>
      </c>
      <c r="M60" s="16">
        <v>0</v>
      </c>
      <c r="N60" s="16">
        <v>0</v>
      </c>
      <c r="O60" s="16">
        <v>1</v>
      </c>
      <c r="P60" s="16">
        <v>0</v>
      </c>
      <c r="Q60" s="16">
        <v>1</v>
      </c>
      <c r="R60" s="16">
        <v>0</v>
      </c>
      <c r="S60" s="16">
        <v>0</v>
      </c>
      <c r="T60" s="13">
        <f t="shared" si="15"/>
        <v>11</v>
      </c>
    </row>
    <row r="61" spans="1:20" ht="12.75" customHeight="1" x14ac:dyDescent="0.4">
      <c r="A61" s="15"/>
      <c r="B61" s="28"/>
      <c r="C61" s="29" t="s">
        <v>50</v>
      </c>
      <c r="D61" s="30"/>
      <c r="E61" s="16">
        <v>2</v>
      </c>
      <c r="F61" s="16">
        <v>0</v>
      </c>
      <c r="G61" s="16">
        <v>0</v>
      </c>
      <c r="H61" s="16">
        <v>1</v>
      </c>
      <c r="I61" s="16">
        <v>0</v>
      </c>
      <c r="J61" s="16">
        <v>2</v>
      </c>
      <c r="K61" s="16">
        <v>1</v>
      </c>
      <c r="L61" s="16">
        <v>0</v>
      </c>
      <c r="M61" s="16">
        <v>0</v>
      </c>
      <c r="N61" s="16">
        <v>1</v>
      </c>
      <c r="O61" s="16">
        <v>1</v>
      </c>
      <c r="P61" s="16">
        <v>2</v>
      </c>
      <c r="Q61" s="16">
        <v>0</v>
      </c>
      <c r="R61" s="16">
        <v>0</v>
      </c>
      <c r="S61" s="16">
        <v>0</v>
      </c>
      <c r="T61" s="13">
        <f t="shared" si="15"/>
        <v>10</v>
      </c>
    </row>
    <row r="62" spans="1:20" ht="12.75" customHeight="1" x14ac:dyDescent="0.4">
      <c r="A62" s="15"/>
      <c r="B62" s="28"/>
      <c r="C62" s="29" t="s">
        <v>51</v>
      </c>
      <c r="D62" s="30"/>
      <c r="E62" s="16">
        <v>1</v>
      </c>
      <c r="F62" s="16">
        <v>0</v>
      </c>
      <c r="G62" s="16">
        <v>0</v>
      </c>
      <c r="H62" s="16">
        <v>1</v>
      </c>
      <c r="I62" s="16">
        <v>1</v>
      </c>
      <c r="J62" s="16">
        <v>0</v>
      </c>
      <c r="K62" s="16">
        <v>0</v>
      </c>
      <c r="L62" s="16">
        <v>0</v>
      </c>
      <c r="M62" s="16">
        <v>0</v>
      </c>
      <c r="N62" s="16">
        <v>1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3">
        <f t="shared" si="15"/>
        <v>4</v>
      </c>
    </row>
    <row r="63" spans="1:20" ht="12.75" customHeight="1" x14ac:dyDescent="0.4">
      <c r="A63" s="15"/>
      <c r="B63" s="28"/>
      <c r="C63" s="29" t="s">
        <v>52</v>
      </c>
      <c r="D63" s="30"/>
      <c r="E63" s="16">
        <v>2</v>
      </c>
      <c r="F63" s="16">
        <v>0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0</v>
      </c>
      <c r="M63" s="16">
        <v>1</v>
      </c>
      <c r="N63" s="16">
        <v>1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3">
        <f t="shared" si="15"/>
        <v>4</v>
      </c>
    </row>
    <row r="64" spans="1:20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13">
        <f t="shared" si="15"/>
        <v>0</v>
      </c>
    </row>
    <row r="65" spans="1:20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13">
        <f t="shared" si="15"/>
        <v>0</v>
      </c>
    </row>
    <row r="66" spans="1:20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13">
        <f t="shared" si="15"/>
        <v>0</v>
      </c>
    </row>
    <row r="67" spans="1:20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T67" si="16">SUM(E57:E66)</f>
        <v>24</v>
      </c>
      <c r="F67" s="13">
        <f t="shared" si="16"/>
        <v>21</v>
      </c>
      <c r="G67" s="13">
        <f t="shared" si="16"/>
        <v>8</v>
      </c>
      <c r="H67" s="13">
        <f t="shared" si="16"/>
        <v>19</v>
      </c>
      <c r="I67" s="13">
        <f t="shared" si="16"/>
        <v>24</v>
      </c>
      <c r="J67" s="13">
        <f t="shared" si="16"/>
        <v>13</v>
      </c>
      <c r="K67" s="13">
        <f t="shared" si="16"/>
        <v>14</v>
      </c>
      <c r="L67" s="13">
        <f t="shared" si="16"/>
        <v>11</v>
      </c>
      <c r="M67" s="13">
        <f t="shared" si="16"/>
        <v>18</v>
      </c>
      <c r="N67" s="13">
        <f t="shared" si="16"/>
        <v>15</v>
      </c>
      <c r="O67" s="13">
        <f t="shared" si="16"/>
        <v>15</v>
      </c>
      <c r="P67" s="13">
        <f t="shared" si="16"/>
        <v>6</v>
      </c>
      <c r="Q67" s="13">
        <f t="shared" si="16"/>
        <v>12</v>
      </c>
      <c r="R67" s="13">
        <f t="shared" si="16"/>
        <v>5</v>
      </c>
      <c r="S67" s="13">
        <f t="shared" si="16"/>
        <v>0</v>
      </c>
      <c r="T67" s="13">
        <f t="shared" si="16"/>
        <v>205</v>
      </c>
    </row>
    <row r="68" spans="1:20" ht="12.75" customHeight="1" x14ac:dyDescent="0.4">
      <c r="A68" s="86"/>
      <c r="B68" s="68"/>
      <c r="C68" s="68"/>
      <c r="D68" s="68"/>
      <c r="E68" s="68"/>
    </row>
    <row r="69" spans="1:20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1</v>
      </c>
      <c r="F69" s="16">
        <v>2</v>
      </c>
      <c r="G69" s="16">
        <v>3</v>
      </c>
      <c r="H69" s="16">
        <v>8</v>
      </c>
      <c r="I69" s="16">
        <v>1</v>
      </c>
      <c r="J69" s="16">
        <v>3</v>
      </c>
      <c r="K69" s="16">
        <v>2</v>
      </c>
      <c r="L69" s="16">
        <v>2</v>
      </c>
      <c r="M69" s="16">
        <v>1</v>
      </c>
      <c r="N69" s="16">
        <v>3</v>
      </c>
      <c r="O69" s="16">
        <v>7</v>
      </c>
      <c r="P69" s="16">
        <v>6</v>
      </c>
      <c r="Q69" s="16">
        <v>1</v>
      </c>
      <c r="R69" s="16">
        <v>1</v>
      </c>
      <c r="S69" s="16">
        <v>5</v>
      </c>
      <c r="T69" s="13">
        <f t="shared" ref="T69:T78" si="17">SUM(E69:S69)</f>
        <v>46</v>
      </c>
    </row>
    <row r="70" spans="1:20" ht="12.75" customHeight="1" x14ac:dyDescent="0.4">
      <c r="A70" s="20" t="s">
        <v>38</v>
      </c>
      <c r="B70" s="28"/>
      <c r="C70" s="29" t="s">
        <v>54</v>
      </c>
      <c r="D70" s="30"/>
      <c r="E70" s="16">
        <v>3</v>
      </c>
      <c r="F70" s="16">
        <v>0</v>
      </c>
      <c r="G70" s="16">
        <v>0</v>
      </c>
      <c r="H70" s="16">
        <v>2</v>
      </c>
      <c r="I70" s="16">
        <v>1</v>
      </c>
      <c r="J70" s="16">
        <v>2</v>
      </c>
      <c r="K70" s="16">
        <v>1</v>
      </c>
      <c r="L70" s="16">
        <v>0</v>
      </c>
      <c r="M70" s="16">
        <v>2</v>
      </c>
      <c r="N70" s="16">
        <v>0</v>
      </c>
      <c r="O70" s="16">
        <v>8</v>
      </c>
      <c r="P70" s="16">
        <v>2</v>
      </c>
      <c r="Q70" s="16">
        <v>4</v>
      </c>
      <c r="R70" s="16">
        <v>1</v>
      </c>
      <c r="S70" s="16">
        <v>5</v>
      </c>
      <c r="T70" s="13">
        <f t="shared" si="17"/>
        <v>31</v>
      </c>
    </row>
    <row r="71" spans="1:20" ht="12.75" customHeight="1" x14ac:dyDescent="0.4">
      <c r="A71" s="15"/>
      <c r="B71" s="28"/>
      <c r="C71" s="29" t="s">
        <v>55</v>
      </c>
      <c r="D71" s="30"/>
      <c r="E71" s="16">
        <v>1</v>
      </c>
      <c r="F71" s="16">
        <v>2</v>
      </c>
      <c r="G71" s="16">
        <v>4</v>
      </c>
      <c r="H71" s="16">
        <v>2</v>
      </c>
      <c r="I71" s="16">
        <v>0</v>
      </c>
      <c r="J71" s="16">
        <v>1</v>
      </c>
      <c r="K71" s="16">
        <v>1</v>
      </c>
      <c r="L71" s="16">
        <v>1</v>
      </c>
      <c r="M71" s="16">
        <v>1</v>
      </c>
      <c r="N71" s="16">
        <v>0</v>
      </c>
      <c r="O71" s="16">
        <v>1</v>
      </c>
      <c r="P71" s="16">
        <v>5</v>
      </c>
      <c r="Q71" s="16">
        <v>2</v>
      </c>
      <c r="R71" s="16">
        <v>0</v>
      </c>
      <c r="S71" s="16">
        <v>1</v>
      </c>
      <c r="T71" s="13">
        <f t="shared" si="17"/>
        <v>22</v>
      </c>
    </row>
    <row r="72" spans="1:20" ht="12.75" customHeight="1" x14ac:dyDescent="0.4">
      <c r="A72" s="15"/>
      <c r="B72" s="28"/>
      <c r="C72" s="29" t="s">
        <v>56</v>
      </c>
      <c r="D72" s="30"/>
      <c r="E72" s="16">
        <v>5</v>
      </c>
      <c r="F72" s="16">
        <v>12</v>
      </c>
      <c r="G72" s="16">
        <v>3</v>
      </c>
      <c r="H72" s="16">
        <v>12</v>
      </c>
      <c r="I72" s="16">
        <v>0</v>
      </c>
      <c r="J72" s="16">
        <v>4</v>
      </c>
      <c r="K72" s="16">
        <v>4</v>
      </c>
      <c r="L72" s="16">
        <v>3</v>
      </c>
      <c r="M72" s="16">
        <v>2</v>
      </c>
      <c r="N72" s="16">
        <v>8</v>
      </c>
      <c r="O72" s="16">
        <v>10</v>
      </c>
      <c r="P72" s="16">
        <v>21</v>
      </c>
      <c r="Q72" s="16">
        <v>21</v>
      </c>
      <c r="R72" s="16">
        <v>2</v>
      </c>
      <c r="S72" s="16">
        <v>2</v>
      </c>
      <c r="T72" s="13">
        <f t="shared" si="17"/>
        <v>109</v>
      </c>
    </row>
    <row r="73" spans="1:20" ht="12.75" customHeight="1" x14ac:dyDescent="0.4">
      <c r="A73" s="15"/>
      <c r="B73" s="28"/>
      <c r="C73" s="29" t="s">
        <v>57</v>
      </c>
      <c r="D73" s="30"/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0</v>
      </c>
      <c r="P73" s="16">
        <v>1</v>
      </c>
      <c r="Q73" s="16">
        <v>0</v>
      </c>
      <c r="R73" s="16">
        <v>0</v>
      </c>
      <c r="S73" s="16">
        <v>0</v>
      </c>
      <c r="T73" s="13">
        <f t="shared" si="17"/>
        <v>3</v>
      </c>
    </row>
    <row r="74" spans="1:20" ht="12.75" customHeight="1" x14ac:dyDescent="0.4">
      <c r="A74" s="15"/>
      <c r="B74" s="28"/>
      <c r="C74" s="29" t="s">
        <v>58</v>
      </c>
      <c r="D74" s="30"/>
      <c r="E74" s="16">
        <v>7</v>
      </c>
      <c r="F74" s="16">
        <v>0</v>
      </c>
      <c r="G74" s="16">
        <v>3</v>
      </c>
      <c r="H74" s="16">
        <v>9</v>
      </c>
      <c r="I74" s="16">
        <v>2</v>
      </c>
      <c r="J74" s="16">
        <v>2</v>
      </c>
      <c r="K74" s="16">
        <v>1</v>
      </c>
      <c r="L74" s="16">
        <v>0</v>
      </c>
      <c r="M74" s="16">
        <v>2</v>
      </c>
      <c r="N74" s="16">
        <v>2</v>
      </c>
      <c r="O74" s="16">
        <v>6</v>
      </c>
      <c r="P74" s="16">
        <v>1</v>
      </c>
      <c r="Q74" s="16">
        <v>1</v>
      </c>
      <c r="R74" s="16">
        <v>0</v>
      </c>
      <c r="S74" s="16">
        <v>0</v>
      </c>
      <c r="T74" s="13">
        <f t="shared" si="17"/>
        <v>36</v>
      </c>
    </row>
    <row r="75" spans="1:20" ht="12.75" customHeight="1" x14ac:dyDescent="0.4">
      <c r="A75" s="15"/>
      <c r="B75" s="28"/>
      <c r="C75" s="29" t="s">
        <v>59</v>
      </c>
      <c r="D75" s="30"/>
      <c r="E75" s="16">
        <v>1</v>
      </c>
      <c r="F75" s="16">
        <v>0</v>
      </c>
      <c r="G75" s="16">
        <v>2</v>
      </c>
      <c r="H75" s="16">
        <v>4</v>
      </c>
      <c r="I75" s="16">
        <v>0</v>
      </c>
      <c r="J75" s="16">
        <v>0</v>
      </c>
      <c r="K75" s="16">
        <v>0</v>
      </c>
      <c r="L75" s="16">
        <v>0</v>
      </c>
      <c r="M75" s="16">
        <v>0</v>
      </c>
      <c r="N75" s="16">
        <v>0</v>
      </c>
      <c r="O75" s="16">
        <v>0</v>
      </c>
      <c r="P75" s="16">
        <v>1</v>
      </c>
      <c r="Q75" s="16">
        <v>0</v>
      </c>
      <c r="R75" s="16">
        <v>0</v>
      </c>
      <c r="S75" s="16">
        <v>0</v>
      </c>
      <c r="T75" s="13">
        <f t="shared" si="17"/>
        <v>8</v>
      </c>
    </row>
    <row r="76" spans="1:20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13">
        <f t="shared" si="17"/>
        <v>0</v>
      </c>
    </row>
    <row r="77" spans="1:20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13">
        <f t="shared" si="17"/>
        <v>0</v>
      </c>
    </row>
    <row r="78" spans="1:20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13">
        <f t="shared" si="17"/>
        <v>0</v>
      </c>
    </row>
    <row r="79" spans="1:20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T79" si="18">SUM(E69:E78)</f>
        <v>18</v>
      </c>
      <c r="F79" s="13">
        <f t="shared" si="18"/>
        <v>16</v>
      </c>
      <c r="G79" s="13">
        <f t="shared" si="18"/>
        <v>16</v>
      </c>
      <c r="H79" s="13">
        <f t="shared" si="18"/>
        <v>37</v>
      </c>
      <c r="I79" s="13">
        <f t="shared" si="18"/>
        <v>5</v>
      </c>
      <c r="J79" s="13">
        <f t="shared" si="18"/>
        <v>12</v>
      </c>
      <c r="K79" s="13">
        <f t="shared" si="18"/>
        <v>9</v>
      </c>
      <c r="L79" s="13">
        <f t="shared" si="18"/>
        <v>6</v>
      </c>
      <c r="M79" s="13">
        <f t="shared" si="18"/>
        <v>8</v>
      </c>
      <c r="N79" s="13">
        <f t="shared" si="18"/>
        <v>13</v>
      </c>
      <c r="O79" s="13">
        <f t="shared" si="18"/>
        <v>32</v>
      </c>
      <c r="P79" s="13">
        <f t="shared" si="18"/>
        <v>37</v>
      </c>
      <c r="Q79" s="13">
        <f t="shared" si="18"/>
        <v>29</v>
      </c>
      <c r="R79" s="13">
        <f t="shared" si="18"/>
        <v>4</v>
      </c>
      <c r="S79" s="13">
        <f t="shared" si="18"/>
        <v>13</v>
      </c>
      <c r="T79" s="13">
        <f t="shared" si="18"/>
        <v>255</v>
      </c>
    </row>
    <row r="80" spans="1:20" ht="12.75" customHeight="1" x14ac:dyDescent="0.4">
      <c r="A80" s="86"/>
      <c r="B80" s="68"/>
      <c r="C80" s="68"/>
      <c r="D80" s="68"/>
      <c r="E80" s="68"/>
    </row>
    <row r="81" spans="1:20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2</v>
      </c>
      <c r="F81" s="16">
        <v>1</v>
      </c>
      <c r="G81" s="16">
        <v>3</v>
      </c>
      <c r="H81" s="16">
        <v>2</v>
      </c>
      <c r="I81" s="16">
        <v>2</v>
      </c>
      <c r="J81" s="16">
        <v>1</v>
      </c>
      <c r="K81" s="16">
        <v>3</v>
      </c>
      <c r="L81" s="16">
        <v>2</v>
      </c>
      <c r="M81" s="16">
        <v>2</v>
      </c>
      <c r="N81" s="16">
        <v>1</v>
      </c>
      <c r="O81" s="16">
        <v>2</v>
      </c>
      <c r="P81" s="16">
        <v>1</v>
      </c>
      <c r="Q81" s="16">
        <v>0</v>
      </c>
      <c r="R81" s="16">
        <v>0</v>
      </c>
      <c r="S81" s="16">
        <v>0</v>
      </c>
      <c r="T81" s="13">
        <f t="shared" ref="T81:T90" si="19">SUM(E81:S81)</f>
        <v>22</v>
      </c>
    </row>
    <row r="82" spans="1:20" ht="12.75" customHeight="1" x14ac:dyDescent="0.4">
      <c r="A82" s="20" t="s">
        <v>38</v>
      </c>
      <c r="B82" s="28"/>
      <c r="C82" s="29" t="s">
        <v>61</v>
      </c>
      <c r="D82" s="30"/>
      <c r="E82" s="16">
        <v>4</v>
      </c>
      <c r="F82" s="16">
        <v>2</v>
      </c>
      <c r="G82" s="16">
        <v>0</v>
      </c>
      <c r="H82" s="16">
        <v>3</v>
      </c>
      <c r="I82" s="16">
        <v>2</v>
      </c>
      <c r="J82" s="16">
        <v>1</v>
      </c>
      <c r="K82" s="16">
        <v>1</v>
      </c>
      <c r="L82" s="16">
        <v>1</v>
      </c>
      <c r="M82" s="16">
        <v>5</v>
      </c>
      <c r="N82" s="16">
        <v>1</v>
      </c>
      <c r="O82" s="16">
        <v>1</v>
      </c>
      <c r="P82" s="16">
        <v>0</v>
      </c>
      <c r="Q82" s="16">
        <v>2</v>
      </c>
      <c r="R82" s="16">
        <v>0</v>
      </c>
      <c r="S82" s="16">
        <v>0</v>
      </c>
      <c r="T82" s="13">
        <f t="shared" si="19"/>
        <v>23</v>
      </c>
    </row>
    <row r="83" spans="1:20" ht="12.75" customHeight="1" x14ac:dyDescent="0.4">
      <c r="A83" s="15"/>
      <c r="B83" s="28"/>
      <c r="C83" s="29" t="s">
        <v>62</v>
      </c>
      <c r="D83" s="30"/>
      <c r="E83" s="16">
        <v>0</v>
      </c>
      <c r="F83" s="16">
        <v>0</v>
      </c>
      <c r="G83" s="16">
        <v>1</v>
      </c>
      <c r="H83" s="16">
        <v>3</v>
      </c>
      <c r="I83" s="16">
        <v>0</v>
      </c>
      <c r="J83" s="16">
        <v>0</v>
      </c>
      <c r="K83" s="16">
        <v>1</v>
      </c>
      <c r="L83" s="16">
        <v>0</v>
      </c>
      <c r="M83" s="16">
        <v>0</v>
      </c>
      <c r="N83" s="16">
        <v>0</v>
      </c>
      <c r="O83" s="16">
        <v>2</v>
      </c>
      <c r="P83" s="16">
        <v>0</v>
      </c>
      <c r="Q83" s="16">
        <v>0</v>
      </c>
      <c r="R83" s="16">
        <v>1</v>
      </c>
      <c r="S83" s="16">
        <v>0</v>
      </c>
      <c r="T83" s="13">
        <f t="shared" si="19"/>
        <v>8</v>
      </c>
    </row>
    <row r="84" spans="1:20" ht="12.75" customHeight="1" x14ac:dyDescent="0.4">
      <c r="A84" s="15"/>
      <c r="B84" s="28"/>
      <c r="C84" s="29" t="s">
        <v>63</v>
      </c>
      <c r="D84" s="30"/>
      <c r="E84" s="16">
        <v>2</v>
      </c>
      <c r="F84" s="16">
        <v>0</v>
      </c>
      <c r="G84" s="16">
        <v>0</v>
      </c>
      <c r="H84" s="16">
        <v>0</v>
      </c>
      <c r="I84" s="16">
        <v>0</v>
      </c>
      <c r="J84" s="16">
        <v>0</v>
      </c>
      <c r="K84" s="16">
        <v>0</v>
      </c>
      <c r="L84" s="16">
        <v>0</v>
      </c>
      <c r="M84" s="16">
        <v>0</v>
      </c>
      <c r="N84" s="16">
        <v>1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3">
        <f t="shared" si="19"/>
        <v>3</v>
      </c>
    </row>
    <row r="85" spans="1:20" ht="12.75" customHeight="1" x14ac:dyDescent="0.4">
      <c r="A85" s="15"/>
      <c r="B85" s="28"/>
      <c r="C85" s="29" t="s">
        <v>64</v>
      </c>
      <c r="D85" s="30"/>
      <c r="E85" s="16">
        <v>7</v>
      </c>
      <c r="F85" s="16">
        <v>11</v>
      </c>
      <c r="G85" s="16">
        <v>24</v>
      </c>
      <c r="H85" s="16">
        <v>35</v>
      </c>
      <c r="I85" s="16">
        <v>21</v>
      </c>
      <c r="J85" s="16">
        <v>5</v>
      </c>
      <c r="K85" s="16">
        <v>4</v>
      </c>
      <c r="L85" s="16">
        <v>3</v>
      </c>
      <c r="M85" s="16">
        <v>12</v>
      </c>
      <c r="N85" s="16">
        <v>3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3">
        <f t="shared" si="19"/>
        <v>125</v>
      </c>
    </row>
    <row r="86" spans="1:20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0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3">
        <f t="shared" si="19"/>
        <v>0</v>
      </c>
    </row>
    <row r="87" spans="1:20" ht="12.75" customHeight="1" x14ac:dyDescent="0.4">
      <c r="A87" s="15"/>
      <c r="B87" s="28"/>
      <c r="C87" s="29" t="s">
        <v>66</v>
      </c>
      <c r="D87" s="30"/>
      <c r="E87" s="16">
        <v>2</v>
      </c>
      <c r="F87" s="16">
        <v>0</v>
      </c>
      <c r="G87" s="16">
        <v>1</v>
      </c>
      <c r="H87" s="16">
        <v>0</v>
      </c>
      <c r="I87" s="16">
        <v>0</v>
      </c>
      <c r="J87" s="16">
        <v>0</v>
      </c>
      <c r="K87" s="16">
        <v>0</v>
      </c>
      <c r="L87" s="16">
        <v>0</v>
      </c>
      <c r="M87" s="16">
        <v>0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3">
        <f t="shared" si="19"/>
        <v>3</v>
      </c>
    </row>
    <row r="88" spans="1:20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13">
        <f t="shared" si="19"/>
        <v>0</v>
      </c>
    </row>
    <row r="89" spans="1:20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13">
        <f t="shared" si="19"/>
        <v>0</v>
      </c>
    </row>
    <row r="90" spans="1:20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13">
        <f t="shared" si="19"/>
        <v>0</v>
      </c>
    </row>
    <row r="91" spans="1:20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T91" si="20">SUM(E81:E90)</f>
        <v>17</v>
      </c>
      <c r="F91" s="13">
        <f t="shared" si="20"/>
        <v>14</v>
      </c>
      <c r="G91" s="13">
        <f t="shared" si="20"/>
        <v>29</v>
      </c>
      <c r="H91" s="13">
        <f t="shared" si="20"/>
        <v>43</v>
      </c>
      <c r="I91" s="13">
        <f t="shared" si="20"/>
        <v>25</v>
      </c>
      <c r="J91" s="13">
        <f t="shared" si="20"/>
        <v>7</v>
      </c>
      <c r="K91" s="13">
        <f t="shared" si="20"/>
        <v>9</v>
      </c>
      <c r="L91" s="13">
        <f t="shared" si="20"/>
        <v>6</v>
      </c>
      <c r="M91" s="13">
        <f t="shared" si="20"/>
        <v>19</v>
      </c>
      <c r="N91" s="13">
        <f t="shared" si="20"/>
        <v>6</v>
      </c>
      <c r="O91" s="13">
        <f t="shared" si="20"/>
        <v>5</v>
      </c>
      <c r="P91" s="13">
        <f t="shared" si="20"/>
        <v>1</v>
      </c>
      <c r="Q91" s="13">
        <f t="shared" si="20"/>
        <v>2</v>
      </c>
      <c r="R91" s="13">
        <f t="shared" si="20"/>
        <v>1</v>
      </c>
      <c r="S91" s="13">
        <f t="shared" si="20"/>
        <v>0</v>
      </c>
      <c r="T91" s="13">
        <f t="shared" si="20"/>
        <v>184</v>
      </c>
    </row>
    <row r="92" spans="1:20" ht="12.75" customHeight="1" x14ac:dyDescent="0.4">
      <c r="A92" s="86"/>
      <c r="B92" s="68"/>
      <c r="C92" s="68"/>
      <c r="D92" s="68"/>
      <c r="E92" s="68"/>
    </row>
    <row r="93" spans="1:20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2</v>
      </c>
      <c r="F93" s="16">
        <v>9</v>
      </c>
      <c r="G93" s="16">
        <v>3</v>
      </c>
      <c r="H93" s="16">
        <v>0</v>
      </c>
      <c r="I93" s="16">
        <v>4</v>
      </c>
      <c r="J93" s="16">
        <v>0</v>
      </c>
      <c r="K93" s="16">
        <v>3</v>
      </c>
      <c r="L93" s="16">
        <v>5</v>
      </c>
      <c r="M93" s="16">
        <v>7</v>
      </c>
      <c r="N93" s="16">
        <v>6</v>
      </c>
      <c r="O93" s="16">
        <v>8</v>
      </c>
      <c r="P93" s="16">
        <v>2</v>
      </c>
      <c r="Q93" s="16">
        <v>2</v>
      </c>
      <c r="R93" s="16">
        <v>0</v>
      </c>
      <c r="S93" s="16">
        <v>0</v>
      </c>
      <c r="T93" s="13">
        <f t="shared" ref="T93:T102" si="21">SUM(E93:S93)</f>
        <v>51</v>
      </c>
    </row>
    <row r="94" spans="1:20" ht="12.75" customHeight="1" x14ac:dyDescent="0.4">
      <c r="A94" s="20" t="s">
        <v>38</v>
      </c>
      <c r="B94" s="28"/>
      <c r="C94" s="29" t="s">
        <v>69</v>
      </c>
      <c r="D94" s="30"/>
      <c r="E94" s="16">
        <v>16</v>
      </c>
      <c r="F94" s="16">
        <v>48</v>
      </c>
      <c r="G94" s="16">
        <v>4</v>
      </c>
      <c r="H94" s="16">
        <v>2</v>
      </c>
      <c r="I94" s="16">
        <v>1</v>
      </c>
      <c r="J94" s="16">
        <v>13</v>
      </c>
      <c r="K94" s="16">
        <v>4</v>
      </c>
      <c r="L94" s="16">
        <v>10</v>
      </c>
      <c r="M94" s="16">
        <v>3</v>
      </c>
      <c r="N94" s="16">
        <v>4</v>
      </c>
      <c r="O94" s="16">
        <v>1</v>
      </c>
      <c r="P94" s="16">
        <v>1</v>
      </c>
      <c r="Q94" s="16">
        <v>1</v>
      </c>
      <c r="R94" s="16">
        <v>2</v>
      </c>
      <c r="S94" s="16">
        <v>4</v>
      </c>
      <c r="T94" s="13">
        <f t="shared" si="21"/>
        <v>114</v>
      </c>
    </row>
    <row r="95" spans="1:20" ht="12.75" customHeight="1" x14ac:dyDescent="0.4">
      <c r="A95" s="15"/>
      <c r="B95" s="28"/>
      <c r="C95" s="29" t="s">
        <v>70</v>
      </c>
      <c r="D95" s="30"/>
      <c r="E95" s="16">
        <v>1</v>
      </c>
      <c r="F95" s="16">
        <v>0</v>
      </c>
      <c r="G95" s="16">
        <v>1</v>
      </c>
      <c r="H95" s="16">
        <v>0</v>
      </c>
      <c r="I95" s="16">
        <v>2</v>
      </c>
      <c r="J95" s="16">
        <v>2</v>
      </c>
      <c r="K95" s="16">
        <v>4</v>
      </c>
      <c r="L95" s="16">
        <v>3</v>
      </c>
      <c r="M95" s="16">
        <v>4</v>
      </c>
      <c r="N95" s="16">
        <v>1</v>
      </c>
      <c r="O95" s="16">
        <v>6</v>
      </c>
      <c r="P95" s="16">
        <v>1</v>
      </c>
      <c r="Q95" s="16">
        <v>0</v>
      </c>
      <c r="R95" s="16">
        <v>0</v>
      </c>
      <c r="S95" s="16">
        <v>0</v>
      </c>
      <c r="T95" s="13">
        <f t="shared" si="21"/>
        <v>25</v>
      </c>
    </row>
    <row r="96" spans="1:20" ht="12.75" customHeight="1" x14ac:dyDescent="0.4">
      <c r="A96" s="15"/>
      <c r="B96" s="28"/>
      <c r="C96" s="29" t="s">
        <v>71</v>
      </c>
      <c r="D96" s="30"/>
      <c r="E96" s="16">
        <v>2</v>
      </c>
      <c r="F96" s="16">
        <v>1</v>
      </c>
      <c r="G96" s="16">
        <v>2</v>
      </c>
      <c r="H96" s="16">
        <v>0</v>
      </c>
      <c r="I96" s="16">
        <v>3</v>
      </c>
      <c r="J96" s="16">
        <v>0</v>
      </c>
      <c r="K96" s="16">
        <v>0</v>
      </c>
      <c r="L96" s="16">
        <v>1</v>
      </c>
      <c r="M96" s="16">
        <v>0</v>
      </c>
      <c r="N96" s="16">
        <v>0</v>
      </c>
      <c r="O96" s="16">
        <v>0</v>
      </c>
      <c r="P96" s="16">
        <v>0</v>
      </c>
      <c r="Q96" s="16">
        <v>0</v>
      </c>
      <c r="R96" s="16">
        <v>0</v>
      </c>
      <c r="S96" s="16">
        <v>0</v>
      </c>
      <c r="T96" s="13">
        <f t="shared" si="21"/>
        <v>9</v>
      </c>
    </row>
    <row r="97" spans="1:20" ht="12.75" customHeight="1" x14ac:dyDescent="0.4">
      <c r="A97" s="15"/>
      <c r="B97" s="28"/>
      <c r="C97" s="29" t="s">
        <v>72</v>
      </c>
      <c r="D97" s="30"/>
      <c r="E97" s="16">
        <v>0</v>
      </c>
      <c r="F97" s="16">
        <v>0</v>
      </c>
      <c r="G97" s="16">
        <v>0</v>
      </c>
      <c r="H97" s="16">
        <v>1</v>
      </c>
      <c r="I97" s="16">
        <v>1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0</v>
      </c>
      <c r="P97" s="16">
        <v>0</v>
      </c>
      <c r="Q97" s="16">
        <v>0</v>
      </c>
      <c r="R97" s="16">
        <v>0</v>
      </c>
      <c r="S97" s="16">
        <v>0</v>
      </c>
      <c r="T97" s="13">
        <f t="shared" si="21"/>
        <v>3</v>
      </c>
    </row>
    <row r="98" spans="1:20" ht="12.75" customHeight="1" x14ac:dyDescent="0.4">
      <c r="A98" s="15"/>
      <c r="B98" s="28"/>
      <c r="C98" s="29" t="s">
        <v>73</v>
      </c>
      <c r="D98" s="30"/>
      <c r="E98" s="16">
        <v>2</v>
      </c>
      <c r="F98" s="16">
        <v>4</v>
      </c>
      <c r="G98" s="16">
        <v>10</v>
      </c>
      <c r="H98" s="16">
        <v>1</v>
      </c>
      <c r="I98" s="16">
        <v>6</v>
      </c>
      <c r="J98" s="16">
        <v>3</v>
      </c>
      <c r="K98" s="16">
        <v>14</v>
      </c>
      <c r="L98" s="16">
        <v>20</v>
      </c>
      <c r="M98" s="16">
        <v>66</v>
      </c>
      <c r="N98" s="16">
        <v>40</v>
      </c>
      <c r="O98" s="16">
        <v>52</v>
      </c>
      <c r="P98" s="16">
        <v>35</v>
      </c>
      <c r="Q98" s="16">
        <v>7</v>
      </c>
      <c r="R98" s="16">
        <v>2</v>
      </c>
      <c r="S98" s="16">
        <v>0</v>
      </c>
      <c r="T98" s="13">
        <f t="shared" si="21"/>
        <v>262</v>
      </c>
    </row>
    <row r="99" spans="1:20" ht="12.75" customHeight="1" x14ac:dyDescent="0.4">
      <c r="A99" s="15"/>
      <c r="B99" s="28"/>
      <c r="C99" s="29" t="s">
        <v>74</v>
      </c>
      <c r="D99" s="30"/>
      <c r="E99" s="16">
        <v>1</v>
      </c>
      <c r="F99" s="16">
        <v>1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0</v>
      </c>
      <c r="O99" s="16">
        <v>0</v>
      </c>
      <c r="P99" s="16">
        <v>0</v>
      </c>
      <c r="Q99" s="16">
        <v>0</v>
      </c>
      <c r="R99" s="16">
        <v>0</v>
      </c>
      <c r="S99" s="16">
        <v>0</v>
      </c>
      <c r="T99" s="13">
        <f t="shared" si="21"/>
        <v>2</v>
      </c>
    </row>
    <row r="100" spans="1:20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13">
        <f t="shared" si="21"/>
        <v>0</v>
      </c>
    </row>
    <row r="101" spans="1:20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13">
        <f t="shared" si="21"/>
        <v>0</v>
      </c>
    </row>
    <row r="102" spans="1:20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13">
        <f t="shared" si="21"/>
        <v>0</v>
      </c>
    </row>
    <row r="103" spans="1:20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T103" si="22">SUM(E93:E102)</f>
        <v>24</v>
      </c>
      <c r="F103" s="13">
        <f t="shared" si="22"/>
        <v>63</v>
      </c>
      <c r="G103" s="13">
        <f t="shared" si="22"/>
        <v>20</v>
      </c>
      <c r="H103" s="13">
        <f t="shared" si="22"/>
        <v>4</v>
      </c>
      <c r="I103" s="13">
        <f t="shared" si="22"/>
        <v>17</v>
      </c>
      <c r="J103" s="13">
        <f t="shared" si="22"/>
        <v>18</v>
      </c>
      <c r="K103" s="13">
        <f t="shared" si="22"/>
        <v>25</v>
      </c>
      <c r="L103" s="13">
        <f t="shared" si="22"/>
        <v>39</v>
      </c>
      <c r="M103" s="13">
        <f t="shared" si="22"/>
        <v>80</v>
      </c>
      <c r="N103" s="13">
        <f t="shared" si="22"/>
        <v>52</v>
      </c>
      <c r="O103" s="13">
        <f t="shared" si="22"/>
        <v>67</v>
      </c>
      <c r="P103" s="13">
        <f t="shared" si="22"/>
        <v>39</v>
      </c>
      <c r="Q103" s="13">
        <f t="shared" si="22"/>
        <v>10</v>
      </c>
      <c r="R103" s="13">
        <f t="shared" si="22"/>
        <v>4</v>
      </c>
      <c r="S103" s="13">
        <f t="shared" si="22"/>
        <v>4</v>
      </c>
      <c r="T103" s="13">
        <f t="shared" si="22"/>
        <v>466</v>
      </c>
    </row>
    <row r="104" spans="1:20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</row>
    <row r="105" spans="1:20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1</v>
      </c>
      <c r="G105" s="16">
        <v>0</v>
      </c>
      <c r="H105" s="16">
        <v>0</v>
      </c>
      <c r="I105" s="16">
        <v>0</v>
      </c>
      <c r="J105" s="16">
        <v>0</v>
      </c>
      <c r="K105" s="16">
        <v>2</v>
      </c>
      <c r="L105" s="16">
        <v>3</v>
      </c>
      <c r="M105" s="16">
        <v>1</v>
      </c>
      <c r="N105" s="16">
        <v>0</v>
      </c>
      <c r="O105" s="16">
        <v>0</v>
      </c>
      <c r="P105" s="16">
        <v>0</v>
      </c>
      <c r="Q105" s="16">
        <v>4</v>
      </c>
      <c r="R105" s="16">
        <v>2</v>
      </c>
      <c r="S105" s="16">
        <v>1</v>
      </c>
      <c r="T105" s="13">
        <f t="shared" ref="T105:T114" si="23">SUM(E105:S105)</f>
        <v>14</v>
      </c>
    </row>
    <row r="106" spans="1:20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0</v>
      </c>
      <c r="G106" s="16">
        <v>1</v>
      </c>
      <c r="H106" s="16">
        <v>1</v>
      </c>
      <c r="I106" s="16">
        <v>0</v>
      </c>
      <c r="J106" s="16">
        <v>1</v>
      </c>
      <c r="K106" s="16">
        <v>1</v>
      </c>
      <c r="L106" s="16">
        <v>0</v>
      </c>
      <c r="M106" s="16">
        <v>0</v>
      </c>
      <c r="N106" s="16">
        <v>1</v>
      </c>
      <c r="O106" s="16">
        <v>2</v>
      </c>
      <c r="P106" s="16">
        <v>0</v>
      </c>
      <c r="Q106" s="16">
        <v>0</v>
      </c>
      <c r="R106" s="16">
        <v>0</v>
      </c>
      <c r="S106" s="16">
        <v>0</v>
      </c>
      <c r="T106" s="13">
        <f t="shared" si="23"/>
        <v>7</v>
      </c>
    </row>
    <row r="107" spans="1:20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13">
        <f t="shared" si="23"/>
        <v>0</v>
      </c>
    </row>
    <row r="108" spans="1:20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13">
        <f t="shared" si="23"/>
        <v>0</v>
      </c>
    </row>
    <row r="109" spans="1:20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13">
        <f t="shared" si="23"/>
        <v>0</v>
      </c>
    </row>
    <row r="110" spans="1:20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13">
        <f t="shared" si="23"/>
        <v>0</v>
      </c>
    </row>
    <row r="111" spans="1:20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13">
        <f t="shared" si="23"/>
        <v>0</v>
      </c>
    </row>
    <row r="112" spans="1:20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13">
        <f t="shared" si="23"/>
        <v>0</v>
      </c>
    </row>
    <row r="113" spans="1:20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13">
        <f t="shared" si="23"/>
        <v>0</v>
      </c>
    </row>
    <row r="114" spans="1:20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13">
        <f t="shared" si="23"/>
        <v>0</v>
      </c>
    </row>
    <row r="115" spans="1:20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T115" si="24">SUM(E105:E114)</f>
        <v>0</v>
      </c>
      <c r="F115" s="13">
        <f t="shared" si="24"/>
        <v>1</v>
      </c>
      <c r="G115" s="13">
        <f t="shared" si="24"/>
        <v>1</v>
      </c>
      <c r="H115" s="13">
        <f t="shared" si="24"/>
        <v>1</v>
      </c>
      <c r="I115" s="13">
        <f t="shared" si="24"/>
        <v>0</v>
      </c>
      <c r="J115" s="13">
        <f t="shared" si="24"/>
        <v>1</v>
      </c>
      <c r="K115" s="13">
        <f t="shared" si="24"/>
        <v>3</v>
      </c>
      <c r="L115" s="13">
        <f t="shared" si="24"/>
        <v>3</v>
      </c>
      <c r="M115" s="13">
        <f t="shared" si="24"/>
        <v>1</v>
      </c>
      <c r="N115" s="13">
        <f t="shared" si="24"/>
        <v>1</v>
      </c>
      <c r="O115" s="13">
        <f t="shared" si="24"/>
        <v>2</v>
      </c>
      <c r="P115" s="13">
        <f t="shared" si="24"/>
        <v>0</v>
      </c>
      <c r="Q115" s="13">
        <f t="shared" si="24"/>
        <v>4</v>
      </c>
      <c r="R115" s="13">
        <f t="shared" si="24"/>
        <v>2</v>
      </c>
      <c r="S115" s="13">
        <f t="shared" si="24"/>
        <v>1</v>
      </c>
      <c r="T115" s="13">
        <f t="shared" si="24"/>
        <v>21</v>
      </c>
    </row>
    <row r="116" spans="1:20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13"/>
    </row>
    <row r="117" spans="1:20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0</v>
      </c>
      <c r="F117" s="16">
        <v>0</v>
      </c>
      <c r="G117" s="16">
        <v>0</v>
      </c>
      <c r="H117" s="16">
        <v>2</v>
      </c>
      <c r="I117" s="16">
        <v>1</v>
      </c>
      <c r="J117" s="16">
        <v>1</v>
      </c>
      <c r="K117" s="16">
        <v>0</v>
      </c>
      <c r="L117" s="16">
        <v>1</v>
      </c>
      <c r="M117" s="16">
        <v>1</v>
      </c>
      <c r="N117" s="16">
        <v>0</v>
      </c>
      <c r="O117" s="16">
        <v>1</v>
      </c>
      <c r="P117" s="16">
        <v>0</v>
      </c>
      <c r="Q117" s="16">
        <v>1</v>
      </c>
      <c r="R117" s="16">
        <v>0</v>
      </c>
      <c r="S117" s="16">
        <v>2</v>
      </c>
      <c r="T117" s="13">
        <f t="shared" ref="T117:T126" si="25">SUM(E117:S117)</f>
        <v>10</v>
      </c>
    </row>
    <row r="118" spans="1:20" ht="12.75" customHeight="1" x14ac:dyDescent="0.4">
      <c r="A118" s="20" t="s">
        <v>38</v>
      </c>
      <c r="B118" s="28"/>
      <c r="C118" s="29" t="s">
        <v>80</v>
      </c>
      <c r="D118" s="30"/>
      <c r="E118" s="16">
        <v>4</v>
      </c>
      <c r="F118" s="16">
        <v>2</v>
      </c>
      <c r="G118" s="16">
        <v>0</v>
      </c>
      <c r="H118" s="16">
        <v>0</v>
      </c>
      <c r="I118" s="16">
        <v>1</v>
      </c>
      <c r="J118" s="16">
        <v>2</v>
      </c>
      <c r="K118" s="16">
        <v>12</v>
      </c>
      <c r="L118" s="16">
        <v>5</v>
      </c>
      <c r="M118" s="16">
        <v>0</v>
      </c>
      <c r="N118" s="16">
        <v>0</v>
      </c>
      <c r="O118" s="16">
        <v>3</v>
      </c>
      <c r="P118" s="16">
        <v>2</v>
      </c>
      <c r="Q118" s="16">
        <v>3</v>
      </c>
      <c r="R118" s="16">
        <v>0</v>
      </c>
      <c r="S118" s="16">
        <v>1</v>
      </c>
      <c r="T118" s="13">
        <f t="shared" si="25"/>
        <v>35</v>
      </c>
    </row>
    <row r="119" spans="1:20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5</v>
      </c>
      <c r="L119" s="16">
        <v>0</v>
      </c>
      <c r="M119" s="16">
        <v>0</v>
      </c>
      <c r="N119" s="16">
        <v>0</v>
      </c>
      <c r="O119" s="16">
        <v>0</v>
      </c>
      <c r="P119" s="16">
        <v>0</v>
      </c>
      <c r="Q119" s="16">
        <v>0</v>
      </c>
      <c r="R119" s="16">
        <v>0</v>
      </c>
      <c r="S119" s="16">
        <v>0</v>
      </c>
      <c r="T119" s="13">
        <f t="shared" si="25"/>
        <v>5</v>
      </c>
    </row>
    <row r="120" spans="1:20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3">
        <f t="shared" si="25"/>
        <v>0</v>
      </c>
    </row>
    <row r="121" spans="1:20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13">
        <f t="shared" si="25"/>
        <v>0</v>
      </c>
    </row>
    <row r="122" spans="1:20" ht="12.75" customHeight="1" x14ac:dyDescent="0.4">
      <c r="A122" s="52"/>
      <c r="B122" s="28"/>
      <c r="C122" s="29" t="s">
        <v>84</v>
      </c>
      <c r="D122" s="30"/>
      <c r="E122" s="53">
        <v>1</v>
      </c>
      <c r="F122" s="53">
        <v>0</v>
      </c>
      <c r="G122" s="53">
        <v>0</v>
      </c>
      <c r="H122" s="53">
        <v>1</v>
      </c>
      <c r="I122" s="53">
        <v>0</v>
      </c>
      <c r="J122" s="53">
        <v>0</v>
      </c>
      <c r="K122" s="53">
        <v>1</v>
      </c>
      <c r="L122" s="53">
        <v>0</v>
      </c>
      <c r="M122" s="53">
        <v>1</v>
      </c>
      <c r="N122" s="53">
        <v>0</v>
      </c>
      <c r="O122" s="53">
        <v>0</v>
      </c>
      <c r="P122" s="16">
        <v>0</v>
      </c>
      <c r="Q122" s="53">
        <v>0</v>
      </c>
      <c r="R122" s="53">
        <v>0</v>
      </c>
      <c r="S122" s="53">
        <v>0</v>
      </c>
      <c r="T122" s="13">
        <f t="shared" si="25"/>
        <v>4</v>
      </c>
    </row>
    <row r="123" spans="1:20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41">
        <v>0</v>
      </c>
      <c r="S123" s="41">
        <v>0</v>
      </c>
      <c r="T123" s="13">
        <f t="shared" si="25"/>
        <v>0</v>
      </c>
    </row>
    <row r="124" spans="1:20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13">
        <f t="shared" si="25"/>
        <v>0</v>
      </c>
    </row>
    <row r="125" spans="1:20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13">
        <f t="shared" si="25"/>
        <v>0</v>
      </c>
    </row>
    <row r="126" spans="1:20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13">
        <f t="shared" si="25"/>
        <v>0</v>
      </c>
    </row>
    <row r="127" spans="1:20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T127" si="26">SUM(E117:E126)</f>
        <v>5</v>
      </c>
      <c r="F127" s="13">
        <f t="shared" si="26"/>
        <v>2</v>
      </c>
      <c r="G127" s="13">
        <f t="shared" si="26"/>
        <v>0</v>
      </c>
      <c r="H127" s="13">
        <f t="shared" si="26"/>
        <v>3</v>
      </c>
      <c r="I127" s="13">
        <f t="shared" si="26"/>
        <v>2</v>
      </c>
      <c r="J127" s="13">
        <f t="shared" si="26"/>
        <v>3</v>
      </c>
      <c r="K127" s="13">
        <f t="shared" si="26"/>
        <v>18</v>
      </c>
      <c r="L127" s="13">
        <f t="shared" si="26"/>
        <v>6</v>
      </c>
      <c r="M127" s="13">
        <f t="shared" si="26"/>
        <v>2</v>
      </c>
      <c r="N127" s="13">
        <f t="shared" si="26"/>
        <v>0</v>
      </c>
      <c r="O127" s="13">
        <f t="shared" si="26"/>
        <v>4</v>
      </c>
      <c r="P127" s="13">
        <f t="shared" si="26"/>
        <v>2</v>
      </c>
      <c r="Q127" s="13">
        <f t="shared" si="26"/>
        <v>4</v>
      </c>
      <c r="R127" s="13">
        <f t="shared" si="26"/>
        <v>0</v>
      </c>
      <c r="S127" s="13">
        <f t="shared" si="26"/>
        <v>3</v>
      </c>
      <c r="T127" s="13">
        <f t="shared" si="26"/>
        <v>54</v>
      </c>
    </row>
    <row r="128" spans="1:20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</row>
    <row r="129" spans="1:20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0</v>
      </c>
      <c r="F129" s="16">
        <v>0</v>
      </c>
      <c r="G129" s="16">
        <v>3</v>
      </c>
      <c r="H129" s="16">
        <v>3</v>
      </c>
      <c r="I129" s="16">
        <v>9</v>
      </c>
      <c r="J129" s="16">
        <v>2</v>
      </c>
      <c r="K129" s="16">
        <v>3</v>
      </c>
      <c r="L129" s="16">
        <v>1</v>
      </c>
      <c r="M129" s="16">
        <v>0</v>
      </c>
      <c r="N129" s="16">
        <v>0</v>
      </c>
      <c r="O129" s="16">
        <v>1</v>
      </c>
      <c r="P129" s="16">
        <v>0</v>
      </c>
      <c r="Q129" s="16">
        <v>0</v>
      </c>
      <c r="R129" s="16">
        <v>0</v>
      </c>
      <c r="S129" s="16">
        <v>0</v>
      </c>
      <c r="T129" s="13">
        <f t="shared" ref="T129:T138" si="27">SUM(E129:S129)</f>
        <v>22</v>
      </c>
    </row>
    <row r="130" spans="1:20" ht="12.75" customHeight="1" x14ac:dyDescent="0.4">
      <c r="A130" s="20" t="s">
        <v>38</v>
      </c>
      <c r="B130" s="28"/>
      <c r="C130" s="29" t="s">
        <v>88</v>
      </c>
      <c r="D130" s="30"/>
      <c r="E130" s="16">
        <v>4</v>
      </c>
      <c r="F130" s="16">
        <v>6</v>
      </c>
      <c r="G130" s="16">
        <v>8</v>
      </c>
      <c r="H130" s="16">
        <v>8</v>
      </c>
      <c r="I130" s="16">
        <v>31</v>
      </c>
      <c r="J130" s="16">
        <v>37</v>
      </c>
      <c r="K130" s="16">
        <v>7</v>
      </c>
      <c r="L130" s="16">
        <v>7</v>
      </c>
      <c r="M130" s="16">
        <v>2</v>
      </c>
      <c r="N130" s="16">
        <v>4</v>
      </c>
      <c r="O130" s="16">
        <v>2</v>
      </c>
      <c r="P130" s="16">
        <v>0</v>
      </c>
      <c r="Q130" s="16">
        <v>2</v>
      </c>
      <c r="R130" s="16">
        <v>0</v>
      </c>
      <c r="S130" s="16">
        <v>0</v>
      </c>
      <c r="T130" s="13">
        <f t="shared" si="27"/>
        <v>118</v>
      </c>
    </row>
    <row r="131" spans="1:20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0</v>
      </c>
      <c r="G131" s="16">
        <v>1</v>
      </c>
      <c r="H131" s="16">
        <v>0</v>
      </c>
      <c r="I131" s="16">
        <v>1</v>
      </c>
      <c r="J131" s="16">
        <v>1</v>
      </c>
      <c r="K131" s="16">
        <v>1</v>
      </c>
      <c r="L131" s="16">
        <v>2</v>
      </c>
      <c r="M131" s="16">
        <v>0</v>
      </c>
      <c r="N131" s="16">
        <v>0</v>
      </c>
      <c r="O131" s="16">
        <v>0</v>
      </c>
      <c r="P131" s="16">
        <v>0</v>
      </c>
      <c r="Q131" s="16">
        <v>0</v>
      </c>
      <c r="R131" s="16">
        <v>0</v>
      </c>
      <c r="S131" s="16">
        <v>0</v>
      </c>
      <c r="T131" s="13">
        <f t="shared" si="27"/>
        <v>6</v>
      </c>
    </row>
    <row r="132" spans="1:20" ht="12.75" customHeight="1" x14ac:dyDescent="0.4">
      <c r="A132" s="15"/>
      <c r="B132" s="28"/>
      <c r="C132" s="29" t="s">
        <v>90</v>
      </c>
      <c r="D132" s="30"/>
      <c r="E132" s="16">
        <v>1</v>
      </c>
      <c r="F132" s="16">
        <v>0</v>
      </c>
      <c r="G132" s="16">
        <v>1</v>
      </c>
      <c r="H132" s="16">
        <v>2</v>
      </c>
      <c r="I132" s="16">
        <v>0</v>
      </c>
      <c r="J132" s="16">
        <v>0</v>
      </c>
      <c r="K132" s="16">
        <v>1</v>
      </c>
      <c r="L132" s="16">
        <v>1</v>
      </c>
      <c r="M132" s="16">
        <v>1</v>
      </c>
      <c r="N132" s="16">
        <v>0</v>
      </c>
      <c r="O132" s="16">
        <v>0</v>
      </c>
      <c r="P132" s="16">
        <v>0</v>
      </c>
      <c r="Q132" s="16">
        <v>0</v>
      </c>
      <c r="R132" s="16">
        <v>0</v>
      </c>
      <c r="S132" s="16">
        <v>0</v>
      </c>
      <c r="T132" s="13">
        <f t="shared" si="27"/>
        <v>7</v>
      </c>
    </row>
    <row r="133" spans="1:20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0</v>
      </c>
      <c r="G133" s="16">
        <v>2</v>
      </c>
      <c r="H133" s="16">
        <v>0</v>
      </c>
      <c r="I133" s="16">
        <v>2</v>
      </c>
      <c r="J133" s="16">
        <v>0</v>
      </c>
      <c r="K133" s="16">
        <v>1</v>
      </c>
      <c r="L133" s="16">
        <v>0</v>
      </c>
      <c r="M133" s="16">
        <v>0</v>
      </c>
      <c r="N133" s="16">
        <v>0</v>
      </c>
      <c r="O133" s="16">
        <v>0</v>
      </c>
      <c r="P133" s="16">
        <v>0</v>
      </c>
      <c r="Q133" s="16">
        <v>0</v>
      </c>
      <c r="R133" s="16">
        <v>0</v>
      </c>
      <c r="S133" s="16">
        <v>0</v>
      </c>
      <c r="T133" s="13">
        <f t="shared" si="27"/>
        <v>5</v>
      </c>
    </row>
    <row r="134" spans="1:20" ht="12.75" customHeight="1" x14ac:dyDescent="0.4">
      <c r="A134" s="15"/>
      <c r="B134" s="28"/>
      <c r="C134" s="29" t="s">
        <v>92</v>
      </c>
      <c r="D134" s="30"/>
      <c r="E134" s="16">
        <v>9</v>
      </c>
      <c r="F134" s="16">
        <v>0</v>
      </c>
      <c r="G134" s="16">
        <v>3</v>
      </c>
      <c r="H134" s="16">
        <v>1</v>
      </c>
      <c r="I134" s="16">
        <v>0</v>
      </c>
      <c r="J134" s="16">
        <v>0</v>
      </c>
      <c r="K134" s="16">
        <v>0</v>
      </c>
      <c r="L134" s="16">
        <v>1</v>
      </c>
      <c r="M134" s="16">
        <v>1</v>
      </c>
      <c r="N134" s="16">
        <v>0</v>
      </c>
      <c r="O134" s="16">
        <v>2</v>
      </c>
      <c r="P134" s="16">
        <v>1</v>
      </c>
      <c r="Q134" s="16">
        <v>0</v>
      </c>
      <c r="R134" s="16">
        <v>0</v>
      </c>
      <c r="S134" s="16">
        <v>0</v>
      </c>
      <c r="T134" s="13">
        <f t="shared" si="27"/>
        <v>18</v>
      </c>
    </row>
    <row r="135" spans="1:20" ht="12.75" customHeight="1" x14ac:dyDescent="0.4">
      <c r="A135" s="15"/>
      <c r="B135" s="28"/>
      <c r="C135" s="29" t="s">
        <v>93</v>
      </c>
      <c r="D135" s="30"/>
      <c r="E135" s="16">
        <v>5</v>
      </c>
      <c r="F135" s="16">
        <v>4</v>
      </c>
      <c r="G135" s="16">
        <v>10</v>
      </c>
      <c r="H135" s="16">
        <v>10</v>
      </c>
      <c r="I135" s="16">
        <v>0</v>
      </c>
      <c r="J135" s="16">
        <v>0</v>
      </c>
      <c r="K135" s="16">
        <v>3</v>
      </c>
      <c r="L135" s="16">
        <v>2</v>
      </c>
      <c r="M135" s="16">
        <v>1</v>
      </c>
      <c r="N135" s="16">
        <v>0</v>
      </c>
      <c r="O135" s="16">
        <v>1</v>
      </c>
      <c r="P135" s="16">
        <v>0</v>
      </c>
      <c r="Q135" s="16">
        <v>0</v>
      </c>
      <c r="R135" s="16">
        <v>0</v>
      </c>
      <c r="S135" s="16">
        <v>0</v>
      </c>
      <c r="T135" s="13">
        <f t="shared" si="27"/>
        <v>36</v>
      </c>
    </row>
    <row r="136" spans="1:20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13">
        <f t="shared" si="27"/>
        <v>0</v>
      </c>
    </row>
    <row r="137" spans="1:20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13">
        <f t="shared" si="27"/>
        <v>0</v>
      </c>
    </row>
    <row r="138" spans="1:20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13">
        <f t="shared" si="27"/>
        <v>0</v>
      </c>
    </row>
    <row r="139" spans="1:20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T139" si="28">SUM(E129:E138)</f>
        <v>19</v>
      </c>
      <c r="F139" s="13">
        <f t="shared" si="28"/>
        <v>10</v>
      </c>
      <c r="G139" s="13">
        <f t="shared" si="28"/>
        <v>28</v>
      </c>
      <c r="H139" s="13">
        <f t="shared" si="28"/>
        <v>24</v>
      </c>
      <c r="I139" s="13">
        <f t="shared" si="28"/>
        <v>43</v>
      </c>
      <c r="J139" s="13">
        <f t="shared" si="28"/>
        <v>40</v>
      </c>
      <c r="K139" s="13">
        <f t="shared" si="28"/>
        <v>16</v>
      </c>
      <c r="L139" s="13">
        <f t="shared" si="28"/>
        <v>14</v>
      </c>
      <c r="M139" s="13">
        <f t="shared" si="28"/>
        <v>5</v>
      </c>
      <c r="N139" s="13">
        <f t="shared" si="28"/>
        <v>4</v>
      </c>
      <c r="O139" s="13">
        <f t="shared" si="28"/>
        <v>6</v>
      </c>
      <c r="P139" s="13">
        <f t="shared" si="28"/>
        <v>1</v>
      </c>
      <c r="Q139" s="13">
        <f t="shared" si="28"/>
        <v>2</v>
      </c>
      <c r="R139" s="13">
        <f t="shared" si="28"/>
        <v>0</v>
      </c>
      <c r="S139" s="13">
        <f t="shared" si="28"/>
        <v>0</v>
      </c>
      <c r="T139" s="13">
        <f t="shared" si="28"/>
        <v>212</v>
      </c>
    </row>
    <row r="140" spans="1:20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</row>
    <row r="141" spans="1:20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1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3">
        <f t="shared" ref="T141:T150" si="29">SUM(E141:S141)</f>
        <v>1</v>
      </c>
    </row>
    <row r="142" spans="1:20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1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6">
        <v>0</v>
      </c>
      <c r="T142" s="13">
        <f t="shared" si="29"/>
        <v>1</v>
      </c>
    </row>
    <row r="143" spans="1:20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13">
        <f t="shared" si="29"/>
        <v>0</v>
      </c>
    </row>
    <row r="144" spans="1:20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13">
        <f t="shared" si="29"/>
        <v>0</v>
      </c>
    </row>
    <row r="145" spans="1:20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13">
        <f t="shared" si="29"/>
        <v>0</v>
      </c>
    </row>
    <row r="146" spans="1:20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13">
        <f t="shared" si="29"/>
        <v>0</v>
      </c>
    </row>
    <row r="147" spans="1:20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13">
        <f t="shared" si="29"/>
        <v>0</v>
      </c>
    </row>
    <row r="148" spans="1:20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13">
        <f t="shared" si="29"/>
        <v>0</v>
      </c>
    </row>
    <row r="149" spans="1:20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13">
        <f t="shared" si="29"/>
        <v>0</v>
      </c>
    </row>
    <row r="150" spans="1:20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13">
        <f t="shared" si="29"/>
        <v>0</v>
      </c>
    </row>
    <row r="151" spans="1:20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T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1</v>
      </c>
      <c r="J151" s="13">
        <f t="shared" si="30"/>
        <v>0</v>
      </c>
      <c r="K151" s="13">
        <f t="shared" si="30"/>
        <v>1</v>
      </c>
      <c r="L151" s="13">
        <f t="shared" si="30"/>
        <v>0</v>
      </c>
      <c r="M151" s="13">
        <f t="shared" si="30"/>
        <v>0</v>
      </c>
      <c r="N151" s="13">
        <f t="shared" si="30"/>
        <v>0</v>
      </c>
      <c r="O151" s="13">
        <f t="shared" si="30"/>
        <v>0</v>
      </c>
      <c r="P151" s="13">
        <f t="shared" si="30"/>
        <v>0</v>
      </c>
      <c r="Q151" s="13">
        <f t="shared" si="30"/>
        <v>0</v>
      </c>
      <c r="R151" s="13">
        <f t="shared" si="30"/>
        <v>0</v>
      </c>
      <c r="S151" s="13">
        <f t="shared" si="30"/>
        <v>0</v>
      </c>
      <c r="T151" s="13">
        <f t="shared" si="30"/>
        <v>2</v>
      </c>
    </row>
    <row r="152" spans="1:20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13"/>
    </row>
    <row r="153" spans="1:20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1</v>
      </c>
      <c r="L153" s="16">
        <v>10</v>
      </c>
      <c r="M153" s="16">
        <v>1</v>
      </c>
      <c r="N153" s="16">
        <v>1</v>
      </c>
      <c r="O153" s="16">
        <v>4</v>
      </c>
      <c r="P153" s="16">
        <v>8</v>
      </c>
      <c r="Q153" s="16">
        <v>9</v>
      </c>
      <c r="R153" s="16">
        <v>11</v>
      </c>
      <c r="S153" s="16">
        <v>15</v>
      </c>
      <c r="T153" s="13">
        <f t="shared" ref="T153:T162" si="31">SUM(E153:S153)</f>
        <v>60</v>
      </c>
    </row>
    <row r="154" spans="1:20" ht="12.75" customHeight="1" x14ac:dyDescent="0.4">
      <c r="A154" s="42" t="s">
        <v>38</v>
      </c>
      <c r="B154" s="28"/>
      <c r="C154" s="29" t="s">
        <v>99</v>
      </c>
      <c r="D154" s="30"/>
      <c r="E154" s="55">
        <v>5</v>
      </c>
      <c r="F154" s="16">
        <v>4</v>
      </c>
      <c r="G154" s="16">
        <v>2</v>
      </c>
      <c r="H154" s="16">
        <v>0</v>
      </c>
      <c r="I154" s="16">
        <v>10</v>
      </c>
      <c r="J154" s="16">
        <v>6</v>
      </c>
      <c r="K154" s="16">
        <v>17</v>
      </c>
      <c r="L154" s="16">
        <v>51</v>
      </c>
      <c r="M154" s="16">
        <v>14</v>
      </c>
      <c r="N154" s="16">
        <v>38</v>
      </c>
      <c r="O154" s="16">
        <v>16</v>
      </c>
      <c r="P154" s="16">
        <v>48</v>
      </c>
      <c r="Q154" s="16">
        <v>68</v>
      </c>
      <c r="R154" s="16">
        <v>158</v>
      </c>
      <c r="S154" s="16">
        <v>98</v>
      </c>
      <c r="T154" s="13">
        <f t="shared" si="31"/>
        <v>535</v>
      </c>
    </row>
    <row r="155" spans="1:20" ht="12.75" customHeight="1" x14ac:dyDescent="0.4">
      <c r="A155" s="15"/>
      <c r="B155" s="28"/>
      <c r="C155" s="29" t="s">
        <v>100</v>
      </c>
      <c r="D155" s="30"/>
      <c r="E155" s="55">
        <v>5</v>
      </c>
      <c r="F155" s="16">
        <v>1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1</v>
      </c>
      <c r="N155" s="16">
        <v>0</v>
      </c>
      <c r="O155" s="16">
        <v>0</v>
      </c>
      <c r="P155" s="16">
        <v>0</v>
      </c>
      <c r="Q155" s="16">
        <v>2</v>
      </c>
      <c r="R155" s="16">
        <v>1</v>
      </c>
      <c r="S155" s="16">
        <v>0</v>
      </c>
      <c r="T155" s="13">
        <f t="shared" si="31"/>
        <v>10</v>
      </c>
    </row>
    <row r="156" spans="1:20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1</v>
      </c>
      <c r="K156" s="16">
        <v>0</v>
      </c>
      <c r="L156" s="16">
        <v>0</v>
      </c>
      <c r="M156" s="16">
        <v>0</v>
      </c>
      <c r="N156" s="16">
        <v>1</v>
      </c>
      <c r="O156" s="16">
        <v>0</v>
      </c>
      <c r="P156" s="16">
        <v>0</v>
      </c>
      <c r="Q156" s="16">
        <v>0</v>
      </c>
      <c r="R156" s="16">
        <v>0</v>
      </c>
      <c r="S156" s="16">
        <v>0</v>
      </c>
      <c r="T156" s="13">
        <f t="shared" si="31"/>
        <v>2</v>
      </c>
    </row>
    <row r="157" spans="1:20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1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1</v>
      </c>
      <c r="O157" s="16">
        <v>0</v>
      </c>
      <c r="P157" s="16">
        <v>0</v>
      </c>
      <c r="Q157" s="16">
        <v>0</v>
      </c>
      <c r="R157" s="16">
        <v>0</v>
      </c>
      <c r="S157" s="16">
        <v>1</v>
      </c>
      <c r="T157" s="13">
        <f t="shared" si="31"/>
        <v>3</v>
      </c>
    </row>
    <row r="158" spans="1:20" ht="12.75" customHeight="1" x14ac:dyDescent="0.4">
      <c r="A158" s="52"/>
      <c r="B158" s="28"/>
      <c r="C158" s="29" t="s">
        <v>103</v>
      </c>
      <c r="D158" s="30"/>
      <c r="E158" s="56">
        <v>0</v>
      </c>
      <c r="F158" s="53">
        <v>0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0</v>
      </c>
      <c r="M158" s="53">
        <v>0</v>
      </c>
      <c r="N158" s="53">
        <v>0</v>
      </c>
      <c r="O158" s="53">
        <v>0</v>
      </c>
      <c r="P158" s="16">
        <v>0</v>
      </c>
      <c r="Q158" s="53">
        <v>0</v>
      </c>
      <c r="R158" s="53">
        <v>0</v>
      </c>
      <c r="S158" s="53">
        <v>0</v>
      </c>
      <c r="T158" s="13">
        <f t="shared" si="31"/>
        <v>0</v>
      </c>
    </row>
    <row r="159" spans="1:20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1</v>
      </c>
      <c r="T159" s="13">
        <f t="shared" si="31"/>
        <v>1</v>
      </c>
    </row>
    <row r="160" spans="1:20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13">
        <f t="shared" si="31"/>
        <v>0</v>
      </c>
    </row>
    <row r="161" spans="1:20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13">
        <f t="shared" si="31"/>
        <v>0</v>
      </c>
    </row>
    <row r="162" spans="1:20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13">
        <f t="shared" si="31"/>
        <v>0</v>
      </c>
    </row>
    <row r="163" spans="1:20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T163" si="32">SUM(E153:E162)</f>
        <v>10</v>
      </c>
      <c r="F163" s="13">
        <f t="shared" si="32"/>
        <v>5</v>
      </c>
      <c r="G163" s="13">
        <f t="shared" si="32"/>
        <v>3</v>
      </c>
      <c r="H163" s="13">
        <f t="shared" si="32"/>
        <v>0</v>
      </c>
      <c r="I163" s="13">
        <f t="shared" si="32"/>
        <v>10</v>
      </c>
      <c r="J163" s="13">
        <f t="shared" si="32"/>
        <v>7</v>
      </c>
      <c r="K163" s="13">
        <f t="shared" si="32"/>
        <v>18</v>
      </c>
      <c r="L163" s="13">
        <f t="shared" si="32"/>
        <v>61</v>
      </c>
      <c r="M163" s="13">
        <f t="shared" si="32"/>
        <v>16</v>
      </c>
      <c r="N163" s="13">
        <f t="shared" si="32"/>
        <v>41</v>
      </c>
      <c r="O163" s="13">
        <f t="shared" si="32"/>
        <v>20</v>
      </c>
      <c r="P163" s="13">
        <f t="shared" si="32"/>
        <v>56</v>
      </c>
      <c r="Q163" s="13">
        <f t="shared" si="32"/>
        <v>79</v>
      </c>
      <c r="R163" s="13">
        <f t="shared" si="32"/>
        <v>170</v>
      </c>
      <c r="S163" s="13">
        <f t="shared" si="32"/>
        <v>115</v>
      </c>
      <c r="T163" s="13">
        <f t="shared" si="32"/>
        <v>611</v>
      </c>
    </row>
    <row r="164" spans="1:20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</row>
    <row r="165" spans="1:20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0</v>
      </c>
      <c r="G165" s="16">
        <v>1</v>
      </c>
      <c r="H165" s="16">
        <v>0</v>
      </c>
      <c r="I165" s="16">
        <v>1</v>
      </c>
      <c r="J165" s="16">
        <v>0</v>
      </c>
      <c r="K165" s="16">
        <v>1</v>
      </c>
      <c r="L165" s="16">
        <v>1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1</v>
      </c>
      <c r="T165" s="13">
        <f t="shared" ref="T165:T174" si="33">SUM(E165:S165)</f>
        <v>5</v>
      </c>
    </row>
    <row r="166" spans="1:20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13">
        <f t="shared" si="33"/>
        <v>0</v>
      </c>
    </row>
    <row r="167" spans="1:20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13">
        <f t="shared" si="33"/>
        <v>0</v>
      </c>
    </row>
    <row r="168" spans="1:20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13">
        <f t="shared" si="33"/>
        <v>0</v>
      </c>
    </row>
    <row r="169" spans="1:20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13">
        <f t="shared" si="33"/>
        <v>0</v>
      </c>
    </row>
    <row r="170" spans="1:20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13">
        <f t="shared" si="33"/>
        <v>0</v>
      </c>
    </row>
    <row r="171" spans="1:20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13">
        <f t="shared" si="33"/>
        <v>0</v>
      </c>
    </row>
    <row r="172" spans="1:20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13">
        <f t="shared" si="33"/>
        <v>0</v>
      </c>
    </row>
    <row r="173" spans="1:20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13">
        <f t="shared" si="33"/>
        <v>0</v>
      </c>
    </row>
    <row r="174" spans="1:20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13">
        <f t="shared" si="33"/>
        <v>0</v>
      </c>
    </row>
    <row r="175" spans="1:20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T175" si="34">SUM(E165:E174)</f>
        <v>0</v>
      </c>
      <c r="F175" s="13">
        <f t="shared" si="34"/>
        <v>0</v>
      </c>
      <c r="G175" s="13">
        <f t="shared" si="34"/>
        <v>1</v>
      </c>
      <c r="H175" s="13">
        <f t="shared" si="34"/>
        <v>0</v>
      </c>
      <c r="I175" s="13">
        <f t="shared" si="34"/>
        <v>1</v>
      </c>
      <c r="J175" s="13">
        <f t="shared" si="34"/>
        <v>0</v>
      </c>
      <c r="K175" s="13">
        <f t="shared" si="34"/>
        <v>1</v>
      </c>
      <c r="L175" s="13">
        <f t="shared" si="34"/>
        <v>1</v>
      </c>
      <c r="M175" s="13">
        <f t="shared" si="34"/>
        <v>0</v>
      </c>
      <c r="N175" s="13">
        <f t="shared" si="34"/>
        <v>0</v>
      </c>
      <c r="O175" s="13">
        <f t="shared" si="34"/>
        <v>0</v>
      </c>
      <c r="P175" s="13">
        <f t="shared" si="34"/>
        <v>0</v>
      </c>
      <c r="Q175" s="13">
        <f t="shared" si="34"/>
        <v>0</v>
      </c>
      <c r="R175" s="13">
        <f t="shared" si="34"/>
        <v>0</v>
      </c>
      <c r="S175" s="13">
        <f t="shared" si="34"/>
        <v>1</v>
      </c>
      <c r="T175" s="13">
        <f t="shared" si="34"/>
        <v>5</v>
      </c>
    </row>
    <row r="176" spans="1:20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</row>
    <row r="177" spans="1:20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3</v>
      </c>
      <c r="F177" s="16">
        <v>0</v>
      </c>
      <c r="G177" s="16">
        <v>2</v>
      </c>
      <c r="H177" s="16">
        <v>0</v>
      </c>
      <c r="I177" s="16">
        <v>1</v>
      </c>
      <c r="J177" s="16">
        <v>0</v>
      </c>
      <c r="K177" s="16">
        <v>2</v>
      </c>
      <c r="L177" s="16">
        <v>3</v>
      </c>
      <c r="M177" s="16">
        <v>2</v>
      </c>
      <c r="N177" s="16">
        <v>1</v>
      </c>
      <c r="O177" s="16">
        <v>1</v>
      </c>
      <c r="P177" s="16">
        <v>1</v>
      </c>
      <c r="Q177" s="16">
        <v>0</v>
      </c>
      <c r="R177" s="16">
        <v>0</v>
      </c>
      <c r="S177" s="16">
        <v>0</v>
      </c>
      <c r="T177" s="13">
        <f t="shared" ref="T177:T186" si="35">SUM(E177:S177)</f>
        <v>16</v>
      </c>
    </row>
    <row r="178" spans="1:20" ht="12.75" customHeight="1" x14ac:dyDescent="0.4">
      <c r="A178" s="20" t="s">
        <v>38</v>
      </c>
      <c r="B178" s="28"/>
      <c r="C178" s="29" t="s">
        <v>109</v>
      </c>
      <c r="D178" s="30"/>
      <c r="E178" s="16">
        <v>0</v>
      </c>
      <c r="F178" s="16">
        <v>2</v>
      </c>
      <c r="G178" s="16">
        <v>0</v>
      </c>
      <c r="H178" s="16">
        <v>3</v>
      </c>
      <c r="I178" s="16">
        <v>2</v>
      </c>
      <c r="J178" s="16">
        <v>3</v>
      </c>
      <c r="K178" s="16">
        <v>1</v>
      </c>
      <c r="L178" s="16">
        <v>1</v>
      </c>
      <c r="M178" s="16">
        <v>0</v>
      </c>
      <c r="N178" s="16">
        <v>0</v>
      </c>
      <c r="O178" s="16">
        <v>1</v>
      </c>
      <c r="P178" s="16">
        <v>0</v>
      </c>
      <c r="Q178" s="16">
        <v>0</v>
      </c>
      <c r="R178" s="16">
        <v>0</v>
      </c>
      <c r="S178" s="16">
        <v>0</v>
      </c>
      <c r="T178" s="13">
        <f t="shared" si="35"/>
        <v>13</v>
      </c>
    </row>
    <row r="179" spans="1:20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1</v>
      </c>
      <c r="G179" s="16">
        <v>0</v>
      </c>
      <c r="H179" s="16">
        <v>1</v>
      </c>
      <c r="I179" s="16">
        <v>4</v>
      </c>
      <c r="J179" s="16">
        <v>4</v>
      </c>
      <c r="K179" s="16">
        <v>2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3">
        <f t="shared" si="35"/>
        <v>12</v>
      </c>
    </row>
    <row r="180" spans="1:20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0</v>
      </c>
      <c r="G180" s="16">
        <v>0</v>
      </c>
      <c r="H180" s="16">
        <v>0</v>
      </c>
      <c r="I180" s="16">
        <v>2</v>
      </c>
      <c r="J180" s="16">
        <v>0</v>
      </c>
      <c r="K180" s="16">
        <v>0</v>
      </c>
      <c r="L180" s="16">
        <v>0</v>
      </c>
      <c r="M180" s="16">
        <v>0</v>
      </c>
      <c r="N180" s="16">
        <v>1</v>
      </c>
      <c r="O180" s="16">
        <v>0</v>
      </c>
      <c r="P180" s="16">
        <v>0</v>
      </c>
      <c r="Q180" s="16">
        <v>1</v>
      </c>
      <c r="R180" s="16">
        <v>0</v>
      </c>
      <c r="S180" s="16">
        <v>0</v>
      </c>
      <c r="T180" s="13">
        <f t="shared" si="35"/>
        <v>4</v>
      </c>
    </row>
    <row r="181" spans="1:20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2</v>
      </c>
      <c r="H181" s="16">
        <v>0</v>
      </c>
      <c r="I181" s="16">
        <v>0</v>
      </c>
      <c r="J181" s="16">
        <v>0</v>
      </c>
      <c r="K181" s="16">
        <v>2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3">
        <f t="shared" si="35"/>
        <v>4</v>
      </c>
    </row>
    <row r="182" spans="1:20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1</v>
      </c>
      <c r="G182" s="16">
        <v>0</v>
      </c>
      <c r="H182" s="16">
        <v>3</v>
      </c>
      <c r="I182" s="16">
        <v>1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3">
        <f t="shared" si="35"/>
        <v>5</v>
      </c>
    </row>
    <row r="183" spans="1:20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3">
        <f t="shared" si="35"/>
        <v>0</v>
      </c>
    </row>
    <row r="184" spans="1:20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13">
        <f t="shared" si="35"/>
        <v>0</v>
      </c>
    </row>
    <row r="185" spans="1:20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13">
        <f t="shared" si="35"/>
        <v>0</v>
      </c>
    </row>
    <row r="186" spans="1:20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13">
        <f t="shared" si="35"/>
        <v>0</v>
      </c>
    </row>
    <row r="187" spans="1:20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T187" si="36">SUM(E177:E186)</f>
        <v>3</v>
      </c>
      <c r="F187" s="13">
        <f t="shared" si="36"/>
        <v>4</v>
      </c>
      <c r="G187" s="13">
        <f t="shared" si="36"/>
        <v>4</v>
      </c>
      <c r="H187" s="13">
        <f t="shared" si="36"/>
        <v>7</v>
      </c>
      <c r="I187" s="13">
        <f t="shared" si="36"/>
        <v>10</v>
      </c>
      <c r="J187" s="13">
        <f t="shared" si="36"/>
        <v>7</v>
      </c>
      <c r="K187" s="13">
        <f t="shared" si="36"/>
        <v>7</v>
      </c>
      <c r="L187" s="13">
        <f t="shared" si="36"/>
        <v>4</v>
      </c>
      <c r="M187" s="13">
        <f t="shared" si="36"/>
        <v>2</v>
      </c>
      <c r="N187" s="13">
        <f t="shared" si="36"/>
        <v>2</v>
      </c>
      <c r="O187" s="13">
        <f t="shared" si="36"/>
        <v>2</v>
      </c>
      <c r="P187" s="13">
        <f t="shared" si="36"/>
        <v>1</v>
      </c>
      <c r="Q187" s="13">
        <f t="shared" si="36"/>
        <v>1</v>
      </c>
      <c r="R187" s="13">
        <f t="shared" si="36"/>
        <v>0</v>
      </c>
      <c r="S187" s="13">
        <f t="shared" si="36"/>
        <v>0</v>
      </c>
      <c r="T187" s="13">
        <f t="shared" si="36"/>
        <v>54</v>
      </c>
    </row>
    <row r="188" spans="1:20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T188" s="13"/>
    </row>
    <row r="189" spans="1:20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1</v>
      </c>
      <c r="F189" s="16">
        <v>0</v>
      </c>
      <c r="G189" s="16">
        <v>1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3">
        <f t="shared" ref="T189:T198" si="37">SUM(E189:S189)</f>
        <v>2</v>
      </c>
    </row>
    <row r="190" spans="1:20" ht="12.75" customHeight="1" x14ac:dyDescent="0.4">
      <c r="A190" s="20" t="s">
        <v>38</v>
      </c>
      <c r="B190" s="28"/>
      <c r="C190" s="29" t="s">
        <v>117</v>
      </c>
      <c r="D190" s="30"/>
      <c r="E190" s="16">
        <v>1</v>
      </c>
      <c r="F190" s="16">
        <v>1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1</v>
      </c>
      <c r="M190" s="16">
        <v>0</v>
      </c>
      <c r="N190" s="16">
        <v>0</v>
      </c>
      <c r="O190" s="16">
        <v>0</v>
      </c>
      <c r="P190" s="16">
        <v>1</v>
      </c>
      <c r="Q190" s="16">
        <v>0</v>
      </c>
      <c r="R190" s="16">
        <v>0</v>
      </c>
      <c r="S190" s="16">
        <v>0</v>
      </c>
      <c r="T190" s="13">
        <f t="shared" si="37"/>
        <v>4</v>
      </c>
    </row>
    <row r="191" spans="1:20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3">
        <f t="shared" si="37"/>
        <v>0</v>
      </c>
    </row>
    <row r="192" spans="1:20" ht="12.75" customHeight="1" x14ac:dyDescent="0.4">
      <c r="A192" s="15"/>
      <c r="B192" s="28"/>
      <c r="C192" s="29" t="s">
        <v>119</v>
      </c>
      <c r="D192" s="30"/>
      <c r="E192" s="16">
        <v>1</v>
      </c>
      <c r="F192" s="16">
        <v>0</v>
      </c>
      <c r="G192" s="16">
        <v>0</v>
      </c>
      <c r="H192" s="16">
        <v>1</v>
      </c>
      <c r="I192" s="16">
        <v>0</v>
      </c>
      <c r="J192" s="16">
        <v>0</v>
      </c>
      <c r="K192" s="16">
        <v>1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3">
        <f t="shared" si="37"/>
        <v>3</v>
      </c>
    </row>
    <row r="193" spans="1:20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1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3">
        <f t="shared" si="37"/>
        <v>1</v>
      </c>
    </row>
    <row r="194" spans="1:20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3">
        <f t="shared" si="37"/>
        <v>0</v>
      </c>
    </row>
    <row r="195" spans="1:20" ht="12.75" customHeight="1" x14ac:dyDescent="0.4">
      <c r="A195" s="15"/>
      <c r="B195" s="28"/>
      <c r="C195" s="29" t="s">
        <v>122</v>
      </c>
      <c r="D195" s="30"/>
      <c r="E195" s="16">
        <v>7</v>
      </c>
      <c r="F195" s="16">
        <v>3</v>
      </c>
      <c r="G195" s="16">
        <v>29</v>
      </c>
      <c r="H195" s="16">
        <v>3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3">
        <f t="shared" si="37"/>
        <v>42</v>
      </c>
    </row>
    <row r="196" spans="1:20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13">
        <f t="shared" si="37"/>
        <v>0</v>
      </c>
    </row>
    <row r="197" spans="1:20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13">
        <f t="shared" si="37"/>
        <v>0</v>
      </c>
    </row>
    <row r="198" spans="1:20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13">
        <f t="shared" si="37"/>
        <v>0</v>
      </c>
    </row>
    <row r="199" spans="1:20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T199" si="38">SUM(E189:E198)</f>
        <v>10</v>
      </c>
      <c r="F199" s="13">
        <f t="shared" si="38"/>
        <v>4</v>
      </c>
      <c r="G199" s="13">
        <f t="shared" si="38"/>
        <v>30</v>
      </c>
      <c r="H199" s="13">
        <f t="shared" si="38"/>
        <v>5</v>
      </c>
      <c r="I199" s="13">
        <f t="shared" si="38"/>
        <v>0</v>
      </c>
      <c r="J199" s="13">
        <f t="shared" si="38"/>
        <v>0</v>
      </c>
      <c r="K199" s="13">
        <f t="shared" si="38"/>
        <v>1</v>
      </c>
      <c r="L199" s="13">
        <f t="shared" si="38"/>
        <v>1</v>
      </c>
      <c r="M199" s="13">
        <f t="shared" si="38"/>
        <v>0</v>
      </c>
      <c r="N199" s="13">
        <f t="shared" si="38"/>
        <v>0</v>
      </c>
      <c r="O199" s="13">
        <f t="shared" si="38"/>
        <v>0</v>
      </c>
      <c r="P199" s="13">
        <f t="shared" si="38"/>
        <v>1</v>
      </c>
      <c r="Q199" s="13">
        <f t="shared" si="38"/>
        <v>0</v>
      </c>
      <c r="R199" s="13">
        <f t="shared" si="38"/>
        <v>0</v>
      </c>
      <c r="S199" s="13">
        <f t="shared" si="38"/>
        <v>0</v>
      </c>
      <c r="T199" s="13">
        <f t="shared" si="38"/>
        <v>52</v>
      </c>
    </row>
    <row r="200" spans="1:20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</row>
    <row r="201" spans="1:20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5</v>
      </c>
      <c r="F201" s="16">
        <v>4</v>
      </c>
      <c r="G201" s="16">
        <v>2</v>
      </c>
      <c r="H201" s="16">
        <v>3</v>
      </c>
      <c r="I201" s="16">
        <v>2</v>
      </c>
      <c r="J201" s="16">
        <v>6</v>
      </c>
      <c r="K201" s="16">
        <v>2</v>
      </c>
      <c r="L201" s="16">
        <v>6</v>
      </c>
      <c r="M201" s="16">
        <v>3</v>
      </c>
      <c r="N201" s="16">
        <v>4</v>
      </c>
      <c r="O201" s="16">
        <v>0</v>
      </c>
      <c r="P201" s="16">
        <v>0</v>
      </c>
      <c r="Q201" s="16">
        <v>0</v>
      </c>
      <c r="R201" s="16">
        <v>1</v>
      </c>
      <c r="S201" s="16">
        <v>5</v>
      </c>
      <c r="T201" s="13">
        <f t="shared" ref="T201:T210" si="39">SUM(E201:S201)</f>
        <v>43</v>
      </c>
    </row>
    <row r="202" spans="1:20" ht="12.75" customHeight="1" x14ac:dyDescent="0.4">
      <c r="A202" s="20" t="s">
        <v>38</v>
      </c>
      <c r="B202" s="28"/>
      <c r="C202" s="29" t="s">
        <v>125</v>
      </c>
      <c r="D202" s="30"/>
      <c r="E202" s="16">
        <v>0</v>
      </c>
      <c r="F202" s="16">
        <v>2</v>
      </c>
      <c r="G202" s="16">
        <v>3</v>
      </c>
      <c r="H202" s="16">
        <v>2</v>
      </c>
      <c r="I202" s="16">
        <v>7</v>
      </c>
      <c r="J202" s="16">
        <v>20</v>
      </c>
      <c r="K202" s="16">
        <v>1</v>
      </c>
      <c r="L202" s="16">
        <v>2</v>
      </c>
      <c r="M202" s="16">
        <v>2</v>
      </c>
      <c r="N202" s="16">
        <v>2</v>
      </c>
      <c r="O202" s="16">
        <v>1</v>
      </c>
      <c r="P202" s="16">
        <v>1</v>
      </c>
      <c r="Q202" s="16">
        <v>0</v>
      </c>
      <c r="R202" s="16">
        <v>1</v>
      </c>
      <c r="S202" s="16">
        <v>28</v>
      </c>
      <c r="T202" s="13">
        <f t="shared" si="39"/>
        <v>72</v>
      </c>
    </row>
    <row r="203" spans="1:20" ht="12.75" customHeight="1" x14ac:dyDescent="0.4">
      <c r="A203" s="15"/>
      <c r="B203" s="28"/>
      <c r="C203" s="29" t="s">
        <v>126</v>
      </c>
      <c r="D203" s="30"/>
      <c r="E203" s="16">
        <v>14</v>
      </c>
      <c r="F203" s="16">
        <v>19</v>
      </c>
      <c r="G203" s="16">
        <v>1</v>
      </c>
      <c r="H203" s="16">
        <v>0</v>
      </c>
      <c r="I203" s="16">
        <v>16</v>
      </c>
      <c r="J203" s="16">
        <v>6</v>
      </c>
      <c r="K203" s="16">
        <v>8</v>
      </c>
      <c r="L203" s="16">
        <v>1</v>
      </c>
      <c r="M203" s="16">
        <v>21</v>
      </c>
      <c r="N203" s="16">
        <v>2</v>
      </c>
      <c r="O203" s="16">
        <v>1</v>
      </c>
      <c r="P203" s="16">
        <v>0</v>
      </c>
      <c r="Q203" s="16">
        <v>0</v>
      </c>
      <c r="R203" s="16">
        <v>0</v>
      </c>
      <c r="S203" s="16">
        <v>0</v>
      </c>
      <c r="T203" s="13">
        <f t="shared" si="39"/>
        <v>89</v>
      </c>
    </row>
    <row r="204" spans="1:20" ht="12.75" customHeight="1" x14ac:dyDescent="0.4">
      <c r="A204" s="15"/>
      <c r="B204" s="28"/>
      <c r="C204" s="29" t="s">
        <v>127</v>
      </c>
      <c r="D204" s="30"/>
      <c r="E204" s="16">
        <v>0</v>
      </c>
      <c r="F204" s="16">
        <v>1</v>
      </c>
      <c r="G204" s="16">
        <v>1</v>
      </c>
      <c r="H204" s="16">
        <v>8</v>
      </c>
      <c r="I204" s="16">
        <v>12</v>
      </c>
      <c r="J204" s="16">
        <v>24</v>
      </c>
      <c r="K204" s="16">
        <v>20</v>
      </c>
      <c r="L204" s="16">
        <v>10</v>
      </c>
      <c r="M204" s="16">
        <v>2</v>
      </c>
      <c r="N204" s="16">
        <v>10</v>
      </c>
      <c r="O204" s="16">
        <v>3</v>
      </c>
      <c r="P204" s="16">
        <v>2</v>
      </c>
      <c r="Q204" s="16">
        <v>4</v>
      </c>
      <c r="R204" s="16">
        <v>2</v>
      </c>
      <c r="S204" s="16">
        <v>0</v>
      </c>
      <c r="T204" s="13">
        <f t="shared" si="39"/>
        <v>99</v>
      </c>
    </row>
    <row r="205" spans="1:20" ht="12.75" customHeight="1" x14ac:dyDescent="0.4">
      <c r="A205" s="15"/>
      <c r="B205" s="28"/>
      <c r="C205" s="29" t="s">
        <v>128</v>
      </c>
      <c r="D205" s="30"/>
      <c r="E205" s="16">
        <v>1</v>
      </c>
      <c r="F205" s="16">
        <v>1</v>
      </c>
      <c r="G205" s="16">
        <v>0</v>
      </c>
      <c r="H205" s="16">
        <v>0</v>
      </c>
      <c r="I205" s="16">
        <v>0</v>
      </c>
      <c r="J205" s="16">
        <v>0</v>
      </c>
      <c r="K205" s="16">
        <v>0</v>
      </c>
      <c r="L205" s="16">
        <v>0</v>
      </c>
      <c r="M205" s="16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0</v>
      </c>
      <c r="T205" s="13">
        <f t="shared" si="39"/>
        <v>2</v>
      </c>
    </row>
    <row r="206" spans="1:20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0</v>
      </c>
      <c r="M206" s="16">
        <v>0</v>
      </c>
      <c r="N206" s="16">
        <v>1</v>
      </c>
      <c r="O206" s="16">
        <v>0</v>
      </c>
      <c r="P206" s="16">
        <v>0</v>
      </c>
      <c r="Q206" s="16">
        <v>0</v>
      </c>
      <c r="R206" s="16">
        <v>0</v>
      </c>
      <c r="S206" s="16">
        <v>0</v>
      </c>
      <c r="T206" s="13">
        <f t="shared" si="39"/>
        <v>1</v>
      </c>
    </row>
    <row r="207" spans="1:20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0</v>
      </c>
      <c r="G207" s="16">
        <v>0</v>
      </c>
      <c r="H207" s="16">
        <v>0</v>
      </c>
      <c r="I207" s="16">
        <v>0</v>
      </c>
      <c r="J207" s="16">
        <v>0</v>
      </c>
      <c r="K207" s="16">
        <v>0</v>
      </c>
      <c r="L207" s="16">
        <v>0</v>
      </c>
      <c r="M207" s="16">
        <v>0</v>
      </c>
      <c r="N207" s="16">
        <v>0</v>
      </c>
      <c r="O207" s="16">
        <v>0</v>
      </c>
      <c r="P207" s="16">
        <v>0</v>
      </c>
      <c r="Q207" s="16">
        <v>0</v>
      </c>
      <c r="R207" s="16">
        <v>1</v>
      </c>
      <c r="S207" s="16">
        <v>0</v>
      </c>
      <c r="T207" s="13">
        <f t="shared" si="39"/>
        <v>1</v>
      </c>
    </row>
    <row r="208" spans="1:20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13">
        <f t="shared" si="39"/>
        <v>0</v>
      </c>
    </row>
    <row r="209" spans="1:20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13">
        <f t="shared" si="39"/>
        <v>0</v>
      </c>
    </row>
    <row r="210" spans="1:20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13">
        <f t="shared" si="39"/>
        <v>0</v>
      </c>
    </row>
    <row r="211" spans="1:20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T211" si="40">SUM(E201:E210)</f>
        <v>20</v>
      </c>
      <c r="F211" s="13">
        <f t="shared" si="40"/>
        <v>27</v>
      </c>
      <c r="G211" s="13">
        <f t="shared" si="40"/>
        <v>7</v>
      </c>
      <c r="H211" s="13">
        <f t="shared" si="40"/>
        <v>13</v>
      </c>
      <c r="I211" s="13">
        <f t="shared" si="40"/>
        <v>37</v>
      </c>
      <c r="J211" s="13">
        <f t="shared" si="40"/>
        <v>56</v>
      </c>
      <c r="K211" s="13">
        <f t="shared" si="40"/>
        <v>31</v>
      </c>
      <c r="L211" s="13">
        <f t="shared" si="40"/>
        <v>19</v>
      </c>
      <c r="M211" s="13">
        <f t="shared" si="40"/>
        <v>28</v>
      </c>
      <c r="N211" s="13">
        <f t="shared" si="40"/>
        <v>19</v>
      </c>
      <c r="O211" s="13">
        <f t="shared" si="40"/>
        <v>5</v>
      </c>
      <c r="P211" s="13">
        <f t="shared" si="40"/>
        <v>3</v>
      </c>
      <c r="Q211" s="13">
        <f t="shared" si="40"/>
        <v>4</v>
      </c>
      <c r="R211" s="13">
        <f t="shared" si="40"/>
        <v>5</v>
      </c>
      <c r="S211" s="13">
        <f t="shared" si="40"/>
        <v>33</v>
      </c>
      <c r="T211" s="13">
        <f t="shared" si="40"/>
        <v>307</v>
      </c>
    </row>
    <row r="212" spans="1:20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</row>
    <row r="213" spans="1:20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1</v>
      </c>
      <c r="F213" s="16">
        <v>0</v>
      </c>
      <c r="G213" s="16">
        <v>3</v>
      </c>
      <c r="H213" s="16">
        <v>3</v>
      </c>
      <c r="I213" s="16">
        <v>1</v>
      </c>
      <c r="J213" s="16">
        <v>0</v>
      </c>
      <c r="K213" s="16">
        <v>0</v>
      </c>
      <c r="L213" s="16">
        <v>1</v>
      </c>
      <c r="M213" s="16">
        <v>0</v>
      </c>
      <c r="N213" s="16">
        <v>0</v>
      </c>
      <c r="O213" s="16">
        <v>0</v>
      </c>
      <c r="P213" s="16">
        <v>0</v>
      </c>
      <c r="Q213" s="16">
        <v>0</v>
      </c>
      <c r="R213" s="16">
        <v>1</v>
      </c>
      <c r="S213" s="16">
        <v>0</v>
      </c>
      <c r="T213" s="13">
        <f t="shared" ref="T213:T223" si="41">SUM(E213:S213)</f>
        <v>10</v>
      </c>
    </row>
    <row r="214" spans="1:20" ht="12.75" customHeight="1" x14ac:dyDescent="0.4">
      <c r="A214" s="20" t="s">
        <v>38</v>
      </c>
      <c r="B214" s="27"/>
      <c r="C214" s="29" t="s">
        <v>133</v>
      </c>
      <c r="D214" s="40"/>
      <c r="E214" s="16">
        <v>3</v>
      </c>
      <c r="F214" s="16">
        <v>2</v>
      </c>
      <c r="G214" s="16">
        <v>0</v>
      </c>
      <c r="H214" s="16">
        <v>3</v>
      </c>
      <c r="I214" s="16">
        <v>0</v>
      </c>
      <c r="J214" s="16">
        <v>1</v>
      </c>
      <c r="K214" s="16">
        <v>0</v>
      </c>
      <c r="L214" s="16">
        <v>0</v>
      </c>
      <c r="M214" s="16">
        <v>1</v>
      </c>
      <c r="N214" s="16">
        <v>2</v>
      </c>
      <c r="O214" s="16">
        <v>1</v>
      </c>
      <c r="P214" s="16">
        <v>2</v>
      </c>
      <c r="Q214" s="16">
        <v>0</v>
      </c>
      <c r="R214" s="16">
        <v>0</v>
      </c>
      <c r="S214" s="16">
        <v>0</v>
      </c>
      <c r="T214" s="13">
        <f t="shared" si="41"/>
        <v>15</v>
      </c>
    </row>
    <row r="215" spans="1:20" ht="12.75" customHeight="1" x14ac:dyDescent="0.4">
      <c r="A215" s="15"/>
      <c r="B215" s="27"/>
      <c r="C215" s="29" t="s">
        <v>134</v>
      </c>
      <c r="D215" s="40"/>
      <c r="E215" s="16">
        <v>3</v>
      </c>
      <c r="F215" s="16">
        <v>0</v>
      </c>
      <c r="G215" s="16">
        <v>0</v>
      </c>
      <c r="H215" s="16">
        <v>0</v>
      </c>
      <c r="I215" s="16">
        <v>1</v>
      </c>
      <c r="J215" s="16">
        <v>0</v>
      </c>
      <c r="K215" s="16">
        <v>0</v>
      </c>
      <c r="L215" s="16">
        <v>0</v>
      </c>
      <c r="M215" s="16">
        <v>0</v>
      </c>
      <c r="N215" s="16">
        <v>0</v>
      </c>
      <c r="O215" s="16">
        <v>0</v>
      </c>
      <c r="P215" s="16">
        <v>0</v>
      </c>
      <c r="Q215" s="16">
        <v>0</v>
      </c>
      <c r="R215" s="16">
        <v>0</v>
      </c>
      <c r="S215" s="16">
        <v>0</v>
      </c>
      <c r="T215" s="13">
        <f t="shared" si="41"/>
        <v>4</v>
      </c>
    </row>
    <row r="216" spans="1:20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0</v>
      </c>
      <c r="G216" s="16">
        <v>0</v>
      </c>
      <c r="H216" s="16">
        <v>1</v>
      </c>
      <c r="I216" s="16">
        <v>0</v>
      </c>
      <c r="J216" s="16">
        <v>0</v>
      </c>
      <c r="K216" s="16">
        <v>0</v>
      </c>
      <c r="L216" s="16">
        <v>0</v>
      </c>
      <c r="M216" s="16">
        <v>0</v>
      </c>
      <c r="N216" s="16">
        <v>0</v>
      </c>
      <c r="O216" s="16">
        <v>0</v>
      </c>
      <c r="P216" s="16">
        <v>0</v>
      </c>
      <c r="Q216" s="16">
        <v>0</v>
      </c>
      <c r="R216" s="16">
        <v>0</v>
      </c>
      <c r="S216" s="16">
        <v>0</v>
      </c>
      <c r="T216" s="13">
        <f t="shared" si="41"/>
        <v>1</v>
      </c>
    </row>
    <row r="217" spans="1:20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1</v>
      </c>
      <c r="I217" s="16">
        <v>0</v>
      </c>
      <c r="J217" s="16">
        <v>0</v>
      </c>
      <c r="K217" s="16">
        <v>2</v>
      </c>
      <c r="L217" s="16">
        <v>0</v>
      </c>
      <c r="M217" s="16">
        <v>0</v>
      </c>
      <c r="N217" s="16">
        <v>0</v>
      </c>
      <c r="O217" s="16">
        <v>0</v>
      </c>
      <c r="P217" s="16">
        <v>0</v>
      </c>
      <c r="Q217" s="16">
        <v>0</v>
      </c>
      <c r="R217" s="16">
        <v>0</v>
      </c>
      <c r="S217" s="16">
        <v>0</v>
      </c>
      <c r="T217" s="13">
        <f t="shared" si="41"/>
        <v>3</v>
      </c>
    </row>
    <row r="218" spans="1:20" ht="12.75" customHeight="1" x14ac:dyDescent="0.4">
      <c r="A218" s="15"/>
      <c r="B218" s="28"/>
      <c r="C218" s="29" t="s">
        <v>137</v>
      </c>
      <c r="D218" s="30"/>
      <c r="E218" s="16">
        <v>1</v>
      </c>
      <c r="F218" s="16">
        <v>0</v>
      </c>
      <c r="G218" s="16">
        <v>1</v>
      </c>
      <c r="H218" s="16">
        <v>0</v>
      </c>
      <c r="I218" s="16">
        <v>0</v>
      </c>
      <c r="J218" s="16">
        <v>0</v>
      </c>
      <c r="K218" s="16">
        <v>0</v>
      </c>
      <c r="L218" s="16">
        <v>0</v>
      </c>
      <c r="M218" s="16">
        <v>1</v>
      </c>
      <c r="N218" s="16">
        <v>0</v>
      </c>
      <c r="O218" s="16">
        <v>0</v>
      </c>
      <c r="P218" s="16">
        <v>0</v>
      </c>
      <c r="Q218" s="16">
        <v>0</v>
      </c>
      <c r="R218" s="16">
        <v>0</v>
      </c>
      <c r="S218" s="16">
        <v>0</v>
      </c>
      <c r="T218" s="13">
        <f t="shared" si="41"/>
        <v>3</v>
      </c>
    </row>
    <row r="219" spans="1:20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13">
        <f t="shared" si="41"/>
        <v>0</v>
      </c>
    </row>
    <row r="220" spans="1:20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13">
        <f t="shared" si="41"/>
        <v>0</v>
      </c>
    </row>
    <row r="221" spans="1:20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13">
        <f t="shared" si="41"/>
        <v>0</v>
      </c>
    </row>
    <row r="222" spans="1:20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13">
        <f t="shared" si="41"/>
        <v>0</v>
      </c>
    </row>
    <row r="223" spans="1:20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S223" si="42">SUM(E213:E222)</f>
        <v>8</v>
      </c>
      <c r="F223" s="13">
        <f t="shared" si="42"/>
        <v>2</v>
      </c>
      <c r="G223" s="13">
        <f t="shared" si="42"/>
        <v>4</v>
      </c>
      <c r="H223" s="13">
        <f t="shared" si="42"/>
        <v>8</v>
      </c>
      <c r="I223" s="13">
        <f t="shared" si="42"/>
        <v>2</v>
      </c>
      <c r="J223" s="13">
        <f t="shared" si="42"/>
        <v>1</v>
      </c>
      <c r="K223" s="13">
        <f t="shared" si="42"/>
        <v>2</v>
      </c>
      <c r="L223" s="13">
        <f t="shared" si="42"/>
        <v>1</v>
      </c>
      <c r="M223" s="13">
        <f t="shared" si="42"/>
        <v>2</v>
      </c>
      <c r="N223" s="13">
        <f t="shared" si="42"/>
        <v>2</v>
      </c>
      <c r="O223" s="13">
        <f t="shared" si="42"/>
        <v>1</v>
      </c>
      <c r="P223" s="13">
        <f t="shared" si="42"/>
        <v>2</v>
      </c>
      <c r="Q223" s="13">
        <f t="shared" si="42"/>
        <v>0</v>
      </c>
      <c r="R223" s="13">
        <f t="shared" si="42"/>
        <v>1</v>
      </c>
      <c r="S223" s="13">
        <f t="shared" si="42"/>
        <v>0</v>
      </c>
      <c r="T223" s="13">
        <f t="shared" si="41"/>
        <v>36</v>
      </c>
    </row>
    <row r="224" spans="1:20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</row>
    <row r="225" spans="1:20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0</v>
      </c>
      <c r="H225" s="16">
        <v>0</v>
      </c>
      <c r="I225" s="16">
        <v>0</v>
      </c>
      <c r="J225" s="16">
        <v>0</v>
      </c>
      <c r="K225" s="16">
        <v>0</v>
      </c>
      <c r="L225" s="16">
        <v>0</v>
      </c>
      <c r="M225" s="16">
        <v>0</v>
      </c>
      <c r="N225" s="16">
        <v>1</v>
      </c>
      <c r="O225" s="16">
        <v>0</v>
      </c>
      <c r="P225" s="16">
        <v>0</v>
      </c>
      <c r="Q225" s="16">
        <v>0</v>
      </c>
      <c r="R225" s="16">
        <v>0</v>
      </c>
      <c r="S225" s="16">
        <v>1</v>
      </c>
      <c r="T225" s="13">
        <f t="shared" ref="T225:T235" si="43">SUM(E225:S225)</f>
        <v>2</v>
      </c>
    </row>
    <row r="226" spans="1:20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1</v>
      </c>
      <c r="L226" s="16">
        <v>0</v>
      </c>
      <c r="M226" s="16">
        <v>0</v>
      </c>
      <c r="N226" s="16">
        <v>0</v>
      </c>
      <c r="O226" s="16">
        <v>0</v>
      </c>
      <c r="P226" s="16">
        <v>0</v>
      </c>
      <c r="Q226" s="16">
        <v>0</v>
      </c>
      <c r="R226" s="16">
        <v>0</v>
      </c>
      <c r="S226" s="16">
        <v>0</v>
      </c>
      <c r="T226" s="13">
        <f t="shared" si="43"/>
        <v>1</v>
      </c>
    </row>
    <row r="227" spans="1:20" ht="12.75" customHeight="1" x14ac:dyDescent="0.4">
      <c r="A227" s="15"/>
      <c r="B227" s="27"/>
      <c r="C227" s="29" t="s">
        <v>141</v>
      </c>
      <c r="D227" s="40"/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6">
        <v>0</v>
      </c>
      <c r="M227" s="16">
        <v>0</v>
      </c>
      <c r="N227" s="16">
        <v>0</v>
      </c>
      <c r="O227" s="16">
        <v>0</v>
      </c>
      <c r="P227" s="16">
        <v>0</v>
      </c>
      <c r="Q227" s="16">
        <v>0</v>
      </c>
      <c r="R227" s="16">
        <v>0</v>
      </c>
      <c r="S227" s="16">
        <v>0</v>
      </c>
      <c r="T227" s="13">
        <f t="shared" si="43"/>
        <v>0</v>
      </c>
    </row>
    <row r="228" spans="1:20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3">
        <f t="shared" si="43"/>
        <v>0</v>
      </c>
    </row>
    <row r="229" spans="1:20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0</v>
      </c>
      <c r="T229" s="13">
        <f t="shared" si="43"/>
        <v>0</v>
      </c>
    </row>
    <row r="230" spans="1:20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0</v>
      </c>
      <c r="G230" s="16">
        <v>0</v>
      </c>
      <c r="H230" s="16">
        <v>0</v>
      </c>
      <c r="I230" s="16">
        <v>0</v>
      </c>
      <c r="J230" s="16">
        <v>0</v>
      </c>
      <c r="K230" s="16">
        <v>0</v>
      </c>
      <c r="L230" s="16">
        <v>0</v>
      </c>
      <c r="M230" s="16">
        <v>2</v>
      </c>
      <c r="N230" s="16">
        <v>0</v>
      </c>
      <c r="O230" s="16">
        <v>0</v>
      </c>
      <c r="P230" s="16">
        <v>0</v>
      </c>
      <c r="Q230" s="16">
        <v>0</v>
      </c>
      <c r="R230" s="16">
        <v>0</v>
      </c>
      <c r="S230" s="16">
        <v>0</v>
      </c>
      <c r="T230" s="13">
        <f t="shared" si="43"/>
        <v>2</v>
      </c>
    </row>
    <row r="231" spans="1:20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0</v>
      </c>
      <c r="R231" s="16">
        <v>0</v>
      </c>
      <c r="S231" s="16">
        <v>0</v>
      </c>
      <c r="T231" s="13">
        <f t="shared" si="43"/>
        <v>0</v>
      </c>
    </row>
    <row r="232" spans="1:20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13">
        <f t="shared" si="43"/>
        <v>0</v>
      </c>
    </row>
    <row r="233" spans="1:20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13">
        <f t="shared" si="43"/>
        <v>0</v>
      </c>
    </row>
    <row r="234" spans="1:20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13">
        <f t="shared" si="43"/>
        <v>0</v>
      </c>
    </row>
    <row r="235" spans="1:20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S235" si="44">SUM(E225:E234)</f>
        <v>0</v>
      </c>
      <c r="F235" s="13">
        <f t="shared" si="44"/>
        <v>0</v>
      </c>
      <c r="G235" s="13">
        <f t="shared" si="44"/>
        <v>0</v>
      </c>
      <c r="H235" s="13">
        <f t="shared" si="44"/>
        <v>0</v>
      </c>
      <c r="I235" s="13">
        <f t="shared" si="44"/>
        <v>0</v>
      </c>
      <c r="J235" s="13">
        <f t="shared" si="44"/>
        <v>0</v>
      </c>
      <c r="K235" s="13">
        <f t="shared" si="44"/>
        <v>1</v>
      </c>
      <c r="L235" s="13">
        <f t="shared" si="44"/>
        <v>0</v>
      </c>
      <c r="M235" s="13">
        <f t="shared" si="44"/>
        <v>2</v>
      </c>
      <c r="N235" s="13">
        <f t="shared" si="44"/>
        <v>1</v>
      </c>
      <c r="O235" s="13">
        <f t="shared" si="44"/>
        <v>0</v>
      </c>
      <c r="P235" s="13">
        <f t="shared" si="44"/>
        <v>0</v>
      </c>
      <c r="Q235" s="13">
        <f t="shared" si="44"/>
        <v>0</v>
      </c>
      <c r="R235" s="13">
        <f t="shared" si="44"/>
        <v>0</v>
      </c>
      <c r="S235" s="13">
        <f t="shared" si="44"/>
        <v>1</v>
      </c>
      <c r="T235" s="13">
        <f t="shared" si="43"/>
        <v>5</v>
      </c>
    </row>
    <row r="236" spans="1:20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</row>
    <row r="237" spans="1:20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2</v>
      </c>
      <c r="F237" s="16">
        <v>0</v>
      </c>
      <c r="G237" s="16">
        <v>2</v>
      </c>
      <c r="H237" s="16">
        <v>3</v>
      </c>
      <c r="I237" s="16">
        <v>0</v>
      </c>
      <c r="J237" s="16">
        <v>2</v>
      </c>
      <c r="K237" s="16">
        <v>0</v>
      </c>
      <c r="L237" s="16">
        <v>2</v>
      </c>
      <c r="M237" s="16">
        <v>1</v>
      </c>
      <c r="N237" s="16">
        <v>0</v>
      </c>
      <c r="O237" s="16">
        <v>0</v>
      </c>
      <c r="P237" s="16">
        <v>0</v>
      </c>
      <c r="Q237" s="16">
        <v>0</v>
      </c>
      <c r="R237" s="16">
        <v>0</v>
      </c>
      <c r="S237" s="16">
        <v>0</v>
      </c>
      <c r="T237" s="13">
        <f t="shared" ref="T237:T246" si="45">SUM(E237:S237)</f>
        <v>12</v>
      </c>
    </row>
    <row r="238" spans="1:20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0</v>
      </c>
      <c r="G238" s="16">
        <v>1</v>
      </c>
      <c r="H238" s="16">
        <v>0</v>
      </c>
      <c r="I238" s="16">
        <v>1</v>
      </c>
      <c r="J238" s="16">
        <v>1</v>
      </c>
      <c r="K238" s="16">
        <v>1</v>
      </c>
      <c r="L238" s="16">
        <v>1</v>
      </c>
      <c r="M238" s="16">
        <v>1</v>
      </c>
      <c r="N238" s="16">
        <v>0</v>
      </c>
      <c r="O238" s="16">
        <v>0</v>
      </c>
      <c r="P238" s="16">
        <v>0</v>
      </c>
      <c r="Q238" s="16">
        <v>0</v>
      </c>
      <c r="R238" s="16">
        <v>0</v>
      </c>
      <c r="S238" s="16">
        <v>0</v>
      </c>
      <c r="T238" s="13">
        <f t="shared" si="45"/>
        <v>6</v>
      </c>
    </row>
    <row r="239" spans="1:20" ht="12.75" customHeight="1" x14ac:dyDescent="0.4">
      <c r="A239" s="15"/>
      <c r="B239" s="28"/>
      <c r="C239" s="29" t="s">
        <v>149</v>
      </c>
      <c r="D239" s="30"/>
      <c r="E239" s="16">
        <v>1</v>
      </c>
      <c r="F239" s="16">
        <v>1</v>
      </c>
      <c r="G239" s="16">
        <v>1</v>
      </c>
      <c r="H239" s="16">
        <v>0</v>
      </c>
      <c r="I239" s="16">
        <v>0</v>
      </c>
      <c r="J239" s="16">
        <v>0</v>
      </c>
      <c r="K239" s="16">
        <v>0</v>
      </c>
      <c r="L239" s="16">
        <v>0</v>
      </c>
      <c r="M239" s="16">
        <v>0</v>
      </c>
      <c r="N239" s="16">
        <v>1</v>
      </c>
      <c r="O239" s="16">
        <v>0</v>
      </c>
      <c r="P239" s="16">
        <v>2</v>
      </c>
      <c r="Q239" s="16">
        <v>0</v>
      </c>
      <c r="R239" s="16">
        <v>0</v>
      </c>
      <c r="S239" s="16">
        <v>0</v>
      </c>
      <c r="T239" s="13">
        <f t="shared" si="45"/>
        <v>6</v>
      </c>
    </row>
    <row r="240" spans="1:20" ht="12.75" customHeight="1" x14ac:dyDescent="0.4">
      <c r="A240" s="15"/>
      <c r="B240" s="28"/>
      <c r="C240" s="29" t="s">
        <v>150</v>
      </c>
      <c r="D240" s="30"/>
      <c r="E240" s="16">
        <v>0</v>
      </c>
      <c r="F240" s="16">
        <v>1</v>
      </c>
      <c r="G240" s="16">
        <v>1</v>
      </c>
      <c r="H240" s="16">
        <v>0</v>
      </c>
      <c r="I240" s="16">
        <v>0</v>
      </c>
      <c r="J240" s="16">
        <v>0</v>
      </c>
      <c r="K240" s="16">
        <v>0</v>
      </c>
      <c r="L240" s="16">
        <v>0</v>
      </c>
      <c r="M240" s="16">
        <v>0</v>
      </c>
      <c r="N240" s="16">
        <v>0</v>
      </c>
      <c r="O240" s="16">
        <v>0</v>
      </c>
      <c r="P240" s="16">
        <v>0</v>
      </c>
      <c r="Q240" s="16">
        <v>0</v>
      </c>
      <c r="R240" s="16">
        <v>0</v>
      </c>
      <c r="S240" s="16">
        <v>1</v>
      </c>
      <c r="T240" s="13">
        <f t="shared" si="45"/>
        <v>3</v>
      </c>
    </row>
    <row r="241" spans="1:20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6">
        <v>0</v>
      </c>
      <c r="N241" s="16">
        <v>0</v>
      </c>
      <c r="O241" s="16">
        <v>0</v>
      </c>
      <c r="P241" s="16">
        <v>0</v>
      </c>
      <c r="Q241" s="16">
        <v>0</v>
      </c>
      <c r="R241" s="16">
        <v>0</v>
      </c>
      <c r="S241" s="16">
        <v>0</v>
      </c>
      <c r="T241" s="13">
        <f t="shared" si="45"/>
        <v>0</v>
      </c>
    </row>
    <row r="242" spans="1:20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6">
        <v>0</v>
      </c>
      <c r="Q242" s="16">
        <v>0</v>
      </c>
      <c r="R242" s="16">
        <v>0</v>
      </c>
      <c r="S242" s="16">
        <v>0</v>
      </c>
      <c r="T242" s="13">
        <f t="shared" si="45"/>
        <v>0</v>
      </c>
    </row>
    <row r="243" spans="1:20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1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  <c r="R243" s="16">
        <v>0</v>
      </c>
      <c r="S243" s="16">
        <v>0</v>
      </c>
      <c r="T243" s="13">
        <f t="shared" si="45"/>
        <v>1</v>
      </c>
    </row>
    <row r="244" spans="1:20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13">
        <f t="shared" si="45"/>
        <v>0</v>
      </c>
    </row>
    <row r="245" spans="1:20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13">
        <f t="shared" si="45"/>
        <v>0</v>
      </c>
    </row>
    <row r="246" spans="1:20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13">
        <f t="shared" si="45"/>
        <v>0</v>
      </c>
    </row>
    <row r="247" spans="1:20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T247" si="46">SUM(E237:E246)</f>
        <v>3</v>
      </c>
      <c r="F247" s="13">
        <f t="shared" si="46"/>
        <v>2</v>
      </c>
      <c r="G247" s="13">
        <f t="shared" si="46"/>
        <v>6</v>
      </c>
      <c r="H247" s="13">
        <f t="shared" si="46"/>
        <v>3</v>
      </c>
      <c r="I247" s="13">
        <f t="shared" si="46"/>
        <v>1</v>
      </c>
      <c r="J247" s="13">
        <f t="shared" si="46"/>
        <v>3</v>
      </c>
      <c r="K247" s="13">
        <f t="shared" si="46"/>
        <v>1</v>
      </c>
      <c r="L247" s="13">
        <f t="shared" si="46"/>
        <v>3</v>
      </c>
      <c r="M247" s="13">
        <f t="shared" si="46"/>
        <v>2</v>
      </c>
      <c r="N247" s="13">
        <f t="shared" si="46"/>
        <v>1</v>
      </c>
      <c r="O247" s="13">
        <f t="shared" si="46"/>
        <v>0</v>
      </c>
      <c r="P247" s="13">
        <f t="shared" si="46"/>
        <v>2</v>
      </c>
      <c r="Q247" s="13">
        <f t="shared" si="46"/>
        <v>0</v>
      </c>
      <c r="R247" s="13">
        <f t="shared" si="46"/>
        <v>0</v>
      </c>
      <c r="S247" s="13">
        <f t="shared" si="46"/>
        <v>1</v>
      </c>
      <c r="T247" s="13">
        <f t="shared" si="46"/>
        <v>28</v>
      </c>
    </row>
    <row r="248" spans="1:20" ht="12.75" customHeight="1" x14ac:dyDescent="0.4">
      <c r="A248" s="63"/>
      <c r="B248" s="61"/>
      <c r="C248" s="61"/>
      <c r="D248" s="61"/>
      <c r="E248" s="62"/>
    </row>
    <row r="249" spans="1:20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1</v>
      </c>
      <c r="F249" s="16">
        <v>0</v>
      </c>
      <c r="G249" s="16">
        <v>0</v>
      </c>
      <c r="H249" s="16">
        <v>0</v>
      </c>
      <c r="I249" s="16">
        <v>0</v>
      </c>
      <c r="J249" s="16">
        <v>0</v>
      </c>
      <c r="K249" s="16">
        <v>7</v>
      </c>
      <c r="L249" s="16">
        <v>3</v>
      </c>
      <c r="M249" s="16">
        <v>1</v>
      </c>
      <c r="N249" s="16">
        <v>1</v>
      </c>
      <c r="O249" s="16">
        <v>2</v>
      </c>
      <c r="P249" s="16">
        <v>0</v>
      </c>
      <c r="Q249" s="16">
        <v>0</v>
      </c>
      <c r="R249" s="16">
        <v>0</v>
      </c>
      <c r="S249" s="16">
        <v>0</v>
      </c>
      <c r="T249" s="13">
        <f t="shared" ref="T249:T258" si="47">SUM(E249:S249)</f>
        <v>15</v>
      </c>
    </row>
    <row r="250" spans="1:20" ht="12.75" customHeight="1" x14ac:dyDescent="0.4">
      <c r="A250" s="20" t="s">
        <v>38</v>
      </c>
      <c r="B250" s="27"/>
      <c r="C250" s="29" t="s">
        <v>156</v>
      </c>
      <c r="D250" s="40"/>
      <c r="E250" s="16">
        <v>5</v>
      </c>
      <c r="F250" s="16">
        <v>0</v>
      </c>
      <c r="G250" s="16">
        <v>1</v>
      </c>
      <c r="H250" s="16">
        <v>1</v>
      </c>
      <c r="I250" s="16">
        <v>0</v>
      </c>
      <c r="J250" s="16">
        <v>0</v>
      </c>
      <c r="K250" s="16">
        <v>15</v>
      </c>
      <c r="L250" s="16">
        <v>15</v>
      </c>
      <c r="M250" s="16">
        <v>7</v>
      </c>
      <c r="N250" s="16">
        <v>10</v>
      </c>
      <c r="O250" s="16">
        <v>14</v>
      </c>
      <c r="P250" s="16">
        <v>0</v>
      </c>
      <c r="Q250" s="16">
        <v>1</v>
      </c>
      <c r="R250" s="16">
        <v>0</v>
      </c>
      <c r="S250" s="16">
        <v>0</v>
      </c>
      <c r="T250" s="13">
        <f t="shared" si="47"/>
        <v>69</v>
      </c>
    </row>
    <row r="251" spans="1:20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1</v>
      </c>
      <c r="K251" s="16">
        <v>2</v>
      </c>
      <c r="L251" s="16">
        <v>1</v>
      </c>
      <c r="M251" s="16">
        <v>0</v>
      </c>
      <c r="N251" s="16">
        <v>0</v>
      </c>
      <c r="O251" s="16">
        <v>1</v>
      </c>
      <c r="P251" s="16">
        <v>0</v>
      </c>
      <c r="Q251" s="16">
        <v>0</v>
      </c>
      <c r="R251" s="16">
        <v>0</v>
      </c>
      <c r="S251" s="16">
        <v>0</v>
      </c>
      <c r="T251" s="13">
        <f t="shared" si="47"/>
        <v>5</v>
      </c>
    </row>
    <row r="252" spans="1:20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6">
        <v>0</v>
      </c>
      <c r="T252" s="13">
        <f t="shared" si="47"/>
        <v>0</v>
      </c>
    </row>
    <row r="253" spans="1:20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1</v>
      </c>
      <c r="I253" s="16">
        <v>0</v>
      </c>
      <c r="J253" s="16">
        <v>0</v>
      </c>
      <c r="K253" s="16">
        <v>0</v>
      </c>
      <c r="L253" s="16">
        <v>0</v>
      </c>
      <c r="M253" s="16">
        <v>0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3">
        <f t="shared" si="47"/>
        <v>1</v>
      </c>
    </row>
    <row r="254" spans="1:20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13">
        <f t="shared" si="47"/>
        <v>0</v>
      </c>
    </row>
    <row r="255" spans="1:20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13">
        <f t="shared" si="47"/>
        <v>0</v>
      </c>
    </row>
    <row r="256" spans="1:20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13">
        <f t="shared" si="47"/>
        <v>0</v>
      </c>
    </row>
    <row r="257" spans="1:20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13">
        <f t="shared" si="47"/>
        <v>0</v>
      </c>
    </row>
    <row r="258" spans="1:20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13">
        <f t="shared" si="47"/>
        <v>0</v>
      </c>
    </row>
    <row r="259" spans="1:20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T259" si="48">SUM(E249:E258)</f>
        <v>6</v>
      </c>
      <c r="F259" s="13">
        <f t="shared" si="48"/>
        <v>0</v>
      </c>
      <c r="G259" s="13">
        <f t="shared" si="48"/>
        <v>1</v>
      </c>
      <c r="H259" s="13">
        <f t="shared" si="48"/>
        <v>2</v>
      </c>
      <c r="I259" s="13">
        <f t="shared" si="48"/>
        <v>0</v>
      </c>
      <c r="J259" s="13">
        <f t="shared" si="48"/>
        <v>1</v>
      </c>
      <c r="K259" s="13">
        <f t="shared" si="48"/>
        <v>24</v>
      </c>
      <c r="L259" s="13">
        <f t="shared" si="48"/>
        <v>19</v>
      </c>
      <c r="M259" s="13">
        <f t="shared" si="48"/>
        <v>8</v>
      </c>
      <c r="N259" s="13">
        <f t="shared" si="48"/>
        <v>11</v>
      </c>
      <c r="O259" s="13">
        <f t="shared" si="48"/>
        <v>17</v>
      </c>
      <c r="P259" s="13">
        <f t="shared" si="48"/>
        <v>0</v>
      </c>
      <c r="Q259" s="13">
        <f t="shared" si="48"/>
        <v>1</v>
      </c>
      <c r="R259" s="13">
        <f t="shared" si="48"/>
        <v>0</v>
      </c>
      <c r="S259" s="13">
        <f t="shared" si="48"/>
        <v>0</v>
      </c>
      <c r="T259" s="13">
        <f t="shared" si="48"/>
        <v>90</v>
      </c>
    </row>
    <row r="260" spans="1:20" ht="12.75" customHeight="1" x14ac:dyDescent="0.4"/>
    <row r="261" spans="1:20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13"/>
    </row>
    <row r="262" spans="1:20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S262" si="49">E55+E67+E79+E91+E103+E115+E127+E139+E151+E163+E175+E187+E199+E211+E223+E235+E247+E259</f>
        <v>188</v>
      </c>
      <c r="F262" s="16">
        <f t="shared" si="49"/>
        <v>190</v>
      </c>
      <c r="G262" s="16">
        <f t="shared" si="49"/>
        <v>180</v>
      </c>
      <c r="H262" s="16">
        <f t="shared" si="49"/>
        <v>187</v>
      </c>
      <c r="I262" s="16">
        <f t="shared" si="49"/>
        <v>192</v>
      </c>
      <c r="J262" s="16">
        <f t="shared" si="49"/>
        <v>179</v>
      </c>
      <c r="K262" s="16">
        <f t="shared" si="49"/>
        <v>199</v>
      </c>
      <c r="L262" s="16">
        <f t="shared" si="49"/>
        <v>207</v>
      </c>
      <c r="M262" s="16">
        <f t="shared" si="49"/>
        <v>206</v>
      </c>
      <c r="N262" s="16">
        <f t="shared" si="49"/>
        <v>191</v>
      </c>
      <c r="O262" s="16">
        <f t="shared" si="49"/>
        <v>190</v>
      </c>
      <c r="P262" s="16">
        <f t="shared" si="49"/>
        <v>174</v>
      </c>
      <c r="Q262" s="16">
        <f t="shared" si="49"/>
        <v>180</v>
      </c>
      <c r="R262" s="16">
        <f t="shared" si="49"/>
        <v>203</v>
      </c>
      <c r="S262" s="16">
        <f t="shared" si="49"/>
        <v>184</v>
      </c>
      <c r="T262" s="13">
        <f t="shared" ref="T262:T264" si="50">SUM(E262:S262)</f>
        <v>2850</v>
      </c>
    </row>
    <row r="263" spans="1:20" ht="12.75" customHeight="1" x14ac:dyDescent="0.4">
      <c r="A263" s="22"/>
      <c r="B263" s="45" t="s">
        <v>164</v>
      </c>
      <c r="C263" s="71" t="s">
        <v>165</v>
      </c>
      <c r="D263" s="62"/>
      <c r="E263" s="16">
        <v>20</v>
      </c>
      <c r="F263" s="16">
        <v>14</v>
      </c>
      <c r="G263" s="16">
        <v>12</v>
      </c>
      <c r="H263" s="16">
        <v>16</v>
      </c>
      <c r="I263" s="16">
        <v>16</v>
      </c>
      <c r="J263" s="16">
        <v>24</v>
      </c>
      <c r="K263" s="16">
        <v>13</v>
      </c>
      <c r="L263" s="16">
        <v>13</v>
      </c>
      <c r="M263" s="16">
        <v>9</v>
      </c>
      <c r="N263" s="16">
        <v>10</v>
      </c>
      <c r="O263" s="16">
        <v>10</v>
      </c>
      <c r="P263" s="16">
        <v>8</v>
      </c>
      <c r="Q263" s="16">
        <v>11</v>
      </c>
      <c r="R263" s="16">
        <v>13</v>
      </c>
      <c r="S263" s="16">
        <v>14</v>
      </c>
      <c r="T263" s="13">
        <f t="shared" si="50"/>
        <v>203</v>
      </c>
    </row>
    <row r="264" spans="1:20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S264" si="51">SUM(E262:E263)</f>
        <v>208</v>
      </c>
      <c r="F264" s="13">
        <f t="shared" si="51"/>
        <v>204</v>
      </c>
      <c r="G264" s="13">
        <f t="shared" si="51"/>
        <v>192</v>
      </c>
      <c r="H264" s="13">
        <f t="shared" si="51"/>
        <v>203</v>
      </c>
      <c r="I264" s="13">
        <f t="shared" si="51"/>
        <v>208</v>
      </c>
      <c r="J264" s="13">
        <f t="shared" si="51"/>
        <v>203</v>
      </c>
      <c r="K264" s="13">
        <f t="shared" si="51"/>
        <v>212</v>
      </c>
      <c r="L264" s="13">
        <f t="shared" si="51"/>
        <v>220</v>
      </c>
      <c r="M264" s="13">
        <f t="shared" si="51"/>
        <v>215</v>
      </c>
      <c r="N264" s="13">
        <f t="shared" si="51"/>
        <v>201</v>
      </c>
      <c r="O264" s="13">
        <f t="shared" si="51"/>
        <v>200</v>
      </c>
      <c r="P264" s="13">
        <f t="shared" si="51"/>
        <v>182</v>
      </c>
      <c r="Q264" s="13">
        <f t="shared" si="51"/>
        <v>191</v>
      </c>
      <c r="R264" s="13">
        <f t="shared" si="51"/>
        <v>216</v>
      </c>
      <c r="S264" s="13">
        <f t="shared" si="51"/>
        <v>198</v>
      </c>
      <c r="T264" s="13">
        <f t="shared" si="50"/>
        <v>3053</v>
      </c>
    </row>
    <row r="265" spans="1:20" ht="12.75" customHeight="1" x14ac:dyDescent="0.4"/>
    <row r="266" spans="1:20" ht="12.75" customHeight="1" x14ac:dyDescent="0.4"/>
    <row r="267" spans="1:20" ht="12.75" customHeight="1" x14ac:dyDescent="0.4"/>
    <row r="268" spans="1:20" ht="12.75" customHeight="1" x14ac:dyDescent="0.4"/>
    <row r="269" spans="1:20" ht="12.75" customHeight="1" x14ac:dyDescent="0.4"/>
    <row r="270" spans="1:20" ht="12.75" customHeight="1" x14ac:dyDescent="0.4"/>
    <row r="271" spans="1:20" ht="12.75" customHeight="1" x14ac:dyDescent="0.4"/>
    <row r="272" spans="1:20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S12"/>
    <mergeCell ref="T12:T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3:S13">
    <cfRule type="expression" dxfId="312" priority="29">
      <formula>E30=E264</formula>
    </cfRule>
  </conditionalFormatting>
  <conditionalFormatting sqref="E14:S15">
    <cfRule type="containsBlanks" dxfId="311" priority="1">
      <formula>LEN(TRIM(E14))=0</formula>
    </cfRule>
  </conditionalFormatting>
  <conditionalFormatting sqref="E19:S20">
    <cfRule type="containsBlanks" dxfId="310" priority="2">
      <formula>LEN(TRIM(E19))=0</formula>
    </cfRule>
  </conditionalFormatting>
  <conditionalFormatting sqref="E22:S23 E25:S26 E33:S33 E35:S35 E39:S40">
    <cfRule type="containsBlanks" dxfId="309" priority="3">
      <formula>LEN(TRIM(E22))=0</formula>
    </cfRule>
  </conditionalFormatting>
  <conditionalFormatting sqref="E30:S30">
    <cfRule type="expression" dxfId="308" priority="4">
      <formula>E30&lt;&gt;E47</formula>
    </cfRule>
    <cfRule type="expression" dxfId="307" priority="5">
      <formula>E30&lt;&gt;E34</formula>
    </cfRule>
  </conditionalFormatting>
  <conditionalFormatting sqref="E34:S34">
    <cfRule type="expression" dxfId="306" priority="6">
      <formula>E30&lt;&gt;E34</formula>
    </cfRule>
    <cfRule type="expression" dxfId="305" priority="7">
      <formula>E30=E34</formula>
    </cfRule>
    <cfRule type="expression" dxfId="304" priority="8">
      <formula>E34&lt;&gt;E30</formula>
    </cfRule>
    <cfRule type="expression" dxfId="303" priority="9">
      <formula>E34&lt;&gt;E64</formula>
    </cfRule>
  </conditionalFormatting>
  <conditionalFormatting sqref="E45:S54">
    <cfRule type="containsBlanks" dxfId="302" priority="10">
      <formula>LEN(TRIM(E45))=0</formula>
    </cfRule>
  </conditionalFormatting>
  <conditionalFormatting sqref="E57:S66">
    <cfRule type="containsBlanks" dxfId="301" priority="11">
      <formula>LEN(TRIM(E57))=0</formula>
    </cfRule>
  </conditionalFormatting>
  <conditionalFormatting sqref="E69:S78">
    <cfRule type="containsBlanks" dxfId="300" priority="12">
      <formula>LEN(TRIM(E69))=0</formula>
    </cfRule>
  </conditionalFormatting>
  <conditionalFormatting sqref="E81:S90">
    <cfRule type="containsBlanks" dxfId="299" priority="13">
      <formula>LEN(TRIM(E81))=0</formula>
    </cfRule>
  </conditionalFormatting>
  <conditionalFormatting sqref="E93:S102">
    <cfRule type="containsBlanks" dxfId="298" priority="14">
      <formula>LEN(TRIM(E93))=0</formula>
    </cfRule>
  </conditionalFormatting>
  <conditionalFormatting sqref="E105:S114">
    <cfRule type="containsBlanks" dxfId="297" priority="15">
      <formula>LEN(TRIM(E105))=0</formula>
    </cfRule>
  </conditionalFormatting>
  <conditionalFormatting sqref="E117:S126">
    <cfRule type="containsBlanks" dxfId="296" priority="16">
      <formula>LEN(TRIM(E117))=0</formula>
    </cfRule>
  </conditionalFormatting>
  <conditionalFormatting sqref="E129:S138">
    <cfRule type="containsBlanks" dxfId="295" priority="17">
      <formula>LEN(TRIM(E129))=0</formula>
    </cfRule>
  </conditionalFormatting>
  <conditionalFormatting sqref="E141:S150">
    <cfRule type="containsBlanks" dxfId="294" priority="18">
      <formula>LEN(TRIM(E141))=0</formula>
    </cfRule>
  </conditionalFormatting>
  <conditionalFormatting sqref="E153:S162">
    <cfRule type="containsBlanks" dxfId="293" priority="19">
      <formula>LEN(TRIM(E153))=0</formula>
    </cfRule>
  </conditionalFormatting>
  <conditionalFormatting sqref="E165:S174">
    <cfRule type="containsBlanks" dxfId="292" priority="20">
      <formula>LEN(TRIM(E165))=0</formula>
    </cfRule>
  </conditionalFormatting>
  <conditionalFormatting sqref="E177:S186">
    <cfRule type="containsBlanks" dxfId="291" priority="21">
      <formula>LEN(TRIM(E177))=0</formula>
    </cfRule>
  </conditionalFormatting>
  <conditionalFormatting sqref="E189:S198">
    <cfRule type="containsBlanks" dxfId="290" priority="22">
      <formula>LEN(TRIM(E189))=0</formula>
    </cfRule>
  </conditionalFormatting>
  <conditionalFormatting sqref="E201:S210">
    <cfRule type="containsBlanks" dxfId="289" priority="23">
      <formula>LEN(TRIM(E201))=0</formula>
    </cfRule>
  </conditionalFormatting>
  <conditionalFormatting sqref="E213:S222">
    <cfRule type="containsBlanks" dxfId="288" priority="24">
      <formula>LEN(TRIM(E213))=0</formula>
    </cfRule>
  </conditionalFormatting>
  <conditionalFormatting sqref="E225:S234">
    <cfRule type="containsBlanks" dxfId="287" priority="25">
      <formula>LEN(TRIM(E225))=0</formula>
    </cfRule>
  </conditionalFormatting>
  <conditionalFormatting sqref="E237:S246">
    <cfRule type="containsBlanks" dxfId="286" priority="26">
      <formula>LEN(TRIM(E237))=0</formula>
    </cfRule>
  </conditionalFormatting>
  <conditionalFormatting sqref="E249:S258">
    <cfRule type="containsBlanks" dxfId="285" priority="27">
      <formula>LEN(TRIM(E249))=0</formula>
    </cfRule>
  </conditionalFormatting>
  <conditionalFormatting sqref="E262:S263">
    <cfRule type="containsBlanks" dxfId="284" priority="28">
      <formula>LEN(TRIM(E262))=0</formula>
    </cfRule>
  </conditionalFormatting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FF00"/>
  </sheetPr>
  <dimension ref="A1:R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17" width="8.7109375" customWidth="1"/>
    <col min="18" max="18" width="13.28515625" customWidth="1"/>
    <col min="19" max="26" width="8.7109375" customWidth="1"/>
  </cols>
  <sheetData>
    <row r="1" spans="1:18" ht="12.75" customHeight="1" x14ac:dyDescent="0.4"/>
    <row r="2" spans="1:18" ht="12.75" customHeight="1" x14ac:dyDescent="0.4">
      <c r="C2" s="8" t="s">
        <v>0</v>
      </c>
      <c r="D2" s="8" t="s">
        <v>1</v>
      </c>
    </row>
    <row r="3" spans="1:18" ht="12.75" customHeight="1" x14ac:dyDescent="0.4">
      <c r="C3" s="8" t="s">
        <v>2</v>
      </c>
      <c r="D3" s="8" t="s">
        <v>1</v>
      </c>
    </row>
    <row r="4" spans="1:18" ht="12.75" customHeight="1" x14ac:dyDescent="0.4">
      <c r="C4" s="8" t="s">
        <v>3</v>
      </c>
      <c r="D4" s="8" t="s">
        <v>4</v>
      </c>
    </row>
    <row r="5" spans="1:18" ht="12.75" customHeight="1" x14ac:dyDescent="0.4">
      <c r="C5" s="8"/>
      <c r="D5" s="8"/>
    </row>
    <row r="6" spans="1:18" ht="12.75" customHeight="1" x14ac:dyDescent="0.4">
      <c r="C6" s="8"/>
      <c r="D6" s="8"/>
    </row>
    <row r="7" spans="1:18" ht="12.75" customHeight="1" x14ac:dyDescent="0.4">
      <c r="C7" s="8"/>
      <c r="D7" s="8"/>
    </row>
    <row r="8" spans="1:18" ht="12.75" customHeight="1" x14ac:dyDescent="0.4">
      <c r="C8" s="8"/>
      <c r="D8" s="8"/>
    </row>
    <row r="9" spans="1:18" ht="12.75" customHeight="1" x14ac:dyDescent="0.4">
      <c r="C9" s="8" t="s">
        <v>168</v>
      </c>
      <c r="D9" s="8" t="s">
        <v>207</v>
      </c>
    </row>
    <row r="10" spans="1:18" ht="12.75" customHeight="1" x14ac:dyDescent="0.4"/>
    <row r="11" spans="1:18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18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90" t="s">
        <v>7</v>
      </c>
    </row>
    <row r="13" spans="1:18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80"/>
    </row>
    <row r="14" spans="1:18" ht="12.75" customHeight="1" x14ac:dyDescent="0.4">
      <c r="A14" s="15"/>
      <c r="B14" s="75" t="s">
        <v>10</v>
      </c>
      <c r="C14" s="66"/>
      <c r="D14" s="16" t="s">
        <v>11</v>
      </c>
      <c r="E14" s="16">
        <v>141</v>
      </c>
      <c r="F14" s="16">
        <v>119</v>
      </c>
      <c r="G14" s="16">
        <v>124</v>
      </c>
      <c r="H14" s="16">
        <v>130</v>
      </c>
      <c r="I14" s="16">
        <v>134</v>
      </c>
      <c r="J14" s="16">
        <v>137</v>
      </c>
      <c r="K14" s="16">
        <v>100</v>
      </c>
      <c r="L14" s="16">
        <v>114</v>
      </c>
      <c r="M14" s="16">
        <v>134</v>
      </c>
      <c r="N14" s="16">
        <v>120</v>
      </c>
      <c r="O14" s="16">
        <v>81</v>
      </c>
      <c r="P14" s="16">
        <v>92</v>
      </c>
      <c r="Q14" s="16">
        <v>78</v>
      </c>
      <c r="R14" s="13">
        <f t="shared" ref="R14:R16" si="0">SUM(E14:Q14)</f>
        <v>1504</v>
      </c>
    </row>
    <row r="15" spans="1:18" ht="12.75" customHeight="1" x14ac:dyDescent="0.4">
      <c r="A15" s="15"/>
      <c r="B15" s="76"/>
      <c r="C15" s="77"/>
      <c r="D15" s="16" t="s">
        <v>12</v>
      </c>
      <c r="E15" s="16">
        <v>149</v>
      </c>
      <c r="F15" s="16">
        <v>116</v>
      </c>
      <c r="G15" s="16">
        <v>143</v>
      </c>
      <c r="H15" s="16">
        <v>157</v>
      </c>
      <c r="I15" s="16">
        <v>129</v>
      </c>
      <c r="J15" s="16">
        <v>138</v>
      </c>
      <c r="K15" s="16">
        <v>107</v>
      </c>
      <c r="L15" s="16">
        <v>125</v>
      </c>
      <c r="M15" s="16">
        <v>144</v>
      </c>
      <c r="N15" s="16">
        <v>126</v>
      </c>
      <c r="O15" s="16">
        <v>87</v>
      </c>
      <c r="P15" s="16">
        <v>105</v>
      </c>
      <c r="Q15" s="16">
        <v>84</v>
      </c>
      <c r="R15" s="13">
        <f t="shared" si="0"/>
        <v>1610</v>
      </c>
    </row>
    <row r="16" spans="1:18" ht="12.75" customHeight="1" x14ac:dyDescent="0.4">
      <c r="A16" s="18"/>
      <c r="B16" s="73"/>
      <c r="C16" s="69"/>
      <c r="D16" s="13" t="s">
        <v>13</v>
      </c>
      <c r="E16" s="13">
        <f t="shared" ref="E16:Q16" si="1">SUM(E14:E15)</f>
        <v>290</v>
      </c>
      <c r="F16" s="13">
        <f t="shared" si="1"/>
        <v>235</v>
      </c>
      <c r="G16" s="13">
        <f t="shared" si="1"/>
        <v>267</v>
      </c>
      <c r="H16" s="13">
        <f t="shared" si="1"/>
        <v>287</v>
      </c>
      <c r="I16" s="13">
        <f t="shared" si="1"/>
        <v>263</v>
      </c>
      <c r="J16" s="13">
        <f t="shared" si="1"/>
        <v>275</v>
      </c>
      <c r="K16" s="13">
        <f t="shared" si="1"/>
        <v>207</v>
      </c>
      <c r="L16" s="13">
        <f t="shared" si="1"/>
        <v>239</v>
      </c>
      <c r="M16" s="13">
        <f t="shared" si="1"/>
        <v>278</v>
      </c>
      <c r="N16" s="13">
        <f t="shared" si="1"/>
        <v>246</v>
      </c>
      <c r="O16" s="13">
        <f t="shared" si="1"/>
        <v>168</v>
      </c>
      <c r="P16" s="13">
        <f t="shared" si="1"/>
        <v>197</v>
      </c>
      <c r="Q16" s="13">
        <f t="shared" si="1"/>
        <v>162</v>
      </c>
      <c r="R16" s="13">
        <f t="shared" si="0"/>
        <v>3114</v>
      </c>
    </row>
    <row r="17" spans="1:18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9"/>
    </row>
    <row r="18" spans="1:18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9"/>
    </row>
    <row r="19" spans="1:18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93</v>
      </c>
      <c r="F19" s="16">
        <v>95</v>
      </c>
      <c r="G19" s="16">
        <v>83</v>
      </c>
      <c r="H19" s="16">
        <v>91</v>
      </c>
      <c r="I19" s="16">
        <v>103</v>
      </c>
      <c r="J19" s="16">
        <v>90</v>
      </c>
      <c r="K19" s="16">
        <v>62</v>
      </c>
      <c r="L19" s="16">
        <v>95</v>
      </c>
      <c r="M19" s="16">
        <v>100</v>
      </c>
      <c r="N19" s="16">
        <v>96</v>
      </c>
      <c r="O19" s="16">
        <v>59</v>
      </c>
      <c r="P19" s="16">
        <v>74</v>
      </c>
      <c r="Q19" s="16">
        <v>58</v>
      </c>
      <c r="R19" s="13">
        <f t="shared" ref="R19:R30" si="2">SUM(E19:Q19)</f>
        <v>1099</v>
      </c>
    </row>
    <row r="20" spans="1:18" ht="12.75" customHeight="1" x14ac:dyDescent="0.4">
      <c r="A20" s="21"/>
      <c r="B20" s="77"/>
      <c r="C20" s="79"/>
      <c r="D20" s="16" t="s">
        <v>12</v>
      </c>
      <c r="E20" s="16">
        <v>109</v>
      </c>
      <c r="F20" s="16">
        <v>94</v>
      </c>
      <c r="G20" s="16">
        <v>106</v>
      </c>
      <c r="H20" s="16">
        <v>111</v>
      </c>
      <c r="I20" s="16">
        <v>104</v>
      </c>
      <c r="J20" s="16">
        <v>112</v>
      </c>
      <c r="K20" s="16">
        <v>80</v>
      </c>
      <c r="L20" s="16">
        <v>105</v>
      </c>
      <c r="M20" s="16">
        <v>108</v>
      </c>
      <c r="N20" s="16">
        <v>107</v>
      </c>
      <c r="O20" s="16">
        <v>75</v>
      </c>
      <c r="P20" s="16">
        <v>84</v>
      </c>
      <c r="Q20" s="16">
        <v>60</v>
      </c>
      <c r="R20" s="13">
        <f t="shared" si="2"/>
        <v>1255</v>
      </c>
    </row>
    <row r="21" spans="1:18" ht="12.75" customHeight="1" x14ac:dyDescent="0.4">
      <c r="A21" s="22"/>
      <c r="B21" s="69"/>
      <c r="C21" s="80"/>
      <c r="D21" s="13" t="s">
        <v>13</v>
      </c>
      <c r="E21" s="13">
        <f t="shared" ref="E21:Q21" si="3">SUM(E19:E20)</f>
        <v>202</v>
      </c>
      <c r="F21" s="13">
        <f t="shared" si="3"/>
        <v>189</v>
      </c>
      <c r="G21" s="13">
        <f t="shared" si="3"/>
        <v>189</v>
      </c>
      <c r="H21" s="13">
        <f t="shared" si="3"/>
        <v>202</v>
      </c>
      <c r="I21" s="13">
        <f t="shared" si="3"/>
        <v>207</v>
      </c>
      <c r="J21" s="13">
        <f t="shared" si="3"/>
        <v>202</v>
      </c>
      <c r="K21" s="13">
        <f t="shared" si="3"/>
        <v>142</v>
      </c>
      <c r="L21" s="13">
        <f t="shared" si="3"/>
        <v>200</v>
      </c>
      <c r="M21" s="13">
        <f t="shared" si="3"/>
        <v>208</v>
      </c>
      <c r="N21" s="13">
        <f t="shared" si="3"/>
        <v>203</v>
      </c>
      <c r="O21" s="13">
        <f t="shared" si="3"/>
        <v>134</v>
      </c>
      <c r="P21" s="13">
        <f t="shared" si="3"/>
        <v>158</v>
      </c>
      <c r="Q21" s="13">
        <f t="shared" si="3"/>
        <v>118</v>
      </c>
      <c r="R21" s="13">
        <f t="shared" si="2"/>
        <v>2354</v>
      </c>
    </row>
    <row r="22" spans="1:18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2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3">
        <f t="shared" si="2"/>
        <v>2</v>
      </c>
    </row>
    <row r="23" spans="1:18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3</v>
      </c>
      <c r="J23" s="16">
        <v>0</v>
      </c>
      <c r="K23" s="16">
        <v>0</v>
      </c>
      <c r="L23" s="16">
        <v>0</v>
      </c>
      <c r="M23" s="16">
        <v>1</v>
      </c>
      <c r="N23" s="16">
        <v>0</v>
      </c>
      <c r="O23" s="16">
        <v>1</v>
      </c>
      <c r="P23" s="16">
        <v>0</v>
      </c>
      <c r="Q23" s="16">
        <v>0</v>
      </c>
      <c r="R23" s="13">
        <f t="shared" si="2"/>
        <v>5</v>
      </c>
    </row>
    <row r="24" spans="1:18" ht="12.75" customHeight="1" x14ac:dyDescent="0.4">
      <c r="A24" s="22"/>
      <c r="B24" s="69"/>
      <c r="C24" s="80"/>
      <c r="D24" s="13" t="s">
        <v>13</v>
      </c>
      <c r="E24" s="13">
        <f t="shared" ref="E24:Q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5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1</v>
      </c>
      <c r="N24" s="13">
        <f t="shared" si="4"/>
        <v>0</v>
      </c>
      <c r="O24" s="13">
        <f t="shared" si="4"/>
        <v>1</v>
      </c>
      <c r="P24" s="13">
        <f t="shared" si="4"/>
        <v>0</v>
      </c>
      <c r="Q24" s="13">
        <f t="shared" si="4"/>
        <v>0</v>
      </c>
      <c r="R24" s="13">
        <f t="shared" si="2"/>
        <v>7</v>
      </c>
    </row>
    <row r="25" spans="1:18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1</v>
      </c>
      <c r="F25" s="16">
        <v>1</v>
      </c>
      <c r="G25" s="16">
        <v>0</v>
      </c>
      <c r="H25" s="16">
        <v>2</v>
      </c>
      <c r="I25" s="16">
        <v>0</v>
      </c>
      <c r="J25" s="16">
        <v>1</v>
      </c>
      <c r="K25" s="16">
        <v>2</v>
      </c>
      <c r="L25" s="16">
        <v>0</v>
      </c>
      <c r="M25" s="16">
        <v>3</v>
      </c>
      <c r="N25" s="16">
        <v>3</v>
      </c>
      <c r="O25" s="16">
        <v>0</v>
      </c>
      <c r="P25" s="16">
        <v>0</v>
      </c>
      <c r="Q25" s="16">
        <v>3</v>
      </c>
      <c r="R25" s="13">
        <f t="shared" si="2"/>
        <v>16</v>
      </c>
    </row>
    <row r="26" spans="1:18" ht="12.75" customHeight="1" x14ac:dyDescent="0.4">
      <c r="A26" s="21"/>
      <c r="B26" s="77"/>
      <c r="C26" s="79"/>
      <c r="D26" s="16" t="s">
        <v>12</v>
      </c>
      <c r="E26" s="16">
        <v>2</v>
      </c>
      <c r="F26" s="16">
        <v>0</v>
      </c>
      <c r="G26" s="16">
        <v>0</v>
      </c>
      <c r="H26" s="16">
        <v>1</v>
      </c>
      <c r="I26" s="16">
        <v>0</v>
      </c>
      <c r="J26" s="16">
        <v>1</v>
      </c>
      <c r="K26" s="16">
        <v>0</v>
      </c>
      <c r="L26" s="16">
        <v>1</v>
      </c>
      <c r="M26" s="16">
        <v>4</v>
      </c>
      <c r="N26" s="16">
        <v>1</v>
      </c>
      <c r="O26" s="16">
        <v>3</v>
      </c>
      <c r="P26" s="16">
        <v>0</v>
      </c>
      <c r="Q26" s="16">
        <v>3</v>
      </c>
      <c r="R26" s="13">
        <f t="shared" si="2"/>
        <v>16</v>
      </c>
    </row>
    <row r="27" spans="1:18" ht="12.75" customHeight="1" x14ac:dyDescent="0.4">
      <c r="A27" s="22"/>
      <c r="B27" s="69"/>
      <c r="C27" s="80"/>
      <c r="D27" s="13" t="s">
        <v>13</v>
      </c>
      <c r="E27" s="13">
        <f t="shared" ref="E27:Q27" si="5">SUM(E25:E26)</f>
        <v>3</v>
      </c>
      <c r="F27" s="13">
        <f t="shared" si="5"/>
        <v>1</v>
      </c>
      <c r="G27" s="13">
        <f t="shared" si="5"/>
        <v>0</v>
      </c>
      <c r="H27" s="13">
        <f t="shared" si="5"/>
        <v>3</v>
      </c>
      <c r="I27" s="13">
        <f t="shared" si="5"/>
        <v>0</v>
      </c>
      <c r="J27" s="13">
        <f t="shared" si="5"/>
        <v>2</v>
      </c>
      <c r="K27" s="13">
        <f t="shared" si="5"/>
        <v>2</v>
      </c>
      <c r="L27" s="13">
        <f t="shared" si="5"/>
        <v>1</v>
      </c>
      <c r="M27" s="13">
        <f t="shared" si="5"/>
        <v>7</v>
      </c>
      <c r="N27" s="13">
        <f t="shared" si="5"/>
        <v>4</v>
      </c>
      <c r="O27" s="13">
        <f t="shared" si="5"/>
        <v>3</v>
      </c>
      <c r="P27" s="13">
        <f t="shared" si="5"/>
        <v>0</v>
      </c>
      <c r="Q27" s="13">
        <f t="shared" si="5"/>
        <v>6</v>
      </c>
      <c r="R27" s="13">
        <f t="shared" si="2"/>
        <v>32</v>
      </c>
    </row>
    <row r="28" spans="1:18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Q28" si="6">SUM(E19,E22,E25)</f>
        <v>94</v>
      </c>
      <c r="F28" s="13">
        <f t="shared" si="6"/>
        <v>96</v>
      </c>
      <c r="G28" s="13">
        <f t="shared" si="6"/>
        <v>83</v>
      </c>
      <c r="H28" s="13">
        <f t="shared" si="6"/>
        <v>93</v>
      </c>
      <c r="I28" s="13">
        <f t="shared" si="6"/>
        <v>105</v>
      </c>
      <c r="J28" s="13">
        <f t="shared" si="6"/>
        <v>91</v>
      </c>
      <c r="K28" s="13">
        <f t="shared" si="6"/>
        <v>64</v>
      </c>
      <c r="L28" s="13">
        <f t="shared" si="6"/>
        <v>95</v>
      </c>
      <c r="M28" s="13">
        <f t="shared" si="6"/>
        <v>103</v>
      </c>
      <c r="N28" s="13">
        <f t="shared" si="6"/>
        <v>99</v>
      </c>
      <c r="O28" s="13">
        <f t="shared" si="6"/>
        <v>59</v>
      </c>
      <c r="P28" s="13">
        <f t="shared" si="6"/>
        <v>74</v>
      </c>
      <c r="Q28" s="13">
        <f t="shared" si="6"/>
        <v>61</v>
      </c>
      <c r="R28" s="13">
        <f t="shared" si="2"/>
        <v>1117</v>
      </c>
    </row>
    <row r="29" spans="1:18" ht="12.75" customHeight="1" x14ac:dyDescent="0.4">
      <c r="A29" s="22"/>
      <c r="B29" s="77"/>
      <c r="C29" s="79"/>
      <c r="D29" s="13" t="s">
        <v>12</v>
      </c>
      <c r="E29" s="13">
        <f t="shared" ref="E29:Q29" si="7">SUM(E20,E23,E26)</f>
        <v>111</v>
      </c>
      <c r="F29" s="13">
        <f t="shared" si="7"/>
        <v>94</v>
      </c>
      <c r="G29" s="13">
        <f t="shared" si="7"/>
        <v>106</v>
      </c>
      <c r="H29" s="13">
        <f t="shared" si="7"/>
        <v>112</v>
      </c>
      <c r="I29" s="13">
        <f t="shared" si="7"/>
        <v>107</v>
      </c>
      <c r="J29" s="13">
        <f t="shared" si="7"/>
        <v>113</v>
      </c>
      <c r="K29" s="13">
        <f t="shared" si="7"/>
        <v>80</v>
      </c>
      <c r="L29" s="13">
        <f t="shared" si="7"/>
        <v>106</v>
      </c>
      <c r="M29" s="13">
        <f t="shared" si="7"/>
        <v>113</v>
      </c>
      <c r="N29" s="13">
        <f t="shared" si="7"/>
        <v>108</v>
      </c>
      <c r="O29" s="13">
        <f t="shared" si="7"/>
        <v>79</v>
      </c>
      <c r="P29" s="13">
        <f t="shared" si="7"/>
        <v>84</v>
      </c>
      <c r="Q29" s="13">
        <f t="shared" si="7"/>
        <v>63</v>
      </c>
      <c r="R29" s="13">
        <f t="shared" si="2"/>
        <v>1276</v>
      </c>
    </row>
    <row r="30" spans="1:18" ht="12.75" customHeight="1" x14ac:dyDescent="0.4">
      <c r="A30" s="22"/>
      <c r="B30" s="69"/>
      <c r="C30" s="80"/>
      <c r="D30" s="13" t="s">
        <v>13</v>
      </c>
      <c r="E30" s="13">
        <f t="shared" ref="E30:Q30" si="8">SUM(E28:E29)</f>
        <v>205</v>
      </c>
      <c r="F30" s="13">
        <f t="shared" si="8"/>
        <v>190</v>
      </c>
      <c r="G30" s="13">
        <f t="shared" si="8"/>
        <v>189</v>
      </c>
      <c r="H30" s="13">
        <f t="shared" si="8"/>
        <v>205</v>
      </c>
      <c r="I30" s="13">
        <f t="shared" si="8"/>
        <v>212</v>
      </c>
      <c r="J30" s="13">
        <f t="shared" si="8"/>
        <v>204</v>
      </c>
      <c r="K30" s="13">
        <f t="shared" si="8"/>
        <v>144</v>
      </c>
      <c r="L30" s="13">
        <f t="shared" si="8"/>
        <v>201</v>
      </c>
      <c r="M30" s="13">
        <f t="shared" si="8"/>
        <v>216</v>
      </c>
      <c r="N30" s="13">
        <f t="shared" si="8"/>
        <v>207</v>
      </c>
      <c r="O30" s="13">
        <f t="shared" si="8"/>
        <v>138</v>
      </c>
      <c r="P30" s="13">
        <f t="shared" si="8"/>
        <v>158</v>
      </c>
      <c r="Q30" s="13">
        <f t="shared" si="8"/>
        <v>124</v>
      </c>
      <c r="R30" s="13">
        <f t="shared" si="2"/>
        <v>2393</v>
      </c>
    </row>
    <row r="31" spans="1:18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9"/>
    </row>
    <row r="32" spans="1:18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49"/>
    </row>
    <row r="33" spans="1:18" ht="12.75" customHeight="1" x14ac:dyDescent="0.4">
      <c r="A33" s="16">
        <v>1</v>
      </c>
      <c r="B33" s="74" t="s">
        <v>26</v>
      </c>
      <c r="C33" s="61"/>
      <c r="D33" s="62"/>
      <c r="E33" s="16">
        <v>286</v>
      </c>
      <c r="F33" s="16">
        <v>240</v>
      </c>
      <c r="G33" s="16">
        <v>272</v>
      </c>
      <c r="H33" s="16">
        <v>293</v>
      </c>
      <c r="I33" s="16">
        <v>269</v>
      </c>
      <c r="J33" s="16">
        <v>282</v>
      </c>
      <c r="K33" s="16">
        <v>212</v>
      </c>
      <c r="L33" s="16">
        <v>242</v>
      </c>
      <c r="M33" s="16">
        <v>282</v>
      </c>
      <c r="N33" s="16">
        <v>250</v>
      </c>
      <c r="O33" s="16">
        <v>168</v>
      </c>
      <c r="P33" s="16">
        <v>211</v>
      </c>
      <c r="Q33" s="16">
        <v>166</v>
      </c>
      <c r="R33" s="13">
        <f t="shared" ref="R33:R36" si="9">SUM(E33:Q33)</f>
        <v>3173</v>
      </c>
    </row>
    <row r="34" spans="1:18" ht="12.75" customHeight="1" x14ac:dyDescent="0.4">
      <c r="A34" s="16">
        <v>2</v>
      </c>
      <c r="B34" s="74" t="s">
        <v>27</v>
      </c>
      <c r="C34" s="61"/>
      <c r="D34" s="62"/>
      <c r="E34" s="13">
        <v>205</v>
      </c>
      <c r="F34" s="13">
        <v>190</v>
      </c>
      <c r="G34" s="13">
        <v>189</v>
      </c>
      <c r="H34" s="13">
        <v>205</v>
      </c>
      <c r="I34" s="13">
        <v>212</v>
      </c>
      <c r="J34" s="13">
        <v>204</v>
      </c>
      <c r="K34" s="13">
        <v>144</v>
      </c>
      <c r="L34" s="13">
        <v>201</v>
      </c>
      <c r="M34" s="13">
        <v>216</v>
      </c>
      <c r="N34" s="13">
        <v>207</v>
      </c>
      <c r="O34" s="13">
        <v>138</v>
      </c>
      <c r="P34" s="13">
        <v>158</v>
      </c>
      <c r="Q34" s="13">
        <v>124</v>
      </c>
      <c r="R34" s="13">
        <f t="shared" si="9"/>
        <v>2393</v>
      </c>
    </row>
    <row r="35" spans="1:18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1</v>
      </c>
      <c r="G35" s="16">
        <v>0</v>
      </c>
      <c r="H35" s="16">
        <v>1</v>
      </c>
      <c r="I35" s="16">
        <v>0</v>
      </c>
      <c r="J35" s="16">
        <v>1</v>
      </c>
      <c r="K35" s="16">
        <v>0</v>
      </c>
      <c r="L35" s="16">
        <v>0</v>
      </c>
      <c r="M35" s="16">
        <v>0</v>
      </c>
      <c r="N35" s="16">
        <v>1</v>
      </c>
      <c r="O35" s="16">
        <v>2</v>
      </c>
      <c r="P35" s="16">
        <v>0</v>
      </c>
      <c r="Q35" s="16">
        <v>0</v>
      </c>
      <c r="R35" s="13">
        <f t="shared" si="9"/>
        <v>6</v>
      </c>
    </row>
    <row r="36" spans="1:18" ht="12.75" customHeight="1" x14ac:dyDescent="0.4">
      <c r="A36" s="16">
        <v>4</v>
      </c>
      <c r="B36" s="74" t="s">
        <v>29</v>
      </c>
      <c r="C36" s="61"/>
      <c r="D36" s="62"/>
      <c r="E36" s="13">
        <f t="shared" ref="E36:Q36" si="10">E33-(E34+E35)</f>
        <v>81</v>
      </c>
      <c r="F36" s="13">
        <f t="shared" si="10"/>
        <v>49</v>
      </c>
      <c r="G36" s="13">
        <f t="shared" si="10"/>
        <v>83</v>
      </c>
      <c r="H36" s="13">
        <f t="shared" si="10"/>
        <v>87</v>
      </c>
      <c r="I36" s="13">
        <f t="shared" si="10"/>
        <v>57</v>
      </c>
      <c r="J36" s="13">
        <f t="shared" si="10"/>
        <v>77</v>
      </c>
      <c r="K36" s="13">
        <f t="shared" si="10"/>
        <v>68</v>
      </c>
      <c r="L36" s="13">
        <f t="shared" si="10"/>
        <v>41</v>
      </c>
      <c r="M36" s="13">
        <f t="shared" si="10"/>
        <v>66</v>
      </c>
      <c r="N36" s="13">
        <f t="shared" si="10"/>
        <v>42</v>
      </c>
      <c r="O36" s="13">
        <f t="shared" si="10"/>
        <v>28</v>
      </c>
      <c r="P36" s="13">
        <f t="shared" si="10"/>
        <v>53</v>
      </c>
      <c r="Q36" s="13">
        <f t="shared" si="10"/>
        <v>42</v>
      </c>
      <c r="R36" s="13">
        <f t="shared" si="9"/>
        <v>774</v>
      </c>
    </row>
    <row r="37" spans="1:18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49"/>
    </row>
    <row r="38" spans="1:18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49"/>
    </row>
    <row r="39" spans="1:18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0</v>
      </c>
      <c r="H39" s="16">
        <v>0</v>
      </c>
      <c r="I39" s="16">
        <v>1</v>
      </c>
      <c r="J39" s="16">
        <v>2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3">
        <f t="shared" ref="R39:R41" si="11">SUM(E39:Q39)</f>
        <v>3</v>
      </c>
    </row>
    <row r="40" spans="1:18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1</v>
      </c>
      <c r="N40" s="16">
        <v>0</v>
      </c>
      <c r="O40" s="16">
        <v>1</v>
      </c>
      <c r="P40" s="16">
        <v>0</v>
      </c>
      <c r="Q40" s="16">
        <v>0</v>
      </c>
      <c r="R40" s="13">
        <f t="shared" si="11"/>
        <v>2</v>
      </c>
    </row>
    <row r="41" spans="1:18" ht="12.75" customHeight="1" x14ac:dyDescent="0.4">
      <c r="A41" s="25"/>
      <c r="B41" s="68"/>
      <c r="C41" s="69"/>
      <c r="D41" s="13" t="s">
        <v>13</v>
      </c>
      <c r="E41" s="13">
        <f t="shared" ref="E41:Q41" si="12">SUM(E39:E40)</f>
        <v>0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1</v>
      </c>
      <c r="J41" s="13">
        <f t="shared" si="12"/>
        <v>2</v>
      </c>
      <c r="K41" s="13">
        <f t="shared" si="12"/>
        <v>0</v>
      </c>
      <c r="L41" s="13">
        <f t="shared" si="12"/>
        <v>0</v>
      </c>
      <c r="M41" s="13">
        <f t="shared" si="12"/>
        <v>1</v>
      </c>
      <c r="N41" s="13">
        <f t="shared" si="12"/>
        <v>0</v>
      </c>
      <c r="O41" s="13">
        <f t="shared" si="12"/>
        <v>1</v>
      </c>
      <c r="P41" s="13">
        <f t="shared" si="12"/>
        <v>0</v>
      </c>
      <c r="Q41" s="13">
        <f t="shared" si="12"/>
        <v>0</v>
      </c>
      <c r="R41" s="13">
        <f t="shared" si="11"/>
        <v>5</v>
      </c>
    </row>
    <row r="42" spans="1:18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13"/>
    </row>
    <row r="43" spans="1:18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13"/>
    </row>
    <row r="44" spans="1:18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13"/>
    </row>
    <row r="45" spans="1:18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4</v>
      </c>
      <c r="F45" s="16">
        <v>1</v>
      </c>
      <c r="G45" s="16">
        <v>6</v>
      </c>
      <c r="H45" s="16">
        <v>1</v>
      </c>
      <c r="I45" s="16">
        <v>6</v>
      </c>
      <c r="J45" s="16">
        <v>11</v>
      </c>
      <c r="K45" s="16">
        <v>5</v>
      </c>
      <c r="L45" s="16">
        <v>5</v>
      </c>
      <c r="M45" s="16">
        <v>2</v>
      </c>
      <c r="N45" s="16">
        <v>6</v>
      </c>
      <c r="O45" s="16">
        <v>3</v>
      </c>
      <c r="P45" s="16">
        <v>3</v>
      </c>
      <c r="Q45" s="16">
        <v>5</v>
      </c>
      <c r="R45" s="13">
        <f t="shared" ref="R45:R54" si="13">SUM(E45:Q45)</f>
        <v>58</v>
      </c>
    </row>
    <row r="46" spans="1:18" ht="12.75" customHeight="1" x14ac:dyDescent="0.4">
      <c r="A46" s="20" t="s">
        <v>38</v>
      </c>
      <c r="B46" s="28"/>
      <c r="C46" s="29" t="s">
        <v>39</v>
      </c>
      <c r="D46" s="30"/>
      <c r="E46" s="16">
        <v>8</v>
      </c>
      <c r="F46" s="16">
        <v>0</v>
      </c>
      <c r="G46" s="16">
        <v>7</v>
      </c>
      <c r="H46" s="16">
        <v>10</v>
      </c>
      <c r="I46" s="16">
        <v>42</v>
      </c>
      <c r="J46" s="16">
        <v>4</v>
      </c>
      <c r="K46" s="16">
        <v>1</v>
      </c>
      <c r="L46" s="16">
        <v>21</v>
      </c>
      <c r="M46" s="16">
        <v>5</v>
      </c>
      <c r="N46" s="16">
        <v>4</v>
      </c>
      <c r="O46" s="16">
        <v>2</v>
      </c>
      <c r="P46" s="16">
        <v>4</v>
      </c>
      <c r="Q46" s="16">
        <v>3</v>
      </c>
      <c r="R46" s="13">
        <f t="shared" si="13"/>
        <v>111</v>
      </c>
    </row>
    <row r="47" spans="1:18" ht="12.75" customHeight="1" x14ac:dyDescent="0.4">
      <c r="A47" s="15"/>
      <c r="B47" s="28"/>
      <c r="C47" s="29" t="s">
        <v>40</v>
      </c>
      <c r="D47" s="30"/>
      <c r="E47" s="16">
        <v>6</v>
      </c>
      <c r="F47" s="16">
        <v>1</v>
      </c>
      <c r="G47" s="16">
        <v>16</v>
      </c>
      <c r="H47" s="16">
        <v>10</v>
      </c>
      <c r="I47" s="16">
        <v>12</v>
      </c>
      <c r="J47" s="16">
        <v>8</v>
      </c>
      <c r="K47" s="16">
        <v>4</v>
      </c>
      <c r="L47" s="16">
        <v>28</v>
      </c>
      <c r="M47" s="16">
        <v>3</v>
      </c>
      <c r="N47" s="16">
        <v>2</v>
      </c>
      <c r="O47" s="16">
        <v>0</v>
      </c>
      <c r="P47" s="16">
        <v>5</v>
      </c>
      <c r="Q47" s="16">
        <v>3</v>
      </c>
      <c r="R47" s="13">
        <f t="shared" si="13"/>
        <v>98</v>
      </c>
    </row>
    <row r="48" spans="1:18" ht="12.75" customHeight="1" x14ac:dyDescent="0.4">
      <c r="A48" s="15"/>
      <c r="B48" s="28"/>
      <c r="C48" s="29" t="s">
        <v>41</v>
      </c>
      <c r="D48" s="30"/>
      <c r="E48" s="16">
        <v>1</v>
      </c>
      <c r="F48" s="16">
        <v>0</v>
      </c>
      <c r="G48" s="16">
        <v>2</v>
      </c>
      <c r="H48" s="16">
        <v>0</v>
      </c>
      <c r="I48" s="16">
        <v>0</v>
      </c>
      <c r="J48" s="16">
        <v>2</v>
      </c>
      <c r="K48" s="16">
        <v>0</v>
      </c>
      <c r="L48" s="16">
        <v>1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3">
        <f t="shared" si="13"/>
        <v>6</v>
      </c>
    </row>
    <row r="49" spans="1:18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3">
        <f t="shared" si="13"/>
        <v>0</v>
      </c>
    </row>
    <row r="50" spans="1:18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3">
        <f t="shared" si="13"/>
        <v>0</v>
      </c>
    </row>
    <row r="51" spans="1:18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2</v>
      </c>
      <c r="M51" s="16">
        <v>0</v>
      </c>
      <c r="N51" s="16">
        <v>1</v>
      </c>
      <c r="O51" s="16">
        <v>0</v>
      </c>
      <c r="P51" s="16">
        <v>1</v>
      </c>
      <c r="Q51" s="16">
        <v>1</v>
      </c>
      <c r="R51" s="13">
        <f t="shared" si="13"/>
        <v>5</v>
      </c>
    </row>
    <row r="52" spans="1:18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13">
        <f t="shared" si="13"/>
        <v>0</v>
      </c>
    </row>
    <row r="53" spans="1:18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13">
        <f t="shared" si="13"/>
        <v>0</v>
      </c>
    </row>
    <row r="54" spans="1:18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13">
        <f t="shared" si="13"/>
        <v>0</v>
      </c>
    </row>
    <row r="55" spans="1:18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R55" si="14">SUM(E45:E54)</f>
        <v>19</v>
      </c>
      <c r="F55" s="13">
        <f t="shared" si="14"/>
        <v>2</v>
      </c>
      <c r="G55" s="13">
        <f t="shared" si="14"/>
        <v>31</v>
      </c>
      <c r="H55" s="13">
        <f t="shared" si="14"/>
        <v>21</v>
      </c>
      <c r="I55" s="13">
        <f t="shared" si="14"/>
        <v>60</v>
      </c>
      <c r="J55" s="13">
        <f t="shared" si="14"/>
        <v>25</v>
      </c>
      <c r="K55" s="13">
        <f t="shared" si="14"/>
        <v>10</v>
      </c>
      <c r="L55" s="13">
        <f t="shared" si="14"/>
        <v>57</v>
      </c>
      <c r="M55" s="13">
        <f t="shared" si="14"/>
        <v>10</v>
      </c>
      <c r="N55" s="13">
        <f t="shared" si="14"/>
        <v>13</v>
      </c>
      <c r="O55" s="13">
        <f t="shared" si="14"/>
        <v>5</v>
      </c>
      <c r="P55" s="13">
        <f t="shared" si="14"/>
        <v>13</v>
      </c>
      <c r="Q55" s="13">
        <f t="shared" si="14"/>
        <v>12</v>
      </c>
      <c r="R55" s="13">
        <f t="shared" si="14"/>
        <v>278</v>
      </c>
    </row>
    <row r="56" spans="1:18" ht="12.75" customHeight="1" x14ac:dyDescent="0.4">
      <c r="A56" s="86"/>
      <c r="B56" s="68"/>
      <c r="C56" s="68"/>
      <c r="D56" s="68"/>
      <c r="E56" s="68"/>
      <c r="R56" s="13"/>
    </row>
    <row r="57" spans="1:18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8</v>
      </c>
      <c r="F57" s="16">
        <v>2</v>
      </c>
      <c r="G57" s="16">
        <v>5</v>
      </c>
      <c r="H57" s="16">
        <v>5</v>
      </c>
      <c r="I57" s="16">
        <v>3</v>
      </c>
      <c r="J57" s="16">
        <v>10</v>
      </c>
      <c r="K57" s="16">
        <v>4</v>
      </c>
      <c r="L57" s="16">
        <v>3</v>
      </c>
      <c r="M57" s="16">
        <v>3</v>
      </c>
      <c r="N57" s="16">
        <v>3</v>
      </c>
      <c r="O57" s="16">
        <v>3</v>
      </c>
      <c r="P57" s="16">
        <v>5</v>
      </c>
      <c r="Q57" s="16">
        <v>4</v>
      </c>
      <c r="R57" s="13">
        <f t="shared" ref="R57:R66" si="15">SUM(E57:Q57)</f>
        <v>58</v>
      </c>
    </row>
    <row r="58" spans="1:18" ht="12.75" customHeight="1" x14ac:dyDescent="0.4">
      <c r="A58" s="20" t="s">
        <v>38</v>
      </c>
      <c r="B58" s="28"/>
      <c r="C58" s="29" t="s">
        <v>47</v>
      </c>
      <c r="D58" s="30"/>
      <c r="E58" s="16">
        <v>8</v>
      </c>
      <c r="F58" s="16">
        <v>4</v>
      </c>
      <c r="G58" s="16">
        <v>4</v>
      </c>
      <c r="H58" s="16">
        <v>1</v>
      </c>
      <c r="I58" s="16">
        <v>5</v>
      </c>
      <c r="J58" s="16">
        <v>4</v>
      </c>
      <c r="K58" s="16">
        <v>5</v>
      </c>
      <c r="L58" s="16">
        <v>2</v>
      </c>
      <c r="M58" s="16">
        <v>1</v>
      </c>
      <c r="N58" s="16">
        <v>5</v>
      </c>
      <c r="O58" s="16">
        <v>2</v>
      </c>
      <c r="P58" s="16">
        <v>8</v>
      </c>
      <c r="Q58" s="16">
        <v>2</v>
      </c>
      <c r="R58" s="13">
        <f t="shared" si="15"/>
        <v>51</v>
      </c>
    </row>
    <row r="59" spans="1:18" ht="12.75" customHeight="1" x14ac:dyDescent="0.4">
      <c r="A59" s="15"/>
      <c r="B59" s="28"/>
      <c r="C59" s="29" t="s">
        <v>48</v>
      </c>
      <c r="D59" s="30"/>
      <c r="E59" s="16">
        <v>4</v>
      </c>
      <c r="F59" s="16">
        <v>1</v>
      </c>
      <c r="G59" s="16">
        <v>1</v>
      </c>
      <c r="H59" s="16">
        <v>1</v>
      </c>
      <c r="I59" s="16">
        <v>0</v>
      </c>
      <c r="J59" s="16">
        <v>1</v>
      </c>
      <c r="K59" s="16">
        <v>0</v>
      </c>
      <c r="L59" s="16">
        <v>1</v>
      </c>
      <c r="M59" s="16">
        <v>0</v>
      </c>
      <c r="N59" s="16">
        <v>0</v>
      </c>
      <c r="O59" s="16">
        <v>0</v>
      </c>
      <c r="P59" s="16">
        <v>2</v>
      </c>
      <c r="Q59" s="16">
        <v>1</v>
      </c>
      <c r="R59" s="13">
        <f t="shared" si="15"/>
        <v>12</v>
      </c>
    </row>
    <row r="60" spans="1:18" ht="12.75" customHeight="1" x14ac:dyDescent="0.4">
      <c r="A60" s="15"/>
      <c r="B60" s="28"/>
      <c r="C60" s="29" t="s">
        <v>49</v>
      </c>
      <c r="D60" s="30"/>
      <c r="E60" s="16">
        <v>3</v>
      </c>
      <c r="F60" s="16">
        <v>0</v>
      </c>
      <c r="G60" s="16">
        <v>2</v>
      </c>
      <c r="H60" s="16">
        <v>1</v>
      </c>
      <c r="I60" s="16">
        <v>1</v>
      </c>
      <c r="J60" s="16">
        <v>2</v>
      </c>
      <c r="K60" s="16">
        <v>0</v>
      </c>
      <c r="L60" s="16">
        <v>4</v>
      </c>
      <c r="M60" s="16">
        <v>1</v>
      </c>
      <c r="N60" s="16">
        <v>1</v>
      </c>
      <c r="O60" s="16">
        <v>1</v>
      </c>
      <c r="P60" s="16">
        <v>0</v>
      </c>
      <c r="Q60" s="16">
        <v>1</v>
      </c>
      <c r="R60" s="13">
        <f t="shared" si="15"/>
        <v>17</v>
      </c>
    </row>
    <row r="61" spans="1:18" ht="12.75" customHeight="1" x14ac:dyDescent="0.4">
      <c r="A61" s="15"/>
      <c r="B61" s="28"/>
      <c r="C61" s="29" t="s">
        <v>50</v>
      </c>
      <c r="D61" s="30"/>
      <c r="E61" s="16">
        <v>0</v>
      </c>
      <c r="F61" s="16">
        <v>1</v>
      </c>
      <c r="G61" s="16">
        <v>2</v>
      </c>
      <c r="H61" s="16">
        <v>3</v>
      </c>
      <c r="I61" s="16">
        <v>0</v>
      </c>
      <c r="J61" s="16">
        <v>0</v>
      </c>
      <c r="K61" s="16">
        <v>0</v>
      </c>
      <c r="L61" s="16">
        <v>0</v>
      </c>
      <c r="M61" s="16">
        <v>0</v>
      </c>
      <c r="N61" s="16">
        <v>6</v>
      </c>
      <c r="O61" s="16">
        <v>1</v>
      </c>
      <c r="P61" s="16">
        <v>14</v>
      </c>
      <c r="Q61" s="16">
        <v>2</v>
      </c>
      <c r="R61" s="13">
        <f t="shared" si="15"/>
        <v>29</v>
      </c>
    </row>
    <row r="62" spans="1:18" ht="12.75" customHeight="1" x14ac:dyDescent="0.4">
      <c r="A62" s="15"/>
      <c r="B62" s="28"/>
      <c r="C62" s="29" t="s">
        <v>51</v>
      </c>
      <c r="D62" s="30"/>
      <c r="E62" s="16">
        <v>0</v>
      </c>
      <c r="F62" s="16">
        <v>0</v>
      </c>
      <c r="G62" s="16">
        <v>4</v>
      </c>
      <c r="H62" s="16">
        <v>30</v>
      </c>
      <c r="I62" s="16">
        <v>11</v>
      </c>
      <c r="J62" s="16">
        <v>0</v>
      </c>
      <c r="K62" s="16">
        <v>6</v>
      </c>
      <c r="L62" s="16">
        <v>19</v>
      </c>
      <c r="M62" s="16">
        <v>1</v>
      </c>
      <c r="N62" s="16">
        <v>0</v>
      </c>
      <c r="O62" s="16">
        <v>0</v>
      </c>
      <c r="P62" s="16">
        <v>0</v>
      </c>
      <c r="Q62" s="16">
        <v>0</v>
      </c>
      <c r="R62" s="13">
        <f t="shared" si="15"/>
        <v>71</v>
      </c>
    </row>
    <row r="63" spans="1:18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0</v>
      </c>
      <c r="G63" s="16">
        <v>1</v>
      </c>
      <c r="H63" s="16">
        <v>0</v>
      </c>
      <c r="I63" s="16">
        <v>0</v>
      </c>
      <c r="J63" s="16">
        <v>1</v>
      </c>
      <c r="K63" s="16">
        <v>0</v>
      </c>
      <c r="L63" s="16">
        <v>0</v>
      </c>
      <c r="M63" s="16">
        <v>0</v>
      </c>
      <c r="N63" s="16">
        <v>0</v>
      </c>
      <c r="O63" s="16">
        <v>0</v>
      </c>
      <c r="P63" s="16">
        <v>0</v>
      </c>
      <c r="Q63" s="16">
        <v>1</v>
      </c>
      <c r="R63" s="13">
        <f t="shared" si="15"/>
        <v>3</v>
      </c>
    </row>
    <row r="64" spans="1:18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13">
        <f t="shared" si="15"/>
        <v>0</v>
      </c>
    </row>
    <row r="65" spans="1:18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13">
        <f t="shared" si="15"/>
        <v>0</v>
      </c>
    </row>
    <row r="66" spans="1:18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13">
        <f t="shared" si="15"/>
        <v>0</v>
      </c>
    </row>
    <row r="67" spans="1:18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R67" si="16">SUM(E57:E66)</f>
        <v>23</v>
      </c>
      <c r="F67" s="13">
        <f t="shared" si="16"/>
        <v>8</v>
      </c>
      <c r="G67" s="13">
        <f t="shared" si="16"/>
        <v>19</v>
      </c>
      <c r="H67" s="13">
        <f t="shared" si="16"/>
        <v>41</v>
      </c>
      <c r="I67" s="13">
        <f t="shared" si="16"/>
        <v>20</v>
      </c>
      <c r="J67" s="13">
        <f t="shared" si="16"/>
        <v>18</v>
      </c>
      <c r="K67" s="13">
        <f t="shared" si="16"/>
        <v>15</v>
      </c>
      <c r="L67" s="13">
        <f t="shared" si="16"/>
        <v>29</v>
      </c>
      <c r="M67" s="13">
        <f t="shared" si="16"/>
        <v>6</v>
      </c>
      <c r="N67" s="13">
        <f t="shared" si="16"/>
        <v>15</v>
      </c>
      <c r="O67" s="13">
        <f t="shared" si="16"/>
        <v>7</v>
      </c>
      <c r="P67" s="13">
        <f t="shared" si="16"/>
        <v>29</v>
      </c>
      <c r="Q67" s="13">
        <f t="shared" si="16"/>
        <v>11</v>
      </c>
      <c r="R67" s="13">
        <f t="shared" si="16"/>
        <v>241</v>
      </c>
    </row>
    <row r="68" spans="1:18" ht="12.75" customHeight="1" x14ac:dyDescent="0.4">
      <c r="A68" s="86"/>
      <c r="B68" s="68"/>
      <c r="C68" s="68"/>
      <c r="D68" s="68"/>
      <c r="E68" s="68"/>
    </row>
    <row r="69" spans="1:18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7</v>
      </c>
      <c r="F69" s="16">
        <v>17</v>
      </c>
      <c r="G69" s="16">
        <v>5</v>
      </c>
      <c r="H69" s="16">
        <v>3</v>
      </c>
      <c r="I69" s="16">
        <v>4</v>
      </c>
      <c r="J69" s="16">
        <v>5</v>
      </c>
      <c r="K69" s="16">
        <v>6</v>
      </c>
      <c r="L69" s="16">
        <v>3</v>
      </c>
      <c r="M69" s="16">
        <v>2</v>
      </c>
      <c r="N69" s="16">
        <v>6</v>
      </c>
      <c r="O69" s="16">
        <v>2</v>
      </c>
      <c r="P69" s="16">
        <v>2</v>
      </c>
      <c r="Q69" s="16">
        <v>3</v>
      </c>
      <c r="R69" s="13">
        <f t="shared" ref="R69:R78" si="17">SUM(E69:Q69)</f>
        <v>65</v>
      </c>
    </row>
    <row r="70" spans="1:18" ht="12.75" customHeight="1" x14ac:dyDescent="0.4">
      <c r="A70" s="20" t="s">
        <v>38</v>
      </c>
      <c r="B70" s="28"/>
      <c r="C70" s="29" t="s">
        <v>54</v>
      </c>
      <c r="D70" s="30"/>
      <c r="E70" s="16">
        <v>2</v>
      </c>
      <c r="F70" s="16">
        <v>3</v>
      </c>
      <c r="G70" s="16">
        <v>1</v>
      </c>
      <c r="H70" s="16">
        <v>3</v>
      </c>
      <c r="I70" s="16">
        <v>2</v>
      </c>
      <c r="J70" s="16">
        <v>3</v>
      </c>
      <c r="K70" s="16">
        <v>2</v>
      </c>
      <c r="L70" s="16">
        <v>1</v>
      </c>
      <c r="M70" s="16">
        <v>4</v>
      </c>
      <c r="N70" s="16">
        <v>5</v>
      </c>
      <c r="O70" s="16">
        <v>2</v>
      </c>
      <c r="P70" s="16">
        <v>1</v>
      </c>
      <c r="Q70" s="16">
        <v>0</v>
      </c>
      <c r="R70" s="13">
        <f t="shared" si="17"/>
        <v>29</v>
      </c>
    </row>
    <row r="71" spans="1:18" ht="12.75" customHeight="1" x14ac:dyDescent="0.4">
      <c r="A71" s="15"/>
      <c r="B71" s="28"/>
      <c r="C71" s="29" t="s">
        <v>55</v>
      </c>
      <c r="D71" s="30"/>
      <c r="E71" s="16">
        <v>19</v>
      </c>
      <c r="F71" s="16">
        <v>85</v>
      </c>
      <c r="G71" s="16">
        <v>14</v>
      </c>
      <c r="H71" s="16">
        <v>5</v>
      </c>
      <c r="I71" s="16">
        <v>1</v>
      </c>
      <c r="J71" s="16">
        <v>11</v>
      </c>
      <c r="K71" s="16">
        <v>10</v>
      </c>
      <c r="L71" s="16">
        <v>0</v>
      </c>
      <c r="M71" s="16">
        <v>7</v>
      </c>
      <c r="N71" s="16">
        <v>1</v>
      </c>
      <c r="O71" s="16">
        <v>0</v>
      </c>
      <c r="P71" s="16">
        <v>3</v>
      </c>
      <c r="Q71" s="16">
        <v>1</v>
      </c>
      <c r="R71" s="13">
        <f t="shared" si="17"/>
        <v>157</v>
      </c>
    </row>
    <row r="72" spans="1:18" ht="12.75" customHeight="1" x14ac:dyDescent="0.4">
      <c r="A72" s="15"/>
      <c r="B72" s="28"/>
      <c r="C72" s="29" t="s">
        <v>56</v>
      </c>
      <c r="D72" s="30"/>
      <c r="E72" s="16">
        <v>8</v>
      </c>
      <c r="F72" s="16">
        <v>27</v>
      </c>
      <c r="G72" s="16">
        <v>17</v>
      </c>
      <c r="H72" s="16">
        <v>5</v>
      </c>
      <c r="I72" s="16">
        <v>1</v>
      </c>
      <c r="J72" s="16">
        <v>21</v>
      </c>
      <c r="K72" s="16">
        <v>6</v>
      </c>
      <c r="L72" s="16">
        <v>8</v>
      </c>
      <c r="M72" s="16">
        <v>2</v>
      </c>
      <c r="N72" s="16">
        <v>2</v>
      </c>
      <c r="O72" s="16">
        <v>3</v>
      </c>
      <c r="P72" s="16">
        <v>8</v>
      </c>
      <c r="Q72" s="16">
        <v>3</v>
      </c>
      <c r="R72" s="13">
        <f t="shared" si="17"/>
        <v>111</v>
      </c>
    </row>
    <row r="73" spans="1:18" ht="12.75" customHeight="1" x14ac:dyDescent="0.4">
      <c r="A73" s="15"/>
      <c r="B73" s="28"/>
      <c r="C73" s="29" t="s">
        <v>57</v>
      </c>
      <c r="D73" s="30"/>
      <c r="E73" s="16">
        <v>2</v>
      </c>
      <c r="F73" s="16">
        <v>1</v>
      </c>
      <c r="G73" s="16">
        <v>3</v>
      </c>
      <c r="H73" s="16">
        <v>0</v>
      </c>
      <c r="I73" s="16">
        <v>1</v>
      </c>
      <c r="J73" s="16">
        <v>0</v>
      </c>
      <c r="K73" s="16">
        <v>1</v>
      </c>
      <c r="L73" s="16">
        <v>0</v>
      </c>
      <c r="M73" s="16">
        <v>1</v>
      </c>
      <c r="N73" s="16">
        <v>4</v>
      </c>
      <c r="O73" s="16">
        <v>0</v>
      </c>
      <c r="P73" s="16">
        <v>1</v>
      </c>
      <c r="Q73" s="16">
        <v>35</v>
      </c>
      <c r="R73" s="13">
        <f t="shared" si="17"/>
        <v>49</v>
      </c>
    </row>
    <row r="74" spans="1:18" ht="12.75" customHeight="1" x14ac:dyDescent="0.4">
      <c r="A74" s="15"/>
      <c r="B74" s="28"/>
      <c r="C74" s="29" t="s">
        <v>58</v>
      </c>
      <c r="D74" s="30"/>
      <c r="E74" s="16">
        <v>0</v>
      </c>
      <c r="F74" s="16">
        <v>2</v>
      </c>
      <c r="G74" s="16">
        <v>2</v>
      </c>
      <c r="H74" s="16">
        <v>4</v>
      </c>
      <c r="I74" s="16">
        <v>0</v>
      </c>
      <c r="J74" s="16">
        <v>3</v>
      </c>
      <c r="K74" s="16">
        <v>0</v>
      </c>
      <c r="L74" s="16">
        <v>0</v>
      </c>
      <c r="M74" s="16">
        <v>6</v>
      </c>
      <c r="N74" s="16">
        <v>0</v>
      </c>
      <c r="O74" s="16">
        <v>3</v>
      </c>
      <c r="P74" s="16">
        <v>1</v>
      </c>
      <c r="Q74" s="16">
        <v>3</v>
      </c>
      <c r="R74" s="13">
        <f t="shared" si="17"/>
        <v>24</v>
      </c>
    </row>
    <row r="75" spans="1:18" ht="12.75" customHeight="1" x14ac:dyDescent="0.4">
      <c r="A75" s="15"/>
      <c r="B75" s="28"/>
      <c r="C75" s="29" t="s">
        <v>59</v>
      </c>
      <c r="D75" s="30"/>
      <c r="E75" s="16">
        <v>0</v>
      </c>
      <c r="F75" s="16">
        <v>2</v>
      </c>
      <c r="G75" s="16">
        <v>4</v>
      </c>
      <c r="H75" s="16">
        <v>2</v>
      </c>
      <c r="I75" s="16">
        <v>2</v>
      </c>
      <c r="J75" s="16">
        <v>6</v>
      </c>
      <c r="K75" s="16">
        <v>3</v>
      </c>
      <c r="L75" s="16">
        <v>3</v>
      </c>
      <c r="M75" s="16">
        <v>1</v>
      </c>
      <c r="N75" s="16">
        <v>0</v>
      </c>
      <c r="O75" s="16">
        <v>0</v>
      </c>
      <c r="P75" s="16">
        <v>0</v>
      </c>
      <c r="Q75" s="16">
        <v>0</v>
      </c>
      <c r="R75" s="13">
        <f t="shared" si="17"/>
        <v>23</v>
      </c>
    </row>
    <row r="76" spans="1:18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13">
        <f t="shared" si="17"/>
        <v>0</v>
      </c>
    </row>
    <row r="77" spans="1:18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13">
        <f t="shared" si="17"/>
        <v>0</v>
      </c>
    </row>
    <row r="78" spans="1:18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13">
        <f t="shared" si="17"/>
        <v>0</v>
      </c>
    </row>
    <row r="79" spans="1:18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R79" si="18">SUM(E69:E78)</f>
        <v>38</v>
      </c>
      <c r="F79" s="13">
        <f t="shared" si="18"/>
        <v>137</v>
      </c>
      <c r="G79" s="13">
        <f t="shared" si="18"/>
        <v>46</v>
      </c>
      <c r="H79" s="13">
        <f t="shared" si="18"/>
        <v>22</v>
      </c>
      <c r="I79" s="13">
        <f t="shared" si="18"/>
        <v>11</v>
      </c>
      <c r="J79" s="13">
        <f t="shared" si="18"/>
        <v>49</v>
      </c>
      <c r="K79" s="13">
        <f t="shared" si="18"/>
        <v>28</v>
      </c>
      <c r="L79" s="13">
        <f t="shared" si="18"/>
        <v>15</v>
      </c>
      <c r="M79" s="13">
        <f t="shared" si="18"/>
        <v>23</v>
      </c>
      <c r="N79" s="13">
        <f t="shared" si="18"/>
        <v>18</v>
      </c>
      <c r="O79" s="13">
        <f t="shared" si="18"/>
        <v>10</v>
      </c>
      <c r="P79" s="13">
        <f t="shared" si="18"/>
        <v>16</v>
      </c>
      <c r="Q79" s="13">
        <f t="shared" si="18"/>
        <v>45</v>
      </c>
      <c r="R79" s="13">
        <f t="shared" si="18"/>
        <v>458</v>
      </c>
    </row>
    <row r="80" spans="1:18" ht="12.75" customHeight="1" x14ac:dyDescent="0.4">
      <c r="A80" s="86"/>
      <c r="B80" s="68"/>
      <c r="C80" s="68"/>
      <c r="D80" s="68"/>
      <c r="E80" s="68"/>
    </row>
    <row r="81" spans="1:18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0</v>
      </c>
      <c r="F81" s="16">
        <v>3</v>
      </c>
      <c r="G81" s="16">
        <v>1</v>
      </c>
      <c r="H81" s="16">
        <v>4</v>
      </c>
      <c r="I81" s="16">
        <v>0</v>
      </c>
      <c r="J81" s="16">
        <v>3</v>
      </c>
      <c r="K81" s="16">
        <v>0</v>
      </c>
      <c r="L81" s="16">
        <v>2</v>
      </c>
      <c r="M81" s="16">
        <v>3</v>
      </c>
      <c r="N81" s="16">
        <v>1</v>
      </c>
      <c r="O81" s="16">
        <v>4</v>
      </c>
      <c r="P81" s="16">
        <v>2</v>
      </c>
      <c r="Q81" s="16">
        <v>0</v>
      </c>
      <c r="R81" s="13">
        <f t="shared" ref="R81:R90" si="19">SUM(E81:Q81)</f>
        <v>23</v>
      </c>
    </row>
    <row r="82" spans="1:18" ht="12.75" customHeight="1" x14ac:dyDescent="0.4">
      <c r="A82" s="20" t="s">
        <v>38</v>
      </c>
      <c r="B82" s="28"/>
      <c r="C82" s="29" t="s">
        <v>61</v>
      </c>
      <c r="D82" s="30"/>
      <c r="E82" s="16">
        <v>2</v>
      </c>
      <c r="F82" s="16">
        <v>5</v>
      </c>
      <c r="G82" s="16">
        <v>6</v>
      </c>
      <c r="H82" s="16">
        <v>3</v>
      </c>
      <c r="I82" s="16">
        <v>1</v>
      </c>
      <c r="J82" s="16">
        <v>1</v>
      </c>
      <c r="K82" s="16">
        <v>9</v>
      </c>
      <c r="L82" s="16">
        <v>3</v>
      </c>
      <c r="M82" s="16">
        <v>1</v>
      </c>
      <c r="N82" s="16">
        <v>0</v>
      </c>
      <c r="O82" s="16">
        <v>1</v>
      </c>
      <c r="P82" s="16">
        <v>3</v>
      </c>
      <c r="Q82" s="16">
        <v>2</v>
      </c>
      <c r="R82" s="13">
        <f t="shared" si="19"/>
        <v>37</v>
      </c>
    </row>
    <row r="83" spans="1:18" ht="12.75" customHeight="1" x14ac:dyDescent="0.4">
      <c r="A83" s="15"/>
      <c r="B83" s="28"/>
      <c r="C83" s="29" t="s">
        <v>62</v>
      </c>
      <c r="D83" s="30"/>
      <c r="E83" s="16">
        <v>0</v>
      </c>
      <c r="F83" s="16">
        <v>0</v>
      </c>
      <c r="G83" s="16">
        <v>0</v>
      </c>
      <c r="H83" s="16">
        <v>1</v>
      </c>
      <c r="I83" s="16">
        <v>0</v>
      </c>
      <c r="J83" s="16">
        <v>4</v>
      </c>
      <c r="K83" s="16">
        <v>0</v>
      </c>
      <c r="L83" s="16">
        <v>0</v>
      </c>
      <c r="M83" s="16">
        <v>1</v>
      </c>
      <c r="N83" s="16">
        <v>0</v>
      </c>
      <c r="O83" s="16">
        <v>0</v>
      </c>
      <c r="P83" s="16">
        <v>1</v>
      </c>
      <c r="Q83" s="16">
        <v>0</v>
      </c>
      <c r="R83" s="13">
        <f t="shared" si="19"/>
        <v>7</v>
      </c>
    </row>
    <row r="84" spans="1:18" ht="12.75" customHeight="1" x14ac:dyDescent="0.4">
      <c r="A84" s="15"/>
      <c r="B84" s="28"/>
      <c r="C84" s="29" t="s">
        <v>63</v>
      </c>
      <c r="D84" s="30"/>
      <c r="E84" s="16">
        <v>1</v>
      </c>
      <c r="F84" s="16">
        <v>2</v>
      </c>
      <c r="G84" s="16">
        <v>0</v>
      </c>
      <c r="H84" s="16">
        <v>0</v>
      </c>
      <c r="I84" s="16">
        <v>0</v>
      </c>
      <c r="J84" s="16">
        <v>0</v>
      </c>
      <c r="K84" s="16">
        <v>1</v>
      </c>
      <c r="L84" s="16">
        <v>1</v>
      </c>
      <c r="M84" s="16">
        <v>1</v>
      </c>
      <c r="N84" s="16">
        <v>0</v>
      </c>
      <c r="O84" s="16">
        <v>0</v>
      </c>
      <c r="P84" s="16">
        <v>1</v>
      </c>
      <c r="Q84" s="16">
        <v>1</v>
      </c>
      <c r="R84" s="13">
        <f t="shared" si="19"/>
        <v>8</v>
      </c>
    </row>
    <row r="85" spans="1:18" ht="12.75" customHeight="1" x14ac:dyDescent="0.4">
      <c r="A85" s="15"/>
      <c r="B85" s="28"/>
      <c r="C85" s="29" t="s">
        <v>64</v>
      </c>
      <c r="D85" s="30"/>
      <c r="E85" s="16">
        <v>1</v>
      </c>
      <c r="F85" s="16">
        <v>0</v>
      </c>
      <c r="G85" s="16">
        <v>5</v>
      </c>
      <c r="H85" s="16">
        <v>13</v>
      </c>
      <c r="I85" s="16">
        <v>0</v>
      </c>
      <c r="J85" s="16">
        <v>17</v>
      </c>
      <c r="K85" s="16">
        <v>9</v>
      </c>
      <c r="L85" s="16">
        <v>6</v>
      </c>
      <c r="M85" s="16">
        <v>27</v>
      </c>
      <c r="N85" s="16">
        <v>4</v>
      </c>
      <c r="O85" s="16">
        <v>1</v>
      </c>
      <c r="P85" s="16">
        <v>14</v>
      </c>
      <c r="Q85" s="16">
        <v>0</v>
      </c>
      <c r="R85" s="13">
        <f t="shared" si="19"/>
        <v>97</v>
      </c>
    </row>
    <row r="86" spans="1:18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1</v>
      </c>
      <c r="H86" s="16">
        <v>2</v>
      </c>
      <c r="I86" s="16">
        <v>0</v>
      </c>
      <c r="J86" s="16">
        <v>0</v>
      </c>
      <c r="K86" s="16">
        <v>1</v>
      </c>
      <c r="L86" s="16">
        <v>0</v>
      </c>
      <c r="M86" s="16">
        <v>0</v>
      </c>
      <c r="N86" s="16">
        <v>2</v>
      </c>
      <c r="O86" s="16">
        <v>0</v>
      </c>
      <c r="P86" s="16">
        <v>0</v>
      </c>
      <c r="Q86" s="16">
        <v>0</v>
      </c>
      <c r="R86" s="13">
        <f t="shared" si="19"/>
        <v>6</v>
      </c>
    </row>
    <row r="87" spans="1:18" ht="12.75" customHeight="1" x14ac:dyDescent="0.4">
      <c r="A87" s="15"/>
      <c r="B87" s="28"/>
      <c r="C87" s="29" t="s">
        <v>66</v>
      </c>
      <c r="D87" s="30"/>
      <c r="E87" s="16">
        <v>2</v>
      </c>
      <c r="F87" s="16">
        <v>0</v>
      </c>
      <c r="G87" s="16">
        <v>1</v>
      </c>
      <c r="H87" s="16">
        <v>2</v>
      </c>
      <c r="I87" s="16">
        <v>2</v>
      </c>
      <c r="J87" s="16">
        <v>2</v>
      </c>
      <c r="K87" s="16">
        <v>0</v>
      </c>
      <c r="L87" s="16">
        <v>3</v>
      </c>
      <c r="M87" s="16">
        <v>0</v>
      </c>
      <c r="N87" s="16">
        <v>2</v>
      </c>
      <c r="O87" s="16">
        <v>0</v>
      </c>
      <c r="P87" s="16">
        <v>2</v>
      </c>
      <c r="Q87" s="16">
        <v>0</v>
      </c>
      <c r="R87" s="13">
        <f t="shared" si="19"/>
        <v>16</v>
      </c>
    </row>
    <row r="88" spans="1:18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13">
        <f t="shared" si="19"/>
        <v>0</v>
      </c>
    </row>
    <row r="89" spans="1:18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13">
        <f t="shared" si="19"/>
        <v>0</v>
      </c>
    </row>
    <row r="90" spans="1:18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13">
        <f t="shared" si="19"/>
        <v>0</v>
      </c>
    </row>
    <row r="91" spans="1:18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R91" si="20">SUM(E81:E90)</f>
        <v>6</v>
      </c>
      <c r="F91" s="13">
        <f t="shared" si="20"/>
        <v>10</v>
      </c>
      <c r="G91" s="13">
        <f t="shared" si="20"/>
        <v>14</v>
      </c>
      <c r="H91" s="13">
        <f t="shared" si="20"/>
        <v>25</v>
      </c>
      <c r="I91" s="13">
        <f t="shared" si="20"/>
        <v>3</v>
      </c>
      <c r="J91" s="13">
        <f t="shared" si="20"/>
        <v>27</v>
      </c>
      <c r="K91" s="13">
        <f t="shared" si="20"/>
        <v>20</v>
      </c>
      <c r="L91" s="13">
        <f t="shared" si="20"/>
        <v>15</v>
      </c>
      <c r="M91" s="13">
        <f t="shared" si="20"/>
        <v>33</v>
      </c>
      <c r="N91" s="13">
        <f t="shared" si="20"/>
        <v>9</v>
      </c>
      <c r="O91" s="13">
        <f t="shared" si="20"/>
        <v>6</v>
      </c>
      <c r="P91" s="13">
        <f t="shared" si="20"/>
        <v>23</v>
      </c>
      <c r="Q91" s="13">
        <f t="shared" si="20"/>
        <v>3</v>
      </c>
      <c r="R91" s="13">
        <f t="shared" si="20"/>
        <v>194</v>
      </c>
    </row>
    <row r="92" spans="1:18" ht="12.75" customHeight="1" x14ac:dyDescent="0.4">
      <c r="A92" s="86"/>
      <c r="B92" s="68"/>
      <c r="C92" s="68"/>
      <c r="D92" s="68"/>
      <c r="E92" s="68"/>
    </row>
    <row r="93" spans="1:18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0</v>
      </c>
      <c r="F93" s="16">
        <v>1</v>
      </c>
      <c r="G93" s="16">
        <v>0</v>
      </c>
      <c r="H93" s="16">
        <v>0</v>
      </c>
      <c r="I93" s="16">
        <v>1</v>
      </c>
      <c r="J93" s="16">
        <v>0</v>
      </c>
      <c r="K93" s="16">
        <v>0</v>
      </c>
      <c r="L93" s="16">
        <v>2</v>
      </c>
      <c r="M93" s="16">
        <v>0</v>
      </c>
      <c r="N93" s="16">
        <v>2</v>
      </c>
      <c r="O93" s="16">
        <v>0</v>
      </c>
      <c r="P93" s="16">
        <v>1</v>
      </c>
      <c r="Q93" s="16">
        <v>2</v>
      </c>
      <c r="R93" s="13">
        <f t="shared" ref="R93:R102" si="21">SUM(E93:Q93)</f>
        <v>9</v>
      </c>
    </row>
    <row r="94" spans="1:18" ht="12.75" customHeight="1" x14ac:dyDescent="0.4">
      <c r="A94" s="20" t="s">
        <v>38</v>
      </c>
      <c r="B94" s="28"/>
      <c r="C94" s="29" t="s">
        <v>69</v>
      </c>
      <c r="D94" s="30"/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2</v>
      </c>
      <c r="K94" s="16">
        <v>0</v>
      </c>
      <c r="L94" s="16">
        <v>2</v>
      </c>
      <c r="M94" s="16">
        <v>0</v>
      </c>
      <c r="N94" s="16">
        <v>1</v>
      </c>
      <c r="O94" s="16">
        <v>2</v>
      </c>
      <c r="P94" s="16">
        <v>2</v>
      </c>
      <c r="Q94" s="16">
        <v>0</v>
      </c>
      <c r="R94" s="13">
        <f t="shared" si="21"/>
        <v>9</v>
      </c>
    </row>
    <row r="95" spans="1:18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1</v>
      </c>
      <c r="G95" s="16">
        <v>0</v>
      </c>
      <c r="H95" s="16">
        <v>1</v>
      </c>
      <c r="I95" s="16">
        <v>0</v>
      </c>
      <c r="J95" s="16">
        <v>1</v>
      </c>
      <c r="K95" s="16">
        <v>0</v>
      </c>
      <c r="L95" s="16">
        <v>0</v>
      </c>
      <c r="M95" s="16">
        <v>0</v>
      </c>
      <c r="N95" s="16">
        <v>2</v>
      </c>
      <c r="O95" s="16">
        <v>0</v>
      </c>
      <c r="P95" s="16">
        <v>1</v>
      </c>
      <c r="Q95" s="16">
        <v>0</v>
      </c>
      <c r="R95" s="13">
        <f t="shared" si="21"/>
        <v>6</v>
      </c>
    </row>
    <row r="96" spans="1:18" ht="12.75" customHeight="1" x14ac:dyDescent="0.4">
      <c r="A96" s="15"/>
      <c r="B96" s="28"/>
      <c r="C96" s="29" t="s">
        <v>71</v>
      </c>
      <c r="D96" s="30"/>
      <c r="E96" s="16">
        <v>1</v>
      </c>
      <c r="F96" s="16">
        <v>1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2</v>
      </c>
      <c r="M96" s="16">
        <v>0</v>
      </c>
      <c r="N96" s="16">
        <v>3</v>
      </c>
      <c r="O96" s="16">
        <v>1</v>
      </c>
      <c r="P96" s="16">
        <v>2</v>
      </c>
      <c r="Q96" s="16">
        <v>2</v>
      </c>
      <c r="R96" s="13">
        <f t="shared" si="21"/>
        <v>12</v>
      </c>
    </row>
    <row r="97" spans="1:18" ht="12.75" customHeight="1" x14ac:dyDescent="0.4">
      <c r="A97" s="15"/>
      <c r="B97" s="28"/>
      <c r="C97" s="29" t="s">
        <v>72</v>
      </c>
      <c r="D97" s="30"/>
      <c r="E97" s="16">
        <v>4</v>
      </c>
      <c r="F97" s="16">
        <v>1</v>
      </c>
      <c r="G97" s="16">
        <v>6</v>
      </c>
      <c r="H97" s="16">
        <v>1</v>
      </c>
      <c r="I97" s="16">
        <v>5</v>
      </c>
      <c r="J97" s="16">
        <v>2</v>
      </c>
      <c r="K97" s="16">
        <v>2</v>
      </c>
      <c r="L97" s="16">
        <v>4</v>
      </c>
      <c r="M97" s="16">
        <v>0</v>
      </c>
      <c r="N97" s="16">
        <v>13</v>
      </c>
      <c r="O97" s="16">
        <v>1</v>
      </c>
      <c r="P97" s="16">
        <v>2</v>
      </c>
      <c r="Q97" s="16">
        <v>0</v>
      </c>
      <c r="R97" s="13">
        <f t="shared" si="21"/>
        <v>41</v>
      </c>
    </row>
    <row r="98" spans="1:18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0</v>
      </c>
      <c r="G98" s="16">
        <v>1</v>
      </c>
      <c r="H98" s="16">
        <v>0</v>
      </c>
      <c r="I98" s="16">
        <v>4</v>
      </c>
      <c r="J98" s="16">
        <v>0</v>
      </c>
      <c r="K98" s="16">
        <v>0</v>
      </c>
      <c r="L98" s="16">
        <v>1</v>
      </c>
      <c r="M98" s="16">
        <v>1</v>
      </c>
      <c r="N98" s="16">
        <v>1</v>
      </c>
      <c r="O98" s="16">
        <v>0</v>
      </c>
      <c r="P98" s="16">
        <v>0</v>
      </c>
      <c r="Q98" s="16">
        <v>0</v>
      </c>
      <c r="R98" s="13">
        <f t="shared" si="21"/>
        <v>8</v>
      </c>
    </row>
    <row r="99" spans="1:18" ht="12.75" customHeight="1" x14ac:dyDescent="0.4">
      <c r="A99" s="15"/>
      <c r="B99" s="28"/>
      <c r="C99" s="29" t="s">
        <v>74</v>
      </c>
      <c r="D99" s="30"/>
      <c r="E99" s="16">
        <v>0</v>
      </c>
      <c r="F99" s="16">
        <v>0</v>
      </c>
      <c r="G99" s="16">
        <v>0</v>
      </c>
      <c r="H99" s="16">
        <v>0</v>
      </c>
      <c r="I99" s="16">
        <v>2</v>
      </c>
      <c r="J99" s="16">
        <v>0</v>
      </c>
      <c r="K99" s="16">
        <v>0</v>
      </c>
      <c r="L99" s="16">
        <v>0</v>
      </c>
      <c r="M99" s="16">
        <v>0</v>
      </c>
      <c r="N99" s="16">
        <v>0</v>
      </c>
      <c r="O99" s="16">
        <v>1</v>
      </c>
      <c r="P99" s="16">
        <v>0</v>
      </c>
      <c r="Q99" s="16">
        <v>0</v>
      </c>
      <c r="R99" s="13">
        <f t="shared" si="21"/>
        <v>3</v>
      </c>
    </row>
    <row r="100" spans="1:18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13">
        <f t="shared" si="21"/>
        <v>0</v>
      </c>
    </row>
    <row r="101" spans="1:18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13">
        <f t="shared" si="21"/>
        <v>0</v>
      </c>
    </row>
    <row r="102" spans="1:18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13">
        <f t="shared" si="21"/>
        <v>0</v>
      </c>
    </row>
    <row r="103" spans="1:18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R103" si="22">SUM(E93:E102)</f>
        <v>5</v>
      </c>
      <c r="F103" s="13">
        <f t="shared" si="22"/>
        <v>4</v>
      </c>
      <c r="G103" s="13">
        <f t="shared" si="22"/>
        <v>7</v>
      </c>
      <c r="H103" s="13">
        <f t="shared" si="22"/>
        <v>2</v>
      </c>
      <c r="I103" s="13">
        <f t="shared" si="22"/>
        <v>12</v>
      </c>
      <c r="J103" s="13">
        <f t="shared" si="22"/>
        <v>5</v>
      </c>
      <c r="K103" s="13">
        <f t="shared" si="22"/>
        <v>2</v>
      </c>
      <c r="L103" s="13">
        <f t="shared" si="22"/>
        <v>11</v>
      </c>
      <c r="M103" s="13">
        <f t="shared" si="22"/>
        <v>1</v>
      </c>
      <c r="N103" s="13">
        <f t="shared" si="22"/>
        <v>22</v>
      </c>
      <c r="O103" s="13">
        <f t="shared" si="22"/>
        <v>5</v>
      </c>
      <c r="P103" s="13">
        <f t="shared" si="22"/>
        <v>8</v>
      </c>
      <c r="Q103" s="13">
        <f t="shared" si="22"/>
        <v>4</v>
      </c>
      <c r="R103" s="13">
        <f t="shared" si="22"/>
        <v>88</v>
      </c>
    </row>
    <row r="104" spans="1:18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</row>
    <row r="105" spans="1:18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1</v>
      </c>
      <c r="R105" s="13">
        <f t="shared" ref="R105:R114" si="23">SUM(E105:Q105)</f>
        <v>2</v>
      </c>
    </row>
    <row r="106" spans="1:18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0</v>
      </c>
      <c r="G106" s="16">
        <v>0</v>
      </c>
      <c r="H106" s="16">
        <v>1</v>
      </c>
      <c r="I106" s="16">
        <v>1</v>
      </c>
      <c r="J106" s="16">
        <v>2</v>
      </c>
      <c r="K106" s="16">
        <v>0</v>
      </c>
      <c r="L106" s="16">
        <v>0</v>
      </c>
      <c r="M106" s="16">
        <v>0</v>
      </c>
      <c r="N106" s="16">
        <v>0</v>
      </c>
      <c r="O106" s="16">
        <v>0</v>
      </c>
      <c r="P106" s="16">
        <v>0</v>
      </c>
      <c r="Q106" s="16">
        <v>1</v>
      </c>
      <c r="R106" s="13">
        <f t="shared" si="23"/>
        <v>5</v>
      </c>
    </row>
    <row r="107" spans="1:18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13">
        <f t="shared" si="23"/>
        <v>0</v>
      </c>
    </row>
    <row r="108" spans="1:18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13">
        <f t="shared" si="23"/>
        <v>0</v>
      </c>
    </row>
    <row r="109" spans="1:18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13">
        <f t="shared" si="23"/>
        <v>0</v>
      </c>
    </row>
    <row r="110" spans="1:18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13">
        <f t="shared" si="23"/>
        <v>0</v>
      </c>
    </row>
    <row r="111" spans="1:18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13">
        <f t="shared" si="23"/>
        <v>0</v>
      </c>
    </row>
    <row r="112" spans="1:18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13">
        <f t="shared" si="23"/>
        <v>0</v>
      </c>
    </row>
    <row r="113" spans="1:18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13">
        <f t="shared" si="23"/>
        <v>0</v>
      </c>
    </row>
    <row r="114" spans="1:18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13">
        <f t="shared" si="23"/>
        <v>0</v>
      </c>
    </row>
    <row r="115" spans="1:18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R115" si="24">SUM(E105:E114)</f>
        <v>0</v>
      </c>
      <c r="F115" s="13">
        <f t="shared" si="24"/>
        <v>0</v>
      </c>
      <c r="G115" s="13">
        <f t="shared" si="24"/>
        <v>0</v>
      </c>
      <c r="H115" s="13">
        <f t="shared" si="24"/>
        <v>1</v>
      </c>
      <c r="I115" s="13">
        <f t="shared" si="24"/>
        <v>1</v>
      </c>
      <c r="J115" s="13">
        <f t="shared" si="24"/>
        <v>2</v>
      </c>
      <c r="K115" s="13">
        <f t="shared" si="24"/>
        <v>1</v>
      </c>
      <c r="L115" s="13">
        <f t="shared" si="24"/>
        <v>0</v>
      </c>
      <c r="M115" s="13">
        <f t="shared" si="24"/>
        <v>0</v>
      </c>
      <c r="N115" s="13">
        <f t="shared" si="24"/>
        <v>0</v>
      </c>
      <c r="O115" s="13">
        <f t="shared" si="24"/>
        <v>0</v>
      </c>
      <c r="P115" s="13">
        <f t="shared" si="24"/>
        <v>0</v>
      </c>
      <c r="Q115" s="13">
        <f t="shared" si="24"/>
        <v>2</v>
      </c>
      <c r="R115" s="13">
        <f t="shared" si="24"/>
        <v>7</v>
      </c>
    </row>
    <row r="116" spans="1:18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13"/>
    </row>
    <row r="117" spans="1:18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1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0</v>
      </c>
      <c r="O117" s="16">
        <v>0</v>
      </c>
      <c r="P117" s="16">
        <v>1</v>
      </c>
      <c r="Q117" s="16">
        <v>0</v>
      </c>
      <c r="R117" s="13">
        <f t="shared" ref="R117:R126" si="25">SUM(E117:Q117)</f>
        <v>2</v>
      </c>
    </row>
    <row r="118" spans="1:18" ht="12.75" customHeight="1" x14ac:dyDescent="0.4">
      <c r="A118" s="20" t="s">
        <v>38</v>
      </c>
      <c r="B118" s="28"/>
      <c r="C118" s="29" t="s">
        <v>80</v>
      </c>
      <c r="D118" s="30"/>
      <c r="E118" s="16">
        <v>2</v>
      </c>
      <c r="F118" s="16">
        <v>0</v>
      </c>
      <c r="G118" s="16">
        <v>1</v>
      </c>
      <c r="H118" s="16">
        <v>0</v>
      </c>
      <c r="I118" s="16">
        <v>1</v>
      </c>
      <c r="J118" s="16">
        <v>0</v>
      </c>
      <c r="K118" s="16">
        <v>0</v>
      </c>
      <c r="L118" s="16">
        <v>2</v>
      </c>
      <c r="M118" s="16">
        <v>2</v>
      </c>
      <c r="N118" s="16">
        <v>1</v>
      </c>
      <c r="O118" s="16">
        <v>0</v>
      </c>
      <c r="P118" s="16">
        <v>13</v>
      </c>
      <c r="Q118" s="16">
        <v>2</v>
      </c>
      <c r="R118" s="13">
        <f t="shared" si="25"/>
        <v>24</v>
      </c>
    </row>
    <row r="119" spans="1:18" ht="12.75" customHeight="1" x14ac:dyDescent="0.4">
      <c r="A119" s="15"/>
      <c r="B119" s="28"/>
      <c r="C119" s="29" t="s">
        <v>81</v>
      </c>
      <c r="D119" s="30"/>
      <c r="E119" s="16">
        <v>1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0</v>
      </c>
      <c r="Q119" s="16">
        <v>0</v>
      </c>
      <c r="R119" s="13">
        <f t="shared" si="25"/>
        <v>2</v>
      </c>
    </row>
    <row r="120" spans="1:18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1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0</v>
      </c>
      <c r="O120" s="16">
        <v>1</v>
      </c>
      <c r="P120" s="16">
        <v>0</v>
      </c>
      <c r="Q120" s="16">
        <v>0</v>
      </c>
      <c r="R120" s="13">
        <f t="shared" si="25"/>
        <v>2</v>
      </c>
    </row>
    <row r="121" spans="1:18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13">
        <f t="shared" si="25"/>
        <v>0</v>
      </c>
    </row>
    <row r="122" spans="1:18" ht="12.75" customHeight="1" x14ac:dyDescent="0.4">
      <c r="A122" s="52"/>
      <c r="B122" s="28"/>
      <c r="C122" s="29" t="s">
        <v>84</v>
      </c>
      <c r="D122" s="30"/>
      <c r="E122" s="53">
        <v>2</v>
      </c>
      <c r="F122" s="53">
        <v>0</v>
      </c>
      <c r="G122" s="53">
        <v>1</v>
      </c>
      <c r="H122" s="53">
        <v>1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16">
        <v>0</v>
      </c>
      <c r="Q122" s="53">
        <v>1</v>
      </c>
      <c r="R122" s="13">
        <f t="shared" si="25"/>
        <v>5</v>
      </c>
    </row>
    <row r="123" spans="1:18" ht="12.75" customHeight="1" x14ac:dyDescent="0.4">
      <c r="A123" s="52"/>
      <c r="B123" s="28"/>
      <c r="C123" s="29" t="s">
        <v>85</v>
      </c>
      <c r="D123" s="30"/>
      <c r="E123" s="41">
        <v>1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13">
        <f t="shared" si="25"/>
        <v>1</v>
      </c>
    </row>
    <row r="124" spans="1:18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13">
        <f t="shared" si="25"/>
        <v>0</v>
      </c>
    </row>
    <row r="125" spans="1:18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13">
        <f t="shared" si="25"/>
        <v>0</v>
      </c>
    </row>
    <row r="126" spans="1:18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13">
        <f t="shared" si="25"/>
        <v>0</v>
      </c>
    </row>
    <row r="127" spans="1:18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R127" si="26">SUM(E117:E126)</f>
        <v>7</v>
      </c>
      <c r="F127" s="13">
        <f t="shared" si="26"/>
        <v>1</v>
      </c>
      <c r="G127" s="13">
        <f t="shared" si="26"/>
        <v>2</v>
      </c>
      <c r="H127" s="13">
        <f t="shared" si="26"/>
        <v>1</v>
      </c>
      <c r="I127" s="13">
        <f t="shared" si="26"/>
        <v>1</v>
      </c>
      <c r="J127" s="13">
        <f t="shared" si="26"/>
        <v>0</v>
      </c>
      <c r="K127" s="13">
        <f t="shared" si="26"/>
        <v>0</v>
      </c>
      <c r="L127" s="13">
        <f t="shared" si="26"/>
        <v>2</v>
      </c>
      <c r="M127" s="13">
        <f t="shared" si="26"/>
        <v>2</v>
      </c>
      <c r="N127" s="13">
        <f t="shared" si="26"/>
        <v>2</v>
      </c>
      <c r="O127" s="13">
        <f t="shared" si="26"/>
        <v>1</v>
      </c>
      <c r="P127" s="13">
        <f t="shared" si="26"/>
        <v>14</v>
      </c>
      <c r="Q127" s="13">
        <f t="shared" si="26"/>
        <v>3</v>
      </c>
      <c r="R127" s="13">
        <f t="shared" si="26"/>
        <v>36</v>
      </c>
    </row>
    <row r="128" spans="1:18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</row>
    <row r="129" spans="1:18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2</v>
      </c>
      <c r="F129" s="16">
        <v>2</v>
      </c>
      <c r="G129" s="16">
        <v>2</v>
      </c>
      <c r="H129" s="16">
        <v>2</v>
      </c>
      <c r="I129" s="16">
        <v>0</v>
      </c>
      <c r="J129" s="16">
        <v>7</v>
      </c>
      <c r="K129" s="16">
        <v>0</v>
      </c>
      <c r="L129" s="16">
        <v>1</v>
      </c>
      <c r="M129" s="16">
        <v>0</v>
      </c>
      <c r="N129" s="16">
        <v>2</v>
      </c>
      <c r="O129" s="16">
        <v>1</v>
      </c>
      <c r="P129" s="16">
        <v>0</v>
      </c>
      <c r="Q129" s="16">
        <v>0</v>
      </c>
      <c r="R129" s="13">
        <f t="shared" ref="R129:R138" si="27">SUM(E129:Q129)</f>
        <v>19</v>
      </c>
    </row>
    <row r="130" spans="1:18" ht="12.75" customHeight="1" x14ac:dyDescent="0.4">
      <c r="A130" s="20" t="s">
        <v>38</v>
      </c>
      <c r="B130" s="28"/>
      <c r="C130" s="29" t="s">
        <v>88</v>
      </c>
      <c r="D130" s="30"/>
      <c r="E130" s="16">
        <v>7</v>
      </c>
      <c r="F130" s="16">
        <v>2</v>
      </c>
      <c r="G130" s="16">
        <v>3</v>
      </c>
      <c r="H130" s="16">
        <v>3</v>
      </c>
      <c r="I130" s="16">
        <v>1</v>
      </c>
      <c r="J130" s="16">
        <v>8</v>
      </c>
      <c r="K130" s="16">
        <v>3</v>
      </c>
      <c r="L130" s="16">
        <v>4</v>
      </c>
      <c r="M130" s="16">
        <v>2</v>
      </c>
      <c r="N130" s="16">
        <v>2</v>
      </c>
      <c r="O130" s="16">
        <v>1</v>
      </c>
      <c r="P130" s="16">
        <v>0</v>
      </c>
      <c r="Q130" s="16">
        <v>3</v>
      </c>
      <c r="R130" s="13">
        <f t="shared" si="27"/>
        <v>39</v>
      </c>
    </row>
    <row r="131" spans="1:18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0</v>
      </c>
      <c r="G131" s="16">
        <v>6</v>
      </c>
      <c r="H131" s="16">
        <v>14</v>
      </c>
      <c r="I131" s="16">
        <v>1</v>
      </c>
      <c r="J131" s="16">
        <v>6</v>
      </c>
      <c r="K131" s="16">
        <v>0</v>
      </c>
      <c r="L131" s="16">
        <v>1</v>
      </c>
      <c r="M131" s="16">
        <v>0</v>
      </c>
      <c r="N131" s="16">
        <v>0</v>
      </c>
      <c r="O131" s="16">
        <v>0</v>
      </c>
      <c r="P131" s="16">
        <v>1</v>
      </c>
      <c r="Q131" s="16">
        <v>2</v>
      </c>
      <c r="R131" s="13">
        <f t="shared" si="27"/>
        <v>31</v>
      </c>
    </row>
    <row r="132" spans="1:18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0</v>
      </c>
      <c r="G132" s="16">
        <v>0</v>
      </c>
      <c r="H132" s="16">
        <v>1</v>
      </c>
      <c r="I132" s="16">
        <v>0</v>
      </c>
      <c r="J132" s="16">
        <v>0</v>
      </c>
      <c r="K132" s="16">
        <v>2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3</v>
      </c>
      <c r="R132" s="13">
        <f t="shared" si="27"/>
        <v>7</v>
      </c>
    </row>
    <row r="133" spans="1:18" ht="12.75" customHeight="1" x14ac:dyDescent="0.4">
      <c r="A133" s="15"/>
      <c r="B133" s="28"/>
      <c r="C133" s="29" t="s">
        <v>91</v>
      </c>
      <c r="D133" s="30"/>
      <c r="E133" s="16">
        <v>1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1</v>
      </c>
      <c r="L133" s="16">
        <v>0</v>
      </c>
      <c r="M133" s="16">
        <v>1</v>
      </c>
      <c r="N133" s="16">
        <v>0</v>
      </c>
      <c r="O133" s="16">
        <v>0</v>
      </c>
      <c r="P133" s="16">
        <v>1</v>
      </c>
      <c r="Q133" s="16">
        <v>0</v>
      </c>
      <c r="R133" s="13">
        <f t="shared" si="27"/>
        <v>4</v>
      </c>
    </row>
    <row r="134" spans="1:18" ht="12.75" customHeight="1" x14ac:dyDescent="0.4">
      <c r="A134" s="15"/>
      <c r="B134" s="28"/>
      <c r="C134" s="29" t="s">
        <v>92</v>
      </c>
      <c r="D134" s="30"/>
      <c r="E134" s="16">
        <v>1</v>
      </c>
      <c r="F134" s="16">
        <v>0</v>
      </c>
      <c r="G134" s="16">
        <v>1</v>
      </c>
      <c r="H134" s="16">
        <v>0</v>
      </c>
      <c r="I134" s="16">
        <v>1</v>
      </c>
      <c r="J134" s="16">
        <v>1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0</v>
      </c>
      <c r="Q134" s="16">
        <v>0</v>
      </c>
      <c r="R134" s="13">
        <f t="shared" si="27"/>
        <v>4</v>
      </c>
    </row>
    <row r="135" spans="1:18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2</v>
      </c>
      <c r="I135" s="16">
        <v>0</v>
      </c>
      <c r="J135" s="16">
        <v>1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0</v>
      </c>
      <c r="Q135" s="16">
        <v>0</v>
      </c>
      <c r="R135" s="13">
        <f t="shared" si="27"/>
        <v>3</v>
      </c>
    </row>
    <row r="136" spans="1:18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13">
        <f t="shared" si="27"/>
        <v>0</v>
      </c>
    </row>
    <row r="137" spans="1:18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13">
        <f t="shared" si="27"/>
        <v>0</v>
      </c>
    </row>
    <row r="138" spans="1:18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13">
        <f t="shared" si="27"/>
        <v>0</v>
      </c>
    </row>
    <row r="139" spans="1:18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R139" si="28">SUM(E129:E138)</f>
        <v>11</v>
      </c>
      <c r="F139" s="13">
        <f t="shared" si="28"/>
        <v>4</v>
      </c>
      <c r="G139" s="13">
        <f t="shared" si="28"/>
        <v>12</v>
      </c>
      <c r="H139" s="13">
        <f t="shared" si="28"/>
        <v>22</v>
      </c>
      <c r="I139" s="13">
        <f t="shared" si="28"/>
        <v>3</v>
      </c>
      <c r="J139" s="13">
        <f t="shared" si="28"/>
        <v>23</v>
      </c>
      <c r="K139" s="13">
        <f t="shared" si="28"/>
        <v>6</v>
      </c>
      <c r="L139" s="13">
        <f t="shared" si="28"/>
        <v>6</v>
      </c>
      <c r="M139" s="13">
        <f t="shared" si="28"/>
        <v>3</v>
      </c>
      <c r="N139" s="13">
        <f t="shared" si="28"/>
        <v>4</v>
      </c>
      <c r="O139" s="13">
        <f t="shared" si="28"/>
        <v>2</v>
      </c>
      <c r="P139" s="13">
        <f t="shared" si="28"/>
        <v>3</v>
      </c>
      <c r="Q139" s="13">
        <f t="shared" si="28"/>
        <v>8</v>
      </c>
      <c r="R139" s="13">
        <f t="shared" si="28"/>
        <v>107</v>
      </c>
    </row>
    <row r="140" spans="1:18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</row>
    <row r="141" spans="1:18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3">
        <f t="shared" ref="R141:R150" si="29">SUM(E141:Q141)</f>
        <v>0</v>
      </c>
    </row>
    <row r="142" spans="1:18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1</v>
      </c>
      <c r="N142" s="16">
        <v>0</v>
      </c>
      <c r="O142" s="16">
        <v>0</v>
      </c>
      <c r="P142" s="16">
        <v>0</v>
      </c>
      <c r="Q142" s="16">
        <v>0</v>
      </c>
      <c r="R142" s="13">
        <f t="shared" si="29"/>
        <v>1</v>
      </c>
    </row>
    <row r="143" spans="1:18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13">
        <f t="shared" si="29"/>
        <v>0</v>
      </c>
    </row>
    <row r="144" spans="1:18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13">
        <f t="shared" si="29"/>
        <v>0</v>
      </c>
    </row>
    <row r="145" spans="1:18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13">
        <f t="shared" si="29"/>
        <v>0</v>
      </c>
    </row>
    <row r="146" spans="1:18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13">
        <f t="shared" si="29"/>
        <v>0</v>
      </c>
    </row>
    <row r="147" spans="1:18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13">
        <f t="shared" si="29"/>
        <v>0</v>
      </c>
    </row>
    <row r="148" spans="1:18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13">
        <f t="shared" si="29"/>
        <v>0</v>
      </c>
    </row>
    <row r="149" spans="1:18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13">
        <f t="shared" si="29"/>
        <v>0</v>
      </c>
    </row>
    <row r="150" spans="1:18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13">
        <f t="shared" si="29"/>
        <v>0</v>
      </c>
    </row>
    <row r="151" spans="1:18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R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0</v>
      </c>
      <c r="M151" s="13">
        <f t="shared" si="30"/>
        <v>1</v>
      </c>
      <c r="N151" s="13">
        <f t="shared" si="30"/>
        <v>0</v>
      </c>
      <c r="O151" s="13">
        <f t="shared" si="30"/>
        <v>0</v>
      </c>
      <c r="P151" s="13">
        <f t="shared" si="30"/>
        <v>0</v>
      </c>
      <c r="Q151" s="13">
        <f t="shared" si="30"/>
        <v>0</v>
      </c>
      <c r="R151" s="13">
        <f t="shared" si="30"/>
        <v>1</v>
      </c>
    </row>
    <row r="152" spans="1:18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13"/>
    </row>
    <row r="153" spans="1:18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1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3">
        <f t="shared" ref="R153:R162" si="31">SUM(E153:Q153)</f>
        <v>1</v>
      </c>
    </row>
    <row r="154" spans="1:18" ht="12.75" customHeight="1" x14ac:dyDescent="0.4">
      <c r="A154" s="42" t="s">
        <v>38</v>
      </c>
      <c r="B154" s="28"/>
      <c r="C154" s="29" t="s">
        <v>99</v>
      </c>
      <c r="D154" s="30"/>
      <c r="E154" s="55">
        <v>1</v>
      </c>
      <c r="F154" s="16">
        <v>0</v>
      </c>
      <c r="G154" s="16">
        <v>0</v>
      </c>
      <c r="H154" s="16">
        <v>3</v>
      </c>
      <c r="I154" s="16">
        <v>0</v>
      </c>
      <c r="J154" s="16">
        <v>0</v>
      </c>
      <c r="K154" s="16">
        <v>0</v>
      </c>
      <c r="L154" s="16">
        <v>0</v>
      </c>
      <c r="M154" s="16">
        <v>5</v>
      </c>
      <c r="N154" s="16">
        <v>0</v>
      </c>
      <c r="O154" s="16">
        <v>0</v>
      </c>
      <c r="P154" s="16">
        <v>3</v>
      </c>
      <c r="Q154" s="16">
        <v>3</v>
      </c>
      <c r="R154" s="13">
        <f t="shared" si="31"/>
        <v>15</v>
      </c>
    </row>
    <row r="155" spans="1:18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1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3">
        <f t="shared" si="31"/>
        <v>1</v>
      </c>
    </row>
    <row r="156" spans="1:18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1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1</v>
      </c>
      <c r="R156" s="13">
        <f t="shared" si="31"/>
        <v>2</v>
      </c>
    </row>
    <row r="157" spans="1:18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4</v>
      </c>
      <c r="J157" s="16">
        <v>1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3">
        <f t="shared" si="31"/>
        <v>5</v>
      </c>
    </row>
    <row r="158" spans="1:18" ht="12.75" customHeight="1" x14ac:dyDescent="0.4">
      <c r="A158" s="52"/>
      <c r="B158" s="28"/>
      <c r="C158" s="29" t="s">
        <v>103</v>
      </c>
      <c r="D158" s="30"/>
      <c r="E158" s="56">
        <v>1</v>
      </c>
      <c r="F158" s="53">
        <v>0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3</v>
      </c>
      <c r="M158" s="53">
        <v>0</v>
      </c>
      <c r="N158" s="53">
        <v>0</v>
      </c>
      <c r="O158" s="53">
        <v>0</v>
      </c>
      <c r="P158" s="16">
        <v>0</v>
      </c>
      <c r="Q158" s="53">
        <v>0</v>
      </c>
      <c r="R158" s="13">
        <f t="shared" si="31"/>
        <v>4</v>
      </c>
    </row>
    <row r="159" spans="1:18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13">
        <f t="shared" si="31"/>
        <v>0</v>
      </c>
    </row>
    <row r="160" spans="1:18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13">
        <f t="shared" si="31"/>
        <v>0</v>
      </c>
    </row>
    <row r="161" spans="1:18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13">
        <f t="shared" si="31"/>
        <v>0</v>
      </c>
    </row>
    <row r="162" spans="1:18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13">
        <f t="shared" si="31"/>
        <v>0</v>
      </c>
    </row>
    <row r="163" spans="1:18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R163" si="32">SUM(E153:E162)</f>
        <v>2</v>
      </c>
      <c r="F163" s="13">
        <f t="shared" si="32"/>
        <v>1</v>
      </c>
      <c r="G163" s="13">
        <f t="shared" si="32"/>
        <v>0</v>
      </c>
      <c r="H163" s="13">
        <f t="shared" si="32"/>
        <v>3</v>
      </c>
      <c r="I163" s="13">
        <f t="shared" si="32"/>
        <v>4</v>
      </c>
      <c r="J163" s="13">
        <f t="shared" si="32"/>
        <v>2</v>
      </c>
      <c r="K163" s="13">
        <f t="shared" si="32"/>
        <v>0</v>
      </c>
      <c r="L163" s="13">
        <f t="shared" si="32"/>
        <v>4</v>
      </c>
      <c r="M163" s="13">
        <f t="shared" si="32"/>
        <v>5</v>
      </c>
      <c r="N163" s="13">
        <f t="shared" si="32"/>
        <v>0</v>
      </c>
      <c r="O163" s="13">
        <f t="shared" si="32"/>
        <v>0</v>
      </c>
      <c r="P163" s="13">
        <f t="shared" si="32"/>
        <v>3</v>
      </c>
      <c r="Q163" s="13">
        <f t="shared" si="32"/>
        <v>4</v>
      </c>
      <c r="R163" s="13">
        <f t="shared" si="32"/>
        <v>28</v>
      </c>
    </row>
    <row r="164" spans="1:18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</row>
    <row r="165" spans="1:18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0</v>
      </c>
      <c r="G165" s="16">
        <v>1</v>
      </c>
      <c r="H165" s="16">
        <v>1</v>
      </c>
      <c r="I165" s="16">
        <v>0</v>
      </c>
      <c r="J165" s="16">
        <v>2</v>
      </c>
      <c r="K165" s="16">
        <v>0</v>
      </c>
      <c r="L165" s="16">
        <v>1</v>
      </c>
      <c r="M165" s="16">
        <v>0</v>
      </c>
      <c r="N165" s="16">
        <v>1</v>
      </c>
      <c r="O165" s="16">
        <v>0</v>
      </c>
      <c r="P165" s="16">
        <v>0</v>
      </c>
      <c r="Q165" s="16">
        <v>0</v>
      </c>
      <c r="R165" s="13">
        <f t="shared" ref="R165:R174" si="33">SUM(E165:Q165)</f>
        <v>6</v>
      </c>
    </row>
    <row r="166" spans="1:18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13">
        <f t="shared" si="33"/>
        <v>0</v>
      </c>
    </row>
    <row r="167" spans="1:18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13">
        <f t="shared" si="33"/>
        <v>0</v>
      </c>
    </row>
    <row r="168" spans="1:18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13">
        <f t="shared" si="33"/>
        <v>0</v>
      </c>
    </row>
    <row r="169" spans="1:18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13">
        <f t="shared" si="33"/>
        <v>0</v>
      </c>
    </row>
    <row r="170" spans="1:18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13">
        <f t="shared" si="33"/>
        <v>0</v>
      </c>
    </row>
    <row r="171" spans="1:18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13">
        <f t="shared" si="33"/>
        <v>0</v>
      </c>
    </row>
    <row r="172" spans="1:18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13">
        <f t="shared" si="33"/>
        <v>0</v>
      </c>
    </row>
    <row r="173" spans="1:18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13">
        <f t="shared" si="33"/>
        <v>0</v>
      </c>
    </row>
    <row r="174" spans="1:18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13">
        <f t="shared" si="33"/>
        <v>0</v>
      </c>
    </row>
    <row r="175" spans="1:18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R175" si="34">SUM(E165:E174)</f>
        <v>0</v>
      </c>
      <c r="F175" s="13">
        <f t="shared" si="34"/>
        <v>0</v>
      </c>
      <c r="G175" s="13">
        <f t="shared" si="34"/>
        <v>1</v>
      </c>
      <c r="H175" s="13">
        <f t="shared" si="34"/>
        <v>1</v>
      </c>
      <c r="I175" s="13">
        <f t="shared" si="34"/>
        <v>0</v>
      </c>
      <c r="J175" s="13">
        <f t="shared" si="34"/>
        <v>2</v>
      </c>
      <c r="K175" s="13">
        <f t="shared" si="34"/>
        <v>0</v>
      </c>
      <c r="L175" s="13">
        <f t="shared" si="34"/>
        <v>1</v>
      </c>
      <c r="M175" s="13">
        <f t="shared" si="34"/>
        <v>0</v>
      </c>
      <c r="N175" s="13">
        <f t="shared" si="34"/>
        <v>1</v>
      </c>
      <c r="O175" s="13">
        <f t="shared" si="34"/>
        <v>0</v>
      </c>
      <c r="P175" s="13">
        <f t="shared" si="34"/>
        <v>0</v>
      </c>
      <c r="Q175" s="13">
        <f t="shared" si="34"/>
        <v>0</v>
      </c>
      <c r="R175" s="13">
        <f t="shared" si="34"/>
        <v>6</v>
      </c>
    </row>
    <row r="176" spans="1:18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</row>
    <row r="177" spans="1:18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2</v>
      </c>
      <c r="F177" s="16">
        <v>1</v>
      </c>
      <c r="G177" s="16">
        <v>2</v>
      </c>
      <c r="H177" s="16">
        <v>0</v>
      </c>
      <c r="I177" s="16">
        <v>0</v>
      </c>
      <c r="J177" s="16">
        <v>2</v>
      </c>
      <c r="K177" s="16">
        <v>1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1</v>
      </c>
      <c r="R177" s="13">
        <f t="shared" ref="R177:R186" si="35">SUM(E177:Q177)</f>
        <v>9</v>
      </c>
    </row>
    <row r="178" spans="1:18" ht="12.75" customHeight="1" x14ac:dyDescent="0.4">
      <c r="A178" s="20" t="s">
        <v>38</v>
      </c>
      <c r="B178" s="28"/>
      <c r="C178" s="29" t="s">
        <v>109</v>
      </c>
      <c r="D178" s="30"/>
      <c r="E178" s="16">
        <v>0</v>
      </c>
      <c r="F178" s="16">
        <v>1</v>
      </c>
      <c r="G178" s="16">
        <v>0</v>
      </c>
      <c r="H178" s="16">
        <v>0</v>
      </c>
      <c r="I178" s="16">
        <v>0</v>
      </c>
      <c r="J178" s="16">
        <v>1</v>
      </c>
      <c r="K178" s="16">
        <v>2</v>
      </c>
      <c r="L178" s="16">
        <v>0</v>
      </c>
      <c r="M178" s="16">
        <v>0</v>
      </c>
      <c r="N178" s="16">
        <v>0</v>
      </c>
      <c r="O178" s="16">
        <v>2</v>
      </c>
      <c r="P178" s="16">
        <v>0</v>
      </c>
      <c r="Q178" s="16">
        <v>0</v>
      </c>
      <c r="R178" s="13">
        <f t="shared" si="35"/>
        <v>6</v>
      </c>
    </row>
    <row r="179" spans="1:18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0</v>
      </c>
      <c r="G179" s="16">
        <v>0</v>
      </c>
      <c r="H179" s="16">
        <v>1</v>
      </c>
      <c r="I179" s="16">
        <v>0</v>
      </c>
      <c r="J179" s="16">
        <v>0</v>
      </c>
      <c r="K179" s="16">
        <v>1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3">
        <f t="shared" si="35"/>
        <v>2</v>
      </c>
    </row>
    <row r="180" spans="1:18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3">
        <f t="shared" si="35"/>
        <v>0</v>
      </c>
    </row>
    <row r="181" spans="1:18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2</v>
      </c>
      <c r="H181" s="16">
        <v>1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3">
        <f t="shared" si="35"/>
        <v>3</v>
      </c>
    </row>
    <row r="182" spans="1:18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3">
        <f t="shared" si="35"/>
        <v>0</v>
      </c>
    </row>
    <row r="183" spans="1:18" ht="12.75" customHeight="1" x14ac:dyDescent="0.4">
      <c r="A183" s="15"/>
      <c r="B183" s="28"/>
      <c r="C183" s="29" t="s">
        <v>114</v>
      </c>
      <c r="D183" s="30"/>
      <c r="E183" s="16">
        <v>1</v>
      </c>
      <c r="F183" s="16">
        <v>0</v>
      </c>
      <c r="G183" s="16">
        <v>1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3">
        <f t="shared" si="35"/>
        <v>2</v>
      </c>
    </row>
    <row r="184" spans="1:18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13">
        <f t="shared" si="35"/>
        <v>0</v>
      </c>
    </row>
    <row r="185" spans="1:18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13">
        <f t="shared" si="35"/>
        <v>0</v>
      </c>
    </row>
    <row r="186" spans="1:18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13">
        <f t="shared" si="35"/>
        <v>0</v>
      </c>
    </row>
    <row r="187" spans="1:18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R187" si="36">SUM(E177:E186)</f>
        <v>3</v>
      </c>
      <c r="F187" s="13">
        <f t="shared" si="36"/>
        <v>2</v>
      </c>
      <c r="G187" s="13">
        <f t="shared" si="36"/>
        <v>5</v>
      </c>
      <c r="H187" s="13">
        <f t="shared" si="36"/>
        <v>2</v>
      </c>
      <c r="I187" s="13">
        <f t="shared" si="36"/>
        <v>0</v>
      </c>
      <c r="J187" s="13">
        <f t="shared" si="36"/>
        <v>3</v>
      </c>
      <c r="K187" s="13">
        <f t="shared" si="36"/>
        <v>4</v>
      </c>
      <c r="L187" s="13">
        <f t="shared" si="36"/>
        <v>0</v>
      </c>
      <c r="M187" s="13">
        <f t="shared" si="36"/>
        <v>0</v>
      </c>
      <c r="N187" s="13">
        <f t="shared" si="36"/>
        <v>0</v>
      </c>
      <c r="O187" s="13">
        <f t="shared" si="36"/>
        <v>2</v>
      </c>
      <c r="P187" s="13">
        <f t="shared" si="36"/>
        <v>0</v>
      </c>
      <c r="Q187" s="13">
        <f t="shared" si="36"/>
        <v>1</v>
      </c>
      <c r="R187" s="13">
        <f t="shared" si="36"/>
        <v>22</v>
      </c>
    </row>
    <row r="188" spans="1:18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R188" s="13"/>
    </row>
    <row r="189" spans="1:18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0</v>
      </c>
      <c r="G189" s="16">
        <v>0</v>
      </c>
      <c r="H189" s="16">
        <v>2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3">
        <f t="shared" ref="R189:R198" si="37">SUM(E189:Q189)</f>
        <v>2</v>
      </c>
    </row>
    <row r="190" spans="1:18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1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3">
        <f t="shared" si="37"/>
        <v>1</v>
      </c>
    </row>
    <row r="191" spans="1:18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3">
        <f t="shared" si="37"/>
        <v>0</v>
      </c>
    </row>
    <row r="192" spans="1:18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0</v>
      </c>
      <c r="I192" s="16">
        <v>1</v>
      </c>
      <c r="J192" s="16">
        <v>0</v>
      </c>
      <c r="K192" s="16">
        <v>0</v>
      </c>
      <c r="L192" s="16">
        <v>0</v>
      </c>
      <c r="M192" s="16">
        <v>0</v>
      </c>
      <c r="N192" s="16">
        <v>1</v>
      </c>
      <c r="O192" s="16">
        <v>0</v>
      </c>
      <c r="P192" s="16">
        <v>0</v>
      </c>
      <c r="Q192" s="16">
        <v>0</v>
      </c>
      <c r="R192" s="13">
        <f t="shared" si="37"/>
        <v>2</v>
      </c>
    </row>
    <row r="193" spans="1:18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3">
        <f t="shared" si="37"/>
        <v>0</v>
      </c>
    </row>
    <row r="194" spans="1:18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3">
        <f t="shared" si="37"/>
        <v>0</v>
      </c>
    </row>
    <row r="195" spans="1:18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0</v>
      </c>
      <c r="G195" s="16">
        <v>0</v>
      </c>
      <c r="H195" s="16">
        <v>3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1</v>
      </c>
      <c r="Q195" s="16">
        <v>0</v>
      </c>
      <c r="R195" s="13">
        <f t="shared" si="37"/>
        <v>4</v>
      </c>
    </row>
    <row r="196" spans="1:18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13">
        <f t="shared" si="37"/>
        <v>0</v>
      </c>
    </row>
    <row r="197" spans="1:18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13">
        <f t="shared" si="37"/>
        <v>0</v>
      </c>
    </row>
    <row r="198" spans="1:18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13">
        <f t="shared" si="37"/>
        <v>0</v>
      </c>
    </row>
    <row r="199" spans="1:18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R199" si="38">SUM(E189:E198)</f>
        <v>0</v>
      </c>
      <c r="F199" s="13">
        <f t="shared" si="38"/>
        <v>0</v>
      </c>
      <c r="G199" s="13">
        <f t="shared" si="38"/>
        <v>1</v>
      </c>
      <c r="H199" s="13">
        <f t="shared" si="38"/>
        <v>5</v>
      </c>
      <c r="I199" s="13">
        <f t="shared" si="38"/>
        <v>1</v>
      </c>
      <c r="J199" s="13">
        <f t="shared" si="38"/>
        <v>0</v>
      </c>
      <c r="K199" s="13">
        <f t="shared" si="38"/>
        <v>0</v>
      </c>
      <c r="L199" s="13">
        <f t="shared" si="38"/>
        <v>0</v>
      </c>
      <c r="M199" s="13">
        <f t="shared" si="38"/>
        <v>0</v>
      </c>
      <c r="N199" s="13">
        <f t="shared" si="38"/>
        <v>1</v>
      </c>
      <c r="O199" s="13">
        <f t="shared" si="38"/>
        <v>0</v>
      </c>
      <c r="P199" s="13">
        <f t="shared" si="38"/>
        <v>1</v>
      </c>
      <c r="Q199" s="13">
        <f t="shared" si="38"/>
        <v>0</v>
      </c>
      <c r="R199" s="13">
        <f t="shared" si="38"/>
        <v>9</v>
      </c>
    </row>
    <row r="200" spans="1:18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</row>
    <row r="201" spans="1:18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4</v>
      </c>
      <c r="F201" s="16">
        <v>2</v>
      </c>
      <c r="G201" s="16">
        <v>1</v>
      </c>
      <c r="H201" s="16">
        <v>4</v>
      </c>
      <c r="I201" s="16">
        <v>2</v>
      </c>
      <c r="J201" s="16">
        <v>2</v>
      </c>
      <c r="K201" s="16">
        <v>3</v>
      </c>
      <c r="L201" s="16">
        <v>2</v>
      </c>
      <c r="M201" s="16">
        <v>9</v>
      </c>
      <c r="N201" s="16">
        <v>1</v>
      </c>
      <c r="O201" s="16">
        <v>1</v>
      </c>
      <c r="P201" s="16">
        <v>1</v>
      </c>
      <c r="Q201" s="16">
        <v>2</v>
      </c>
      <c r="R201" s="13">
        <f t="shared" ref="R201:R210" si="39">SUM(E201:Q201)</f>
        <v>34</v>
      </c>
    </row>
    <row r="202" spans="1:18" ht="12.75" customHeight="1" x14ac:dyDescent="0.4">
      <c r="A202" s="20" t="s">
        <v>38</v>
      </c>
      <c r="B202" s="28"/>
      <c r="C202" s="29" t="s">
        <v>125</v>
      </c>
      <c r="D202" s="30"/>
      <c r="E202" s="16">
        <v>33</v>
      </c>
      <c r="F202" s="16">
        <v>2</v>
      </c>
      <c r="G202" s="16">
        <v>11</v>
      </c>
      <c r="H202" s="16">
        <v>8</v>
      </c>
      <c r="I202" s="16">
        <v>14</v>
      </c>
      <c r="J202" s="16">
        <v>4</v>
      </c>
      <c r="K202" s="16">
        <v>8</v>
      </c>
      <c r="L202" s="16">
        <v>17</v>
      </c>
      <c r="M202" s="16">
        <v>18</v>
      </c>
      <c r="N202" s="16">
        <v>1</v>
      </c>
      <c r="O202" s="16">
        <v>1</v>
      </c>
      <c r="P202" s="16">
        <v>1</v>
      </c>
      <c r="Q202" s="16">
        <v>2</v>
      </c>
      <c r="R202" s="13">
        <f t="shared" si="39"/>
        <v>120</v>
      </c>
    </row>
    <row r="203" spans="1:18" ht="12.75" customHeight="1" x14ac:dyDescent="0.4">
      <c r="A203" s="15"/>
      <c r="B203" s="28"/>
      <c r="C203" s="29" t="s">
        <v>126</v>
      </c>
      <c r="D203" s="30"/>
      <c r="E203" s="16">
        <v>1</v>
      </c>
      <c r="F203" s="16">
        <v>0</v>
      </c>
      <c r="G203" s="16">
        <v>3</v>
      </c>
      <c r="H203" s="16">
        <v>4</v>
      </c>
      <c r="I203" s="16">
        <v>1</v>
      </c>
      <c r="J203" s="16">
        <v>0</v>
      </c>
      <c r="K203" s="16">
        <v>0</v>
      </c>
      <c r="L203" s="16">
        <v>0</v>
      </c>
      <c r="M203" s="16">
        <v>2</v>
      </c>
      <c r="N203" s="16">
        <v>5</v>
      </c>
      <c r="O203" s="16">
        <v>10</v>
      </c>
      <c r="P203" s="16">
        <v>1</v>
      </c>
      <c r="Q203" s="16">
        <v>0</v>
      </c>
      <c r="R203" s="13">
        <f t="shared" si="39"/>
        <v>27</v>
      </c>
    </row>
    <row r="204" spans="1:18" ht="12.75" customHeight="1" x14ac:dyDescent="0.4">
      <c r="A204" s="15"/>
      <c r="B204" s="28"/>
      <c r="C204" s="29" t="s">
        <v>127</v>
      </c>
      <c r="D204" s="30"/>
      <c r="E204" s="16">
        <v>28</v>
      </c>
      <c r="F204" s="16">
        <v>6</v>
      </c>
      <c r="G204" s="16">
        <v>13</v>
      </c>
      <c r="H204" s="16">
        <v>12</v>
      </c>
      <c r="I204" s="16">
        <v>30</v>
      </c>
      <c r="J204" s="16">
        <v>19</v>
      </c>
      <c r="K204" s="16">
        <v>23</v>
      </c>
      <c r="L204" s="16">
        <v>7</v>
      </c>
      <c r="M204" s="16">
        <v>82</v>
      </c>
      <c r="N204" s="16">
        <v>29</v>
      </c>
      <c r="O204" s="16">
        <v>60</v>
      </c>
      <c r="P204" s="16">
        <v>16</v>
      </c>
      <c r="Q204" s="16">
        <v>5</v>
      </c>
      <c r="R204" s="13">
        <f t="shared" si="39"/>
        <v>330</v>
      </c>
    </row>
    <row r="205" spans="1:18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>
        <v>0</v>
      </c>
      <c r="K205" s="16">
        <v>0</v>
      </c>
      <c r="L205" s="16">
        <v>0</v>
      </c>
      <c r="M205" s="16">
        <v>0</v>
      </c>
      <c r="N205" s="16">
        <v>0</v>
      </c>
      <c r="O205" s="16">
        <v>0</v>
      </c>
      <c r="P205" s="16">
        <v>0</v>
      </c>
      <c r="Q205" s="16">
        <v>0</v>
      </c>
      <c r="R205" s="13">
        <f t="shared" si="39"/>
        <v>0</v>
      </c>
    </row>
    <row r="206" spans="1:18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0</v>
      </c>
      <c r="M206" s="16">
        <v>0</v>
      </c>
      <c r="N206" s="16">
        <v>0</v>
      </c>
      <c r="O206" s="16">
        <v>0</v>
      </c>
      <c r="P206" s="16">
        <v>0</v>
      </c>
      <c r="Q206" s="16">
        <v>0</v>
      </c>
      <c r="R206" s="13">
        <f t="shared" si="39"/>
        <v>0</v>
      </c>
    </row>
    <row r="207" spans="1:18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0</v>
      </c>
      <c r="G207" s="16">
        <v>2</v>
      </c>
      <c r="H207" s="16">
        <v>0</v>
      </c>
      <c r="I207" s="16">
        <v>0</v>
      </c>
      <c r="J207" s="16">
        <v>0</v>
      </c>
      <c r="K207" s="16">
        <v>0</v>
      </c>
      <c r="L207" s="16">
        <v>0</v>
      </c>
      <c r="M207" s="16">
        <v>0</v>
      </c>
      <c r="N207" s="16">
        <v>0</v>
      </c>
      <c r="O207" s="16">
        <v>0</v>
      </c>
      <c r="P207" s="16">
        <v>1</v>
      </c>
      <c r="Q207" s="16">
        <v>0</v>
      </c>
      <c r="R207" s="13">
        <f t="shared" si="39"/>
        <v>3</v>
      </c>
    </row>
    <row r="208" spans="1:18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13">
        <f t="shared" si="39"/>
        <v>0</v>
      </c>
    </row>
    <row r="209" spans="1:18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13">
        <f t="shared" si="39"/>
        <v>0</v>
      </c>
    </row>
    <row r="210" spans="1:18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13">
        <f t="shared" si="39"/>
        <v>0</v>
      </c>
    </row>
    <row r="211" spans="1:18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R211" si="40">SUM(E201:E210)</f>
        <v>66</v>
      </c>
      <c r="F211" s="13">
        <f t="shared" si="40"/>
        <v>10</v>
      </c>
      <c r="G211" s="13">
        <f t="shared" si="40"/>
        <v>30</v>
      </c>
      <c r="H211" s="13">
        <f t="shared" si="40"/>
        <v>28</v>
      </c>
      <c r="I211" s="13">
        <f t="shared" si="40"/>
        <v>47</v>
      </c>
      <c r="J211" s="13">
        <f t="shared" si="40"/>
        <v>25</v>
      </c>
      <c r="K211" s="13">
        <f t="shared" si="40"/>
        <v>34</v>
      </c>
      <c r="L211" s="13">
        <f t="shared" si="40"/>
        <v>26</v>
      </c>
      <c r="M211" s="13">
        <f t="shared" si="40"/>
        <v>111</v>
      </c>
      <c r="N211" s="13">
        <f t="shared" si="40"/>
        <v>36</v>
      </c>
      <c r="O211" s="13">
        <f t="shared" si="40"/>
        <v>72</v>
      </c>
      <c r="P211" s="13">
        <f t="shared" si="40"/>
        <v>20</v>
      </c>
      <c r="Q211" s="13">
        <f t="shared" si="40"/>
        <v>9</v>
      </c>
      <c r="R211" s="13">
        <f t="shared" si="40"/>
        <v>514</v>
      </c>
    </row>
    <row r="212" spans="1:18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</row>
    <row r="213" spans="1:18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2</v>
      </c>
      <c r="F213" s="16">
        <v>0</v>
      </c>
      <c r="G213" s="16">
        <v>0</v>
      </c>
      <c r="H213" s="16">
        <v>0</v>
      </c>
      <c r="I213" s="16">
        <v>0</v>
      </c>
      <c r="J213" s="16">
        <v>1</v>
      </c>
      <c r="K213" s="16">
        <v>1</v>
      </c>
      <c r="L213" s="16">
        <v>1</v>
      </c>
      <c r="M213" s="16">
        <v>6</v>
      </c>
      <c r="N213" s="16">
        <v>4</v>
      </c>
      <c r="O213" s="16">
        <v>0</v>
      </c>
      <c r="P213" s="16">
        <v>0</v>
      </c>
      <c r="Q213" s="16">
        <v>2</v>
      </c>
      <c r="R213" s="13">
        <f t="shared" ref="R213:R222" si="41">SUM(E213:Q213)</f>
        <v>17</v>
      </c>
    </row>
    <row r="214" spans="1:18" ht="12.75" customHeight="1" x14ac:dyDescent="0.4">
      <c r="A214" s="20" t="s">
        <v>38</v>
      </c>
      <c r="B214" s="27"/>
      <c r="C214" s="29" t="s">
        <v>133</v>
      </c>
      <c r="D214" s="40"/>
      <c r="E214" s="16">
        <v>0</v>
      </c>
      <c r="F214" s="16">
        <v>0</v>
      </c>
      <c r="G214" s="16">
        <v>0</v>
      </c>
      <c r="H214" s="16">
        <v>0</v>
      </c>
      <c r="I214" s="16">
        <v>2</v>
      </c>
      <c r="J214" s="16">
        <v>1</v>
      </c>
      <c r="K214" s="16">
        <v>0</v>
      </c>
      <c r="L214" s="16">
        <v>0</v>
      </c>
      <c r="M214" s="16">
        <v>1</v>
      </c>
      <c r="N214" s="16">
        <v>1</v>
      </c>
      <c r="O214" s="16">
        <v>3</v>
      </c>
      <c r="P214" s="16">
        <v>2</v>
      </c>
      <c r="Q214" s="16">
        <v>0</v>
      </c>
      <c r="R214" s="13">
        <f t="shared" si="41"/>
        <v>10</v>
      </c>
    </row>
    <row r="215" spans="1:18" ht="12.75" customHeight="1" x14ac:dyDescent="0.4">
      <c r="A215" s="15"/>
      <c r="B215" s="27"/>
      <c r="C215" s="29" t="s">
        <v>134</v>
      </c>
      <c r="D215" s="40"/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>
        <v>0</v>
      </c>
      <c r="K215" s="16">
        <v>0</v>
      </c>
      <c r="L215" s="16">
        <v>0</v>
      </c>
      <c r="M215" s="16">
        <v>0</v>
      </c>
      <c r="N215" s="16">
        <v>0</v>
      </c>
      <c r="O215" s="16">
        <v>0</v>
      </c>
      <c r="P215" s="16">
        <v>3</v>
      </c>
      <c r="Q215" s="16">
        <v>0</v>
      </c>
      <c r="R215" s="13">
        <f t="shared" si="41"/>
        <v>3</v>
      </c>
    </row>
    <row r="216" spans="1:18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0</v>
      </c>
      <c r="G216" s="16">
        <v>1</v>
      </c>
      <c r="H216" s="16">
        <v>1</v>
      </c>
      <c r="I216" s="16">
        <v>0</v>
      </c>
      <c r="J216" s="16">
        <v>0</v>
      </c>
      <c r="K216" s="16">
        <v>0</v>
      </c>
      <c r="L216" s="16">
        <v>0</v>
      </c>
      <c r="M216" s="16">
        <v>0</v>
      </c>
      <c r="N216" s="16">
        <v>0</v>
      </c>
      <c r="O216" s="16">
        <v>0</v>
      </c>
      <c r="P216" s="16">
        <v>0</v>
      </c>
      <c r="Q216" s="16">
        <v>0</v>
      </c>
      <c r="R216" s="13">
        <f t="shared" si="41"/>
        <v>2</v>
      </c>
    </row>
    <row r="217" spans="1:18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1</v>
      </c>
      <c r="H217" s="16">
        <v>0</v>
      </c>
      <c r="I217" s="16">
        <v>0</v>
      </c>
      <c r="J217" s="16">
        <v>0</v>
      </c>
      <c r="K217" s="16">
        <v>0</v>
      </c>
      <c r="L217" s="16">
        <v>0</v>
      </c>
      <c r="M217" s="16">
        <v>0</v>
      </c>
      <c r="N217" s="16">
        <v>1</v>
      </c>
      <c r="O217" s="16">
        <v>0</v>
      </c>
      <c r="P217" s="16">
        <v>0</v>
      </c>
      <c r="Q217" s="16">
        <v>0</v>
      </c>
      <c r="R217" s="13">
        <f t="shared" si="41"/>
        <v>2</v>
      </c>
    </row>
    <row r="218" spans="1:18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0</v>
      </c>
      <c r="G218" s="16">
        <v>0</v>
      </c>
      <c r="H218" s="16">
        <v>0</v>
      </c>
      <c r="I218" s="16">
        <v>0</v>
      </c>
      <c r="J218" s="16">
        <v>0</v>
      </c>
      <c r="K218" s="16">
        <v>0</v>
      </c>
      <c r="L218" s="16">
        <v>0</v>
      </c>
      <c r="M218" s="16">
        <v>1</v>
      </c>
      <c r="N218" s="16">
        <v>1</v>
      </c>
      <c r="O218" s="16">
        <v>1</v>
      </c>
      <c r="P218" s="16">
        <v>0</v>
      </c>
      <c r="Q218" s="16">
        <v>0</v>
      </c>
      <c r="R218" s="13">
        <f t="shared" si="41"/>
        <v>3</v>
      </c>
    </row>
    <row r="219" spans="1:18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13">
        <f t="shared" si="41"/>
        <v>0</v>
      </c>
    </row>
    <row r="220" spans="1:18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13">
        <f t="shared" si="41"/>
        <v>0</v>
      </c>
    </row>
    <row r="221" spans="1:18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13">
        <f t="shared" si="41"/>
        <v>0</v>
      </c>
    </row>
    <row r="222" spans="1:18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13">
        <f t="shared" si="41"/>
        <v>0</v>
      </c>
    </row>
    <row r="223" spans="1:18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R223" si="42">SUM(E213:E222)</f>
        <v>2</v>
      </c>
      <c r="F223" s="13">
        <f t="shared" si="42"/>
        <v>0</v>
      </c>
      <c r="G223" s="13">
        <f t="shared" si="42"/>
        <v>2</v>
      </c>
      <c r="H223" s="13">
        <f t="shared" si="42"/>
        <v>1</v>
      </c>
      <c r="I223" s="13">
        <f t="shared" si="42"/>
        <v>2</v>
      </c>
      <c r="J223" s="13">
        <f t="shared" si="42"/>
        <v>2</v>
      </c>
      <c r="K223" s="13">
        <f t="shared" si="42"/>
        <v>1</v>
      </c>
      <c r="L223" s="13">
        <f t="shared" si="42"/>
        <v>1</v>
      </c>
      <c r="M223" s="13">
        <f t="shared" si="42"/>
        <v>8</v>
      </c>
      <c r="N223" s="13">
        <f t="shared" si="42"/>
        <v>7</v>
      </c>
      <c r="O223" s="13">
        <f t="shared" si="42"/>
        <v>4</v>
      </c>
      <c r="P223" s="13">
        <f t="shared" si="42"/>
        <v>5</v>
      </c>
      <c r="Q223" s="13">
        <f t="shared" si="42"/>
        <v>2</v>
      </c>
      <c r="R223" s="13">
        <f t="shared" si="42"/>
        <v>37</v>
      </c>
    </row>
    <row r="224" spans="1:18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</row>
    <row r="225" spans="1:18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0</v>
      </c>
      <c r="H225" s="16">
        <v>0</v>
      </c>
      <c r="I225" s="16">
        <v>0</v>
      </c>
      <c r="J225" s="16">
        <v>0</v>
      </c>
      <c r="K225" s="16">
        <v>0</v>
      </c>
      <c r="L225" s="16">
        <v>1</v>
      </c>
      <c r="M225" s="16">
        <v>0</v>
      </c>
      <c r="N225" s="16">
        <v>0</v>
      </c>
      <c r="O225" s="16">
        <v>0</v>
      </c>
      <c r="P225" s="16">
        <v>0</v>
      </c>
      <c r="Q225" s="16">
        <v>1</v>
      </c>
      <c r="R225" s="13">
        <f t="shared" ref="R225:R234" si="43">SUM(E225:Q225)</f>
        <v>2</v>
      </c>
    </row>
    <row r="226" spans="1:18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2</v>
      </c>
      <c r="I226" s="16">
        <v>0</v>
      </c>
      <c r="J226" s="16">
        <v>0</v>
      </c>
      <c r="K226" s="16">
        <v>0</v>
      </c>
      <c r="L226" s="16">
        <v>2</v>
      </c>
      <c r="M226" s="16">
        <v>0</v>
      </c>
      <c r="N226" s="16">
        <v>0</v>
      </c>
      <c r="O226" s="16">
        <v>1</v>
      </c>
      <c r="P226" s="16">
        <v>0</v>
      </c>
      <c r="Q226" s="16">
        <v>0</v>
      </c>
      <c r="R226" s="13">
        <f t="shared" si="43"/>
        <v>5</v>
      </c>
    </row>
    <row r="227" spans="1:18" ht="12.75" customHeight="1" x14ac:dyDescent="0.4">
      <c r="A227" s="15"/>
      <c r="B227" s="27"/>
      <c r="C227" s="29" t="s">
        <v>141</v>
      </c>
      <c r="D227" s="40"/>
      <c r="E227" s="16">
        <v>0</v>
      </c>
      <c r="F227" s="16">
        <v>0</v>
      </c>
      <c r="G227" s="16">
        <v>0</v>
      </c>
      <c r="H227" s="16">
        <v>0</v>
      </c>
      <c r="I227" s="16">
        <v>6</v>
      </c>
      <c r="J227" s="16">
        <v>0</v>
      </c>
      <c r="K227" s="16">
        <v>1</v>
      </c>
      <c r="L227" s="16">
        <v>0</v>
      </c>
      <c r="M227" s="16">
        <v>0</v>
      </c>
      <c r="N227" s="16">
        <v>0</v>
      </c>
      <c r="O227" s="16">
        <v>0</v>
      </c>
      <c r="P227" s="16">
        <v>0</v>
      </c>
      <c r="Q227" s="16">
        <v>0</v>
      </c>
      <c r="R227" s="13">
        <f t="shared" si="43"/>
        <v>7</v>
      </c>
    </row>
    <row r="228" spans="1:18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1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3">
        <f t="shared" si="43"/>
        <v>1</v>
      </c>
    </row>
    <row r="229" spans="1:18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1</v>
      </c>
      <c r="G229" s="16">
        <v>1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3">
        <f t="shared" si="43"/>
        <v>2</v>
      </c>
    </row>
    <row r="230" spans="1:18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0</v>
      </c>
      <c r="G230" s="16">
        <v>0</v>
      </c>
      <c r="H230" s="16">
        <v>0</v>
      </c>
      <c r="I230" s="16">
        <v>0</v>
      </c>
      <c r="J230" s="16">
        <v>0</v>
      </c>
      <c r="K230" s="16">
        <v>1</v>
      </c>
      <c r="L230" s="16">
        <v>0</v>
      </c>
      <c r="M230" s="16">
        <v>0</v>
      </c>
      <c r="N230" s="16">
        <v>0</v>
      </c>
      <c r="O230" s="16">
        <v>0</v>
      </c>
      <c r="P230" s="16">
        <v>0</v>
      </c>
      <c r="Q230" s="16">
        <v>0</v>
      </c>
      <c r="R230" s="13">
        <f t="shared" si="43"/>
        <v>1</v>
      </c>
    </row>
    <row r="231" spans="1:18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5</v>
      </c>
      <c r="O231" s="16">
        <v>5</v>
      </c>
      <c r="P231" s="16">
        <v>8</v>
      </c>
      <c r="Q231" s="16">
        <v>0</v>
      </c>
      <c r="R231" s="13">
        <f t="shared" si="43"/>
        <v>18</v>
      </c>
    </row>
    <row r="232" spans="1:18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13">
        <f t="shared" si="43"/>
        <v>0</v>
      </c>
    </row>
    <row r="233" spans="1:18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13">
        <f t="shared" si="43"/>
        <v>0</v>
      </c>
    </row>
    <row r="234" spans="1:18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13">
        <f t="shared" si="43"/>
        <v>0</v>
      </c>
    </row>
    <row r="235" spans="1:18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R235" si="44">SUM(E225:E234)</f>
        <v>0</v>
      </c>
      <c r="F235" s="13">
        <f t="shared" si="44"/>
        <v>2</v>
      </c>
      <c r="G235" s="13">
        <f t="shared" si="44"/>
        <v>1</v>
      </c>
      <c r="H235" s="13">
        <f t="shared" si="44"/>
        <v>2</v>
      </c>
      <c r="I235" s="13">
        <f t="shared" si="44"/>
        <v>6</v>
      </c>
      <c r="J235" s="13">
        <f t="shared" si="44"/>
        <v>0</v>
      </c>
      <c r="K235" s="13">
        <f t="shared" si="44"/>
        <v>2</v>
      </c>
      <c r="L235" s="13">
        <f t="shared" si="44"/>
        <v>3</v>
      </c>
      <c r="M235" s="13">
        <f t="shared" si="44"/>
        <v>0</v>
      </c>
      <c r="N235" s="13">
        <f t="shared" si="44"/>
        <v>5</v>
      </c>
      <c r="O235" s="13">
        <f t="shared" si="44"/>
        <v>6</v>
      </c>
      <c r="P235" s="13">
        <f t="shared" si="44"/>
        <v>8</v>
      </c>
      <c r="Q235" s="13">
        <f t="shared" si="44"/>
        <v>1</v>
      </c>
      <c r="R235" s="13">
        <f t="shared" si="44"/>
        <v>36</v>
      </c>
    </row>
    <row r="236" spans="1:18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</row>
    <row r="237" spans="1:18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1</v>
      </c>
      <c r="F237" s="16">
        <v>0</v>
      </c>
      <c r="G237" s="16">
        <v>0</v>
      </c>
      <c r="H237" s="16">
        <v>0</v>
      </c>
      <c r="I237" s="16">
        <v>1</v>
      </c>
      <c r="J237" s="16">
        <v>0</v>
      </c>
      <c r="K237" s="16">
        <v>1</v>
      </c>
      <c r="L237" s="16">
        <v>1</v>
      </c>
      <c r="M237" s="16">
        <v>1</v>
      </c>
      <c r="N237" s="16">
        <v>3</v>
      </c>
      <c r="O237" s="16">
        <v>0</v>
      </c>
      <c r="P237" s="16">
        <v>0</v>
      </c>
      <c r="Q237" s="16">
        <v>0</v>
      </c>
      <c r="R237" s="13">
        <f t="shared" ref="R237:R246" si="45">SUM(E237:Q237)</f>
        <v>8</v>
      </c>
    </row>
    <row r="238" spans="1:18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0</v>
      </c>
      <c r="G238" s="16">
        <v>2</v>
      </c>
      <c r="H238" s="16">
        <v>1</v>
      </c>
      <c r="I238" s="16">
        <v>0</v>
      </c>
      <c r="J238" s="16">
        <v>0</v>
      </c>
      <c r="K238" s="16">
        <v>1</v>
      </c>
      <c r="L238" s="16">
        <v>1</v>
      </c>
      <c r="M238" s="16">
        <v>2</v>
      </c>
      <c r="N238" s="16">
        <v>0</v>
      </c>
      <c r="O238" s="16">
        <v>0</v>
      </c>
      <c r="P238" s="16">
        <v>0</v>
      </c>
      <c r="Q238" s="16">
        <v>0</v>
      </c>
      <c r="R238" s="13">
        <f t="shared" si="45"/>
        <v>7</v>
      </c>
    </row>
    <row r="239" spans="1:18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>
        <v>0</v>
      </c>
      <c r="K239" s="16">
        <v>0</v>
      </c>
      <c r="L239" s="16">
        <v>0</v>
      </c>
      <c r="M239" s="16">
        <v>0</v>
      </c>
      <c r="N239" s="16">
        <v>1</v>
      </c>
      <c r="O239" s="16">
        <v>0</v>
      </c>
      <c r="P239" s="16">
        <v>0</v>
      </c>
      <c r="Q239" s="16">
        <v>0</v>
      </c>
      <c r="R239" s="13">
        <f t="shared" si="45"/>
        <v>1</v>
      </c>
    </row>
    <row r="240" spans="1:18" ht="12.75" customHeight="1" x14ac:dyDescent="0.4">
      <c r="A240" s="15"/>
      <c r="B240" s="28"/>
      <c r="C240" s="29" t="s">
        <v>150</v>
      </c>
      <c r="D240" s="30"/>
      <c r="E240" s="16">
        <v>9</v>
      </c>
      <c r="F240" s="16">
        <v>0</v>
      </c>
      <c r="G240" s="16">
        <v>4</v>
      </c>
      <c r="H240" s="16">
        <v>4</v>
      </c>
      <c r="I240" s="16">
        <v>27</v>
      </c>
      <c r="J240" s="16">
        <v>1</v>
      </c>
      <c r="K240" s="16">
        <v>3</v>
      </c>
      <c r="L240" s="16">
        <v>5</v>
      </c>
      <c r="M240" s="16">
        <v>0</v>
      </c>
      <c r="N240" s="16">
        <v>52</v>
      </c>
      <c r="O240" s="16">
        <v>4</v>
      </c>
      <c r="P240" s="16">
        <v>2</v>
      </c>
      <c r="Q240" s="16">
        <v>0</v>
      </c>
      <c r="R240" s="13">
        <f t="shared" si="45"/>
        <v>111</v>
      </c>
    </row>
    <row r="241" spans="1:18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1</v>
      </c>
      <c r="H241" s="16">
        <v>0</v>
      </c>
      <c r="I241" s="16">
        <v>0</v>
      </c>
      <c r="J241" s="16">
        <v>0</v>
      </c>
      <c r="K241" s="16">
        <v>2</v>
      </c>
      <c r="L241" s="16">
        <v>0</v>
      </c>
      <c r="M241" s="16">
        <v>0</v>
      </c>
      <c r="N241" s="16">
        <v>0</v>
      </c>
      <c r="O241" s="16">
        <v>0</v>
      </c>
      <c r="P241" s="16">
        <v>0</v>
      </c>
      <c r="Q241" s="16">
        <v>0</v>
      </c>
      <c r="R241" s="13">
        <f t="shared" si="45"/>
        <v>3</v>
      </c>
    </row>
    <row r="242" spans="1:18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6">
        <v>0</v>
      </c>
      <c r="Q242" s="16">
        <v>0</v>
      </c>
      <c r="R242" s="13">
        <f t="shared" si="45"/>
        <v>0</v>
      </c>
    </row>
    <row r="243" spans="1:18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  <c r="R243" s="13">
        <f t="shared" si="45"/>
        <v>0</v>
      </c>
    </row>
    <row r="244" spans="1:18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13">
        <f t="shared" si="45"/>
        <v>0</v>
      </c>
    </row>
    <row r="245" spans="1:18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13">
        <f t="shared" si="45"/>
        <v>0</v>
      </c>
    </row>
    <row r="246" spans="1:18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13">
        <f t="shared" si="45"/>
        <v>0</v>
      </c>
    </row>
    <row r="247" spans="1:18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R247" si="46">SUM(E237:E246)</f>
        <v>10</v>
      </c>
      <c r="F247" s="13">
        <f t="shared" si="46"/>
        <v>0</v>
      </c>
      <c r="G247" s="13">
        <f t="shared" si="46"/>
        <v>7</v>
      </c>
      <c r="H247" s="13">
        <f t="shared" si="46"/>
        <v>5</v>
      </c>
      <c r="I247" s="13">
        <f t="shared" si="46"/>
        <v>28</v>
      </c>
      <c r="J247" s="13">
        <f t="shared" si="46"/>
        <v>1</v>
      </c>
      <c r="K247" s="13">
        <f t="shared" si="46"/>
        <v>7</v>
      </c>
      <c r="L247" s="13">
        <f t="shared" si="46"/>
        <v>7</v>
      </c>
      <c r="M247" s="13">
        <f t="shared" si="46"/>
        <v>3</v>
      </c>
      <c r="N247" s="13">
        <f t="shared" si="46"/>
        <v>56</v>
      </c>
      <c r="O247" s="13">
        <f t="shared" si="46"/>
        <v>4</v>
      </c>
      <c r="P247" s="13">
        <f t="shared" si="46"/>
        <v>2</v>
      </c>
      <c r="Q247" s="13">
        <f t="shared" si="46"/>
        <v>0</v>
      </c>
      <c r="R247" s="13">
        <f t="shared" si="46"/>
        <v>130</v>
      </c>
    </row>
    <row r="248" spans="1:18" ht="12.75" customHeight="1" x14ac:dyDescent="0.4">
      <c r="A248" s="63"/>
      <c r="B248" s="61"/>
      <c r="C248" s="61"/>
      <c r="D248" s="61"/>
      <c r="E248" s="62"/>
    </row>
    <row r="249" spans="1:18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0</v>
      </c>
      <c r="H249" s="16">
        <v>1</v>
      </c>
      <c r="I249" s="16">
        <v>0</v>
      </c>
      <c r="J249" s="16">
        <v>1</v>
      </c>
      <c r="K249" s="16">
        <v>0</v>
      </c>
      <c r="L249" s="16">
        <v>0</v>
      </c>
      <c r="M249" s="16">
        <v>0</v>
      </c>
      <c r="N249" s="16">
        <v>3</v>
      </c>
      <c r="O249" s="16">
        <v>0</v>
      </c>
      <c r="P249" s="16">
        <v>1</v>
      </c>
      <c r="Q249" s="16">
        <v>0</v>
      </c>
      <c r="R249" s="13">
        <f t="shared" ref="R249:R258" si="47">SUM(E249:Q249)</f>
        <v>6</v>
      </c>
    </row>
    <row r="250" spans="1:18" ht="12.75" customHeight="1" x14ac:dyDescent="0.4">
      <c r="A250" s="20" t="s">
        <v>38</v>
      </c>
      <c r="B250" s="27"/>
      <c r="C250" s="29" t="s">
        <v>156</v>
      </c>
      <c r="D250" s="40"/>
      <c r="E250" s="16">
        <v>0</v>
      </c>
      <c r="F250" s="16">
        <v>0</v>
      </c>
      <c r="G250" s="16">
        <v>3</v>
      </c>
      <c r="H250" s="16">
        <v>7</v>
      </c>
      <c r="I250" s="16">
        <v>0</v>
      </c>
      <c r="J250" s="16">
        <v>4</v>
      </c>
      <c r="K250" s="16">
        <v>0</v>
      </c>
      <c r="L250" s="16">
        <v>0</v>
      </c>
      <c r="M250" s="16">
        <v>0</v>
      </c>
      <c r="N250" s="16">
        <v>0</v>
      </c>
      <c r="O250" s="16">
        <v>1</v>
      </c>
      <c r="P250" s="16">
        <v>0</v>
      </c>
      <c r="Q250" s="16">
        <v>0</v>
      </c>
      <c r="R250" s="13">
        <f t="shared" si="47"/>
        <v>15</v>
      </c>
    </row>
    <row r="251" spans="1:18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1</v>
      </c>
      <c r="G251" s="16">
        <v>0</v>
      </c>
      <c r="H251" s="16">
        <v>1</v>
      </c>
      <c r="I251" s="16">
        <v>0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3">
        <f t="shared" si="47"/>
        <v>2</v>
      </c>
    </row>
    <row r="252" spans="1:18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3">
        <f t="shared" si="47"/>
        <v>0</v>
      </c>
    </row>
    <row r="253" spans="1:18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0</v>
      </c>
      <c r="N253" s="16">
        <v>0</v>
      </c>
      <c r="O253" s="16">
        <v>0</v>
      </c>
      <c r="P253" s="16">
        <v>0</v>
      </c>
      <c r="Q253" s="16">
        <v>0</v>
      </c>
      <c r="R253" s="13">
        <f t="shared" si="47"/>
        <v>0</v>
      </c>
    </row>
    <row r="254" spans="1:18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13">
        <f t="shared" si="47"/>
        <v>0</v>
      </c>
    </row>
    <row r="255" spans="1:18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13">
        <f t="shared" si="47"/>
        <v>0</v>
      </c>
    </row>
    <row r="256" spans="1:18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13">
        <f t="shared" si="47"/>
        <v>0</v>
      </c>
    </row>
    <row r="257" spans="1:18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13">
        <f t="shared" si="47"/>
        <v>0</v>
      </c>
    </row>
    <row r="258" spans="1:18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13">
        <f t="shared" si="47"/>
        <v>0</v>
      </c>
    </row>
    <row r="259" spans="1:18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R259" si="48">SUM(E249:E258)</f>
        <v>0</v>
      </c>
      <c r="F259" s="13">
        <f t="shared" si="48"/>
        <v>1</v>
      </c>
      <c r="G259" s="13">
        <f t="shared" si="48"/>
        <v>3</v>
      </c>
      <c r="H259" s="13">
        <f t="shared" si="48"/>
        <v>9</v>
      </c>
      <c r="I259" s="13">
        <f t="shared" si="48"/>
        <v>0</v>
      </c>
      <c r="J259" s="13">
        <f t="shared" si="48"/>
        <v>5</v>
      </c>
      <c r="K259" s="13">
        <f t="shared" si="48"/>
        <v>0</v>
      </c>
      <c r="L259" s="13">
        <f t="shared" si="48"/>
        <v>0</v>
      </c>
      <c r="M259" s="13">
        <f t="shared" si="48"/>
        <v>0</v>
      </c>
      <c r="N259" s="13">
        <f t="shared" si="48"/>
        <v>3</v>
      </c>
      <c r="O259" s="13">
        <f t="shared" si="48"/>
        <v>1</v>
      </c>
      <c r="P259" s="13">
        <f t="shared" si="48"/>
        <v>1</v>
      </c>
      <c r="Q259" s="13">
        <f t="shared" si="48"/>
        <v>0</v>
      </c>
      <c r="R259" s="13">
        <f t="shared" si="48"/>
        <v>23</v>
      </c>
    </row>
    <row r="260" spans="1:18" ht="12.75" customHeight="1" x14ac:dyDescent="0.4"/>
    <row r="261" spans="1:18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13"/>
    </row>
    <row r="262" spans="1:18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Q262" si="49">E55+E67+E79+E91+E103+E115+E127+E139+E151+E163+E175+E187+E199+E211+E223+E235+E247+E259</f>
        <v>192</v>
      </c>
      <c r="F262" s="16">
        <f t="shared" si="49"/>
        <v>182</v>
      </c>
      <c r="G262" s="16">
        <f t="shared" si="49"/>
        <v>181</v>
      </c>
      <c r="H262" s="16">
        <f t="shared" si="49"/>
        <v>191</v>
      </c>
      <c r="I262" s="16">
        <f t="shared" si="49"/>
        <v>199</v>
      </c>
      <c r="J262" s="16">
        <f t="shared" si="49"/>
        <v>189</v>
      </c>
      <c r="K262" s="16">
        <f t="shared" si="49"/>
        <v>130</v>
      </c>
      <c r="L262" s="16">
        <f t="shared" si="49"/>
        <v>177</v>
      </c>
      <c r="M262" s="16">
        <f t="shared" si="49"/>
        <v>206</v>
      </c>
      <c r="N262" s="16">
        <f t="shared" si="49"/>
        <v>192</v>
      </c>
      <c r="O262" s="16">
        <f t="shared" si="49"/>
        <v>125</v>
      </c>
      <c r="P262" s="16">
        <f t="shared" si="49"/>
        <v>146</v>
      </c>
      <c r="Q262" s="16">
        <f t="shared" si="49"/>
        <v>105</v>
      </c>
      <c r="R262" s="13">
        <f t="shared" ref="R262:R264" si="50">SUM(E262:Q262)</f>
        <v>2215</v>
      </c>
    </row>
    <row r="263" spans="1:18" ht="12.75" customHeight="1" x14ac:dyDescent="0.4">
      <c r="A263" s="22"/>
      <c r="B263" s="45" t="s">
        <v>164</v>
      </c>
      <c r="C263" s="71" t="s">
        <v>165</v>
      </c>
      <c r="D263" s="62"/>
      <c r="E263" s="16">
        <v>13</v>
      </c>
      <c r="F263" s="16">
        <v>8</v>
      </c>
      <c r="G263" s="16">
        <v>8</v>
      </c>
      <c r="H263" s="16">
        <v>14</v>
      </c>
      <c r="I263" s="16">
        <v>13</v>
      </c>
      <c r="J263" s="16">
        <v>15</v>
      </c>
      <c r="K263" s="16">
        <v>14</v>
      </c>
      <c r="L263" s="16">
        <v>24</v>
      </c>
      <c r="M263" s="16">
        <v>10</v>
      </c>
      <c r="N263" s="16">
        <v>15</v>
      </c>
      <c r="O263" s="16">
        <v>13</v>
      </c>
      <c r="P263" s="16">
        <v>12</v>
      </c>
      <c r="Q263" s="16">
        <v>19</v>
      </c>
      <c r="R263" s="13">
        <f t="shared" si="50"/>
        <v>178</v>
      </c>
    </row>
    <row r="264" spans="1:18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Q264" si="51">SUM(E262:E263)</f>
        <v>205</v>
      </c>
      <c r="F264" s="13">
        <f t="shared" si="51"/>
        <v>190</v>
      </c>
      <c r="G264" s="13">
        <f t="shared" si="51"/>
        <v>189</v>
      </c>
      <c r="H264" s="13">
        <f t="shared" si="51"/>
        <v>205</v>
      </c>
      <c r="I264" s="13">
        <f t="shared" si="51"/>
        <v>212</v>
      </c>
      <c r="J264" s="13">
        <f t="shared" si="51"/>
        <v>204</v>
      </c>
      <c r="K264" s="13">
        <f t="shared" si="51"/>
        <v>144</v>
      </c>
      <c r="L264" s="13">
        <f t="shared" si="51"/>
        <v>201</v>
      </c>
      <c r="M264" s="13">
        <f t="shared" si="51"/>
        <v>216</v>
      </c>
      <c r="N264" s="13">
        <f t="shared" si="51"/>
        <v>207</v>
      </c>
      <c r="O264" s="13">
        <f t="shared" si="51"/>
        <v>138</v>
      </c>
      <c r="P264" s="13">
        <f t="shared" si="51"/>
        <v>158</v>
      </c>
      <c r="Q264" s="13">
        <f t="shared" si="51"/>
        <v>124</v>
      </c>
      <c r="R264" s="13">
        <f t="shared" si="50"/>
        <v>2393</v>
      </c>
    </row>
    <row r="265" spans="1:18" ht="12.75" customHeight="1" x14ac:dyDescent="0.4"/>
    <row r="266" spans="1:18" ht="12.75" customHeight="1" x14ac:dyDescent="0.4"/>
    <row r="267" spans="1:18" ht="12.75" customHeight="1" x14ac:dyDescent="0.4"/>
    <row r="268" spans="1:18" ht="12.75" customHeight="1" x14ac:dyDescent="0.4"/>
    <row r="269" spans="1:18" ht="12.75" customHeight="1" x14ac:dyDescent="0.4"/>
    <row r="270" spans="1:18" ht="12.75" customHeight="1" x14ac:dyDescent="0.4"/>
    <row r="271" spans="1:18" ht="12.75" customHeight="1" x14ac:dyDescent="0.4"/>
    <row r="272" spans="1:18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Q12"/>
    <mergeCell ref="R12:R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4:Q15">
    <cfRule type="containsBlanks" dxfId="283" priority="1">
      <formula>LEN(TRIM(E14))=0</formula>
    </cfRule>
  </conditionalFormatting>
  <conditionalFormatting sqref="E19:Q20">
    <cfRule type="containsBlanks" dxfId="282" priority="2">
      <formula>LEN(TRIM(E19))=0</formula>
    </cfRule>
  </conditionalFormatting>
  <conditionalFormatting sqref="E22:Q23 E25:Q26 E33:Q33 E35:Q35 E39:Q40">
    <cfRule type="containsBlanks" dxfId="281" priority="3">
      <formula>LEN(TRIM(E22))=0</formula>
    </cfRule>
  </conditionalFormatting>
  <conditionalFormatting sqref="E30:Q30">
    <cfRule type="expression" dxfId="280" priority="4">
      <formula>E30&lt;&gt;E47</formula>
    </cfRule>
    <cfRule type="expression" dxfId="279" priority="5">
      <formula>E30&lt;&gt;E34</formula>
    </cfRule>
  </conditionalFormatting>
  <conditionalFormatting sqref="E34:Q34">
    <cfRule type="expression" dxfId="278" priority="6">
      <formula>E30&lt;&gt;E34</formula>
    </cfRule>
    <cfRule type="expression" dxfId="277" priority="7">
      <formula>E30=E34</formula>
    </cfRule>
    <cfRule type="expression" dxfId="276" priority="8">
      <formula>E34&lt;&gt;E30</formula>
    </cfRule>
    <cfRule type="expression" dxfId="275" priority="9">
      <formula>E34&lt;&gt;E64</formula>
    </cfRule>
  </conditionalFormatting>
  <conditionalFormatting sqref="E45:Q54">
    <cfRule type="containsBlanks" dxfId="274" priority="10">
      <formula>LEN(TRIM(E45))=0</formula>
    </cfRule>
  </conditionalFormatting>
  <conditionalFormatting sqref="E57:Q66">
    <cfRule type="containsBlanks" dxfId="273" priority="11">
      <formula>LEN(TRIM(E57))=0</formula>
    </cfRule>
  </conditionalFormatting>
  <conditionalFormatting sqref="E69:Q78">
    <cfRule type="containsBlanks" dxfId="272" priority="12">
      <formula>LEN(TRIM(E69))=0</formula>
    </cfRule>
  </conditionalFormatting>
  <conditionalFormatting sqref="E81:Q90">
    <cfRule type="containsBlanks" dxfId="271" priority="13">
      <formula>LEN(TRIM(E81))=0</formula>
    </cfRule>
  </conditionalFormatting>
  <conditionalFormatting sqref="E93:Q102">
    <cfRule type="containsBlanks" dxfId="270" priority="14">
      <formula>LEN(TRIM(E93))=0</formula>
    </cfRule>
  </conditionalFormatting>
  <conditionalFormatting sqref="E105:Q114">
    <cfRule type="containsBlanks" dxfId="269" priority="15">
      <formula>LEN(TRIM(E105))=0</formula>
    </cfRule>
  </conditionalFormatting>
  <conditionalFormatting sqref="E117:Q126">
    <cfRule type="containsBlanks" dxfId="268" priority="16">
      <formula>LEN(TRIM(E117))=0</formula>
    </cfRule>
  </conditionalFormatting>
  <conditionalFormatting sqref="E129:Q138">
    <cfRule type="containsBlanks" dxfId="267" priority="17">
      <formula>LEN(TRIM(E129))=0</formula>
    </cfRule>
  </conditionalFormatting>
  <conditionalFormatting sqref="E141:Q150">
    <cfRule type="containsBlanks" dxfId="266" priority="18">
      <formula>LEN(TRIM(E141))=0</formula>
    </cfRule>
  </conditionalFormatting>
  <conditionalFormatting sqref="E153:Q162">
    <cfRule type="containsBlanks" dxfId="265" priority="19">
      <formula>LEN(TRIM(E153))=0</formula>
    </cfRule>
  </conditionalFormatting>
  <conditionalFormatting sqref="E165:Q174">
    <cfRule type="containsBlanks" dxfId="264" priority="20">
      <formula>LEN(TRIM(E165))=0</formula>
    </cfRule>
  </conditionalFormatting>
  <conditionalFormatting sqref="E177:Q186">
    <cfRule type="containsBlanks" dxfId="263" priority="21">
      <formula>LEN(TRIM(E177))=0</formula>
    </cfRule>
  </conditionalFormatting>
  <conditionalFormatting sqref="E189:Q198">
    <cfRule type="containsBlanks" dxfId="262" priority="22">
      <formula>LEN(TRIM(E189))=0</formula>
    </cfRule>
  </conditionalFormatting>
  <conditionalFormatting sqref="E201:Q210">
    <cfRule type="containsBlanks" dxfId="261" priority="23">
      <formula>LEN(TRIM(E201))=0</formula>
    </cfRule>
  </conditionalFormatting>
  <conditionalFormatting sqref="E213:Q222">
    <cfRule type="containsBlanks" dxfId="260" priority="24">
      <formula>LEN(TRIM(E213))=0</formula>
    </cfRule>
  </conditionalFormatting>
  <conditionalFormatting sqref="E225:Q234">
    <cfRule type="containsBlanks" dxfId="259" priority="25">
      <formula>LEN(TRIM(E225))=0</formula>
    </cfRule>
  </conditionalFormatting>
  <conditionalFormatting sqref="E237:Q246">
    <cfRule type="containsBlanks" dxfId="258" priority="26">
      <formula>LEN(TRIM(E237))=0</formula>
    </cfRule>
  </conditionalFormatting>
  <conditionalFormatting sqref="E249:Q258">
    <cfRule type="containsBlanks" dxfId="257" priority="27">
      <formula>LEN(TRIM(E249))=0</formula>
    </cfRule>
  </conditionalFormatting>
  <conditionalFormatting sqref="E262:Q263">
    <cfRule type="containsBlanks" dxfId="256" priority="28">
      <formula>LEN(TRIM(E262))=0</formula>
    </cfRule>
  </conditionalFormatting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FF00"/>
  </sheetPr>
  <dimension ref="A1:X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23" width="8.7109375" customWidth="1"/>
    <col min="24" max="24" width="13.28515625" customWidth="1"/>
    <col min="25" max="26" width="8.7109375" customWidth="1"/>
  </cols>
  <sheetData>
    <row r="1" spans="1:24" ht="12.75" customHeight="1" x14ac:dyDescent="0.4"/>
    <row r="2" spans="1:24" ht="12.75" customHeight="1" x14ac:dyDescent="0.4">
      <c r="C2" s="8" t="s">
        <v>0</v>
      </c>
      <c r="D2" s="8" t="s">
        <v>1</v>
      </c>
    </row>
    <row r="3" spans="1:24" ht="12.75" customHeight="1" x14ac:dyDescent="0.4">
      <c r="C3" s="8" t="s">
        <v>2</v>
      </c>
      <c r="D3" s="8" t="s">
        <v>1</v>
      </c>
    </row>
    <row r="4" spans="1:24" ht="12.75" customHeight="1" x14ac:dyDescent="0.4">
      <c r="C4" s="8" t="s">
        <v>3</v>
      </c>
      <c r="D4" s="8" t="s">
        <v>4</v>
      </c>
    </row>
    <row r="5" spans="1:24" ht="12.75" customHeight="1" x14ac:dyDescent="0.4">
      <c r="C5" s="8"/>
      <c r="D5" s="8"/>
    </row>
    <row r="6" spans="1:24" ht="12.75" customHeight="1" x14ac:dyDescent="0.4">
      <c r="C6" s="8"/>
      <c r="D6" s="8"/>
    </row>
    <row r="7" spans="1:24" ht="12.75" customHeight="1" x14ac:dyDescent="0.4">
      <c r="C7" s="8"/>
      <c r="D7" s="8"/>
    </row>
    <row r="8" spans="1:24" ht="12.75" customHeight="1" x14ac:dyDescent="0.4">
      <c r="C8" s="8"/>
      <c r="D8" s="8"/>
    </row>
    <row r="9" spans="1:24" ht="12.75" customHeight="1" x14ac:dyDescent="0.4">
      <c r="C9" s="8" t="s">
        <v>168</v>
      </c>
      <c r="D9" s="8" t="s">
        <v>208</v>
      </c>
    </row>
    <row r="10" spans="1:24" ht="12.75" customHeight="1" x14ac:dyDescent="0.4"/>
    <row r="11" spans="1:24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24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90" t="s">
        <v>7</v>
      </c>
    </row>
    <row r="13" spans="1:24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13" t="s">
        <v>188</v>
      </c>
      <c r="V13" s="13" t="s">
        <v>189</v>
      </c>
      <c r="W13" s="13" t="s">
        <v>190</v>
      </c>
      <c r="X13" s="80"/>
    </row>
    <row r="14" spans="1:24" ht="12.75" customHeight="1" x14ac:dyDescent="0.4">
      <c r="A14" s="15"/>
      <c r="B14" s="75" t="s">
        <v>10</v>
      </c>
      <c r="C14" s="66"/>
      <c r="D14" s="16" t="s">
        <v>11</v>
      </c>
      <c r="E14" s="16">
        <v>138</v>
      </c>
      <c r="F14" s="16">
        <v>132</v>
      </c>
      <c r="G14" s="16">
        <v>110</v>
      </c>
      <c r="H14" s="16">
        <v>144</v>
      </c>
      <c r="I14" s="16">
        <v>130</v>
      </c>
      <c r="J14" s="16">
        <v>133</v>
      </c>
      <c r="K14" s="16">
        <v>127</v>
      </c>
      <c r="L14" s="16">
        <v>113</v>
      </c>
      <c r="M14" s="16">
        <v>126</v>
      </c>
      <c r="N14" s="16">
        <v>124</v>
      </c>
      <c r="O14" s="16">
        <v>120</v>
      </c>
      <c r="P14" s="16">
        <v>113</v>
      </c>
      <c r="Q14" s="16">
        <v>106</v>
      </c>
      <c r="R14" s="16">
        <v>106</v>
      </c>
      <c r="S14" s="16">
        <v>96</v>
      </c>
      <c r="T14" s="16">
        <v>130</v>
      </c>
      <c r="U14" s="16">
        <v>123</v>
      </c>
      <c r="V14" s="16">
        <v>98</v>
      </c>
      <c r="W14" s="16">
        <v>102</v>
      </c>
      <c r="X14" s="13">
        <f t="shared" ref="X14:X16" si="0">SUM(E14:W14)</f>
        <v>2271</v>
      </c>
    </row>
    <row r="15" spans="1:24" ht="12.75" customHeight="1" x14ac:dyDescent="0.4">
      <c r="A15" s="15"/>
      <c r="B15" s="76"/>
      <c r="C15" s="77"/>
      <c r="D15" s="16" t="s">
        <v>12</v>
      </c>
      <c r="E15" s="16">
        <v>150</v>
      </c>
      <c r="F15" s="16">
        <v>151</v>
      </c>
      <c r="G15" s="16">
        <v>134</v>
      </c>
      <c r="H15" s="16">
        <v>128</v>
      </c>
      <c r="I15" s="16">
        <v>136</v>
      </c>
      <c r="J15" s="16">
        <v>124</v>
      </c>
      <c r="K15" s="16">
        <v>130</v>
      </c>
      <c r="L15" s="16">
        <v>131</v>
      </c>
      <c r="M15" s="16">
        <v>137</v>
      </c>
      <c r="N15" s="16">
        <v>139</v>
      </c>
      <c r="O15" s="16">
        <v>141</v>
      </c>
      <c r="P15" s="16">
        <v>112</v>
      </c>
      <c r="Q15" s="16">
        <v>119</v>
      </c>
      <c r="R15" s="16">
        <v>110</v>
      </c>
      <c r="S15" s="16">
        <v>105</v>
      </c>
      <c r="T15" s="16">
        <v>134</v>
      </c>
      <c r="U15" s="16">
        <v>125</v>
      </c>
      <c r="V15" s="16">
        <v>102</v>
      </c>
      <c r="W15" s="16">
        <v>91</v>
      </c>
      <c r="X15" s="13">
        <f t="shared" si="0"/>
        <v>2399</v>
      </c>
    </row>
    <row r="16" spans="1:24" ht="12.75" customHeight="1" x14ac:dyDescent="0.4">
      <c r="A16" s="18"/>
      <c r="B16" s="73"/>
      <c r="C16" s="69"/>
      <c r="D16" s="13" t="s">
        <v>13</v>
      </c>
      <c r="E16" s="13">
        <f t="shared" ref="E16:W16" si="1">SUM(E14:E15)</f>
        <v>288</v>
      </c>
      <c r="F16" s="13">
        <f t="shared" si="1"/>
        <v>283</v>
      </c>
      <c r="G16" s="13">
        <f t="shared" si="1"/>
        <v>244</v>
      </c>
      <c r="H16" s="13">
        <f t="shared" si="1"/>
        <v>272</v>
      </c>
      <c r="I16" s="13">
        <f t="shared" si="1"/>
        <v>266</v>
      </c>
      <c r="J16" s="13">
        <f t="shared" si="1"/>
        <v>257</v>
      </c>
      <c r="K16" s="13">
        <f t="shared" si="1"/>
        <v>257</v>
      </c>
      <c r="L16" s="13">
        <f t="shared" si="1"/>
        <v>244</v>
      </c>
      <c r="M16" s="13">
        <f t="shared" si="1"/>
        <v>263</v>
      </c>
      <c r="N16" s="13">
        <f t="shared" si="1"/>
        <v>263</v>
      </c>
      <c r="O16" s="13">
        <f t="shared" si="1"/>
        <v>261</v>
      </c>
      <c r="P16" s="13">
        <f t="shared" si="1"/>
        <v>225</v>
      </c>
      <c r="Q16" s="13">
        <f t="shared" si="1"/>
        <v>225</v>
      </c>
      <c r="R16" s="13">
        <f t="shared" si="1"/>
        <v>216</v>
      </c>
      <c r="S16" s="13">
        <f t="shared" si="1"/>
        <v>201</v>
      </c>
      <c r="T16" s="13">
        <f t="shared" si="1"/>
        <v>264</v>
      </c>
      <c r="U16" s="13">
        <f t="shared" si="1"/>
        <v>248</v>
      </c>
      <c r="V16" s="13">
        <f t="shared" si="1"/>
        <v>200</v>
      </c>
      <c r="W16" s="13">
        <f t="shared" si="1"/>
        <v>193</v>
      </c>
      <c r="X16" s="13">
        <f t="shared" si="0"/>
        <v>4670</v>
      </c>
    </row>
    <row r="17" spans="1:24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9"/>
    </row>
    <row r="18" spans="1:24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9"/>
    </row>
    <row r="19" spans="1:24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98</v>
      </c>
      <c r="F19" s="16">
        <v>100</v>
      </c>
      <c r="G19" s="16">
        <v>86</v>
      </c>
      <c r="H19" s="16">
        <v>100</v>
      </c>
      <c r="I19" s="16">
        <v>92</v>
      </c>
      <c r="J19" s="16">
        <v>97</v>
      </c>
      <c r="K19" s="16">
        <v>95</v>
      </c>
      <c r="L19" s="16">
        <v>81</v>
      </c>
      <c r="M19" s="16">
        <v>84</v>
      </c>
      <c r="N19" s="16">
        <v>93</v>
      </c>
      <c r="O19" s="16">
        <v>89</v>
      </c>
      <c r="P19" s="16">
        <v>73</v>
      </c>
      <c r="Q19" s="16">
        <v>68</v>
      </c>
      <c r="R19" s="16">
        <v>75</v>
      </c>
      <c r="S19" s="16">
        <v>68</v>
      </c>
      <c r="T19" s="16">
        <v>103</v>
      </c>
      <c r="U19" s="16">
        <v>87</v>
      </c>
      <c r="V19" s="16">
        <v>81</v>
      </c>
      <c r="W19" s="16">
        <v>76</v>
      </c>
      <c r="X19" s="13">
        <f t="shared" ref="X19:X30" si="2">SUM(E19:W19)</f>
        <v>1646</v>
      </c>
    </row>
    <row r="20" spans="1:24" ht="12.75" customHeight="1" x14ac:dyDescent="0.4">
      <c r="A20" s="21"/>
      <c r="B20" s="77"/>
      <c r="C20" s="79"/>
      <c r="D20" s="16" t="s">
        <v>12</v>
      </c>
      <c r="E20" s="16">
        <v>128</v>
      </c>
      <c r="F20" s="16">
        <v>126</v>
      </c>
      <c r="G20" s="16">
        <v>114</v>
      </c>
      <c r="H20" s="16">
        <v>110</v>
      </c>
      <c r="I20" s="16">
        <v>102</v>
      </c>
      <c r="J20" s="16">
        <v>99</v>
      </c>
      <c r="K20" s="16">
        <v>112</v>
      </c>
      <c r="L20" s="16">
        <v>97</v>
      </c>
      <c r="M20" s="16">
        <v>113</v>
      </c>
      <c r="N20" s="16">
        <v>116</v>
      </c>
      <c r="O20" s="16">
        <v>110</v>
      </c>
      <c r="P20" s="16">
        <v>86</v>
      </c>
      <c r="Q20" s="16">
        <v>92</v>
      </c>
      <c r="R20" s="16">
        <v>86</v>
      </c>
      <c r="S20" s="16">
        <v>83</v>
      </c>
      <c r="T20" s="16">
        <v>101</v>
      </c>
      <c r="U20" s="16">
        <v>96</v>
      </c>
      <c r="V20" s="16">
        <v>94</v>
      </c>
      <c r="W20" s="16">
        <v>77</v>
      </c>
      <c r="X20" s="13">
        <f t="shared" si="2"/>
        <v>1942</v>
      </c>
    </row>
    <row r="21" spans="1:24" ht="12.75" customHeight="1" x14ac:dyDescent="0.4">
      <c r="A21" s="22"/>
      <c r="B21" s="69"/>
      <c r="C21" s="80"/>
      <c r="D21" s="13" t="s">
        <v>13</v>
      </c>
      <c r="E21" s="13">
        <f t="shared" ref="E21:W21" si="3">SUM(E19:E20)</f>
        <v>226</v>
      </c>
      <c r="F21" s="13">
        <f t="shared" si="3"/>
        <v>226</v>
      </c>
      <c r="G21" s="13">
        <f t="shared" si="3"/>
        <v>200</v>
      </c>
      <c r="H21" s="13">
        <f t="shared" si="3"/>
        <v>210</v>
      </c>
      <c r="I21" s="13">
        <f t="shared" si="3"/>
        <v>194</v>
      </c>
      <c r="J21" s="13">
        <f t="shared" si="3"/>
        <v>196</v>
      </c>
      <c r="K21" s="13">
        <f t="shared" si="3"/>
        <v>207</v>
      </c>
      <c r="L21" s="13">
        <f t="shared" si="3"/>
        <v>178</v>
      </c>
      <c r="M21" s="13">
        <f t="shared" si="3"/>
        <v>197</v>
      </c>
      <c r="N21" s="13">
        <f t="shared" si="3"/>
        <v>209</v>
      </c>
      <c r="O21" s="13">
        <f t="shared" si="3"/>
        <v>199</v>
      </c>
      <c r="P21" s="13">
        <f t="shared" si="3"/>
        <v>159</v>
      </c>
      <c r="Q21" s="13">
        <f t="shared" si="3"/>
        <v>160</v>
      </c>
      <c r="R21" s="13">
        <f t="shared" si="3"/>
        <v>161</v>
      </c>
      <c r="S21" s="13">
        <f t="shared" si="3"/>
        <v>151</v>
      </c>
      <c r="T21" s="13">
        <f t="shared" si="3"/>
        <v>204</v>
      </c>
      <c r="U21" s="13">
        <f t="shared" si="3"/>
        <v>183</v>
      </c>
      <c r="V21" s="13">
        <f t="shared" si="3"/>
        <v>175</v>
      </c>
      <c r="W21" s="13">
        <f t="shared" si="3"/>
        <v>153</v>
      </c>
      <c r="X21" s="13">
        <f t="shared" si="2"/>
        <v>3588</v>
      </c>
    </row>
    <row r="22" spans="1:24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1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1</v>
      </c>
      <c r="X22" s="13">
        <f t="shared" si="2"/>
        <v>2</v>
      </c>
    </row>
    <row r="23" spans="1:24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1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2</v>
      </c>
      <c r="U23" s="16">
        <v>0</v>
      </c>
      <c r="V23" s="16">
        <v>0</v>
      </c>
      <c r="W23" s="16">
        <v>1</v>
      </c>
      <c r="X23" s="13">
        <f t="shared" si="2"/>
        <v>4</v>
      </c>
    </row>
    <row r="24" spans="1:24" ht="12.75" customHeight="1" x14ac:dyDescent="0.4">
      <c r="A24" s="22"/>
      <c r="B24" s="69"/>
      <c r="C24" s="80"/>
      <c r="D24" s="13" t="s">
        <v>13</v>
      </c>
      <c r="E24" s="13">
        <f t="shared" ref="E24:W24" si="4">SUM(E22:E23)</f>
        <v>0</v>
      </c>
      <c r="F24" s="13">
        <f t="shared" si="4"/>
        <v>1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1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2</v>
      </c>
      <c r="U24" s="13">
        <f t="shared" si="4"/>
        <v>0</v>
      </c>
      <c r="V24" s="13">
        <f t="shared" si="4"/>
        <v>0</v>
      </c>
      <c r="W24" s="13">
        <f t="shared" si="4"/>
        <v>2</v>
      </c>
      <c r="X24" s="13">
        <f t="shared" si="2"/>
        <v>6</v>
      </c>
    </row>
    <row r="25" spans="1:24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0</v>
      </c>
      <c r="F25" s="16">
        <v>0</v>
      </c>
      <c r="G25" s="16">
        <v>2</v>
      </c>
      <c r="H25" s="16">
        <v>0</v>
      </c>
      <c r="I25" s="16">
        <v>0</v>
      </c>
      <c r="J25" s="16">
        <v>1</v>
      </c>
      <c r="K25" s="16">
        <v>0</v>
      </c>
      <c r="L25" s="16">
        <v>1</v>
      </c>
      <c r="M25" s="16">
        <v>0</v>
      </c>
      <c r="N25" s="16">
        <v>1</v>
      </c>
      <c r="O25" s="16">
        <v>2</v>
      </c>
      <c r="P25" s="16">
        <v>1</v>
      </c>
      <c r="Q25" s="16">
        <v>0</v>
      </c>
      <c r="R25" s="16">
        <v>0</v>
      </c>
      <c r="S25" s="16">
        <v>0</v>
      </c>
      <c r="T25" s="16">
        <v>0</v>
      </c>
      <c r="U25" s="16">
        <v>2</v>
      </c>
      <c r="V25" s="16">
        <v>4</v>
      </c>
      <c r="W25" s="16">
        <v>2</v>
      </c>
      <c r="X25" s="13">
        <f t="shared" si="2"/>
        <v>16</v>
      </c>
    </row>
    <row r="26" spans="1:24" ht="12.75" customHeight="1" x14ac:dyDescent="0.4">
      <c r="A26" s="21"/>
      <c r="B26" s="77"/>
      <c r="C26" s="79"/>
      <c r="D26" s="16" t="s">
        <v>12</v>
      </c>
      <c r="E26" s="16">
        <v>1</v>
      </c>
      <c r="F26" s="16">
        <v>0</v>
      </c>
      <c r="G26" s="16">
        <v>3</v>
      </c>
      <c r="H26" s="16">
        <v>0</v>
      </c>
      <c r="I26" s="16">
        <v>0</v>
      </c>
      <c r="J26" s="16">
        <v>4</v>
      </c>
      <c r="K26" s="16">
        <v>1</v>
      </c>
      <c r="L26" s="16">
        <v>2</v>
      </c>
      <c r="M26" s="16">
        <v>0</v>
      </c>
      <c r="N26" s="16">
        <v>1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3</v>
      </c>
      <c r="V26" s="16">
        <v>2</v>
      </c>
      <c r="W26" s="16">
        <v>4</v>
      </c>
      <c r="X26" s="13">
        <f t="shared" si="2"/>
        <v>21</v>
      </c>
    </row>
    <row r="27" spans="1:24" ht="12.75" customHeight="1" x14ac:dyDescent="0.4">
      <c r="A27" s="22"/>
      <c r="B27" s="69"/>
      <c r="C27" s="80"/>
      <c r="D27" s="13" t="s">
        <v>13</v>
      </c>
      <c r="E27" s="13">
        <f t="shared" ref="E27:W27" si="5">SUM(E25:E26)</f>
        <v>1</v>
      </c>
      <c r="F27" s="13">
        <f t="shared" si="5"/>
        <v>0</v>
      </c>
      <c r="G27" s="13">
        <f t="shared" si="5"/>
        <v>5</v>
      </c>
      <c r="H27" s="13">
        <f t="shared" si="5"/>
        <v>0</v>
      </c>
      <c r="I27" s="13">
        <f t="shared" si="5"/>
        <v>0</v>
      </c>
      <c r="J27" s="13">
        <f t="shared" si="5"/>
        <v>5</v>
      </c>
      <c r="K27" s="13">
        <f t="shared" si="5"/>
        <v>1</v>
      </c>
      <c r="L27" s="13">
        <f t="shared" si="5"/>
        <v>3</v>
      </c>
      <c r="M27" s="13">
        <f t="shared" si="5"/>
        <v>0</v>
      </c>
      <c r="N27" s="13">
        <f t="shared" si="5"/>
        <v>2</v>
      </c>
      <c r="O27" s="13">
        <f t="shared" si="5"/>
        <v>2</v>
      </c>
      <c r="P27" s="13">
        <f t="shared" si="5"/>
        <v>1</v>
      </c>
      <c r="Q27" s="13">
        <f t="shared" si="5"/>
        <v>0</v>
      </c>
      <c r="R27" s="13">
        <f t="shared" si="5"/>
        <v>0</v>
      </c>
      <c r="S27" s="13">
        <f t="shared" si="5"/>
        <v>0</v>
      </c>
      <c r="T27" s="13">
        <f t="shared" si="5"/>
        <v>0</v>
      </c>
      <c r="U27" s="13">
        <f t="shared" si="5"/>
        <v>5</v>
      </c>
      <c r="V27" s="13">
        <f t="shared" si="5"/>
        <v>6</v>
      </c>
      <c r="W27" s="13">
        <f t="shared" si="5"/>
        <v>6</v>
      </c>
      <c r="X27" s="13">
        <f t="shared" si="2"/>
        <v>37</v>
      </c>
    </row>
    <row r="28" spans="1:24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W28" si="6">SUM(E19,E22,E25)</f>
        <v>98</v>
      </c>
      <c r="F28" s="13">
        <f t="shared" si="6"/>
        <v>100</v>
      </c>
      <c r="G28" s="13">
        <f t="shared" si="6"/>
        <v>88</v>
      </c>
      <c r="H28" s="13">
        <f t="shared" si="6"/>
        <v>100</v>
      </c>
      <c r="I28" s="13">
        <f t="shared" si="6"/>
        <v>92</v>
      </c>
      <c r="J28" s="13">
        <f t="shared" si="6"/>
        <v>99</v>
      </c>
      <c r="K28" s="13">
        <f t="shared" si="6"/>
        <v>95</v>
      </c>
      <c r="L28" s="13">
        <f t="shared" si="6"/>
        <v>82</v>
      </c>
      <c r="M28" s="13">
        <f t="shared" si="6"/>
        <v>84</v>
      </c>
      <c r="N28" s="13">
        <f t="shared" si="6"/>
        <v>94</v>
      </c>
      <c r="O28" s="13">
        <f t="shared" si="6"/>
        <v>91</v>
      </c>
      <c r="P28" s="13">
        <f t="shared" si="6"/>
        <v>74</v>
      </c>
      <c r="Q28" s="13">
        <f t="shared" si="6"/>
        <v>68</v>
      </c>
      <c r="R28" s="13">
        <f t="shared" si="6"/>
        <v>75</v>
      </c>
      <c r="S28" s="13">
        <f t="shared" si="6"/>
        <v>68</v>
      </c>
      <c r="T28" s="13">
        <f t="shared" si="6"/>
        <v>103</v>
      </c>
      <c r="U28" s="13">
        <f t="shared" si="6"/>
        <v>89</v>
      </c>
      <c r="V28" s="13">
        <f t="shared" si="6"/>
        <v>85</v>
      </c>
      <c r="W28" s="13">
        <f t="shared" si="6"/>
        <v>79</v>
      </c>
      <c r="X28" s="13">
        <f t="shared" si="2"/>
        <v>1664</v>
      </c>
    </row>
    <row r="29" spans="1:24" ht="12.75" customHeight="1" x14ac:dyDescent="0.4">
      <c r="A29" s="22"/>
      <c r="B29" s="77"/>
      <c r="C29" s="79"/>
      <c r="D29" s="13" t="s">
        <v>12</v>
      </c>
      <c r="E29" s="13">
        <f t="shared" ref="E29:W29" si="7">SUM(E20,E23,E26)</f>
        <v>129</v>
      </c>
      <c r="F29" s="13">
        <f t="shared" si="7"/>
        <v>127</v>
      </c>
      <c r="G29" s="13">
        <f t="shared" si="7"/>
        <v>117</v>
      </c>
      <c r="H29" s="13">
        <f t="shared" si="7"/>
        <v>110</v>
      </c>
      <c r="I29" s="13">
        <f t="shared" si="7"/>
        <v>102</v>
      </c>
      <c r="J29" s="13">
        <f t="shared" si="7"/>
        <v>103</v>
      </c>
      <c r="K29" s="13">
        <f t="shared" si="7"/>
        <v>113</v>
      </c>
      <c r="L29" s="13">
        <f t="shared" si="7"/>
        <v>99</v>
      </c>
      <c r="M29" s="13">
        <f t="shared" si="7"/>
        <v>113</v>
      </c>
      <c r="N29" s="13">
        <f t="shared" si="7"/>
        <v>117</v>
      </c>
      <c r="O29" s="13">
        <f t="shared" si="7"/>
        <v>110</v>
      </c>
      <c r="P29" s="13">
        <f t="shared" si="7"/>
        <v>86</v>
      </c>
      <c r="Q29" s="13">
        <f t="shared" si="7"/>
        <v>92</v>
      </c>
      <c r="R29" s="13">
        <f t="shared" si="7"/>
        <v>86</v>
      </c>
      <c r="S29" s="13">
        <f t="shared" si="7"/>
        <v>83</v>
      </c>
      <c r="T29" s="13">
        <f t="shared" si="7"/>
        <v>103</v>
      </c>
      <c r="U29" s="13">
        <f t="shared" si="7"/>
        <v>99</v>
      </c>
      <c r="V29" s="13">
        <f t="shared" si="7"/>
        <v>96</v>
      </c>
      <c r="W29" s="13">
        <f t="shared" si="7"/>
        <v>82</v>
      </c>
      <c r="X29" s="13">
        <f t="shared" si="2"/>
        <v>1967</v>
      </c>
    </row>
    <row r="30" spans="1:24" ht="12.75" customHeight="1" x14ac:dyDescent="0.4">
      <c r="A30" s="22"/>
      <c r="B30" s="69"/>
      <c r="C30" s="80"/>
      <c r="D30" s="13" t="s">
        <v>13</v>
      </c>
      <c r="E30" s="13">
        <f t="shared" ref="E30:W30" si="8">SUM(E28:E29)</f>
        <v>227</v>
      </c>
      <c r="F30" s="13">
        <f t="shared" si="8"/>
        <v>227</v>
      </c>
      <c r="G30" s="13">
        <f t="shared" si="8"/>
        <v>205</v>
      </c>
      <c r="H30" s="13">
        <f t="shared" si="8"/>
        <v>210</v>
      </c>
      <c r="I30" s="13">
        <f t="shared" si="8"/>
        <v>194</v>
      </c>
      <c r="J30" s="13">
        <f t="shared" si="8"/>
        <v>202</v>
      </c>
      <c r="K30" s="13">
        <f t="shared" si="8"/>
        <v>208</v>
      </c>
      <c r="L30" s="13">
        <f t="shared" si="8"/>
        <v>181</v>
      </c>
      <c r="M30" s="13">
        <f t="shared" si="8"/>
        <v>197</v>
      </c>
      <c r="N30" s="13">
        <f t="shared" si="8"/>
        <v>211</v>
      </c>
      <c r="O30" s="13">
        <f t="shared" si="8"/>
        <v>201</v>
      </c>
      <c r="P30" s="13">
        <f t="shared" si="8"/>
        <v>160</v>
      </c>
      <c r="Q30" s="13">
        <f t="shared" si="8"/>
        <v>160</v>
      </c>
      <c r="R30" s="13">
        <f t="shared" si="8"/>
        <v>161</v>
      </c>
      <c r="S30" s="13">
        <f t="shared" si="8"/>
        <v>151</v>
      </c>
      <c r="T30" s="13">
        <f t="shared" si="8"/>
        <v>206</v>
      </c>
      <c r="U30" s="13">
        <f t="shared" si="8"/>
        <v>188</v>
      </c>
      <c r="V30" s="13">
        <f t="shared" si="8"/>
        <v>181</v>
      </c>
      <c r="W30" s="13">
        <f t="shared" si="8"/>
        <v>161</v>
      </c>
      <c r="X30" s="13">
        <f t="shared" si="2"/>
        <v>3631</v>
      </c>
    </row>
    <row r="31" spans="1:24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9"/>
    </row>
    <row r="32" spans="1:24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49"/>
    </row>
    <row r="33" spans="1:24" ht="12.75" customHeight="1" x14ac:dyDescent="0.4">
      <c r="A33" s="16">
        <v>1</v>
      </c>
      <c r="B33" s="74" t="s">
        <v>26</v>
      </c>
      <c r="C33" s="61"/>
      <c r="D33" s="62"/>
      <c r="E33" s="16">
        <v>294</v>
      </c>
      <c r="F33" s="16">
        <v>289</v>
      </c>
      <c r="G33" s="16">
        <v>249</v>
      </c>
      <c r="H33" s="16">
        <v>278</v>
      </c>
      <c r="I33" s="16">
        <v>272</v>
      </c>
      <c r="J33" s="16">
        <v>263</v>
      </c>
      <c r="K33" s="16">
        <v>263</v>
      </c>
      <c r="L33" s="16">
        <v>249</v>
      </c>
      <c r="M33" s="16">
        <v>269</v>
      </c>
      <c r="N33" s="16">
        <v>269</v>
      </c>
      <c r="O33" s="16">
        <v>267</v>
      </c>
      <c r="P33" s="16">
        <v>230</v>
      </c>
      <c r="Q33" s="16">
        <v>230</v>
      </c>
      <c r="R33" s="16">
        <v>221</v>
      </c>
      <c r="S33" s="16">
        <v>206</v>
      </c>
      <c r="T33" s="16">
        <v>270</v>
      </c>
      <c r="U33" s="16">
        <v>253</v>
      </c>
      <c r="V33" s="16">
        <v>204</v>
      </c>
      <c r="W33" s="16">
        <v>197</v>
      </c>
      <c r="X33" s="13">
        <f t="shared" ref="X33:X36" si="9">SUM(E33:W33)</f>
        <v>4773</v>
      </c>
    </row>
    <row r="34" spans="1:24" ht="12.75" customHeight="1" x14ac:dyDescent="0.4">
      <c r="A34" s="16">
        <v>2</v>
      </c>
      <c r="B34" s="74" t="s">
        <v>27</v>
      </c>
      <c r="C34" s="61"/>
      <c r="D34" s="62"/>
      <c r="E34" s="13">
        <v>227</v>
      </c>
      <c r="F34" s="13">
        <v>227</v>
      </c>
      <c r="G34" s="13">
        <v>205</v>
      </c>
      <c r="H34" s="13">
        <v>210</v>
      </c>
      <c r="I34" s="13">
        <v>194</v>
      </c>
      <c r="J34" s="13">
        <v>202</v>
      </c>
      <c r="K34" s="13">
        <v>208</v>
      </c>
      <c r="L34" s="13">
        <v>181</v>
      </c>
      <c r="M34" s="13">
        <v>197</v>
      </c>
      <c r="N34" s="13">
        <v>211</v>
      </c>
      <c r="O34" s="13">
        <v>201</v>
      </c>
      <c r="P34" s="13">
        <v>160</v>
      </c>
      <c r="Q34" s="13">
        <v>160</v>
      </c>
      <c r="R34" s="13">
        <v>161</v>
      </c>
      <c r="S34" s="13">
        <v>151</v>
      </c>
      <c r="T34" s="13">
        <v>206</v>
      </c>
      <c r="U34" s="13">
        <v>188</v>
      </c>
      <c r="V34" s="13">
        <v>181</v>
      </c>
      <c r="W34" s="13">
        <v>161</v>
      </c>
      <c r="X34" s="13">
        <f t="shared" si="9"/>
        <v>3631</v>
      </c>
    </row>
    <row r="35" spans="1:24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1</v>
      </c>
      <c r="G35" s="16">
        <v>1</v>
      </c>
      <c r="H35" s="16">
        <v>0</v>
      </c>
      <c r="I35" s="16">
        <v>1</v>
      </c>
      <c r="J35" s="16">
        <v>0</v>
      </c>
      <c r="K35" s="16">
        <v>0</v>
      </c>
      <c r="L35" s="16">
        <v>0</v>
      </c>
      <c r="M35" s="16">
        <v>0</v>
      </c>
      <c r="N35" s="16">
        <v>1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1</v>
      </c>
      <c r="W35" s="16">
        <v>0</v>
      </c>
      <c r="X35" s="13">
        <f t="shared" si="9"/>
        <v>5</v>
      </c>
    </row>
    <row r="36" spans="1:24" ht="12.75" customHeight="1" x14ac:dyDescent="0.4">
      <c r="A36" s="16">
        <v>4</v>
      </c>
      <c r="B36" s="74" t="s">
        <v>29</v>
      </c>
      <c r="C36" s="61"/>
      <c r="D36" s="62"/>
      <c r="E36" s="13">
        <f t="shared" ref="E36:W36" si="10">E33-(E34+E35)</f>
        <v>67</v>
      </c>
      <c r="F36" s="13">
        <f t="shared" si="10"/>
        <v>61</v>
      </c>
      <c r="G36" s="13">
        <f t="shared" si="10"/>
        <v>43</v>
      </c>
      <c r="H36" s="13">
        <f t="shared" si="10"/>
        <v>68</v>
      </c>
      <c r="I36" s="13">
        <f t="shared" si="10"/>
        <v>77</v>
      </c>
      <c r="J36" s="13">
        <f t="shared" si="10"/>
        <v>61</v>
      </c>
      <c r="K36" s="13">
        <f t="shared" si="10"/>
        <v>55</v>
      </c>
      <c r="L36" s="13">
        <f t="shared" si="10"/>
        <v>68</v>
      </c>
      <c r="M36" s="13">
        <f t="shared" si="10"/>
        <v>72</v>
      </c>
      <c r="N36" s="13">
        <f t="shared" si="10"/>
        <v>57</v>
      </c>
      <c r="O36" s="13">
        <f t="shared" si="10"/>
        <v>66</v>
      </c>
      <c r="P36" s="13">
        <f t="shared" si="10"/>
        <v>70</v>
      </c>
      <c r="Q36" s="13">
        <f t="shared" si="10"/>
        <v>70</v>
      </c>
      <c r="R36" s="13">
        <f t="shared" si="10"/>
        <v>60</v>
      </c>
      <c r="S36" s="13">
        <f t="shared" si="10"/>
        <v>55</v>
      </c>
      <c r="T36" s="13">
        <f t="shared" si="10"/>
        <v>64</v>
      </c>
      <c r="U36" s="13">
        <f t="shared" si="10"/>
        <v>65</v>
      </c>
      <c r="V36" s="13">
        <f t="shared" si="10"/>
        <v>22</v>
      </c>
      <c r="W36" s="13">
        <f t="shared" si="10"/>
        <v>36</v>
      </c>
      <c r="X36" s="13">
        <f t="shared" si="9"/>
        <v>1137</v>
      </c>
    </row>
    <row r="37" spans="1:24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51"/>
      <c r="U37" s="51"/>
      <c r="V37" s="51"/>
      <c r="W37" s="51"/>
      <c r="X37" s="49"/>
    </row>
    <row r="38" spans="1:24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49"/>
    </row>
    <row r="39" spans="1:24" ht="12.75" customHeight="1" x14ac:dyDescent="0.4">
      <c r="A39" s="20"/>
      <c r="B39" s="84" t="s">
        <v>32</v>
      </c>
      <c r="C39" s="66"/>
      <c r="D39" s="16" t="s">
        <v>11</v>
      </c>
      <c r="E39" s="16">
        <v>1</v>
      </c>
      <c r="F39" s="16">
        <v>0</v>
      </c>
      <c r="G39" s="16">
        <v>0</v>
      </c>
      <c r="H39" s="16">
        <v>0</v>
      </c>
      <c r="I39" s="16">
        <v>0</v>
      </c>
      <c r="J39" s="16">
        <v>2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1</v>
      </c>
      <c r="T39" s="16">
        <v>0</v>
      </c>
      <c r="U39" s="16">
        <v>0</v>
      </c>
      <c r="V39" s="16">
        <v>3</v>
      </c>
      <c r="W39" s="16">
        <v>0</v>
      </c>
      <c r="X39" s="13">
        <f t="shared" ref="X39:X41" si="11">SUM(E39:W39)</f>
        <v>7</v>
      </c>
    </row>
    <row r="40" spans="1:24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1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1</v>
      </c>
      <c r="S40" s="16">
        <v>0</v>
      </c>
      <c r="T40" s="16">
        <v>0</v>
      </c>
      <c r="U40" s="16">
        <v>0</v>
      </c>
      <c r="V40" s="16">
        <v>3</v>
      </c>
      <c r="W40" s="16">
        <v>0</v>
      </c>
      <c r="X40" s="13">
        <f t="shared" si="11"/>
        <v>5</v>
      </c>
    </row>
    <row r="41" spans="1:24" ht="12.75" customHeight="1" x14ac:dyDescent="0.4">
      <c r="A41" s="25"/>
      <c r="B41" s="68"/>
      <c r="C41" s="69"/>
      <c r="D41" s="13" t="s">
        <v>13</v>
      </c>
      <c r="E41" s="13">
        <f t="shared" ref="E41:W41" si="12">SUM(E39:E40)</f>
        <v>1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3</v>
      </c>
      <c r="K41" s="13">
        <f t="shared" si="12"/>
        <v>0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1</v>
      </c>
      <c r="S41" s="13">
        <f t="shared" si="12"/>
        <v>1</v>
      </c>
      <c r="T41" s="13">
        <f t="shared" si="12"/>
        <v>0</v>
      </c>
      <c r="U41" s="13">
        <f t="shared" si="12"/>
        <v>0</v>
      </c>
      <c r="V41" s="13">
        <f t="shared" si="12"/>
        <v>6</v>
      </c>
      <c r="W41" s="13">
        <f t="shared" si="12"/>
        <v>0</v>
      </c>
      <c r="X41" s="13">
        <f t="shared" si="11"/>
        <v>12</v>
      </c>
    </row>
    <row r="42" spans="1:24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48"/>
      <c r="U42" s="16"/>
      <c r="V42" s="48"/>
      <c r="W42" s="16"/>
      <c r="X42" s="13"/>
    </row>
    <row r="43" spans="1:24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50"/>
      <c r="U43" s="13"/>
      <c r="V43" s="50"/>
      <c r="W43" s="13"/>
      <c r="X43" s="13"/>
    </row>
    <row r="44" spans="1:24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48"/>
      <c r="U44" s="16"/>
      <c r="V44" s="48"/>
      <c r="W44" s="16"/>
      <c r="X44" s="13"/>
    </row>
    <row r="45" spans="1:24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1</v>
      </c>
      <c r="F45" s="16">
        <v>3</v>
      </c>
      <c r="G45" s="16">
        <v>10</v>
      </c>
      <c r="H45" s="16">
        <v>6</v>
      </c>
      <c r="I45" s="16">
        <v>8</v>
      </c>
      <c r="J45" s="16">
        <v>5</v>
      </c>
      <c r="K45" s="16">
        <v>6</v>
      </c>
      <c r="L45" s="16">
        <v>4</v>
      </c>
      <c r="M45" s="16">
        <v>4</v>
      </c>
      <c r="N45" s="16">
        <v>8</v>
      </c>
      <c r="O45" s="16">
        <v>3</v>
      </c>
      <c r="P45" s="16">
        <v>2</v>
      </c>
      <c r="Q45" s="16">
        <v>3</v>
      </c>
      <c r="R45" s="16">
        <v>2</v>
      </c>
      <c r="S45" s="16">
        <v>4</v>
      </c>
      <c r="T45" s="16">
        <v>4</v>
      </c>
      <c r="U45" s="16">
        <v>4</v>
      </c>
      <c r="V45" s="16">
        <v>8</v>
      </c>
      <c r="W45" s="16">
        <v>1</v>
      </c>
      <c r="X45" s="13">
        <f t="shared" ref="X45:X54" si="13">SUM(E45:W45)</f>
        <v>86</v>
      </c>
    </row>
    <row r="46" spans="1:24" ht="12.75" customHeight="1" x14ac:dyDescent="0.4">
      <c r="A46" s="20" t="s">
        <v>38</v>
      </c>
      <c r="B46" s="28"/>
      <c r="C46" s="29" t="s">
        <v>39</v>
      </c>
      <c r="D46" s="30"/>
      <c r="E46" s="16">
        <v>2</v>
      </c>
      <c r="F46" s="16">
        <v>0</v>
      </c>
      <c r="G46" s="16">
        <v>1</v>
      </c>
      <c r="H46" s="16">
        <v>2</v>
      </c>
      <c r="I46" s="16">
        <v>5</v>
      </c>
      <c r="J46" s="16">
        <v>12</v>
      </c>
      <c r="K46" s="16">
        <v>5</v>
      </c>
      <c r="L46" s="16">
        <v>1</v>
      </c>
      <c r="M46" s="16">
        <v>9</v>
      </c>
      <c r="N46" s="16">
        <v>6</v>
      </c>
      <c r="O46" s="16">
        <v>5</v>
      </c>
      <c r="P46" s="16">
        <v>1</v>
      </c>
      <c r="Q46" s="16">
        <v>6</v>
      </c>
      <c r="R46" s="16">
        <v>2</v>
      </c>
      <c r="S46" s="16">
        <v>0</v>
      </c>
      <c r="T46" s="16">
        <v>2</v>
      </c>
      <c r="U46" s="16">
        <v>5</v>
      </c>
      <c r="V46" s="16">
        <v>2</v>
      </c>
      <c r="W46" s="16">
        <v>2</v>
      </c>
      <c r="X46" s="13">
        <f t="shared" si="13"/>
        <v>68</v>
      </c>
    </row>
    <row r="47" spans="1:24" ht="12.75" customHeight="1" x14ac:dyDescent="0.4">
      <c r="A47" s="15"/>
      <c r="B47" s="28"/>
      <c r="C47" s="29" t="s">
        <v>40</v>
      </c>
      <c r="D47" s="30"/>
      <c r="E47" s="16">
        <v>2</v>
      </c>
      <c r="F47" s="16">
        <v>1</v>
      </c>
      <c r="G47" s="16">
        <v>2</v>
      </c>
      <c r="H47" s="16">
        <v>1</v>
      </c>
      <c r="I47" s="16">
        <v>7</v>
      </c>
      <c r="J47" s="16">
        <v>14</v>
      </c>
      <c r="K47" s="16">
        <v>6</v>
      </c>
      <c r="L47" s="16">
        <v>6</v>
      </c>
      <c r="M47" s="16">
        <v>7</v>
      </c>
      <c r="N47" s="16">
        <v>4</v>
      </c>
      <c r="O47" s="16">
        <v>4</v>
      </c>
      <c r="P47" s="16">
        <v>1</v>
      </c>
      <c r="Q47" s="16">
        <v>1</v>
      </c>
      <c r="R47" s="16">
        <v>4</v>
      </c>
      <c r="S47" s="16">
        <v>7</v>
      </c>
      <c r="T47" s="16">
        <v>2</v>
      </c>
      <c r="U47" s="16">
        <v>3</v>
      </c>
      <c r="V47" s="16">
        <v>14</v>
      </c>
      <c r="W47" s="16">
        <v>1</v>
      </c>
      <c r="X47" s="13">
        <f t="shared" si="13"/>
        <v>87</v>
      </c>
    </row>
    <row r="48" spans="1:24" ht="12.75" customHeight="1" x14ac:dyDescent="0.4">
      <c r="A48" s="15"/>
      <c r="B48" s="28"/>
      <c r="C48" s="29" t="s">
        <v>41</v>
      </c>
      <c r="D48" s="30"/>
      <c r="E48" s="16">
        <v>1</v>
      </c>
      <c r="F48" s="16">
        <v>0</v>
      </c>
      <c r="G48" s="16">
        <v>0</v>
      </c>
      <c r="H48" s="16">
        <v>1</v>
      </c>
      <c r="I48" s="16">
        <v>0</v>
      </c>
      <c r="J48" s="16">
        <v>1</v>
      </c>
      <c r="K48" s="16">
        <v>0</v>
      </c>
      <c r="L48" s="16">
        <v>1</v>
      </c>
      <c r="M48" s="16">
        <v>1</v>
      </c>
      <c r="N48" s="16">
        <v>0</v>
      </c>
      <c r="O48" s="16">
        <v>0</v>
      </c>
      <c r="P48" s="16">
        <v>1</v>
      </c>
      <c r="Q48" s="16">
        <v>1</v>
      </c>
      <c r="R48" s="16">
        <v>0</v>
      </c>
      <c r="S48" s="16">
        <v>0</v>
      </c>
      <c r="T48" s="16">
        <v>0</v>
      </c>
      <c r="U48" s="16">
        <v>0</v>
      </c>
      <c r="V48" s="16">
        <v>1</v>
      </c>
      <c r="W48" s="16">
        <v>2</v>
      </c>
      <c r="X48" s="13">
        <f t="shared" si="13"/>
        <v>10</v>
      </c>
    </row>
    <row r="49" spans="1:24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1</v>
      </c>
      <c r="H49" s="16">
        <v>1</v>
      </c>
      <c r="I49" s="16">
        <v>0</v>
      </c>
      <c r="J49" s="16">
        <v>0</v>
      </c>
      <c r="K49" s="16">
        <v>0</v>
      </c>
      <c r="L49" s="16">
        <v>0</v>
      </c>
      <c r="M49" s="16">
        <v>2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1</v>
      </c>
      <c r="T49" s="16">
        <v>0</v>
      </c>
      <c r="U49" s="16">
        <v>0</v>
      </c>
      <c r="V49" s="16">
        <v>0</v>
      </c>
      <c r="W49" s="16">
        <v>0</v>
      </c>
      <c r="X49" s="13">
        <f t="shared" si="13"/>
        <v>5</v>
      </c>
    </row>
    <row r="50" spans="1:24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1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1</v>
      </c>
      <c r="X50" s="13">
        <f t="shared" si="13"/>
        <v>2</v>
      </c>
    </row>
    <row r="51" spans="1:24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3</v>
      </c>
      <c r="O51" s="16">
        <v>0</v>
      </c>
      <c r="P51" s="16">
        <v>0</v>
      </c>
      <c r="Q51" s="16">
        <v>0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3">
        <f t="shared" si="13"/>
        <v>4</v>
      </c>
    </row>
    <row r="52" spans="1:24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13">
        <f t="shared" si="13"/>
        <v>0</v>
      </c>
    </row>
    <row r="53" spans="1:24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13">
        <f t="shared" si="13"/>
        <v>0</v>
      </c>
    </row>
    <row r="54" spans="1:24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13">
        <f t="shared" si="13"/>
        <v>0</v>
      </c>
    </row>
    <row r="55" spans="1:24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X55" si="14">SUM(E45:E54)</f>
        <v>6</v>
      </c>
      <c r="F55" s="13">
        <f t="shared" si="14"/>
        <v>5</v>
      </c>
      <c r="G55" s="13">
        <f t="shared" si="14"/>
        <v>14</v>
      </c>
      <c r="H55" s="13">
        <f t="shared" si="14"/>
        <v>11</v>
      </c>
      <c r="I55" s="13">
        <f t="shared" si="14"/>
        <v>20</v>
      </c>
      <c r="J55" s="13">
        <f t="shared" si="14"/>
        <v>32</v>
      </c>
      <c r="K55" s="13">
        <f t="shared" si="14"/>
        <v>17</v>
      </c>
      <c r="L55" s="13">
        <f t="shared" si="14"/>
        <v>12</v>
      </c>
      <c r="M55" s="13">
        <f t="shared" si="14"/>
        <v>23</v>
      </c>
      <c r="N55" s="13">
        <f t="shared" si="14"/>
        <v>21</v>
      </c>
      <c r="O55" s="13">
        <f t="shared" si="14"/>
        <v>12</v>
      </c>
      <c r="P55" s="13">
        <f t="shared" si="14"/>
        <v>5</v>
      </c>
      <c r="Q55" s="13">
        <f t="shared" si="14"/>
        <v>11</v>
      </c>
      <c r="R55" s="13">
        <f t="shared" si="14"/>
        <v>8</v>
      </c>
      <c r="S55" s="13">
        <f t="shared" si="14"/>
        <v>12</v>
      </c>
      <c r="T55" s="13">
        <f t="shared" si="14"/>
        <v>9</v>
      </c>
      <c r="U55" s="13">
        <f t="shared" si="14"/>
        <v>12</v>
      </c>
      <c r="V55" s="13">
        <f t="shared" si="14"/>
        <v>25</v>
      </c>
      <c r="W55" s="13">
        <f t="shared" si="14"/>
        <v>7</v>
      </c>
      <c r="X55" s="13">
        <f t="shared" si="14"/>
        <v>262</v>
      </c>
    </row>
    <row r="56" spans="1:24" ht="12.75" customHeight="1" x14ac:dyDescent="0.4">
      <c r="A56" s="86"/>
      <c r="B56" s="68"/>
      <c r="C56" s="68"/>
      <c r="D56" s="68"/>
      <c r="E56" s="68"/>
      <c r="X56" s="13"/>
    </row>
    <row r="57" spans="1:24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7</v>
      </c>
      <c r="F57" s="16">
        <v>11</v>
      </c>
      <c r="G57" s="16">
        <v>7</v>
      </c>
      <c r="H57" s="16">
        <v>9</v>
      </c>
      <c r="I57" s="16">
        <v>5</v>
      </c>
      <c r="J57" s="16">
        <v>7</v>
      </c>
      <c r="K57" s="16">
        <v>3</v>
      </c>
      <c r="L57" s="16">
        <v>9</v>
      </c>
      <c r="M57" s="16">
        <v>4</v>
      </c>
      <c r="N57" s="16">
        <v>8</v>
      </c>
      <c r="O57" s="16">
        <v>7</v>
      </c>
      <c r="P57" s="16">
        <v>5</v>
      </c>
      <c r="Q57" s="16">
        <v>5</v>
      </c>
      <c r="R57" s="16">
        <v>8</v>
      </c>
      <c r="S57" s="16">
        <v>4</v>
      </c>
      <c r="T57" s="16">
        <v>10</v>
      </c>
      <c r="U57" s="16">
        <v>7</v>
      </c>
      <c r="V57" s="16">
        <v>5</v>
      </c>
      <c r="W57" s="16">
        <v>2</v>
      </c>
      <c r="X57" s="13">
        <f t="shared" ref="X57:X66" si="15">SUM(E57:W57)</f>
        <v>123</v>
      </c>
    </row>
    <row r="58" spans="1:24" ht="12.75" customHeight="1" x14ac:dyDescent="0.4">
      <c r="A58" s="20" t="s">
        <v>38</v>
      </c>
      <c r="B58" s="28"/>
      <c r="C58" s="29" t="s">
        <v>47</v>
      </c>
      <c r="D58" s="30"/>
      <c r="E58" s="16">
        <v>5</v>
      </c>
      <c r="F58" s="16">
        <v>3</v>
      </c>
      <c r="G58" s="16">
        <v>6</v>
      </c>
      <c r="H58" s="16">
        <v>3</v>
      </c>
      <c r="I58" s="16">
        <v>5</v>
      </c>
      <c r="J58" s="16">
        <v>4</v>
      </c>
      <c r="K58" s="16">
        <v>9</v>
      </c>
      <c r="L58" s="16">
        <v>2</v>
      </c>
      <c r="M58" s="16">
        <v>6</v>
      </c>
      <c r="N58" s="16">
        <v>7</v>
      </c>
      <c r="O58" s="16">
        <v>4</v>
      </c>
      <c r="P58" s="16">
        <v>2</v>
      </c>
      <c r="Q58" s="16">
        <v>1</v>
      </c>
      <c r="R58" s="16">
        <v>5</v>
      </c>
      <c r="S58" s="16">
        <v>5</v>
      </c>
      <c r="T58" s="16">
        <v>1</v>
      </c>
      <c r="U58" s="16">
        <v>11</v>
      </c>
      <c r="V58" s="16">
        <v>1</v>
      </c>
      <c r="W58" s="16">
        <v>2</v>
      </c>
      <c r="X58" s="13">
        <f t="shared" si="15"/>
        <v>82</v>
      </c>
    </row>
    <row r="59" spans="1:24" ht="12.75" customHeight="1" x14ac:dyDescent="0.4">
      <c r="A59" s="15"/>
      <c r="B59" s="28"/>
      <c r="C59" s="29" t="s">
        <v>48</v>
      </c>
      <c r="D59" s="30"/>
      <c r="E59" s="16">
        <v>2</v>
      </c>
      <c r="F59" s="16">
        <v>3</v>
      </c>
      <c r="G59" s="16">
        <v>1</v>
      </c>
      <c r="H59" s="16">
        <v>6</v>
      </c>
      <c r="I59" s="16">
        <v>3</v>
      </c>
      <c r="J59" s="16">
        <v>1</v>
      </c>
      <c r="K59" s="16">
        <v>0</v>
      </c>
      <c r="L59" s="16">
        <v>1</v>
      </c>
      <c r="M59" s="16">
        <v>0</v>
      </c>
      <c r="N59" s="16">
        <v>1</v>
      </c>
      <c r="O59" s="16">
        <v>1</v>
      </c>
      <c r="P59" s="16">
        <v>1</v>
      </c>
      <c r="Q59" s="16">
        <v>2</v>
      </c>
      <c r="R59" s="16">
        <v>2</v>
      </c>
      <c r="S59" s="16">
        <v>2</v>
      </c>
      <c r="T59" s="16">
        <v>4</v>
      </c>
      <c r="U59" s="16">
        <v>1</v>
      </c>
      <c r="V59" s="16">
        <v>0</v>
      </c>
      <c r="W59" s="16">
        <v>1</v>
      </c>
      <c r="X59" s="13">
        <f t="shared" si="15"/>
        <v>32</v>
      </c>
    </row>
    <row r="60" spans="1:24" ht="12.75" customHeight="1" x14ac:dyDescent="0.4">
      <c r="A60" s="15"/>
      <c r="B60" s="28"/>
      <c r="C60" s="29" t="s">
        <v>49</v>
      </c>
      <c r="D60" s="30"/>
      <c r="E60" s="16">
        <v>3</v>
      </c>
      <c r="F60" s="16">
        <v>1</v>
      </c>
      <c r="G60" s="16">
        <v>0</v>
      </c>
      <c r="H60" s="16">
        <v>5</v>
      </c>
      <c r="I60" s="16">
        <v>3</v>
      </c>
      <c r="J60" s="16">
        <v>1</v>
      </c>
      <c r="K60" s="16">
        <v>2</v>
      </c>
      <c r="L60" s="16">
        <v>3</v>
      </c>
      <c r="M60" s="16">
        <v>0</v>
      </c>
      <c r="N60" s="16">
        <v>1</v>
      </c>
      <c r="O60" s="16">
        <v>2</v>
      </c>
      <c r="P60" s="16">
        <v>1</v>
      </c>
      <c r="Q60" s="16">
        <v>0</v>
      </c>
      <c r="R60" s="16">
        <v>0</v>
      </c>
      <c r="S60" s="16">
        <v>2</v>
      </c>
      <c r="T60" s="16">
        <v>1</v>
      </c>
      <c r="U60" s="16">
        <v>2</v>
      </c>
      <c r="V60" s="16">
        <v>0</v>
      </c>
      <c r="W60" s="16">
        <v>1</v>
      </c>
      <c r="X60" s="13">
        <f t="shared" si="15"/>
        <v>28</v>
      </c>
    </row>
    <row r="61" spans="1:24" ht="12.75" customHeight="1" x14ac:dyDescent="0.4">
      <c r="A61" s="15"/>
      <c r="B61" s="28"/>
      <c r="C61" s="29" t="s">
        <v>50</v>
      </c>
      <c r="D61" s="30"/>
      <c r="E61" s="16">
        <v>1</v>
      </c>
      <c r="F61" s="16">
        <v>1</v>
      </c>
      <c r="G61" s="16">
        <v>0</v>
      </c>
      <c r="H61" s="16">
        <v>0</v>
      </c>
      <c r="I61" s="16">
        <v>0</v>
      </c>
      <c r="J61" s="16">
        <v>0</v>
      </c>
      <c r="K61" s="16">
        <v>0</v>
      </c>
      <c r="L61" s="16">
        <v>1</v>
      </c>
      <c r="M61" s="16">
        <v>0</v>
      </c>
      <c r="N61" s="16">
        <v>3</v>
      </c>
      <c r="O61" s="16">
        <v>2</v>
      </c>
      <c r="P61" s="16">
        <v>1</v>
      </c>
      <c r="Q61" s="16">
        <v>0</v>
      </c>
      <c r="R61" s="16">
        <v>2</v>
      </c>
      <c r="S61" s="16">
        <v>1</v>
      </c>
      <c r="T61" s="16">
        <v>1</v>
      </c>
      <c r="U61" s="16">
        <v>0</v>
      </c>
      <c r="V61" s="16">
        <v>1</v>
      </c>
      <c r="W61" s="16">
        <v>2</v>
      </c>
      <c r="X61" s="13">
        <f t="shared" si="15"/>
        <v>16</v>
      </c>
    </row>
    <row r="62" spans="1:24" ht="12.75" customHeight="1" x14ac:dyDescent="0.4">
      <c r="A62" s="15"/>
      <c r="B62" s="28"/>
      <c r="C62" s="29" t="s">
        <v>51</v>
      </c>
      <c r="D62" s="30"/>
      <c r="E62" s="16">
        <v>10</v>
      </c>
      <c r="F62" s="16">
        <v>0</v>
      </c>
      <c r="G62" s="16">
        <v>2</v>
      </c>
      <c r="H62" s="16">
        <v>6</v>
      </c>
      <c r="I62" s="16">
        <v>5</v>
      </c>
      <c r="J62" s="16">
        <v>4</v>
      </c>
      <c r="K62" s="16">
        <v>25</v>
      </c>
      <c r="L62" s="16">
        <v>7</v>
      </c>
      <c r="M62" s="16">
        <v>5</v>
      </c>
      <c r="N62" s="16">
        <v>1</v>
      </c>
      <c r="O62" s="16">
        <v>4</v>
      </c>
      <c r="P62" s="16">
        <v>0</v>
      </c>
      <c r="Q62" s="16">
        <v>1</v>
      </c>
      <c r="R62" s="16">
        <v>0</v>
      </c>
      <c r="S62" s="16">
        <v>0</v>
      </c>
      <c r="T62" s="16">
        <v>0</v>
      </c>
      <c r="U62" s="16">
        <v>0</v>
      </c>
      <c r="V62" s="16">
        <v>1</v>
      </c>
      <c r="W62" s="16">
        <v>0</v>
      </c>
      <c r="X62" s="13">
        <f t="shared" si="15"/>
        <v>71</v>
      </c>
    </row>
    <row r="63" spans="1:24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0</v>
      </c>
      <c r="G63" s="16">
        <v>0</v>
      </c>
      <c r="H63" s="16">
        <v>0</v>
      </c>
      <c r="I63" s="16">
        <v>0</v>
      </c>
      <c r="J63" s="16">
        <v>0</v>
      </c>
      <c r="K63" s="16">
        <v>1</v>
      </c>
      <c r="L63" s="16">
        <v>0</v>
      </c>
      <c r="M63" s="16">
        <v>0</v>
      </c>
      <c r="N63" s="16">
        <v>0</v>
      </c>
      <c r="O63" s="16">
        <v>0</v>
      </c>
      <c r="P63" s="16">
        <v>0</v>
      </c>
      <c r="Q63" s="16">
        <v>0</v>
      </c>
      <c r="R63" s="16">
        <v>0</v>
      </c>
      <c r="S63" s="16">
        <v>1</v>
      </c>
      <c r="T63" s="16">
        <v>0</v>
      </c>
      <c r="U63" s="16">
        <v>1</v>
      </c>
      <c r="V63" s="16">
        <v>0</v>
      </c>
      <c r="W63" s="16">
        <v>0</v>
      </c>
      <c r="X63" s="13">
        <f t="shared" si="15"/>
        <v>3</v>
      </c>
    </row>
    <row r="64" spans="1:24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13">
        <f t="shared" si="15"/>
        <v>0</v>
      </c>
    </row>
    <row r="65" spans="1:24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13">
        <f t="shared" si="15"/>
        <v>0</v>
      </c>
    </row>
    <row r="66" spans="1:24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13">
        <f t="shared" si="15"/>
        <v>0</v>
      </c>
    </row>
    <row r="67" spans="1:24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X67" si="16">SUM(E57:E66)</f>
        <v>28</v>
      </c>
      <c r="F67" s="13">
        <f t="shared" si="16"/>
        <v>19</v>
      </c>
      <c r="G67" s="13">
        <f t="shared" si="16"/>
        <v>16</v>
      </c>
      <c r="H67" s="13">
        <f t="shared" si="16"/>
        <v>29</v>
      </c>
      <c r="I67" s="13">
        <f t="shared" si="16"/>
        <v>21</v>
      </c>
      <c r="J67" s="13">
        <f t="shared" si="16"/>
        <v>17</v>
      </c>
      <c r="K67" s="13">
        <f t="shared" si="16"/>
        <v>40</v>
      </c>
      <c r="L67" s="13">
        <f t="shared" si="16"/>
        <v>23</v>
      </c>
      <c r="M67" s="13">
        <f t="shared" si="16"/>
        <v>15</v>
      </c>
      <c r="N67" s="13">
        <f t="shared" si="16"/>
        <v>21</v>
      </c>
      <c r="O67" s="13">
        <f t="shared" si="16"/>
        <v>20</v>
      </c>
      <c r="P67" s="13">
        <f t="shared" si="16"/>
        <v>10</v>
      </c>
      <c r="Q67" s="13">
        <f t="shared" si="16"/>
        <v>9</v>
      </c>
      <c r="R67" s="13">
        <f t="shared" si="16"/>
        <v>17</v>
      </c>
      <c r="S67" s="13">
        <f t="shared" si="16"/>
        <v>15</v>
      </c>
      <c r="T67" s="13">
        <f t="shared" si="16"/>
        <v>17</v>
      </c>
      <c r="U67" s="13">
        <f t="shared" si="16"/>
        <v>22</v>
      </c>
      <c r="V67" s="13">
        <f t="shared" si="16"/>
        <v>8</v>
      </c>
      <c r="W67" s="13">
        <f t="shared" si="16"/>
        <v>8</v>
      </c>
      <c r="X67" s="13">
        <f t="shared" si="16"/>
        <v>355</v>
      </c>
    </row>
    <row r="68" spans="1:24" ht="12.75" customHeight="1" x14ac:dyDescent="0.4">
      <c r="A68" s="86"/>
      <c r="B68" s="68"/>
      <c r="C68" s="68"/>
      <c r="D68" s="68"/>
      <c r="E68" s="68"/>
    </row>
    <row r="69" spans="1:24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13</v>
      </c>
      <c r="F69" s="16">
        <v>23</v>
      </c>
      <c r="G69" s="16">
        <v>11</v>
      </c>
      <c r="H69" s="16">
        <v>12</v>
      </c>
      <c r="I69" s="16">
        <v>6</v>
      </c>
      <c r="J69" s="16">
        <v>5</v>
      </c>
      <c r="K69" s="16">
        <v>9</v>
      </c>
      <c r="L69" s="16">
        <v>4</v>
      </c>
      <c r="M69" s="16">
        <v>8</v>
      </c>
      <c r="N69" s="16">
        <v>5</v>
      </c>
      <c r="O69" s="16">
        <v>9</v>
      </c>
      <c r="P69" s="16">
        <v>11</v>
      </c>
      <c r="Q69" s="16">
        <v>6</v>
      </c>
      <c r="R69" s="16">
        <v>8</v>
      </c>
      <c r="S69" s="16">
        <v>8</v>
      </c>
      <c r="T69" s="16">
        <v>7</v>
      </c>
      <c r="U69" s="16">
        <v>3</v>
      </c>
      <c r="V69" s="16">
        <v>3</v>
      </c>
      <c r="W69" s="16">
        <v>0</v>
      </c>
      <c r="X69" s="13">
        <f t="shared" ref="X69:X78" si="17">SUM(E69:W69)</f>
        <v>151</v>
      </c>
    </row>
    <row r="70" spans="1:24" ht="12.75" customHeight="1" x14ac:dyDescent="0.4">
      <c r="A70" s="20" t="s">
        <v>38</v>
      </c>
      <c r="B70" s="28"/>
      <c r="C70" s="29" t="s">
        <v>54</v>
      </c>
      <c r="D70" s="30"/>
      <c r="E70" s="16">
        <v>29</v>
      </c>
      <c r="F70" s="16">
        <v>18</v>
      </c>
      <c r="G70" s="16">
        <v>3</v>
      </c>
      <c r="H70" s="16">
        <v>6</v>
      </c>
      <c r="I70" s="16">
        <v>4</v>
      </c>
      <c r="J70" s="16">
        <v>1</v>
      </c>
      <c r="K70" s="16">
        <v>2</v>
      </c>
      <c r="L70" s="16">
        <v>4</v>
      </c>
      <c r="M70" s="16">
        <v>1</v>
      </c>
      <c r="N70" s="16">
        <v>5</v>
      </c>
      <c r="O70" s="16">
        <v>1</v>
      </c>
      <c r="P70" s="16">
        <v>4</v>
      </c>
      <c r="Q70" s="16">
        <v>5</v>
      </c>
      <c r="R70" s="16">
        <v>2</v>
      </c>
      <c r="S70" s="16">
        <v>1</v>
      </c>
      <c r="T70" s="16">
        <v>4</v>
      </c>
      <c r="U70" s="16">
        <v>2</v>
      </c>
      <c r="V70" s="16">
        <v>0</v>
      </c>
      <c r="W70" s="16">
        <v>0</v>
      </c>
      <c r="X70" s="13">
        <f t="shared" si="17"/>
        <v>92</v>
      </c>
    </row>
    <row r="71" spans="1:24" ht="12.75" customHeight="1" x14ac:dyDescent="0.4">
      <c r="A71" s="15"/>
      <c r="B71" s="28"/>
      <c r="C71" s="29" t="s">
        <v>55</v>
      </c>
      <c r="D71" s="30"/>
      <c r="E71" s="16">
        <v>6</v>
      </c>
      <c r="F71" s="16">
        <v>7</v>
      </c>
      <c r="G71" s="16">
        <v>5</v>
      </c>
      <c r="H71" s="16">
        <v>9</v>
      </c>
      <c r="I71" s="16">
        <v>7</v>
      </c>
      <c r="J71" s="16">
        <v>6</v>
      </c>
      <c r="K71" s="16">
        <v>1</v>
      </c>
      <c r="L71" s="16">
        <v>4</v>
      </c>
      <c r="M71" s="16">
        <v>3</v>
      </c>
      <c r="N71" s="16">
        <v>11</v>
      </c>
      <c r="O71" s="16">
        <v>5</v>
      </c>
      <c r="P71" s="16">
        <v>56</v>
      </c>
      <c r="Q71" s="16">
        <v>40</v>
      </c>
      <c r="R71" s="16">
        <v>29</v>
      </c>
      <c r="S71" s="16">
        <v>4</v>
      </c>
      <c r="T71" s="16">
        <v>3</v>
      </c>
      <c r="U71" s="16">
        <v>4</v>
      </c>
      <c r="V71" s="16">
        <v>11</v>
      </c>
      <c r="W71" s="16">
        <v>2</v>
      </c>
      <c r="X71" s="13">
        <f t="shared" si="17"/>
        <v>213</v>
      </c>
    </row>
    <row r="72" spans="1:24" ht="12.75" customHeight="1" x14ac:dyDescent="0.4">
      <c r="A72" s="15"/>
      <c r="B72" s="28"/>
      <c r="C72" s="29" t="s">
        <v>56</v>
      </c>
      <c r="D72" s="30"/>
      <c r="E72" s="16">
        <v>15</v>
      </c>
      <c r="F72" s="16">
        <v>8</v>
      </c>
      <c r="G72" s="16">
        <v>23</v>
      </c>
      <c r="H72" s="16">
        <v>11</v>
      </c>
      <c r="I72" s="16">
        <v>15</v>
      </c>
      <c r="J72" s="16">
        <v>5</v>
      </c>
      <c r="K72" s="16">
        <v>7</v>
      </c>
      <c r="L72" s="16">
        <v>6</v>
      </c>
      <c r="M72" s="16">
        <v>7</v>
      </c>
      <c r="N72" s="16">
        <v>6</v>
      </c>
      <c r="O72" s="16">
        <v>12</v>
      </c>
      <c r="P72" s="16">
        <v>4</v>
      </c>
      <c r="Q72" s="16">
        <v>1</v>
      </c>
      <c r="R72" s="16">
        <v>2</v>
      </c>
      <c r="S72" s="16">
        <v>11</v>
      </c>
      <c r="T72" s="16">
        <v>28</v>
      </c>
      <c r="U72" s="16">
        <v>5</v>
      </c>
      <c r="V72" s="16">
        <v>2</v>
      </c>
      <c r="W72" s="16">
        <v>0</v>
      </c>
      <c r="X72" s="13">
        <f t="shared" si="17"/>
        <v>168</v>
      </c>
    </row>
    <row r="73" spans="1:24" ht="12.75" customHeight="1" x14ac:dyDescent="0.4">
      <c r="A73" s="15"/>
      <c r="B73" s="28"/>
      <c r="C73" s="29" t="s">
        <v>57</v>
      </c>
      <c r="D73" s="30"/>
      <c r="E73" s="16">
        <v>5</v>
      </c>
      <c r="F73" s="16">
        <v>0</v>
      </c>
      <c r="G73" s="16">
        <v>1</v>
      </c>
      <c r="H73" s="16">
        <v>4</v>
      </c>
      <c r="I73" s="16">
        <v>2</v>
      </c>
      <c r="J73" s="16">
        <v>0</v>
      </c>
      <c r="K73" s="16">
        <v>1</v>
      </c>
      <c r="L73" s="16">
        <v>0</v>
      </c>
      <c r="M73" s="16">
        <v>2</v>
      </c>
      <c r="N73" s="16">
        <v>1</v>
      </c>
      <c r="O73" s="16">
        <v>0</v>
      </c>
      <c r="P73" s="16">
        <v>1</v>
      </c>
      <c r="Q73" s="16">
        <v>1</v>
      </c>
      <c r="R73" s="16">
        <v>1</v>
      </c>
      <c r="S73" s="16">
        <v>1</v>
      </c>
      <c r="T73" s="16">
        <v>0</v>
      </c>
      <c r="U73" s="16">
        <v>1</v>
      </c>
      <c r="V73" s="16">
        <v>0</v>
      </c>
      <c r="W73" s="16">
        <v>0</v>
      </c>
      <c r="X73" s="13">
        <f t="shared" si="17"/>
        <v>21</v>
      </c>
    </row>
    <row r="74" spans="1:24" ht="12.75" customHeight="1" x14ac:dyDescent="0.4">
      <c r="A74" s="15"/>
      <c r="B74" s="28"/>
      <c r="C74" s="29" t="s">
        <v>58</v>
      </c>
      <c r="D74" s="30"/>
      <c r="E74" s="16">
        <v>3</v>
      </c>
      <c r="F74" s="16">
        <v>1</v>
      </c>
      <c r="G74" s="16">
        <v>11</v>
      </c>
      <c r="H74" s="16">
        <v>35</v>
      </c>
      <c r="I74" s="16">
        <v>8</v>
      </c>
      <c r="J74" s="16">
        <v>10</v>
      </c>
      <c r="K74" s="16">
        <v>0</v>
      </c>
      <c r="L74" s="16">
        <v>0</v>
      </c>
      <c r="M74" s="16">
        <v>3</v>
      </c>
      <c r="N74" s="16">
        <v>4</v>
      </c>
      <c r="O74" s="16">
        <v>7</v>
      </c>
      <c r="P74" s="16">
        <v>0</v>
      </c>
      <c r="Q74" s="16">
        <v>2</v>
      </c>
      <c r="R74" s="16">
        <v>1</v>
      </c>
      <c r="S74" s="16">
        <v>0</v>
      </c>
      <c r="T74" s="16">
        <v>0</v>
      </c>
      <c r="U74" s="16">
        <v>2</v>
      </c>
      <c r="V74" s="16">
        <v>0</v>
      </c>
      <c r="W74" s="16">
        <v>0</v>
      </c>
      <c r="X74" s="13">
        <f t="shared" si="17"/>
        <v>87</v>
      </c>
    </row>
    <row r="75" spans="1:24" ht="12.75" customHeight="1" x14ac:dyDescent="0.4">
      <c r="A75" s="15"/>
      <c r="B75" s="28"/>
      <c r="C75" s="29" t="s">
        <v>59</v>
      </c>
      <c r="D75" s="30"/>
      <c r="E75" s="16">
        <v>3</v>
      </c>
      <c r="F75" s="16">
        <v>2</v>
      </c>
      <c r="G75" s="16">
        <v>0</v>
      </c>
      <c r="H75" s="16">
        <v>1</v>
      </c>
      <c r="I75" s="16">
        <v>2</v>
      </c>
      <c r="J75" s="16">
        <v>0</v>
      </c>
      <c r="K75" s="16">
        <v>2</v>
      </c>
      <c r="L75" s="16">
        <v>0</v>
      </c>
      <c r="M75" s="16">
        <v>0</v>
      </c>
      <c r="N75" s="16">
        <v>2</v>
      </c>
      <c r="O75" s="16">
        <v>3</v>
      </c>
      <c r="P75" s="16">
        <v>2</v>
      </c>
      <c r="Q75" s="16">
        <v>3</v>
      </c>
      <c r="R75" s="16">
        <v>0</v>
      </c>
      <c r="S75" s="16">
        <v>2</v>
      </c>
      <c r="T75" s="16">
        <v>6</v>
      </c>
      <c r="U75" s="16">
        <v>2</v>
      </c>
      <c r="V75" s="16">
        <v>0</v>
      </c>
      <c r="W75" s="16">
        <v>0</v>
      </c>
      <c r="X75" s="13">
        <f t="shared" si="17"/>
        <v>30</v>
      </c>
    </row>
    <row r="76" spans="1:24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13">
        <f t="shared" si="17"/>
        <v>0</v>
      </c>
    </row>
    <row r="77" spans="1:24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13">
        <f t="shared" si="17"/>
        <v>0</v>
      </c>
    </row>
    <row r="78" spans="1:24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13">
        <f t="shared" si="17"/>
        <v>0</v>
      </c>
    </row>
    <row r="79" spans="1:24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X79" si="18">SUM(E69:E78)</f>
        <v>74</v>
      </c>
      <c r="F79" s="13">
        <f t="shared" si="18"/>
        <v>59</v>
      </c>
      <c r="G79" s="13">
        <f t="shared" si="18"/>
        <v>54</v>
      </c>
      <c r="H79" s="13">
        <f t="shared" si="18"/>
        <v>78</v>
      </c>
      <c r="I79" s="13">
        <f t="shared" si="18"/>
        <v>44</v>
      </c>
      <c r="J79" s="13">
        <f t="shared" si="18"/>
        <v>27</v>
      </c>
      <c r="K79" s="13">
        <f t="shared" si="18"/>
        <v>22</v>
      </c>
      <c r="L79" s="13">
        <f t="shared" si="18"/>
        <v>18</v>
      </c>
      <c r="M79" s="13">
        <f t="shared" si="18"/>
        <v>24</v>
      </c>
      <c r="N79" s="13">
        <f t="shared" si="18"/>
        <v>34</v>
      </c>
      <c r="O79" s="13">
        <f t="shared" si="18"/>
        <v>37</v>
      </c>
      <c r="P79" s="13">
        <f t="shared" si="18"/>
        <v>78</v>
      </c>
      <c r="Q79" s="13">
        <f t="shared" si="18"/>
        <v>58</v>
      </c>
      <c r="R79" s="13">
        <f t="shared" si="18"/>
        <v>43</v>
      </c>
      <c r="S79" s="13">
        <f t="shared" si="18"/>
        <v>27</v>
      </c>
      <c r="T79" s="13">
        <f t="shared" si="18"/>
        <v>48</v>
      </c>
      <c r="U79" s="13">
        <f t="shared" si="18"/>
        <v>19</v>
      </c>
      <c r="V79" s="13">
        <f t="shared" si="18"/>
        <v>16</v>
      </c>
      <c r="W79" s="13">
        <f t="shared" si="18"/>
        <v>2</v>
      </c>
      <c r="X79" s="13">
        <f t="shared" si="18"/>
        <v>762</v>
      </c>
    </row>
    <row r="80" spans="1:24" ht="12.75" customHeight="1" x14ac:dyDescent="0.4">
      <c r="A80" s="86"/>
      <c r="B80" s="68"/>
      <c r="C80" s="68"/>
      <c r="D80" s="68"/>
      <c r="E80" s="68"/>
    </row>
    <row r="81" spans="1:24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3</v>
      </c>
      <c r="F81" s="16">
        <v>2</v>
      </c>
      <c r="G81" s="16">
        <v>9</v>
      </c>
      <c r="H81" s="16">
        <v>3</v>
      </c>
      <c r="I81" s="16">
        <v>2</v>
      </c>
      <c r="J81" s="16">
        <v>4</v>
      </c>
      <c r="K81" s="16">
        <v>8</v>
      </c>
      <c r="L81" s="16">
        <v>3</v>
      </c>
      <c r="M81" s="16">
        <v>2</v>
      </c>
      <c r="N81" s="16">
        <v>0</v>
      </c>
      <c r="O81" s="16">
        <v>7</v>
      </c>
      <c r="P81" s="16">
        <v>0</v>
      </c>
      <c r="Q81" s="16">
        <v>4</v>
      </c>
      <c r="R81" s="16">
        <v>3</v>
      </c>
      <c r="S81" s="16">
        <v>5</v>
      </c>
      <c r="T81" s="16">
        <v>11</v>
      </c>
      <c r="U81" s="16">
        <v>2</v>
      </c>
      <c r="V81" s="16">
        <v>0</v>
      </c>
      <c r="W81" s="16">
        <v>3</v>
      </c>
      <c r="X81" s="13">
        <f t="shared" ref="X81:X90" si="19">SUM(E81:W81)</f>
        <v>71</v>
      </c>
    </row>
    <row r="82" spans="1:24" ht="12.75" customHeight="1" x14ac:dyDescent="0.4">
      <c r="A82" s="20" t="s">
        <v>38</v>
      </c>
      <c r="B82" s="28"/>
      <c r="C82" s="29" t="s">
        <v>61</v>
      </c>
      <c r="D82" s="30"/>
      <c r="E82" s="16">
        <v>1</v>
      </c>
      <c r="F82" s="16">
        <v>5</v>
      </c>
      <c r="G82" s="16">
        <v>27</v>
      </c>
      <c r="H82" s="16">
        <v>3</v>
      </c>
      <c r="I82" s="16">
        <v>7</v>
      </c>
      <c r="J82" s="16">
        <v>14</v>
      </c>
      <c r="K82" s="16">
        <v>13</v>
      </c>
      <c r="L82" s="16">
        <v>11</v>
      </c>
      <c r="M82" s="16">
        <v>7</v>
      </c>
      <c r="N82" s="16">
        <v>10</v>
      </c>
      <c r="O82" s="16">
        <v>6</v>
      </c>
      <c r="P82" s="16">
        <v>1</v>
      </c>
      <c r="Q82" s="16">
        <v>3</v>
      </c>
      <c r="R82" s="16">
        <v>4</v>
      </c>
      <c r="S82" s="16">
        <v>4</v>
      </c>
      <c r="T82" s="16">
        <v>23</v>
      </c>
      <c r="U82" s="16">
        <v>3</v>
      </c>
      <c r="V82" s="16">
        <v>9</v>
      </c>
      <c r="W82" s="16">
        <v>39</v>
      </c>
      <c r="X82" s="13">
        <f t="shared" si="19"/>
        <v>190</v>
      </c>
    </row>
    <row r="83" spans="1:24" ht="12.75" customHeight="1" x14ac:dyDescent="0.4">
      <c r="A83" s="15"/>
      <c r="B83" s="28"/>
      <c r="C83" s="29" t="s">
        <v>62</v>
      </c>
      <c r="D83" s="30"/>
      <c r="E83" s="16">
        <v>1</v>
      </c>
      <c r="F83" s="16">
        <v>1</v>
      </c>
      <c r="G83" s="16">
        <v>0</v>
      </c>
      <c r="H83" s="16">
        <v>1</v>
      </c>
      <c r="I83" s="16">
        <v>1</v>
      </c>
      <c r="J83" s="16">
        <v>1</v>
      </c>
      <c r="K83" s="16">
        <v>0</v>
      </c>
      <c r="L83" s="16">
        <v>1</v>
      </c>
      <c r="M83" s="16">
        <v>1</v>
      </c>
      <c r="N83" s="16">
        <v>1</v>
      </c>
      <c r="O83" s="16">
        <v>1</v>
      </c>
      <c r="P83" s="16">
        <v>1</v>
      </c>
      <c r="Q83" s="16">
        <v>0</v>
      </c>
      <c r="R83" s="16">
        <v>0</v>
      </c>
      <c r="S83" s="16">
        <v>0</v>
      </c>
      <c r="T83" s="16">
        <v>2</v>
      </c>
      <c r="U83" s="16">
        <v>1</v>
      </c>
      <c r="V83" s="16">
        <v>1</v>
      </c>
      <c r="W83" s="16">
        <v>0</v>
      </c>
      <c r="X83" s="13">
        <f t="shared" si="19"/>
        <v>14</v>
      </c>
    </row>
    <row r="84" spans="1:24" ht="12.75" customHeight="1" x14ac:dyDescent="0.4">
      <c r="A84" s="15"/>
      <c r="B84" s="28"/>
      <c r="C84" s="29" t="s">
        <v>63</v>
      </c>
      <c r="D84" s="30"/>
      <c r="E84" s="16">
        <v>1</v>
      </c>
      <c r="F84" s="16">
        <v>1</v>
      </c>
      <c r="G84" s="16">
        <v>0</v>
      </c>
      <c r="H84" s="16">
        <v>0</v>
      </c>
      <c r="I84" s="16">
        <v>0</v>
      </c>
      <c r="J84" s="16">
        <v>0</v>
      </c>
      <c r="K84" s="16">
        <v>0</v>
      </c>
      <c r="L84" s="16">
        <v>0</v>
      </c>
      <c r="M84" s="16">
        <v>1</v>
      </c>
      <c r="N84" s="16">
        <v>1</v>
      </c>
      <c r="O84" s="16">
        <v>1</v>
      </c>
      <c r="P84" s="16">
        <v>0</v>
      </c>
      <c r="Q84" s="16">
        <v>0</v>
      </c>
      <c r="R84" s="16">
        <v>2</v>
      </c>
      <c r="S84" s="16">
        <v>2</v>
      </c>
      <c r="T84" s="16">
        <v>0</v>
      </c>
      <c r="U84" s="16">
        <v>3</v>
      </c>
      <c r="V84" s="16">
        <v>1</v>
      </c>
      <c r="W84" s="16">
        <v>1</v>
      </c>
      <c r="X84" s="13">
        <f t="shared" si="19"/>
        <v>14</v>
      </c>
    </row>
    <row r="85" spans="1:24" ht="12.75" customHeight="1" x14ac:dyDescent="0.4">
      <c r="A85" s="15"/>
      <c r="B85" s="28"/>
      <c r="C85" s="29" t="s">
        <v>64</v>
      </c>
      <c r="D85" s="30"/>
      <c r="E85" s="16">
        <v>2</v>
      </c>
      <c r="F85" s="16">
        <v>5</v>
      </c>
      <c r="G85" s="16">
        <v>7</v>
      </c>
      <c r="H85" s="16">
        <v>6</v>
      </c>
      <c r="I85" s="16">
        <v>5</v>
      </c>
      <c r="J85" s="16">
        <v>30</v>
      </c>
      <c r="K85" s="16">
        <v>54</v>
      </c>
      <c r="L85" s="16">
        <v>23</v>
      </c>
      <c r="M85" s="16">
        <v>43</v>
      </c>
      <c r="N85" s="16">
        <v>26</v>
      </c>
      <c r="O85" s="16">
        <v>13</v>
      </c>
      <c r="P85" s="16">
        <v>4</v>
      </c>
      <c r="Q85" s="16">
        <v>2</v>
      </c>
      <c r="R85" s="16">
        <v>1</v>
      </c>
      <c r="S85" s="16">
        <v>8</v>
      </c>
      <c r="T85" s="16">
        <v>0</v>
      </c>
      <c r="U85" s="16">
        <v>4</v>
      </c>
      <c r="V85" s="16">
        <v>0</v>
      </c>
      <c r="W85" s="16">
        <v>0</v>
      </c>
      <c r="X85" s="13">
        <f t="shared" si="19"/>
        <v>233</v>
      </c>
    </row>
    <row r="86" spans="1:24" ht="12.75" customHeight="1" x14ac:dyDescent="0.4">
      <c r="A86" s="15"/>
      <c r="B86" s="28"/>
      <c r="C86" s="29" t="s">
        <v>65</v>
      </c>
      <c r="D86" s="30"/>
      <c r="E86" s="16">
        <v>2</v>
      </c>
      <c r="F86" s="16">
        <v>0</v>
      </c>
      <c r="G86" s="16">
        <v>2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1</v>
      </c>
      <c r="Q86" s="16">
        <v>0</v>
      </c>
      <c r="R86" s="16">
        <v>1</v>
      </c>
      <c r="S86" s="16">
        <v>1</v>
      </c>
      <c r="T86" s="16">
        <v>0</v>
      </c>
      <c r="U86" s="16">
        <v>0</v>
      </c>
      <c r="V86" s="16">
        <v>1</v>
      </c>
      <c r="W86" s="16">
        <v>0</v>
      </c>
      <c r="X86" s="13">
        <f t="shared" si="19"/>
        <v>9</v>
      </c>
    </row>
    <row r="87" spans="1:24" ht="12.75" customHeight="1" x14ac:dyDescent="0.4">
      <c r="A87" s="15"/>
      <c r="B87" s="28"/>
      <c r="C87" s="29" t="s">
        <v>66</v>
      </c>
      <c r="D87" s="30"/>
      <c r="E87" s="16">
        <v>1</v>
      </c>
      <c r="F87" s="16">
        <v>1</v>
      </c>
      <c r="G87" s="16">
        <v>0</v>
      </c>
      <c r="H87" s="16">
        <v>0</v>
      </c>
      <c r="I87" s="16">
        <v>0</v>
      </c>
      <c r="J87" s="16">
        <v>2</v>
      </c>
      <c r="K87" s="16">
        <v>2</v>
      </c>
      <c r="L87" s="16">
        <v>0</v>
      </c>
      <c r="M87" s="16">
        <v>2</v>
      </c>
      <c r="N87" s="16">
        <v>1</v>
      </c>
      <c r="O87" s="16">
        <v>2</v>
      </c>
      <c r="P87" s="16">
        <v>3</v>
      </c>
      <c r="Q87" s="16">
        <v>2</v>
      </c>
      <c r="R87" s="16">
        <v>0</v>
      </c>
      <c r="S87" s="16">
        <v>3</v>
      </c>
      <c r="T87" s="16">
        <v>1</v>
      </c>
      <c r="U87" s="16">
        <v>0</v>
      </c>
      <c r="V87" s="16">
        <v>0</v>
      </c>
      <c r="W87" s="16">
        <v>0</v>
      </c>
      <c r="X87" s="13">
        <f t="shared" si="19"/>
        <v>20</v>
      </c>
    </row>
    <row r="88" spans="1:24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13">
        <f t="shared" si="19"/>
        <v>0</v>
      </c>
    </row>
    <row r="89" spans="1:24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13">
        <f t="shared" si="19"/>
        <v>0</v>
      </c>
    </row>
    <row r="90" spans="1:24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13">
        <f t="shared" si="19"/>
        <v>0</v>
      </c>
    </row>
    <row r="91" spans="1:24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X91" si="20">SUM(E81:E90)</f>
        <v>11</v>
      </c>
      <c r="F91" s="13">
        <f t="shared" si="20"/>
        <v>15</v>
      </c>
      <c r="G91" s="13">
        <f t="shared" si="20"/>
        <v>45</v>
      </c>
      <c r="H91" s="13">
        <f t="shared" si="20"/>
        <v>13</v>
      </c>
      <c r="I91" s="13">
        <f t="shared" si="20"/>
        <v>15</v>
      </c>
      <c r="J91" s="13">
        <f t="shared" si="20"/>
        <v>52</v>
      </c>
      <c r="K91" s="13">
        <f t="shared" si="20"/>
        <v>77</v>
      </c>
      <c r="L91" s="13">
        <f t="shared" si="20"/>
        <v>38</v>
      </c>
      <c r="M91" s="13">
        <f t="shared" si="20"/>
        <v>56</v>
      </c>
      <c r="N91" s="13">
        <f t="shared" si="20"/>
        <v>39</v>
      </c>
      <c r="O91" s="13">
        <f t="shared" si="20"/>
        <v>30</v>
      </c>
      <c r="P91" s="13">
        <f t="shared" si="20"/>
        <v>10</v>
      </c>
      <c r="Q91" s="13">
        <f t="shared" si="20"/>
        <v>11</v>
      </c>
      <c r="R91" s="13">
        <f t="shared" si="20"/>
        <v>11</v>
      </c>
      <c r="S91" s="13">
        <f t="shared" si="20"/>
        <v>23</v>
      </c>
      <c r="T91" s="13">
        <f t="shared" si="20"/>
        <v>37</v>
      </c>
      <c r="U91" s="13">
        <f t="shared" si="20"/>
        <v>13</v>
      </c>
      <c r="V91" s="13">
        <f t="shared" si="20"/>
        <v>12</v>
      </c>
      <c r="W91" s="13">
        <f t="shared" si="20"/>
        <v>43</v>
      </c>
      <c r="X91" s="13">
        <f t="shared" si="20"/>
        <v>551</v>
      </c>
    </row>
    <row r="92" spans="1:24" ht="12.75" customHeight="1" x14ac:dyDescent="0.4">
      <c r="A92" s="86"/>
      <c r="B92" s="68"/>
      <c r="C92" s="68"/>
      <c r="D92" s="68"/>
      <c r="E92" s="68"/>
    </row>
    <row r="93" spans="1:24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0</v>
      </c>
      <c r="F93" s="16">
        <v>0</v>
      </c>
      <c r="G93" s="16">
        <v>3</v>
      </c>
      <c r="H93" s="16">
        <v>4</v>
      </c>
      <c r="I93" s="16">
        <v>1</v>
      </c>
      <c r="J93" s="16">
        <v>0</v>
      </c>
      <c r="K93" s="16">
        <v>1</v>
      </c>
      <c r="L93" s="16">
        <v>2</v>
      </c>
      <c r="M93" s="16">
        <v>1</v>
      </c>
      <c r="N93" s="16">
        <v>2</v>
      </c>
      <c r="O93" s="16">
        <v>2</v>
      </c>
      <c r="P93" s="16">
        <v>1</v>
      </c>
      <c r="Q93" s="16">
        <v>1</v>
      </c>
      <c r="R93" s="16">
        <v>3</v>
      </c>
      <c r="S93" s="16">
        <v>0</v>
      </c>
      <c r="T93" s="16">
        <v>3</v>
      </c>
      <c r="U93" s="16">
        <v>1</v>
      </c>
      <c r="V93" s="16">
        <v>0</v>
      </c>
      <c r="W93" s="16">
        <v>0</v>
      </c>
      <c r="X93" s="13">
        <f t="shared" ref="X93:X102" si="21">SUM(E93:W93)</f>
        <v>25</v>
      </c>
    </row>
    <row r="94" spans="1:24" ht="12.75" customHeight="1" x14ac:dyDescent="0.4">
      <c r="A94" s="20" t="s">
        <v>38</v>
      </c>
      <c r="B94" s="28"/>
      <c r="C94" s="29" t="s">
        <v>69</v>
      </c>
      <c r="D94" s="30"/>
      <c r="E94" s="16">
        <v>1</v>
      </c>
      <c r="F94" s="16">
        <v>0</v>
      </c>
      <c r="G94" s="16">
        <v>0</v>
      </c>
      <c r="H94" s="16">
        <v>0</v>
      </c>
      <c r="I94" s="16">
        <v>0</v>
      </c>
      <c r="J94" s="16">
        <v>4</v>
      </c>
      <c r="K94" s="16">
        <v>2</v>
      </c>
      <c r="L94" s="16">
        <v>0</v>
      </c>
      <c r="M94" s="16">
        <v>0</v>
      </c>
      <c r="N94" s="16">
        <v>1</v>
      </c>
      <c r="O94" s="16">
        <v>2</v>
      </c>
      <c r="P94" s="16">
        <v>0</v>
      </c>
      <c r="Q94" s="16">
        <v>4</v>
      </c>
      <c r="R94" s="16">
        <v>0</v>
      </c>
      <c r="S94" s="16">
        <v>1</v>
      </c>
      <c r="T94" s="16">
        <v>1</v>
      </c>
      <c r="U94" s="16">
        <v>18</v>
      </c>
      <c r="V94" s="16">
        <v>0</v>
      </c>
      <c r="W94" s="16">
        <v>0</v>
      </c>
      <c r="X94" s="13">
        <f t="shared" si="21"/>
        <v>34</v>
      </c>
    </row>
    <row r="95" spans="1:24" ht="12.75" customHeight="1" x14ac:dyDescent="0.4">
      <c r="A95" s="15"/>
      <c r="B95" s="28"/>
      <c r="C95" s="29" t="s">
        <v>70</v>
      </c>
      <c r="D95" s="30"/>
      <c r="E95" s="16">
        <v>2</v>
      </c>
      <c r="F95" s="16">
        <v>0</v>
      </c>
      <c r="G95" s="16">
        <v>0</v>
      </c>
      <c r="H95" s="16">
        <v>0</v>
      </c>
      <c r="I95" s="16">
        <v>2</v>
      </c>
      <c r="J95" s="16">
        <v>1</v>
      </c>
      <c r="K95" s="16">
        <v>0</v>
      </c>
      <c r="L95" s="16">
        <v>0</v>
      </c>
      <c r="M95" s="16">
        <v>0</v>
      </c>
      <c r="N95" s="16">
        <v>0</v>
      </c>
      <c r="O95" s="16">
        <v>3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1</v>
      </c>
      <c r="X95" s="13">
        <f t="shared" si="21"/>
        <v>9</v>
      </c>
    </row>
    <row r="96" spans="1:24" ht="12.75" customHeight="1" x14ac:dyDescent="0.4">
      <c r="A96" s="15"/>
      <c r="B96" s="28"/>
      <c r="C96" s="29" t="s">
        <v>71</v>
      </c>
      <c r="D96" s="30"/>
      <c r="E96" s="16">
        <v>0</v>
      </c>
      <c r="F96" s="16">
        <v>0</v>
      </c>
      <c r="G96" s="16">
        <v>2</v>
      </c>
      <c r="H96" s="16">
        <v>1</v>
      </c>
      <c r="I96" s="16">
        <v>0</v>
      </c>
      <c r="J96" s="16">
        <v>0</v>
      </c>
      <c r="K96" s="16">
        <v>3</v>
      </c>
      <c r="L96" s="16">
        <v>1</v>
      </c>
      <c r="M96" s="16">
        <v>0</v>
      </c>
      <c r="N96" s="16">
        <v>0</v>
      </c>
      <c r="O96" s="16">
        <v>2</v>
      </c>
      <c r="P96" s="16">
        <v>0</v>
      </c>
      <c r="Q96" s="16">
        <v>0</v>
      </c>
      <c r="R96" s="16">
        <v>2</v>
      </c>
      <c r="S96" s="16">
        <v>4</v>
      </c>
      <c r="T96" s="16">
        <v>0</v>
      </c>
      <c r="U96" s="16">
        <v>1</v>
      </c>
      <c r="V96" s="16">
        <v>0</v>
      </c>
      <c r="W96" s="16">
        <v>1</v>
      </c>
      <c r="X96" s="13">
        <f t="shared" si="21"/>
        <v>17</v>
      </c>
    </row>
    <row r="97" spans="1:24" ht="12.75" customHeight="1" x14ac:dyDescent="0.4">
      <c r="A97" s="15"/>
      <c r="B97" s="28"/>
      <c r="C97" s="29" t="s">
        <v>72</v>
      </c>
      <c r="D97" s="30"/>
      <c r="E97" s="16">
        <v>1</v>
      </c>
      <c r="F97" s="16">
        <v>0</v>
      </c>
      <c r="G97" s="16">
        <v>0</v>
      </c>
      <c r="H97" s="16">
        <v>2</v>
      </c>
      <c r="I97" s="16">
        <v>0</v>
      </c>
      <c r="J97" s="16">
        <v>3</v>
      </c>
      <c r="K97" s="16">
        <v>2</v>
      </c>
      <c r="L97" s="16">
        <v>0</v>
      </c>
      <c r="M97" s="16">
        <v>0</v>
      </c>
      <c r="N97" s="16">
        <v>0</v>
      </c>
      <c r="O97" s="16">
        <v>0</v>
      </c>
      <c r="P97" s="16">
        <v>0</v>
      </c>
      <c r="Q97" s="16">
        <v>0</v>
      </c>
      <c r="R97" s="16">
        <v>0</v>
      </c>
      <c r="S97" s="16">
        <v>1</v>
      </c>
      <c r="T97" s="16">
        <v>1</v>
      </c>
      <c r="U97" s="16">
        <v>0</v>
      </c>
      <c r="V97" s="16">
        <v>0</v>
      </c>
      <c r="W97" s="16">
        <v>0</v>
      </c>
      <c r="X97" s="13">
        <f t="shared" si="21"/>
        <v>10</v>
      </c>
    </row>
    <row r="98" spans="1:24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1</v>
      </c>
      <c r="G98" s="16">
        <v>2</v>
      </c>
      <c r="H98" s="16">
        <v>1</v>
      </c>
      <c r="I98" s="16">
        <v>5</v>
      </c>
      <c r="J98" s="16">
        <v>4</v>
      </c>
      <c r="K98" s="16">
        <v>1</v>
      </c>
      <c r="L98" s="16">
        <v>4</v>
      </c>
      <c r="M98" s="16">
        <v>2</v>
      </c>
      <c r="N98" s="16">
        <v>3</v>
      </c>
      <c r="O98" s="16">
        <v>1</v>
      </c>
      <c r="P98" s="16">
        <v>2</v>
      </c>
      <c r="Q98" s="16">
        <v>0</v>
      </c>
      <c r="R98" s="16">
        <v>0</v>
      </c>
      <c r="S98" s="16">
        <v>1</v>
      </c>
      <c r="T98" s="16">
        <v>1</v>
      </c>
      <c r="U98" s="16">
        <v>0</v>
      </c>
      <c r="V98" s="16">
        <v>1</v>
      </c>
      <c r="W98" s="16">
        <v>0</v>
      </c>
      <c r="X98" s="13">
        <f t="shared" si="21"/>
        <v>29</v>
      </c>
    </row>
    <row r="99" spans="1:24" ht="12.75" customHeight="1" x14ac:dyDescent="0.4">
      <c r="A99" s="15"/>
      <c r="B99" s="28"/>
      <c r="C99" s="29" t="s">
        <v>74</v>
      </c>
      <c r="D99" s="30"/>
      <c r="E99" s="16">
        <v>0</v>
      </c>
      <c r="F99" s="16">
        <v>0</v>
      </c>
      <c r="G99" s="16">
        <v>0</v>
      </c>
      <c r="H99" s="16">
        <v>1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0</v>
      </c>
      <c r="O99" s="16">
        <v>0</v>
      </c>
      <c r="P99" s="16">
        <v>0</v>
      </c>
      <c r="Q99" s="16">
        <v>0</v>
      </c>
      <c r="R99" s="16">
        <v>0</v>
      </c>
      <c r="S99" s="16">
        <v>1</v>
      </c>
      <c r="T99" s="16">
        <v>0</v>
      </c>
      <c r="U99" s="16">
        <v>0</v>
      </c>
      <c r="V99" s="16">
        <v>0</v>
      </c>
      <c r="W99" s="16">
        <v>1</v>
      </c>
      <c r="X99" s="13">
        <f t="shared" si="21"/>
        <v>3</v>
      </c>
    </row>
    <row r="100" spans="1:24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13">
        <f t="shared" si="21"/>
        <v>0</v>
      </c>
    </row>
    <row r="101" spans="1:24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13">
        <f t="shared" si="21"/>
        <v>0</v>
      </c>
    </row>
    <row r="102" spans="1:24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13">
        <f t="shared" si="21"/>
        <v>0</v>
      </c>
    </row>
    <row r="103" spans="1:24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X103" si="22">SUM(E93:E102)</f>
        <v>4</v>
      </c>
      <c r="F103" s="13">
        <f t="shared" si="22"/>
        <v>1</v>
      </c>
      <c r="G103" s="13">
        <f t="shared" si="22"/>
        <v>7</v>
      </c>
      <c r="H103" s="13">
        <f t="shared" si="22"/>
        <v>9</v>
      </c>
      <c r="I103" s="13">
        <f t="shared" si="22"/>
        <v>8</v>
      </c>
      <c r="J103" s="13">
        <f t="shared" si="22"/>
        <v>12</v>
      </c>
      <c r="K103" s="13">
        <f t="shared" si="22"/>
        <v>9</v>
      </c>
      <c r="L103" s="13">
        <f t="shared" si="22"/>
        <v>7</v>
      </c>
      <c r="M103" s="13">
        <f t="shared" si="22"/>
        <v>3</v>
      </c>
      <c r="N103" s="13">
        <f t="shared" si="22"/>
        <v>6</v>
      </c>
      <c r="O103" s="13">
        <f t="shared" si="22"/>
        <v>10</v>
      </c>
      <c r="P103" s="13">
        <f t="shared" si="22"/>
        <v>3</v>
      </c>
      <c r="Q103" s="13">
        <f t="shared" si="22"/>
        <v>5</v>
      </c>
      <c r="R103" s="13">
        <f t="shared" si="22"/>
        <v>5</v>
      </c>
      <c r="S103" s="13">
        <f t="shared" si="22"/>
        <v>8</v>
      </c>
      <c r="T103" s="13">
        <f t="shared" si="22"/>
        <v>6</v>
      </c>
      <c r="U103" s="13">
        <f t="shared" si="22"/>
        <v>20</v>
      </c>
      <c r="V103" s="13">
        <f t="shared" si="22"/>
        <v>1</v>
      </c>
      <c r="W103" s="13">
        <f t="shared" si="22"/>
        <v>3</v>
      </c>
      <c r="X103" s="13">
        <f t="shared" si="22"/>
        <v>127</v>
      </c>
    </row>
    <row r="104" spans="1:24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</row>
    <row r="105" spans="1:24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1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2</v>
      </c>
      <c r="L105" s="16">
        <v>0</v>
      </c>
      <c r="M105" s="16">
        <v>0</v>
      </c>
      <c r="N105" s="16">
        <v>1</v>
      </c>
      <c r="O105" s="16">
        <v>1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3">
        <f t="shared" ref="X105:X114" si="23">SUM(E105:W105)</f>
        <v>5</v>
      </c>
    </row>
    <row r="106" spans="1:24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0</v>
      </c>
      <c r="G106" s="16">
        <v>1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2</v>
      </c>
      <c r="P106" s="16">
        <v>1</v>
      </c>
      <c r="Q106" s="16">
        <v>0</v>
      </c>
      <c r="R106" s="16">
        <v>0</v>
      </c>
      <c r="S106" s="16">
        <v>0</v>
      </c>
      <c r="T106" s="16">
        <v>3</v>
      </c>
      <c r="U106" s="16">
        <v>0</v>
      </c>
      <c r="V106" s="16">
        <v>1</v>
      </c>
      <c r="W106" s="16">
        <v>0</v>
      </c>
      <c r="X106" s="13">
        <f t="shared" si="23"/>
        <v>9</v>
      </c>
    </row>
    <row r="107" spans="1:24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13">
        <f t="shared" si="23"/>
        <v>0</v>
      </c>
    </row>
    <row r="108" spans="1:24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13">
        <f t="shared" si="23"/>
        <v>0</v>
      </c>
    </row>
    <row r="109" spans="1:24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13">
        <f t="shared" si="23"/>
        <v>0</v>
      </c>
    </row>
    <row r="110" spans="1:24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13">
        <f t="shared" si="23"/>
        <v>0</v>
      </c>
    </row>
    <row r="111" spans="1:24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13">
        <f t="shared" si="23"/>
        <v>0</v>
      </c>
    </row>
    <row r="112" spans="1:24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13">
        <f t="shared" si="23"/>
        <v>0</v>
      </c>
    </row>
    <row r="113" spans="1:24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13">
        <f t="shared" si="23"/>
        <v>0</v>
      </c>
    </row>
    <row r="114" spans="1:24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13">
        <f t="shared" si="23"/>
        <v>0</v>
      </c>
    </row>
    <row r="115" spans="1:24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X115" si="24">SUM(E105:E114)</f>
        <v>1</v>
      </c>
      <c r="F115" s="13">
        <f t="shared" si="24"/>
        <v>0</v>
      </c>
      <c r="G115" s="13">
        <f t="shared" si="24"/>
        <v>1</v>
      </c>
      <c r="H115" s="13">
        <f t="shared" si="24"/>
        <v>0</v>
      </c>
      <c r="I115" s="13">
        <f t="shared" si="24"/>
        <v>0</v>
      </c>
      <c r="J115" s="13">
        <f t="shared" si="24"/>
        <v>0</v>
      </c>
      <c r="K115" s="13">
        <f t="shared" si="24"/>
        <v>3</v>
      </c>
      <c r="L115" s="13">
        <f t="shared" si="24"/>
        <v>0</v>
      </c>
      <c r="M115" s="13">
        <f t="shared" si="24"/>
        <v>0</v>
      </c>
      <c r="N115" s="13">
        <f t="shared" si="24"/>
        <v>1</v>
      </c>
      <c r="O115" s="13">
        <f t="shared" si="24"/>
        <v>3</v>
      </c>
      <c r="P115" s="13">
        <f t="shared" si="24"/>
        <v>1</v>
      </c>
      <c r="Q115" s="13">
        <f t="shared" si="24"/>
        <v>0</v>
      </c>
      <c r="R115" s="13">
        <f t="shared" si="24"/>
        <v>0</v>
      </c>
      <c r="S115" s="13">
        <f t="shared" si="24"/>
        <v>0</v>
      </c>
      <c r="T115" s="13">
        <f t="shared" si="24"/>
        <v>3</v>
      </c>
      <c r="U115" s="13">
        <f t="shared" si="24"/>
        <v>0</v>
      </c>
      <c r="V115" s="13">
        <f t="shared" si="24"/>
        <v>1</v>
      </c>
      <c r="W115" s="13">
        <f t="shared" si="24"/>
        <v>0</v>
      </c>
      <c r="X115" s="13">
        <f t="shared" si="24"/>
        <v>14</v>
      </c>
    </row>
    <row r="116" spans="1:24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13"/>
    </row>
    <row r="117" spans="1:24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2</v>
      </c>
      <c r="F117" s="16">
        <v>0</v>
      </c>
      <c r="G117" s="16">
        <v>0</v>
      </c>
      <c r="H117" s="16">
        <v>2</v>
      </c>
      <c r="I117" s="16">
        <v>2</v>
      </c>
      <c r="J117" s="16">
        <v>0</v>
      </c>
      <c r="K117" s="16">
        <v>0</v>
      </c>
      <c r="L117" s="16">
        <v>3</v>
      </c>
      <c r="M117" s="16">
        <v>0</v>
      </c>
      <c r="N117" s="16">
        <v>0</v>
      </c>
      <c r="O117" s="16">
        <v>1</v>
      </c>
      <c r="P117" s="16">
        <v>0</v>
      </c>
      <c r="Q117" s="16">
        <v>0</v>
      </c>
      <c r="R117" s="16">
        <v>0</v>
      </c>
      <c r="S117" s="16">
        <v>1</v>
      </c>
      <c r="T117" s="16">
        <v>3</v>
      </c>
      <c r="U117" s="16">
        <v>0</v>
      </c>
      <c r="V117" s="16">
        <v>1</v>
      </c>
      <c r="W117" s="16">
        <v>0</v>
      </c>
      <c r="X117" s="13">
        <f t="shared" ref="X117:X126" si="25">SUM(E117:W117)</f>
        <v>15</v>
      </c>
    </row>
    <row r="118" spans="1:24" ht="12.75" customHeight="1" x14ac:dyDescent="0.4">
      <c r="A118" s="20" t="s">
        <v>38</v>
      </c>
      <c r="B118" s="28"/>
      <c r="C118" s="29" t="s">
        <v>80</v>
      </c>
      <c r="D118" s="30"/>
      <c r="E118" s="16">
        <v>3</v>
      </c>
      <c r="F118" s="16">
        <v>0</v>
      </c>
      <c r="G118" s="16">
        <v>3</v>
      </c>
      <c r="H118" s="16">
        <v>3</v>
      </c>
      <c r="I118" s="16">
        <v>8</v>
      </c>
      <c r="J118" s="16">
        <v>4</v>
      </c>
      <c r="K118" s="16">
        <v>3</v>
      </c>
      <c r="L118" s="16">
        <v>16</v>
      </c>
      <c r="M118" s="16">
        <v>8</v>
      </c>
      <c r="N118" s="16">
        <v>5</v>
      </c>
      <c r="O118" s="16">
        <v>1</v>
      </c>
      <c r="P118" s="16">
        <v>1</v>
      </c>
      <c r="Q118" s="16">
        <v>2</v>
      </c>
      <c r="R118" s="16">
        <v>1</v>
      </c>
      <c r="S118" s="16">
        <v>1</v>
      </c>
      <c r="T118" s="16">
        <v>10</v>
      </c>
      <c r="U118" s="16">
        <v>1</v>
      </c>
      <c r="V118" s="16">
        <v>10</v>
      </c>
      <c r="W118" s="16">
        <v>3</v>
      </c>
      <c r="X118" s="13">
        <f t="shared" si="25"/>
        <v>83</v>
      </c>
    </row>
    <row r="119" spans="1:24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1</v>
      </c>
      <c r="G119" s="16">
        <v>0</v>
      </c>
      <c r="H119" s="16">
        <v>0</v>
      </c>
      <c r="I119" s="16">
        <v>0</v>
      </c>
      <c r="J119" s="16">
        <v>1</v>
      </c>
      <c r="K119" s="16">
        <v>2</v>
      </c>
      <c r="L119" s="16">
        <v>0</v>
      </c>
      <c r="M119" s="16">
        <v>0</v>
      </c>
      <c r="N119" s="16">
        <v>0</v>
      </c>
      <c r="O119" s="16">
        <v>0</v>
      </c>
      <c r="P119" s="16">
        <v>0</v>
      </c>
      <c r="Q119" s="16">
        <v>0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3">
        <f t="shared" si="25"/>
        <v>4</v>
      </c>
    </row>
    <row r="120" spans="1:24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1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3">
        <f t="shared" si="25"/>
        <v>1</v>
      </c>
    </row>
    <row r="121" spans="1:24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2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13">
        <f t="shared" si="25"/>
        <v>2</v>
      </c>
    </row>
    <row r="122" spans="1:24" ht="12.75" customHeight="1" x14ac:dyDescent="0.4">
      <c r="A122" s="52"/>
      <c r="B122" s="28"/>
      <c r="C122" s="29" t="s">
        <v>84</v>
      </c>
      <c r="D122" s="30"/>
      <c r="E122" s="53">
        <v>1</v>
      </c>
      <c r="F122" s="53">
        <v>1</v>
      </c>
      <c r="G122" s="53">
        <v>0</v>
      </c>
      <c r="H122" s="53">
        <v>1</v>
      </c>
      <c r="I122" s="53">
        <v>0</v>
      </c>
      <c r="J122" s="53">
        <v>0</v>
      </c>
      <c r="K122" s="53">
        <v>1</v>
      </c>
      <c r="L122" s="53">
        <v>2</v>
      </c>
      <c r="M122" s="53">
        <v>0</v>
      </c>
      <c r="N122" s="53">
        <v>2</v>
      </c>
      <c r="O122" s="53">
        <v>0</v>
      </c>
      <c r="P122" s="16">
        <v>1</v>
      </c>
      <c r="Q122" s="53">
        <v>0</v>
      </c>
      <c r="R122" s="53">
        <v>1</v>
      </c>
      <c r="S122" s="53">
        <v>0</v>
      </c>
      <c r="T122" s="53">
        <v>0</v>
      </c>
      <c r="U122" s="53">
        <v>1</v>
      </c>
      <c r="V122" s="53">
        <v>0</v>
      </c>
      <c r="W122" s="53">
        <v>0</v>
      </c>
      <c r="X122" s="13">
        <f t="shared" si="25"/>
        <v>11</v>
      </c>
    </row>
    <row r="123" spans="1:24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1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41">
        <v>0</v>
      </c>
      <c r="S123" s="41">
        <v>0</v>
      </c>
      <c r="T123" s="41">
        <v>0</v>
      </c>
      <c r="U123" s="41">
        <v>0</v>
      </c>
      <c r="V123" s="41">
        <v>0</v>
      </c>
      <c r="W123" s="41">
        <v>0</v>
      </c>
      <c r="X123" s="13">
        <f t="shared" si="25"/>
        <v>1</v>
      </c>
    </row>
    <row r="124" spans="1:24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13">
        <f t="shared" si="25"/>
        <v>0</v>
      </c>
    </row>
    <row r="125" spans="1:24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13">
        <f t="shared" si="25"/>
        <v>0</v>
      </c>
    </row>
    <row r="126" spans="1:24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13">
        <f t="shared" si="25"/>
        <v>0</v>
      </c>
    </row>
    <row r="127" spans="1:24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X127" si="26">SUM(E117:E126)</f>
        <v>6</v>
      </c>
      <c r="F127" s="13">
        <f t="shared" si="26"/>
        <v>2</v>
      </c>
      <c r="G127" s="13">
        <f t="shared" si="26"/>
        <v>3</v>
      </c>
      <c r="H127" s="13">
        <f t="shared" si="26"/>
        <v>7</v>
      </c>
      <c r="I127" s="13">
        <f t="shared" si="26"/>
        <v>10</v>
      </c>
      <c r="J127" s="13">
        <f t="shared" si="26"/>
        <v>5</v>
      </c>
      <c r="K127" s="13">
        <f t="shared" si="26"/>
        <v>6</v>
      </c>
      <c r="L127" s="13">
        <f t="shared" si="26"/>
        <v>21</v>
      </c>
      <c r="M127" s="13">
        <f t="shared" si="26"/>
        <v>8</v>
      </c>
      <c r="N127" s="13">
        <f t="shared" si="26"/>
        <v>9</v>
      </c>
      <c r="O127" s="13">
        <f t="shared" si="26"/>
        <v>2</v>
      </c>
      <c r="P127" s="13">
        <f t="shared" si="26"/>
        <v>2</v>
      </c>
      <c r="Q127" s="13">
        <f t="shared" si="26"/>
        <v>2</v>
      </c>
      <c r="R127" s="13">
        <f t="shared" si="26"/>
        <v>3</v>
      </c>
      <c r="S127" s="13">
        <f t="shared" si="26"/>
        <v>2</v>
      </c>
      <c r="T127" s="13">
        <f t="shared" si="26"/>
        <v>13</v>
      </c>
      <c r="U127" s="13">
        <f t="shared" si="26"/>
        <v>2</v>
      </c>
      <c r="V127" s="13">
        <f t="shared" si="26"/>
        <v>11</v>
      </c>
      <c r="W127" s="13">
        <f t="shared" si="26"/>
        <v>3</v>
      </c>
      <c r="X127" s="13">
        <f t="shared" si="26"/>
        <v>117</v>
      </c>
    </row>
    <row r="128" spans="1:24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</row>
    <row r="129" spans="1:24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2</v>
      </c>
      <c r="F129" s="16">
        <v>0</v>
      </c>
      <c r="G129" s="16">
        <v>1</v>
      </c>
      <c r="H129" s="16">
        <v>2</v>
      </c>
      <c r="I129" s="16">
        <v>0</v>
      </c>
      <c r="J129" s="16">
        <v>0</v>
      </c>
      <c r="K129" s="16">
        <v>1</v>
      </c>
      <c r="L129" s="16">
        <v>1</v>
      </c>
      <c r="M129" s="16">
        <v>0</v>
      </c>
      <c r="N129" s="16">
        <v>1</v>
      </c>
      <c r="O129" s="16">
        <v>4</v>
      </c>
      <c r="P129" s="16">
        <v>1</v>
      </c>
      <c r="Q129" s="16">
        <v>1</v>
      </c>
      <c r="R129" s="16">
        <v>3</v>
      </c>
      <c r="S129" s="16">
        <v>1</v>
      </c>
      <c r="T129" s="16">
        <v>3</v>
      </c>
      <c r="U129" s="16">
        <v>1</v>
      </c>
      <c r="V129" s="16">
        <v>1</v>
      </c>
      <c r="W129" s="16">
        <v>1</v>
      </c>
      <c r="X129" s="13">
        <f t="shared" ref="X129:X138" si="27">SUM(E129:W129)</f>
        <v>24</v>
      </c>
    </row>
    <row r="130" spans="1:24" ht="12.75" customHeight="1" x14ac:dyDescent="0.4">
      <c r="A130" s="20" t="s">
        <v>38</v>
      </c>
      <c r="B130" s="28"/>
      <c r="C130" s="29" t="s">
        <v>88</v>
      </c>
      <c r="D130" s="30"/>
      <c r="E130" s="16">
        <v>2</v>
      </c>
      <c r="F130" s="16">
        <v>5</v>
      </c>
      <c r="G130" s="16">
        <v>0</v>
      </c>
      <c r="H130" s="16">
        <v>1</v>
      </c>
      <c r="I130" s="16">
        <v>4</v>
      </c>
      <c r="J130" s="16">
        <v>0</v>
      </c>
      <c r="K130" s="16">
        <v>2</v>
      </c>
      <c r="L130" s="16">
        <v>4</v>
      </c>
      <c r="M130" s="16">
        <v>6</v>
      </c>
      <c r="N130" s="16">
        <v>4</v>
      </c>
      <c r="O130" s="16">
        <v>4</v>
      </c>
      <c r="P130" s="16">
        <v>0</v>
      </c>
      <c r="Q130" s="16">
        <v>6</v>
      </c>
      <c r="R130" s="16">
        <v>13</v>
      </c>
      <c r="S130" s="16">
        <v>7</v>
      </c>
      <c r="T130" s="16">
        <v>7</v>
      </c>
      <c r="U130" s="16">
        <v>7</v>
      </c>
      <c r="V130" s="16">
        <v>0</v>
      </c>
      <c r="W130" s="16">
        <v>1</v>
      </c>
      <c r="X130" s="13">
        <f t="shared" si="27"/>
        <v>73</v>
      </c>
    </row>
    <row r="131" spans="1:24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1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1</v>
      </c>
      <c r="N131" s="16">
        <v>4</v>
      </c>
      <c r="O131" s="16">
        <v>3</v>
      </c>
      <c r="P131" s="16">
        <v>0</v>
      </c>
      <c r="Q131" s="16">
        <v>1</v>
      </c>
      <c r="R131" s="16">
        <v>4</v>
      </c>
      <c r="S131" s="16">
        <v>1</v>
      </c>
      <c r="T131" s="16">
        <v>2</v>
      </c>
      <c r="U131" s="16">
        <v>2</v>
      </c>
      <c r="V131" s="16">
        <v>0</v>
      </c>
      <c r="W131" s="16">
        <v>0</v>
      </c>
      <c r="X131" s="13">
        <f t="shared" si="27"/>
        <v>19</v>
      </c>
    </row>
    <row r="132" spans="1:24" ht="12.75" customHeight="1" x14ac:dyDescent="0.4">
      <c r="A132" s="15"/>
      <c r="B132" s="28"/>
      <c r="C132" s="29" t="s">
        <v>90</v>
      </c>
      <c r="D132" s="30"/>
      <c r="E132" s="16">
        <v>2</v>
      </c>
      <c r="F132" s="16">
        <v>1</v>
      </c>
      <c r="G132" s="16">
        <v>1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1</v>
      </c>
      <c r="N132" s="16">
        <v>1</v>
      </c>
      <c r="O132" s="16">
        <v>0</v>
      </c>
      <c r="P132" s="16">
        <v>0</v>
      </c>
      <c r="Q132" s="16">
        <v>0</v>
      </c>
      <c r="R132" s="16">
        <v>0</v>
      </c>
      <c r="S132" s="16">
        <v>2</v>
      </c>
      <c r="T132" s="16">
        <v>0</v>
      </c>
      <c r="U132" s="16">
        <v>4</v>
      </c>
      <c r="V132" s="16">
        <v>0</v>
      </c>
      <c r="W132" s="16">
        <v>1</v>
      </c>
      <c r="X132" s="13">
        <f t="shared" si="27"/>
        <v>13</v>
      </c>
    </row>
    <row r="133" spans="1:24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1</v>
      </c>
      <c r="M133" s="16">
        <v>0</v>
      </c>
      <c r="N133" s="16">
        <v>2</v>
      </c>
      <c r="O133" s="16">
        <v>1</v>
      </c>
      <c r="P133" s="16">
        <v>0</v>
      </c>
      <c r="Q133" s="16">
        <v>0</v>
      </c>
      <c r="R133" s="16">
        <v>0</v>
      </c>
      <c r="S133" s="16">
        <v>1</v>
      </c>
      <c r="T133" s="16">
        <v>0</v>
      </c>
      <c r="U133" s="16">
        <v>0</v>
      </c>
      <c r="V133" s="16">
        <v>0</v>
      </c>
      <c r="W133" s="16">
        <v>1</v>
      </c>
      <c r="X133" s="13">
        <f t="shared" si="27"/>
        <v>6</v>
      </c>
    </row>
    <row r="134" spans="1:24" ht="12.75" customHeight="1" x14ac:dyDescent="0.4">
      <c r="A134" s="15"/>
      <c r="B134" s="28"/>
      <c r="C134" s="29" t="s">
        <v>92</v>
      </c>
      <c r="D134" s="30"/>
      <c r="E134" s="16">
        <v>0</v>
      </c>
      <c r="F134" s="16">
        <v>1</v>
      </c>
      <c r="G134" s="16">
        <v>0</v>
      </c>
      <c r="H134" s="16">
        <v>0</v>
      </c>
      <c r="I134" s="16">
        <v>2</v>
      </c>
      <c r="J134" s="16">
        <v>0</v>
      </c>
      <c r="K134" s="16">
        <v>1</v>
      </c>
      <c r="L134" s="16">
        <v>0</v>
      </c>
      <c r="M134" s="16">
        <v>1</v>
      </c>
      <c r="N134" s="16">
        <v>3</v>
      </c>
      <c r="O134" s="16">
        <v>1</v>
      </c>
      <c r="P134" s="16">
        <v>1</v>
      </c>
      <c r="Q134" s="16">
        <v>0</v>
      </c>
      <c r="R134" s="16">
        <v>3</v>
      </c>
      <c r="S134" s="16">
        <v>4</v>
      </c>
      <c r="T134" s="16">
        <v>0</v>
      </c>
      <c r="U134" s="16">
        <v>3</v>
      </c>
      <c r="V134" s="16">
        <v>0</v>
      </c>
      <c r="W134" s="16">
        <v>1</v>
      </c>
      <c r="X134" s="13">
        <f t="shared" si="27"/>
        <v>21</v>
      </c>
    </row>
    <row r="135" spans="1:24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1</v>
      </c>
      <c r="M135" s="16">
        <v>1</v>
      </c>
      <c r="N135" s="16">
        <v>1</v>
      </c>
      <c r="O135" s="16">
        <v>1</v>
      </c>
      <c r="P135" s="16">
        <v>1</v>
      </c>
      <c r="Q135" s="16">
        <v>0</v>
      </c>
      <c r="R135" s="16">
        <v>1</v>
      </c>
      <c r="S135" s="16">
        <v>0</v>
      </c>
      <c r="T135" s="16">
        <v>1</v>
      </c>
      <c r="U135" s="16">
        <v>1</v>
      </c>
      <c r="V135" s="16">
        <v>0</v>
      </c>
      <c r="W135" s="16">
        <v>0</v>
      </c>
      <c r="X135" s="13">
        <f t="shared" si="27"/>
        <v>8</v>
      </c>
    </row>
    <row r="136" spans="1:24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13">
        <f t="shared" si="27"/>
        <v>0</v>
      </c>
    </row>
    <row r="137" spans="1:24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13">
        <f t="shared" si="27"/>
        <v>0</v>
      </c>
    </row>
    <row r="138" spans="1:24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13">
        <f t="shared" si="27"/>
        <v>0</v>
      </c>
    </row>
    <row r="139" spans="1:24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X139" si="28">SUM(E129:E138)</f>
        <v>6</v>
      </c>
      <c r="F139" s="13">
        <f t="shared" si="28"/>
        <v>8</v>
      </c>
      <c r="G139" s="13">
        <f t="shared" si="28"/>
        <v>2</v>
      </c>
      <c r="H139" s="13">
        <f t="shared" si="28"/>
        <v>3</v>
      </c>
      <c r="I139" s="13">
        <f t="shared" si="28"/>
        <v>6</v>
      </c>
      <c r="J139" s="13">
        <f t="shared" si="28"/>
        <v>0</v>
      </c>
      <c r="K139" s="13">
        <f t="shared" si="28"/>
        <v>4</v>
      </c>
      <c r="L139" s="13">
        <f t="shared" si="28"/>
        <v>7</v>
      </c>
      <c r="M139" s="13">
        <f t="shared" si="28"/>
        <v>10</v>
      </c>
      <c r="N139" s="13">
        <f t="shared" si="28"/>
        <v>16</v>
      </c>
      <c r="O139" s="13">
        <f t="shared" si="28"/>
        <v>14</v>
      </c>
      <c r="P139" s="13">
        <f t="shared" si="28"/>
        <v>3</v>
      </c>
      <c r="Q139" s="13">
        <f t="shared" si="28"/>
        <v>8</v>
      </c>
      <c r="R139" s="13">
        <f t="shared" si="28"/>
        <v>24</v>
      </c>
      <c r="S139" s="13">
        <f t="shared" si="28"/>
        <v>16</v>
      </c>
      <c r="T139" s="13">
        <f t="shared" si="28"/>
        <v>13</v>
      </c>
      <c r="U139" s="13">
        <f t="shared" si="28"/>
        <v>18</v>
      </c>
      <c r="V139" s="13">
        <f t="shared" si="28"/>
        <v>1</v>
      </c>
      <c r="W139" s="13">
        <f t="shared" si="28"/>
        <v>5</v>
      </c>
      <c r="X139" s="13">
        <f t="shared" si="28"/>
        <v>164</v>
      </c>
    </row>
    <row r="140" spans="1:24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</row>
    <row r="141" spans="1:24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1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3">
        <f t="shared" ref="X141:X150" si="29">SUM(E141:W141)</f>
        <v>1</v>
      </c>
    </row>
    <row r="142" spans="1:24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3">
        <f t="shared" si="29"/>
        <v>0</v>
      </c>
    </row>
    <row r="143" spans="1:24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13">
        <f t="shared" si="29"/>
        <v>0</v>
      </c>
    </row>
    <row r="144" spans="1:24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13">
        <f t="shared" si="29"/>
        <v>0</v>
      </c>
    </row>
    <row r="145" spans="1:24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13">
        <f t="shared" si="29"/>
        <v>0</v>
      </c>
    </row>
    <row r="146" spans="1:24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13">
        <f t="shared" si="29"/>
        <v>0</v>
      </c>
    </row>
    <row r="147" spans="1:24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13">
        <f t="shared" si="29"/>
        <v>0</v>
      </c>
    </row>
    <row r="148" spans="1:24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13">
        <f t="shared" si="29"/>
        <v>0</v>
      </c>
    </row>
    <row r="149" spans="1:24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13">
        <f t="shared" si="29"/>
        <v>0</v>
      </c>
    </row>
    <row r="150" spans="1:24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13">
        <f t="shared" si="29"/>
        <v>0</v>
      </c>
    </row>
    <row r="151" spans="1:24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X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0</v>
      </c>
      <c r="M151" s="13">
        <f t="shared" si="30"/>
        <v>0</v>
      </c>
      <c r="N151" s="13">
        <f t="shared" si="30"/>
        <v>1</v>
      </c>
      <c r="O151" s="13">
        <f t="shared" si="30"/>
        <v>0</v>
      </c>
      <c r="P151" s="13">
        <f t="shared" si="30"/>
        <v>0</v>
      </c>
      <c r="Q151" s="13">
        <f t="shared" si="30"/>
        <v>0</v>
      </c>
      <c r="R151" s="13">
        <f t="shared" si="30"/>
        <v>0</v>
      </c>
      <c r="S151" s="13">
        <f t="shared" si="30"/>
        <v>0</v>
      </c>
      <c r="T151" s="13">
        <f t="shared" si="30"/>
        <v>0</v>
      </c>
      <c r="U151" s="13">
        <f t="shared" si="30"/>
        <v>0</v>
      </c>
      <c r="V151" s="13">
        <f t="shared" si="30"/>
        <v>0</v>
      </c>
      <c r="W151" s="13">
        <f t="shared" si="30"/>
        <v>0</v>
      </c>
      <c r="X151" s="13">
        <f t="shared" si="30"/>
        <v>1</v>
      </c>
    </row>
    <row r="152" spans="1:24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13"/>
    </row>
    <row r="153" spans="1:24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1</v>
      </c>
      <c r="R153" s="16">
        <v>0</v>
      </c>
      <c r="S153" s="16">
        <v>0</v>
      </c>
      <c r="T153" s="16">
        <v>1</v>
      </c>
      <c r="U153" s="16">
        <v>0</v>
      </c>
      <c r="V153" s="16">
        <v>0</v>
      </c>
      <c r="W153" s="16">
        <v>0</v>
      </c>
      <c r="X153" s="13">
        <f t="shared" ref="X153:X162" si="31">SUM(E153:W153)</f>
        <v>2</v>
      </c>
    </row>
    <row r="154" spans="1:24" ht="12.75" customHeight="1" x14ac:dyDescent="0.4">
      <c r="A154" s="42" t="s">
        <v>38</v>
      </c>
      <c r="B154" s="28"/>
      <c r="C154" s="29" t="s">
        <v>99</v>
      </c>
      <c r="D154" s="30"/>
      <c r="E154" s="55">
        <v>0</v>
      </c>
      <c r="F154" s="16">
        <v>1</v>
      </c>
      <c r="G154" s="16">
        <v>0</v>
      </c>
      <c r="H154" s="16">
        <v>0</v>
      </c>
      <c r="I154" s="16">
        <v>1</v>
      </c>
      <c r="J154" s="16">
        <v>0</v>
      </c>
      <c r="K154" s="16">
        <v>0</v>
      </c>
      <c r="L154" s="16">
        <v>0</v>
      </c>
      <c r="M154" s="16">
        <v>2</v>
      </c>
      <c r="N154" s="16">
        <v>0</v>
      </c>
      <c r="O154" s="16">
        <v>2</v>
      </c>
      <c r="P154" s="16">
        <v>0</v>
      </c>
      <c r="Q154" s="16">
        <v>0</v>
      </c>
      <c r="R154" s="16">
        <v>0</v>
      </c>
      <c r="S154" s="16">
        <v>3</v>
      </c>
      <c r="T154" s="16">
        <v>1</v>
      </c>
      <c r="U154" s="16">
        <v>0</v>
      </c>
      <c r="V154" s="16">
        <v>3</v>
      </c>
      <c r="W154" s="16">
        <v>0</v>
      </c>
      <c r="X154" s="13">
        <f t="shared" si="31"/>
        <v>13</v>
      </c>
    </row>
    <row r="155" spans="1:24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1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0</v>
      </c>
      <c r="T155" s="16">
        <v>0</v>
      </c>
      <c r="U155" s="16">
        <v>0</v>
      </c>
      <c r="V155" s="16">
        <v>0</v>
      </c>
      <c r="W155" s="16">
        <v>0</v>
      </c>
      <c r="X155" s="13">
        <f t="shared" si="31"/>
        <v>1</v>
      </c>
    </row>
    <row r="156" spans="1:24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1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2</v>
      </c>
      <c r="S156" s="16">
        <v>0</v>
      </c>
      <c r="T156" s="16">
        <v>0</v>
      </c>
      <c r="U156" s="16">
        <v>0</v>
      </c>
      <c r="V156" s="16">
        <v>0</v>
      </c>
      <c r="W156" s="16">
        <v>0</v>
      </c>
      <c r="X156" s="13">
        <f t="shared" si="31"/>
        <v>3</v>
      </c>
    </row>
    <row r="157" spans="1:24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1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0</v>
      </c>
      <c r="U157" s="16">
        <v>0</v>
      </c>
      <c r="V157" s="16">
        <v>0</v>
      </c>
      <c r="W157" s="16">
        <v>0</v>
      </c>
      <c r="X157" s="13">
        <f t="shared" si="31"/>
        <v>1</v>
      </c>
    </row>
    <row r="158" spans="1:24" ht="12.75" customHeight="1" x14ac:dyDescent="0.4">
      <c r="A158" s="52"/>
      <c r="B158" s="28"/>
      <c r="C158" s="29" t="s">
        <v>103</v>
      </c>
      <c r="D158" s="30"/>
      <c r="E158" s="56">
        <v>0</v>
      </c>
      <c r="F158" s="53">
        <v>0</v>
      </c>
      <c r="G158" s="53">
        <v>0</v>
      </c>
      <c r="H158" s="53">
        <v>0</v>
      </c>
      <c r="I158" s="53">
        <v>1</v>
      </c>
      <c r="J158" s="53">
        <v>0</v>
      </c>
      <c r="K158" s="53">
        <v>0</v>
      </c>
      <c r="L158" s="53">
        <v>0</v>
      </c>
      <c r="M158" s="53">
        <v>0</v>
      </c>
      <c r="N158" s="53">
        <v>0</v>
      </c>
      <c r="O158" s="53">
        <v>0</v>
      </c>
      <c r="P158" s="16">
        <v>0</v>
      </c>
      <c r="Q158" s="53">
        <v>0</v>
      </c>
      <c r="R158" s="53">
        <v>0</v>
      </c>
      <c r="S158" s="53">
        <v>0</v>
      </c>
      <c r="T158" s="53">
        <v>0</v>
      </c>
      <c r="U158" s="53">
        <v>1</v>
      </c>
      <c r="V158" s="53">
        <v>0</v>
      </c>
      <c r="W158" s="53">
        <v>0</v>
      </c>
      <c r="X158" s="13">
        <f t="shared" si="31"/>
        <v>2</v>
      </c>
    </row>
    <row r="159" spans="1:24" ht="12.75" customHeight="1" x14ac:dyDescent="0.4">
      <c r="A159" s="52"/>
      <c r="B159" s="28"/>
      <c r="C159" s="29" t="s">
        <v>104</v>
      </c>
      <c r="D159" s="30"/>
      <c r="E159" s="56">
        <v>1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13">
        <f t="shared" si="31"/>
        <v>1</v>
      </c>
    </row>
    <row r="160" spans="1:24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13">
        <f t="shared" si="31"/>
        <v>0</v>
      </c>
    </row>
    <row r="161" spans="1:24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13">
        <f t="shared" si="31"/>
        <v>0</v>
      </c>
    </row>
    <row r="162" spans="1:24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13">
        <f t="shared" si="31"/>
        <v>0</v>
      </c>
    </row>
    <row r="163" spans="1:24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X163" si="32">SUM(E153:E162)</f>
        <v>1</v>
      </c>
      <c r="F163" s="13">
        <f t="shared" si="32"/>
        <v>1</v>
      </c>
      <c r="G163" s="13">
        <f t="shared" si="32"/>
        <v>1</v>
      </c>
      <c r="H163" s="13">
        <f t="shared" si="32"/>
        <v>2</v>
      </c>
      <c r="I163" s="13">
        <f t="shared" si="32"/>
        <v>2</v>
      </c>
      <c r="J163" s="13">
        <f t="shared" si="32"/>
        <v>0</v>
      </c>
      <c r="K163" s="13">
        <f t="shared" si="32"/>
        <v>0</v>
      </c>
      <c r="L163" s="13">
        <f t="shared" si="32"/>
        <v>0</v>
      </c>
      <c r="M163" s="13">
        <f t="shared" si="32"/>
        <v>2</v>
      </c>
      <c r="N163" s="13">
        <f t="shared" si="32"/>
        <v>0</v>
      </c>
      <c r="O163" s="13">
        <f t="shared" si="32"/>
        <v>2</v>
      </c>
      <c r="P163" s="13">
        <f t="shared" si="32"/>
        <v>0</v>
      </c>
      <c r="Q163" s="13">
        <f t="shared" si="32"/>
        <v>1</v>
      </c>
      <c r="R163" s="13">
        <f t="shared" si="32"/>
        <v>2</v>
      </c>
      <c r="S163" s="13">
        <f t="shared" si="32"/>
        <v>3</v>
      </c>
      <c r="T163" s="13">
        <f t="shared" si="32"/>
        <v>2</v>
      </c>
      <c r="U163" s="13">
        <f t="shared" si="32"/>
        <v>1</v>
      </c>
      <c r="V163" s="13">
        <f t="shared" si="32"/>
        <v>3</v>
      </c>
      <c r="W163" s="13">
        <f t="shared" si="32"/>
        <v>0</v>
      </c>
      <c r="X163" s="13">
        <f t="shared" si="32"/>
        <v>23</v>
      </c>
    </row>
    <row r="164" spans="1:24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</row>
    <row r="165" spans="1:24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1</v>
      </c>
      <c r="F165" s="16">
        <v>1</v>
      </c>
      <c r="G165" s="16">
        <v>0</v>
      </c>
      <c r="H165" s="16">
        <v>0</v>
      </c>
      <c r="I165" s="16">
        <v>1</v>
      </c>
      <c r="J165" s="16">
        <v>0</v>
      </c>
      <c r="K165" s="16">
        <v>0</v>
      </c>
      <c r="L165" s="16">
        <v>0</v>
      </c>
      <c r="M165" s="16">
        <v>0</v>
      </c>
      <c r="N165" s="16">
        <v>2</v>
      </c>
      <c r="O165" s="16">
        <v>0</v>
      </c>
      <c r="P165" s="16">
        <v>1</v>
      </c>
      <c r="Q165" s="16">
        <v>0</v>
      </c>
      <c r="R165" s="16">
        <v>0</v>
      </c>
      <c r="S165" s="16">
        <v>0</v>
      </c>
      <c r="T165" s="16">
        <v>0</v>
      </c>
      <c r="U165" s="16">
        <v>0</v>
      </c>
      <c r="V165" s="16">
        <v>0</v>
      </c>
      <c r="W165" s="16">
        <v>1</v>
      </c>
      <c r="X165" s="13">
        <f t="shared" ref="X165:X174" si="33">SUM(E165:W165)</f>
        <v>7</v>
      </c>
    </row>
    <row r="166" spans="1:24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13">
        <f t="shared" si="33"/>
        <v>0</v>
      </c>
    </row>
    <row r="167" spans="1:24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13">
        <f t="shared" si="33"/>
        <v>0</v>
      </c>
    </row>
    <row r="168" spans="1:24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13">
        <f t="shared" si="33"/>
        <v>0</v>
      </c>
    </row>
    <row r="169" spans="1:24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13">
        <f t="shared" si="33"/>
        <v>0</v>
      </c>
    </row>
    <row r="170" spans="1:24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13">
        <f t="shared" si="33"/>
        <v>0</v>
      </c>
    </row>
    <row r="171" spans="1:24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13">
        <f t="shared" si="33"/>
        <v>0</v>
      </c>
    </row>
    <row r="172" spans="1:24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13">
        <f t="shared" si="33"/>
        <v>0</v>
      </c>
    </row>
    <row r="173" spans="1:24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13">
        <f t="shared" si="33"/>
        <v>0</v>
      </c>
    </row>
    <row r="174" spans="1:24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13">
        <f t="shared" si="33"/>
        <v>0</v>
      </c>
    </row>
    <row r="175" spans="1:24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X175" si="34">SUM(E165:E174)</f>
        <v>1</v>
      </c>
      <c r="F175" s="13">
        <f t="shared" si="34"/>
        <v>1</v>
      </c>
      <c r="G175" s="13">
        <f t="shared" si="34"/>
        <v>0</v>
      </c>
      <c r="H175" s="13">
        <f t="shared" si="34"/>
        <v>0</v>
      </c>
      <c r="I175" s="13">
        <f t="shared" si="34"/>
        <v>1</v>
      </c>
      <c r="J175" s="13">
        <f t="shared" si="34"/>
        <v>0</v>
      </c>
      <c r="K175" s="13">
        <f t="shared" si="34"/>
        <v>0</v>
      </c>
      <c r="L175" s="13">
        <f t="shared" si="34"/>
        <v>0</v>
      </c>
      <c r="M175" s="13">
        <f t="shared" si="34"/>
        <v>0</v>
      </c>
      <c r="N175" s="13">
        <f t="shared" si="34"/>
        <v>2</v>
      </c>
      <c r="O175" s="13">
        <f t="shared" si="34"/>
        <v>0</v>
      </c>
      <c r="P175" s="13">
        <f t="shared" si="34"/>
        <v>1</v>
      </c>
      <c r="Q175" s="13">
        <f t="shared" si="34"/>
        <v>0</v>
      </c>
      <c r="R175" s="13">
        <f t="shared" si="34"/>
        <v>0</v>
      </c>
      <c r="S175" s="13">
        <f t="shared" si="34"/>
        <v>0</v>
      </c>
      <c r="T175" s="13">
        <f t="shared" si="34"/>
        <v>0</v>
      </c>
      <c r="U175" s="13">
        <f t="shared" si="34"/>
        <v>0</v>
      </c>
      <c r="V175" s="13">
        <f t="shared" si="34"/>
        <v>0</v>
      </c>
      <c r="W175" s="13">
        <f t="shared" si="34"/>
        <v>1</v>
      </c>
      <c r="X175" s="13">
        <f t="shared" si="34"/>
        <v>7</v>
      </c>
    </row>
    <row r="176" spans="1:24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</row>
    <row r="177" spans="1:24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2</v>
      </c>
      <c r="F177" s="16">
        <v>2</v>
      </c>
      <c r="G177" s="16">
        <v>0</v>
      </c>
      <c r="H177" s="16">
        <v>0</v>
      </c>
      <c r="I177" s="16">
        <v>0</v>
      </c>
      <c r="J177" s="16">
        <v>1</v>
      </c>
      <c r="K177" s="16">
        <v>0</v>
      </c>
      <c r="L177" s="16">
        <v>0</v>
      </c>
      <c r="M177" s="16">
        <v>2</v>
      </c>
      <c r="N177" s="16">
        <v>2</v>
      </c>
      <c r="O177" s="16">
        <v>3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1</v>
      </c>
      <c r="V177" s="16">
        <v>1</v>
      </c>
      <c r="W177" s="16">
        <v>0</v>
      </c>
      <c r="X177" s="13">
        <f t="shared" ref="X177:X186" si="35">SUM(E177:W177)</f>
        <v>14</v>
      </c>
    </row>
    <row r="178" spans="1:24" ht="12.75" customHeight="1" x14ac:dyDescent="0.4">
      <c r="A178" s="20" t="s">
        <v>38</v>
      </c>
      <c r="B178" s="28"/>
      <c r="C178" s="29" t="s">
        <v>109</v>
      </c>
      <c r="D178" s="30"/>
      <c r="E178" s="16">
        <v>0</v>
      </c>
      <c r="F178" s="16">
        <v>0</v>
      </c>
      <c r="G178" s="16">
        <v>1</v>
      </c>
      <c r="H178" s="16">
        <v>2</v>
      </c>
      <c r="I178" s="16">
        <v>0</v>
      </c>
      <c r="J178" s="16">
        <v>9</v>
      </c>
      <c r="K178" s="16">
        <v>0</v>
      </c>
      <c r="L178" s="16">
        <v>0</v>
      </c>
      <c r="M178" s="16">
        <v>0</v>
      </c>
      <c r="N178" s="16">
        <v>1</v>
      </c>
      <c r="O178" s="16">
        <v>1</v>
      </c>
      <c r="P178" s="16">
        <v>0</v>
      </c>
      <c r="Q178" s="16">
        <v>1</v>
      </c>
      <c r="R178" s="16">
        <v>1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3">
        <f t="shared" si="35"/>
        <v>16</v>
      </c>
    </row>
    <row r="179" spans="1:24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1</v>
      </c>
      <c r="G179" s="16">
        <v>2</v>
      </c>
      <c r="H179" s="16">
        <v>2</v>
      </c>
      <c r="I179" s="16">
        <v>1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2</v>
      </c>
      <c r="P179" s="16">
        <v>1</v>
      </c>
      <c r="Q179" s="16">
        <v>1</v>
      </c>
      <c r="R179" s="16">
        <v>0</v>
      </c>
      <c r="S179" s="16">
        <v>2</v>
      </c>
      <c r="T179" s="16">
        <v>0</v>
      </c>
      <c r="U179" s="16">
        <v>0</v>
      </c>
      <c r="V179" s="16">
        <v>0</v>
      </c>
      <c r="W179" s="16">
        <v>0</v>
      </c>
      <c r="X179" s="13">
        <f t="shared" si="35"/>
        <v>12</v>
      </c>
    </row>
    <row r="180" spans="1:24" ht="12.75" customHeight="1" x14ac:dyDescent="0.4">
      <c r="A180" s="15"/>
      <c r="B180" s="28"/>
      <c r="C180" s="29" t="s">
        <v>111</v>
      </c>
      <c r="D180" s="30"/>
      <c r="E180" s="16">
        <v>16</v>
      </c>
      <c r="F180" s="16">
        <v>14</v>
      </c>
      <c r="G180" s="16">
        <v>1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2</v>
      </c>
      <c r="N180" s="16">
        <v>0</v>
      </c>
      <c r="O180" s="16">
        <v>1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3">
        <f t="shared" si="35"/>
        <v>34</v>
      </c>
    </row>
    <row r="181" spans="1:24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1</v>
      </c>
      <c r="K181" s="16">
        <v>1</v>
      </c>
      <c r="L181" s="16">
        <v>0</v>
      </c>
      <c r="M181" s="16">
        <v>2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3">
        <f t="shared" si="35"/>
        <v>4</v>
      </c>
    </row>
    <row r="182" spans="1:24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1</v>
      </c>
      <c r="O182" s="16">
        <v>1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1</v>
      </c>
      <c r="V182" s="16">
        <v>1</v>
      </c>
      <c r="W182" s="16">
        <v>0</v>
      </c>
      <c r="X182" s="13">
        <f t="shared" si="35"/>
        <v>4</v>
      </c>
    </row>
    <row r="183" spans="1:24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/>
      <c r="U183" s="16"/>
      <c r="V183" s="16"/>
      <c r="W183" s="16"/>
      <c r="X183" s="13">
        <f t="shared" si="35"/>
        <v>0</v>
      </c>
    </row>
    <row r="184" spans="1:24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13">
        <f t="shared" si="35"/>
        <v>0</v>
      </c>
    </row>
    <row r="185" spans="1:24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13">
        <f t="shared" si="35"/>
        <v>0</v>
      </c>
    </row>
    <row r="186" spans="1:24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13">
        <f t="shared" si="35"/>
        <v>0</v>
      </c>
    </row>
    <row r="187" spans="1:24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X187" si="36">SUM(E177:E186)</f>
        <v>18</v>
      </c>
      <c r="F187" s="13">
        <f t="shared" si="36"/>
        <v>17</v>
      </c>
      <c r="G187" s="13">
        <f t="shared" si="36"/>
        <v>4</v>
      </c>
      <c r="H187" s="13">
        <f t="shared" si="36"/>
        <v>4</v>
      </c>
      <c r="I187" s="13">
        <f t="shared" si="36"/>
        <v>1</v>
      </c>
      <c r="J187" s="13">
        <f t="shared" si="36"/>
        <v>11</v>
      </c>
      <c r="K187" s="13">
        <f t="shared" si="36"/>
        <v>1</v>
      </c>
      <c r="L187" s="13">
        <f t="shared" si="36"/>
        <v>0</v>
      </c>
      <c r="M187" s="13">
        <f t="shared" si="36"/>
        <v>6</v>
      </c>
      <c r="N187" s="13">
        <f t="shared" si="36"/>
        <v>4</v>
      </c>
      <c r="O187" s="13">
        <f t="shared" si="36"/>
        <v>8</v>
      </c>
      <c r="P187" s="13">
        <f t="shared" si="36"/>
        <v>1</v>
      </c>
      <c r="Q187" s="13">
        <f t="shared" si="36"/>
        <v>2</v>
      </c>
      <c r="R187" s="13">
        <f t="shared" si="36"/>
        <v>1</v>
      </c>
      <c r="S187" s="13">
        <f t="shared" si="36"/>
        <v>2</v>
      </c>
      <c r="T187" s="13">
        <f t="shared" si="36"/>
        <v>0</v>
      </c>
      <c r="U187" s="13">
        <f t="shared" si="36"/>
        <v>2</v>
      </c>
      <c r="V187" s="13">
        <f t="shared" si="36"/>
        <v>2</v>
      </c>
      <c r="W187" s="13">
        <f t="shared" si="36"/>
        <v>0</v>
      </c>
      <c r="X187" s="13">
        <f t="shared" si="36"/>
        <v>84</v>
      </c>
    </row>
    <row r="188" spans="1:24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X188" s="13"/>
    </row>
    <row r="189" spans="1:24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1</v>
      </c>
      <c r="G189" s="16">
        <v>1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3">
        <f t="shared" ref="X189:X198" si="37">SUM(E189:W189)</f>
        <v>2</v>
      </c>
    </row>
    <row r="190" spans="1:24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1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3">
        <f t="shared" si="37"/>
        <v>1</v>
      </c>
    </row>
    <row r="191" spans="1:24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1</v>
      </c>
      <c r="X191" s="13">
        <f t="shared" si="37"/>
        <v>1</v>
      </c>
    </row>
    <row r="192" spans="1:24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1</v>
      </c>
      <c r="L192" s="16">
        <v>0</v>
      </c>
      <c r="M192" s="16">
        <v>1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3">
        <f t="shared" si="37"/>
        <v>2</v>
      </c>
    </row>
    <row r="193" spans="1:24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3">
        <f t="shared" si="37"/>
        <v>0</v>
      </c>
    </row>
    <row r="194" spans="1:24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1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3">
        <f t="shared" si="37"/>
        <v>1</v>
      </c>
    </row>
    <row r="195" spans="1:24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2</v>
      </c>
      <c r="M195" s="16">
        <v>0</v>
      </c>
      <c r="N195" s="16">
        <v>3</v>
      </c>
      <c r="O195" s="16">
        <v>1</v>
      </c>
      <c r="P195" s="16">
        <v>0</v>
      </c>
      <c r="Q195" s="16">
        <v>0</v>
      </c>
      <c r="R195" s="16">
        <v>1</v>
      </c>
      <c r="S195" s="16">
        <v>0</v>
      </c>
      <c r="T195" s="16">
        <v>0</v>
      </c>
      <c r="U195" s="16">
        <v>1</v>
      </c>
      <c r="V195" s="16">
        <v>0</v>
      </c>
      <c r="W195" s="16">
        <v>0</v>
      </c>
      <c r="X195" s="13">
        <f t="shared" si="37"/>
        <v>8</v>
      </c>
    </row>
    <row r="196" spans="1:24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13">
        <f t="shared" si="37"/>
        <v>0</v>
      </c>
    </row>
    <row r="197" spans="1:24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13">
        <f t="shared" si="37"/>
        <v>0</v>
      </c>
    </row>
    <row r="198" spans="1:24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13">
        <f t="shared" si="37"/>
        <v>0</v>
      </c>
    </row>
    <row r="199" spans="1:24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X199" si="38">SUM(E189:E198)</f>
        <v>0</v>
      </c>
      <c r="F199" s="13">
        <f t="shared" si="38"/>
        <v>1</v>
      </c>
      <c r="G199" s="13">
        <f t="shared" si="38"/>
        <v>1</v>
      </c>
      <c r="H199" s="13">
        <f t="shared" si="38"/>
        <v>0</v>
      </c>
      <c r="I199" s="13">
        <f t="shared" si="38"/>
        <v>0</v>
      </c>
      <c r="J199" s="13">
        <f t="shared" si="38"/>
        <v>0</v>
      </c>
      <c r="K199" s="13">
        <f t="shared" si="38"/>
        <v>1</v>
      </c>
      <c r="L199" s="13">
        <f t="shared" si="38"/>
        <v>2</v>
      </c>
      <c r="M199" s="13">
        <f t="shared" si="38"/>
        <v>1</v>
      </c>
      <c r="N199" s="13">
        <f t="shared" si="38"/>
        <v>5</v>
      </c>
      <c r="O199" s="13">
        <f t="shared" si="38"/>
        <v>1</v>
      </c>
      <c r="P199" s="13">
        <f t="shared" si="38"/>
        <v>0</v>
      </c>
      <c r="Q199" s="13">
        <f t="shared" si="38"/>
        <v>0</v>
      </c>
      <c r="R199" s="13">
        <f t="shared" si="38"/>
        <v>1</v>
      </c>
      <c r="S199" s="13">
        <f t="shared" si="38"/>
        <v>0</v>
      </c>
      <c r="T199" s="13">
        <f t="shared" si="38"/>
        <v>0</v>
      </c>
      <c r="U199" s="13">
        <f t="shared" si="38"/>
        <v>1</v>
      </c>
      <c r="V199" s="13">
        <f t="shared" si="38"/>
        <v>0</v>
      </c>
      <c r="W199" s="13">
        <f t="shared" si="38"/>
        <v>1</v>
      </c>
      <c r="X199" s="13">
        <f t="shared" si="38"/>
        <v>15</v>
      </c>
    </row>
    <row r="200" spans="1:24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</row>
    <row r="201" spans="1:24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7</v>
      </c>
      <c r="F201" s="16">
        <v>3</v>
      </c>
      <c r="G201" s="16">
        <v>6</v>
      </c>
      <c r="H201" s="16">
        <v>3</v>
      </c>
      <c r="I201" s="16">
        <v>3</v>
      </c>
      <c r="J201" s="16">
        <v>1</v>
      </c>
      <c r="K201" s="16">
        <v>2</v>
      </c>
      <c r="L201" s="16">
        <v>4</v>
      </c>
      <c r="M201" s="16">
        <v>3</v>
      </c>
      <c r="N201" s="16">
        <v>6</v>
      </c>
      <c r="O201" s="16">
        <v>6</v>
      </c>
      <c r="P201" s="16">
        <v>2</v>
      </c>
      <c r="Q201" s="16">
        <v>3</v>
      </c>
      <c r="R201" s="16">
        <v>2</v>
      </c>
      <c r="S201" s="16">
        <v>1</v>
      </c>
      <c r="T201" s="16">
        <v>5</v>
      </c>
      <c r="U201" s="16">
        <v>4</v>
      </c>
      <c r="V201" s="16">
        <v>1</v>
      </c>
      <c r="W201" s="16">
        <v>3</v>
      </c>
      <c r="X201" s="13">
        <f t="shared" ref="X201:X210" si="39">SUM(E201:W201)</f>
        <v>65</v>
      </c>
    </row>
    <row r="202" spans="1:24" ht="12.75" customHeight="1" x14ac:dyDescent="0.4">
      <c r="A202" s="20" t="s">
        <v>38</v>
      </c>
      <c r="B202" s="28"/>
      <c r="C202" s="29" t="s">
        <v>125</v>
      </c>
      <c r="D202" s="30"/>
      <c r="E202" s="16">
        <v>3</v>
      </c>
      <c r="F202" s="16">
        <v>0</v>
      </c>
      <c r="G202" s="16">
        <v>5</v>
      </c>
      <c r="H202" s="16">
        <v>2</v>
      </c>
      <c r="I202" s="16">
        <v>6</v>
      </c>
      <c r="J202" s="16">
        <v>18</v>
      </c>
      <c r="K202" s="16">
        <v>4</v>
      </c>
      <c r="L202" s="16">
        <v>18</v>
      </c>
      <c r="M202" s="16">
        <v>2</v>
      </c>
      <c r="N202" s="16">
        <v>2</v>
      </c>
      <c r="O202" s="16">
        <v>4</v>
      </c>
      <c r="P202" s="16">
        <v>11</v>
      </c>
      <c r="Q202" s="16">
        <v>27</v>
      </c>
      <c r="R202" s="16">
        <v>19</v>
      </c>
      <c r="S202" s="16">
        <v>4</v>
      </c>
      <c r="T202" s="16">
        <v>5</v>
      </c>
      <c r="U202" s="16">
        <v>34</v>
      </c>
      <c r="V202" s="16">
        <v>3</v>
      </c>
      <c r="W202" s="16">
        <v>2</v>
      </c>
      <c r="X202" s="13">
        <f t="shared" si="39"/>
        <v>169</v>
      </c>
    </row>
    <row r="203" spans="1:24" ht="12.75" customHeight="1" x14ac:dyDescent="0.4">
      <c r="A203" s="15"/>
      <c r="B203" s="28"/>
      <c r="C203" s="29" t="s">
        <v>126</v>
      </c>
      <c r="D203" s="30"/>
      <c r="E203" s="16">
        <v>1</v>
      </c>
      <c r="F203" s="16">
        <v>1</v>
      </c>
      <c r="G203" s="16">
        <v>1</v>
      </c>
      <c r="H203" s="16">
        <v>4</v>
      </c>
      <c r="I203" s="16">
        <v>0</v>
      </c>
      <c r="J203" s="16">
        <v>3</v>
      </c>
      <c r="K203" s="16">
        <v>0</v>
      </c>
      <c r="L203" s="16">
        <v>0</v>
      </c>
      <c r="M203" s="16">
        <v>4</v>
      </c>
      <c r="N203" s="16">
        <v>6</v>
      </c>
      <c r="O203" s="16">
        <v>5</v>
      </c>
      <c r="P203" s="16">
        <v>0</v>
      </c>
      <c r="Q203" s="16">
        <v>3</v>
      </c>
      <c r="R203" s="16">
        <v>0</v>
      </c>
      <c r="S203" s="16">
        <v>1</v>
      </c>
      <c r="T203" s="16">
        <v>4</v>
      </c>
      <c r="U203" s="16">
        <v>2</v>
      </c>
      <c r="V203" s="16">
        <v>0</v>
      </c>
      <c r="W203" s="16">
        <v>0</v>
      </c>
      <c r="X203" s="13">
        <f t="shared" si="39"/>
        <v>35</v>
      </c>
    </row>
    <row r="204" spans="1:24" ht="12.75" customHeight="1" x14ac:dyDescent="0.4">
      <c r="A204" s="15"/>
      <c r="B204" s="28"/>
      <c r="C204" s="29" t="s">
        <v>127</v>
      </c>
      <c r="D204" s="30"/>
      <c r="E204" s="16">
        <v>19</v>
      </c>
      <c r="F204" s="16">
        <v>17</v>
      </c>
      <c r="G204" s="16">
        <v>3</v>
      </c>
      <c r="H204" s="16">
        <v>1</v>
      </c>
      <c r="I204" s="16">
        <v>5</v>
      </c>
      <c r="J204" s="16">
        <v>0</v>
      </c>
      <c r="K204" s="16">
        <v>2</v>
      </c>
      <c r="L204" s="16">
        <v>2</v>
      </c>
      <c r="M204" s="16">
        <v>0</v>
      </c>
      <c r="N204" s="16">
        <v>4</v>
      </c>
      <c r="O204" s="16">
        <v>1</v>
      </c>
      <c r="P204" s="16">
        <v>3</v>
      </c>
      <c r="Q204" s="16">
        <v>1</v>
      </c>
      <c r="R204" s="16">
        <v>4</v>
      </c>
      <c r="S204" s="16">
        <v>2</v>
      </c>
      <c r="T204" s="16">
        <v>1</v>
      </c>
      <c r="U204" s="16">
        <v>1</v>
      </c>
      <c r="V204" s="16">
        <v>2</v>
      </c>
      <c r="W204" s="16">
        <v>1</v>
      </c>
      <c r="X204" s="13">
        <f t="shared" si="39"/>
        <v>69</v>
      </c>
    </row>
    <row r="205" spans="1:24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0</v>
      </c>
      <c r="H205" s="16">
        <v>2</v>
      </c>
      <c r="I205" s="16">
        <v>0</v>
      </c>
      <c r="J205" s="16">
        <v>0</v>
      </c>
      <c r="K205" s="16">
        <v>0</v>
      </c>
      <c r="L205" s="16">
        <v>0</v>
      </c>
      <c r="M205" s="16">
        <v>1</v>
      </c>
      <c r="N205" s="16">
        <v>0</v>
      </c>
      <c r="O205" s="16">
        <v>0</v>
      </c>
      <c r="P205" s="16">
        <v>0</v>
      </c>
      <c r="Q205" s="16">
        <v>1</v>
      </c>
      <c r="R205" s="16">
        <v>0</v>
      </c>
      <c r="S205" s="16">
        <v>0</v>
      </c>
      <c r="T205" s="16">
        <v>0</v>
      </c>
      <c r="U205" s="16">
        <v>1</v>
      </c>
      <c r="V205" s="16">
        <v>0</v>
      </c>
      <c r="W205" s="16">
        <v>0</v>
      </c>
      <c r="X205" s="13">
        <f t="shared" si="39"/>
        <v>5</v>
      </c>
    </row>
    <row r="206" spans="1:24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1</v>
      </c>
      <c r="H206" s="16">
        <v>2</v>
      </c>
      <c r="I206" s="16">
        <v>0</v>
      </c>
      <c r="J206" s="16">
        <v>0</v>
      </c>
      <c r="K206" s="16">
        <v>1</v>
      </c>
      <c r="L206" s="16">
        <v>0</v>
      </c>
      <c r="M206" s="16">
        <v>0</v>
      </c>
      <c r="N206" s="16">
        <v>1</v>
      </c>
      <c r="O206" s="16">
        <v>0</v>
      </c>
      <c r="P206" s="16">
        <v>0</v>
      </c>
      <c r="Q206" s="16">
        <v>0</v>
      </c>
      <c r="R206" s="16">
        <v>0</v>
      </c>
      <c r="S206" s="16">
        <v>0</v>
      </c>
      <c r="T206" s="16">
        <v>0</v>
      </c>
      <c r="U206" s="16">
        <v>0</v>
      </c>
      <c r="V206" s="16">
        <v>0</v>
      </c>
      <c r="W206" s="16">
        <v>0</v>
      </c>
      <c r="X206" s="13">
        <f t="shared" si="39"/>
        <v>5</v>
      </c>
    </row>
    <row r="207" spans="1:24" ht="12.75" customHeight="1" x14ac:dyDescent="0.4">
      <c r="A207" s="15"/>
      <c r="B207" s="28"/>
      <c r="C207" s="29" t="s">
        <v>130</v>
      </c>
      <c r="D207" s="30"/>
      <c r="E207" s="16">
        <v>3</v>
      </c>
      <c r="F207" s="16">
        <v>3</v>
      </c>
      <c r="G207" s="16">
        <v>3</v>
      </c>
      <c r="H207" s="16">
        <v>3</v>
      </c>
      <c r="I207" s="16">
        <v>6</v>
      </c>
      <c r="J207" s="16">
        <v>0</v>
      </c>
      <c r="K207" s="16">
        <v>0</v>
      </c>
      <c r="L207" s="16">
        <v>0</v>
      </c>
      <c r="M207" s="16">
        <v>1</v>
      </c>
      <c r="N207" s="16">
        <v>1</v>
      </c>
      <c r="O207" s="16">
        <v>2</v>
      </c>
      <c r="P207" s="16">
        <v>1</v>
      </c>
      <c r="Q207" s="16">
        <v>2</v>
      </c>
      <c r="R207" s="16">
        <v>2</v>
      </c>
      <c r="S207" s="16">
        <v>0</v>
      </c>
      <c r="T207" s="16">
        <v>0</v>
      </c>
      <c r="U207" s="16">
        <v>1</v>
      </c>
      <c r="V207" s="16">
        <v>0</v>
      </c>
      <c r="W207" s="16">
        <v>0</v>
      </c>
      <c r="X207" s="13">
        <f t="shared" si="39"/>
        <v>28</v>
      </c>
    </row>
    <row r="208" spans="1:24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13">
        <f t="shared" si="39"/>
        <v>0</v>
      </c>
    </row>
    <row r="209" spans="1:24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13">
        <f t="shared" si="39"/>
        <v>0</v>
      </c>
    </row>
    <row r="210" spans="1:24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13">
        <f t="shared" si="39"/>
        <v>0</v>
      </c>
    </row>
    <row r="211" spans="1:24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X211" si="40">SUM(E201:E210)</f>
        <v>33</v>
      </c>
      <c r="F211" s="13">
        <f t="shared" si="40"/>
        <v>24</v>
      </c>
      <c r="G211" s="13">
        <f t="shared" si="40"/>
        <v>19</v>
      </c>
      <c r="H211" s="13">
        <f t="shared" si="40"/>
        <v>17</v>
      </c>
      <c r="I211" s="13">
        <f t="shared" si="40"/>
        <v>20</v>
      </c>
      <c r="J211" s="13">
        <f t="shared" si="40"/>
        <v>22</v>
      </c>
      <c r="K211" s="13">
        <f t="shared" si="40"/>
        <v>9</v>
      </c>
      <c r="L211" s="13">
        <f t="shared" si="40"/>
        <v>24</v>
      </c>
      <c r="M211" s="13">
        <f t="shared" si="40"/>
        <v>11</v>
      </c>
      <c r="N211" s="13">
        <f t="shared" si="40"/>
        <v>20</v>
      </c>
      <c r="O211" s="13">
        <f t="shared" si="40"/>
        <v>18</v>
      </c>
      <c r="P211" s="13">
        <f t="shared" si="40"/>
        <v>17</v>
      </c>
      <c r="Q211" s="13">
        <f t="shared" si="40"/>
        <v>37</v>
      </c>
      <c r="R211" s="13">
        <f t="shared" si="40"/>
        <v>27</v>
      </c>
      <c r="S211" s="13">
        <f t="shared" si="40"/>
        <v>8</v>
      </c>
      <c r="T211" s="13">
        <f t="shared" si="40"/>
        <v>15</v>
      </c>
      <c r="U211" s="13">
        <f t="shared" si="40"/>
        <v>43</v>
      </c>
      <c r="V211" s="13">
        <f t="shared" si="40"/>
        <v>6</v>
      </c>
      <c r="W211" s="13">
        <f t="shared" si="40"/>
        <v>6</v>
      </c>
      <c r="X211" s="13">
        <f t="shared" si="40"/>
        <v>376</v>
      </c>
    </row>
    <row r="212" spans="1:24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</row>
    <row r="213" spans="1:24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2</v>
      </c>
      <c r="F213" s="16">
        <v>7</v>
      </c>
      <c r="G213" s="16">
        <v>1</v>
      </c>
      <c r="H213" s="16">
        <v>2</v>
      </c>
      <c r="I213" s="16">
        <v>7</v>
      </c>
      <c r="J213" s="16">
        <v>1</v>
      </c>
      <c r="K213" s="16">
        <v>1</v>
      </c>
      <c r="L213" s="16">
        <v>0</v>
      </c>
      <c r="M213" s="16">
        <v>2</v>
      </c>
      <c r="N213" s="16">
        <v>2</v>
      </c>
      <c r="O213" s="16">
        <v>7</v>
      </c>
      <c r="P213" s="16">
        <v>2</v>
      </c>
      <c r="Q213" s="16">
        <v>2</v>
      </c>
      <c r="R213" s="16">
        <v>4</v>
      </c>
      <c r="S213" s="16">
        <v>1</v>
      </c>
      <c r="T213" s="16">
        <v>2</v>
      </c>
      <c r="U213" s="16">
        <v>5</v>
      </c>
      <c r="V213" s="16">
        <v>2</v>
      </c>
      <c r="W213" s="16">
        <v>0</v>
      </c>
      <c r="X213" s="13">
        <f t="shared" ref="X213:X222" si="41">SUM(E213:W213)</f>
        <v>50</v>
      </c>
    </row>
    <row r="214" spans="1:24" ht="12.75" customHeight="1" x14ac:dyDescent="0.4">
      <c r="A214" s="20" t="s">
        <v>38</v>
      </c>
      <c r="B214" s="27"/>
      <c r="C214" s="29" t="s">
        <v>133</v>
      </c>
      <c r="D214" s="40"/>
      <c r="E214" s="16">
        <v>2</v>
      </c>
      <c r="F214" s="16">
        <v>2</v>
      </c>
      <c r="G214" s="16">
        <v>1</v>
      </c>
      <c r="H214" s="16">
        <v>1</v>
      </c>
      <c r="I214" s="16">
        <v>1</v>
      </c>
      <c r="J214" s="16">
        <v>0</v>
      </c>
      <c r="K214" s="16">
        <v>1</v>
      </c>
      <c r="L214" s="16">
        <v>1</v>
      </c>
      <c r="M214" s="16">
        <v>0</v>
      </c>
      <c r="N214" s="16">
        <v>0</v>
      </c>
      <c r="O214" s="16">
        <v>3</v>
      </c>
      <c r="P214" s="16">
        <v>1</v>
      </c>
      <c r="Q214" s="16">
        <v>0</v>
      </c>
      <c r="R214" s="16">
        <v>0</v>
      </c>
      <c r="S214" s="16">
        <v>3</v>
      </c>
      <c r="T214" s="16">
        <v>0</v>
      </c>
      <c r="U214" s="16">
        <v>1</v>
      </c>
      <c r="V214" s="16">
        <v>0</v>
      </c>
      <c r="W214" s="16">
        <v>0</v>
      </c>
      <c r="X214" s="13">
        <f t="shared" si="41"/>
        <v>17</v>
      </c>
    </row>
    <row r="215" spans="1:24" ht="12.75" customHeight="1" x14ac:dyDescent="0.4">
      <c r="A215" s="15"/>
      <c r="B215" s="27"/>
      <c r="C215" s="29" t="s">
        <v>134</v>
      </c>
      <c r="D215" s="40"/>
      <c r="E215" s="16">
        <v>1</v>
      </c>
      <c r="F215" s="16">
        <v>0</v>
      </c>
      <c r="G215" s="16">
        <v>0</v>
      </c>
      <c r="H215" s="16">
        <v>0</v>
      </c>
      <c r="I215" s="16">
        <v>1</v>
      </c>
      <c r="J215" s="16">
        <v>0</v>
      </c>
      <c r="K215" s="16">
        <v>0</v>
      </c>
      <c r="L215" s="16">
        <v>0</v>
      </c>
      <c r="M215" s="16">
        <v>1</v>
      </c>
      <c r="N215" s="16">
        <v>0</v>
      </c>
      <c r="O215" s="16">
        <v>0</v>
      </c>
      <c r="P215" s="16">
        <v>0</v>
      </c>
      <c r="Q215" s="16">
        <v>0</v>
      </c>
      <c r="R215" s="16">
        <v>1</v>
      </c>
      <c r="S215" s="16">
        <v>2</v>
      </c>
      <c r="T215" s="16">
        <v>0</v>
      </c>
      <c r="U215" s="16">
        <v>1</v>
      </c>
      <c r="V215" s="16">
        <v>0</v>
      </c>
      <c r="W215" s="16">
        <v>1</v>
      </c>
      <c r="X215" s="13">
        <f t="shared" si="41"/>
        <v>8</v>
      </c>
    </row>
    <row r="216" spans="1:24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0</v>
      </c>
      <c r="G216" s="16">
        <v>0</v>
      </c>
      <c r="H216" s="16">
        <v>1</v>
      </c>
      <c r="I216" s="16">
        <v>2</v>
      </c>
      <c r="J216" s="16">
        <v>0</v>
      </c>
      <c r="K216" s="16">
        <v>0</v>
      </c>
      <c r="L216" s="16">
        <v>0</v>
      </c>
      <c r="M216" s="16">
        <v>0</v>
      </c>
      <c r="N216" s="16">
        <v>2</v>
      </c>
      <c r="O216" s="16">
        <v>0</v>
      </c>
      <c r="P216" s="16">
        <v>0</v>
      </c>
      <c r="Q216" s="16">
        <v>0</v>
      </c>
      <c r="R216" s="16">
        <v>0</v>
      </c>
      <c r="S216" s="16">
        <v>1</v>
      </c>
      <c r="T216" s="16">
        <v>0</v>
      </c>
      <c r="U216" s="16">
        <v>1</v>
      </c>
      <c r="V216" s="16">
        <v>0</v>
      </c>
      <c r="W216" s="16">
        <v>0</v>
      </c>
      <c r="X216" s="13">
        <f t="shared" si="41"/>
        <v>7</v>
      </c>
    </row>
    <row r="217" spans="1:24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1</v>
      </c>
      <c r="L217" s="16">
        <v>0</v>
      </c>
      <c r="M217" s="16">
        <v>0</v>
      </c>
      <c r="N217" s="16">
        <v>0</v>
      </c>
      <c r="O217" s="16">
        <v>0</v>
      </c>
      <c r="P217" s="16">
        <v>0</v>
      </c>
      <c r="Q217" s="16">
        <v>0</v>
      </c>
      <c r="R217" s="16">
        <v>0</v>
      </c>
      <c r="S217" s="16">
        <v>0</v>
      </c>
      <c r="T217" s="16">
        <v>0</v>
      </c>
      <c r="U217" s="16">
        <v>0</v>
      </c>
      <c r="V217" s="16">
        <v>0</v>
      </c>
      <c r="W217" s="16">
        <v>0</v>
      </c>
      <c r="X217" s="13">
        <f t="shared" si="41"/>
        <v>1</v>
      </c>
    </row>
    <row r="218" spans="1:24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0</v>
      </c>
      <c r="G218" s="16">
        <v>0</v>
      </c>
      <c r="H218" s="16">
        <v>0</v>
      </c>
      <c r="I218" s="16">
        <v>0</v>
      </c>
      <c r="J218" s="16">
        <v>0</v>
      </c>
      <c r="K218" s="16">
        <v>0</v>
      </c>
      <c r="L218" s="16">
        <v>0</v>
      </c>
      <c r="M218" s="16">
        <v>0</v>
      </c>
      <c r="N218" s="16">
        <v>0</v>
      </c>
      <c r="O218" s="16">
        <v>0</v>
      </c>
      <c r="P218" s="16">
        <v>0</v>
      </c>
      <c r="Q218" s="16">
        <v>0</v>
      </c>
      <c r="R218" s="16">
        <v>0</v>
      </c>
      <c r="S218" s="16">
        <v>0</v>
      </c>
      <c r="T218" s="16">
        <v>0</v>
      </c>
      <c r="U218" s="16">
        <v>1</v>
      </c>
      <c r="V218" s="16">
        <v>0</v>
      </c>
      <c r="W218" s="16">
        <v>0</v>
      </c>
      <c r="X218" s="13">
        <f t="shared" si="41"/>
        <v>1</v>
      </c>
    </row>
    <row r="219" spans="1:24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13">
        <f t="shared" si="41"/>
        <v>0</v>
      </c>
    </row>
    <row r="220" spans="1:24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13">
        <f t="shared" si="41"/>
        <v>0</v>
      </c>
    </row>
    <row r="221" spans="1:24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13">
        <f t="shared" si="41"/>
        <v>0</v>
      </c>
    </row>
    <row r="222" spans="1:24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13">
        <f t="shared" si="41"/>
        <v>0</v>
      </c>
    </row>
    <row r="223" spans="1:24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X223" si="42">SUM(E213:E222)</f>
        <v>5</v>
      </c>
      <c r="F223" s="13">
        <f t="shared" si="42"/>
        <v>9</v>
      </c>
      <c r="G223" s="13">
        <f t="shared" si="42"/>
        <v>2</v>
      </c>
      <c r="H223" s="13">
        <f t="shared" si="42"/>
        <v>4</v>
      </c>
      <c r="I223" s="13">
        <f t="shared" si="42"/>
        <v>11</v>
      </c>
      <c r="J223" s="13">
        <f t="shared" si="42"/>
        <v>1</v>
      </c>
      <c r="K223" s="13">
        <f t="shared" si="42"/>
        <v>3</v>
      </c>
      <c r="L223" s="13">
        <f t="shared" si="42"/>
        <v>1</v>
      </c>
      <c r="M223" s="13">
        <f t="shared" si="42"/>
        <v>3</v>
      </c>
      <c r="N223" s="13">
        <f t="shared" si="42"/>
        <v>4</v>
      </c>
      <c r="O223" s="13">
        <f t="shared" si="42"/>
        <v>10</v>
      </c>
      <c r="P223" s="13">
        <f t="shared" si="42"/>
        <v>3</v>
      </c>
      <c r="Q223" s="13">
        <f t="shared" si="42"/>
        <v>2</v>
      </c>
      <c r="R223" s="13">
        <f t="shared" si="42"/>
        <v>5</v>
      </c>
      <c r="S223" s="13">
        <f t="shared" si="42"/>
        <v>7</v>
      </c>
      <c r="T223" s="13">
        <f t="shared" si="42"/>
        <v>2</v>
      </c>
      <c r="U223" s="13">
        <f t="shared" si="42"/>
        <v>9</v>
      </c>
      <c r="V223" s="13">
        <f t="shared" si="42"/>
        <v>2</v>
      </c>
      <c r="W223" s="13">
        <f t="shared" si="42"/>
        <v>1</v>
      </c>
      <c r="X223" s="13">
        <f t="shared" si="42"/>
        <v>84</v>
      </c>
    </row>
    <row r="224" spans="1:24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</row>
    <row r="225" spans="1:24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1</v>
      </c>
      <c r="G225" s="16">
        <v>0</v>
      </c>
      <c r="H225" s="16">
        <v>0</v>
      </c>
      <c r="I225" s="16">
        <v>0</v>
      </c>
      <c r="J225" s="16">
        <v>0</v>
      </c>
      <c r="K225" s="16">
        <v>0</v>
      </c>
      <c r="L225" s="16">
        <v>0</v>
      </c>
      <c r="M225" s="16">
        <v>1</v>
      </c>
      <c r="N225" s="16">
        <v>1</v>
      </c>
      <c r="O225" s="16">
        <v>0</v>
      </c>
      <c r="P225" s="16">
        <v>0</v>
      </c>
      <c r="Q225" s="16">
        <v>0</v>
      </c>
      <c r="R225" s="16">
        <v>0</v>
      </c>
      <c r="S225" s="16">
        <v>1</v>
      </c>
      <c r="T225" s="16">
        <v>0</v>
      </c>
      <c r="U225" s="16">
        <v>1</v>
      </c>
      <c r="V225" s="16">
        <v>0</v>
      </c>
      <c r="W225" s="16">
        <v>0</v>
      </c>
      <c r="X225" s="13">
        <f t="shared" ref="X225:X234" si="43">SUM(E225:W225)</f>
        <v>5</v>
      </c>
    </row>
    <row r="226" spans="1:24" ht="12.75" customHeight="1" x14ac:dyDescent="0.4">
      <c r="A226" s="20" t="s">
        <v>38</v>
      </c>
      <c r="B226" s="27"/>
      <c r="C226" s="29" t="s">
        <v>140</v>
      </c>
      <c r="D226" s="40"/>
      <c r="E226" s="16">
        <v>1</v>
      </c>
      <c r="F226" s="16">
        <v>0</v>
      </c>
      <c r="G226" s="16">
        <v>0</v>
      </c>
      <c r="H226" s="16">
        <v>3</v>
      </c>
      <c r="I226" s="16">
        <v>0</v>
      </c>
      <c r="J226" s="16">
        <v>0</v>
      </c>
      <c r="K226" s="16">
        <v>0</v>
      </c>
      <c r="L226" s="16">
        <v>0</v>
      </c>
      <c r="M226" s="16">
        <v>0</v>
      </c>
      <c r="N226" s="16">
        <v>0</v>
      </c>
      <c r="O226" s="16">
        <v>0</v>
      </c>
      <c r="P226" s="16">
        <v>0</v>
      </c>
      <c r="Q226" s="16">
        <v>0</v>
      </c>
      <c r="R226" s="16">
        <v>0</v>
      </c>
      <c r="S226" s="16">
        <v>0</v>
      </c>
      <c r="T226" s="16">
        <v>0</v>
      </c>
      <c r="U226" s="16">
        <v>0</v>
      </c>
      <c r="V226" s="16">
        <v>0</v>
      </c>
      <c r="W226" s="16">
        <v>0</v>
      </c>
      <c r="X226" s="13">
        <f t="shared" si="43"/>
        <v>4</v>
      </c>
    </row>
    <row r="227" spans="1:24" ht="12.75" customHeight="1" x14ac:dyDescent="0.4">
      <c r="A227" s="15"/>
      <c r="B227" s="27"/>
      <c r="C227" s="29" t="s">
        <v>141</v>
      </c>
      <c r="D227" s="40"/>
      <c r="E227" s="16">
        <v>1</v>
      </c>
      <c r="F227" s="16">
        <v>0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6">
        <v>0</v>
      </c>
      <c r="M227" s="16">
        <v>0</v>
      </c>
      <c r="N227" s="16">
        <v>2</v>
      </c>
      <c r="O227" s="16">
        <v>1</v>
      </c>
      <c r="P227" s="16">
        <v>1</v>
      </c>
      <c r="Q227" s="16">
        <v>0</v>
      </c>
      <c r="R227" s="16">
        <v>0</v>
      </c>
      <c r="S227" s="16">
        <v>0</v>
      </c>
      <c r="T227" s="16">
        <v>0</v>
      </c>
      <c r="U227" s="16">
        <v>1</v>
      </c>
      <c r="V227" s="16">
        <v>0</v>
      </c>
      <c r="W227" s="16">
        <v>0</v>
      </c>
      <c r="X227" s="13">
        <f t="shared" si="43"/>
        <v>6</v>
      </c>
    </row>
    <row r="228" spans="1:24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6">
        <v>0</v>
      </c>
      <c r="U228" s="16">
        <v>0</v>
      </c>
      <c r="V228" s="16">
        <v>0</v>
      </c>
      <c r="W228" s="16">
        <v>0</v>
      </c>
      <c r="X228" s="13">
        <f t="shared" si="43"/>
        <v>0</v>
      </c>
    </row>
    <row r="229" spans="1:24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1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0</v>
      </c>
      <c r="T229" s="16">
        <v>0</v>
      </c>
      <c r="U229" s="16">
        <v>0</v>
      </c>
      <c r="V229" s="16">
        <v>0</v>
      </c>
      <c r="W229" s="16">
        <v>0</v>
      </c>
      <c r="X229" s="13">
        <f t="shared" si="43"/>
        <v>1</v>
      </c>
    </row>
    <row r="230" spans="1:24" ht="12.75" customHeight="1" x14ac:dyDescent="0.4">
      <c r="A230" s="15"/>
      <c r="B230" s="28"/>
      <c r="C230" s="29" t="s">
        <v>144</v>
      </c>
      <c r="D230" s="30"/>
      <c r="E230" s="16">
        <v>1</v>
      </c>
      <c r="F230" s="16">
        <v>1</v>
      </c>
      <c r="G230" s="16">
        <v>0</v>
      </c>
      <c r="H230" s="16">
        <v>3</v>
      </c>
      <c r="I230" s="16">
        <v>0</v>
      </c>
      <c r="J230" s="16">
        <v>0</v>
      </c>
      <c r="K230" s="16">
        <v>1</v>
      </c>
      <c r="L230" s="16">
        <v>0</v>
      </c>
      <c r="M230" s="16">
        <v>0</v>
      </c>
      <c r="N230" s="16">
        <v>0</v>
      </c>
      <c r="O230" s="16">
        <v>1</v>
      </c>
      <c r="P230" s="16">
        <v>0</v>
      </c>
      <c r="Q230" s="16">
        <v>0</v>
      </c>
      <c r="R230" s="16">
        <v>0</v>
      </c>
      <c r="S230" s="16">
        <v>0</v>
      </c>
      <c r="T230" s="16">
        <v>0</v>
      </c>
      <c r="U230" s="16">
        <v>0</v>
      </c>
      <c r="V230" s="16">
        <v>0</v>
      </c>
      <c r="W230" s="16">
        <v>0</v>
      </c>
      <c r="X230" s="13">
        <f t="shared" si="43"/>
        <v>7</v>
      </c>
    </row>
    <row r="231" spans="1:24" ht="12.75" customHeight="1" x14ac:dyDescent="0.4">
      <c r="A231" s="15"/>
      <c r="B231" s="28"/>
      <c r="C231" s="29" t="s">
        <v>145</v>
      </c>
      <c r="D231" s="30"/>
      <c r="E231" s="16">
        <v>3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1</v>
      </c>
      <c r="M231" s="16">
        <v>0</v>
      </c>
      <c r="N231" s="16">
        <v>0</v>
      </c>
      <c r="O231" s="16">
        <v>0</v>
      </c>
      <c r="P231" s="16">
        <v>3</v>
      </c>
      <c r="Q231" s="16">
        <v>0</v>
      </c>
      <c r="R231" s="16">
        <v>0</v>
      </c>
      <c r="S231" s="16">
        <v>0</v>
      </c>
      <c r="T231" s="16">
        <v>0</v>
      </c>
      <c r="U231" s="16">
        <v>1</v>
      </c>
      <c r="V231" s="16">
        <v>0</v>
      </c>
      <c r="W231" s="16">
        <v>0</v>
      </c>
      <c r="X231" s="13">
        <f t="shared" si="43"/>
        <v>8</v>
      </c>
    </row>
    <row r="232" spans="1:24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13">
        <f t="shared" si="43"/>
        <v>0</v>
      </c>
    </row>
    <row r="233" spans="1:24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13">
        <f t="shared" si="43"/>
        <v>0</v>
      </c>
    </row>
    <row r="234" spans="1:24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13">
        <f t="shared" si="43"/>
        <v>0</v>
      </c>
    </row>
    <row r="235" spans="1:24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X235" si="44">SUM(E225:E234)</f>
        <v>6</v>
      </c>
      <c r="F235" s="13">
        <f t="shared" si="44"/>
        <v>2</v>
      </c>
      <c r="G235" s="13">
        <f t="shared" si="44"/>
        <v>0</v>
      </c>
      <c r="H235" s="13">
        <f t="shared" si="44"/>
        <v>6</v>
      </c>
      <c r="I235" s="13">
        <f t="shared" si="44"/>
        <v>0</v>
      </c>
      <c r="J235" s="13">
        <f t="shared" si="44"/>
        <v>0</v>
      </c>
      <c r="K235" s="13">
        <f t="shared" si="44"/>
        <v>1</v>
      </c>
      <c r="L235" s="13">
        <f t="shared" si="44"/>
        <v>2</v>
      </c>
      <c r="M235" s="13">
        <f t="shared" si="44"/>
        <v>1</v>
      </c>
      <c r="N235" s="13">
        <f t="shared" si="44"/>
        <v>3</v>
      </c>
      <c r="O235" s="13">
        <f t="shared" si="44"/>
        <v>2</v>
      </c>
      <c r="P235" s="13">
        <f t="shared" si="44"/>
        <v>4</v>
      </c>
      <c r="Q235" s="13">
        <f t="shared" si="44"/>
        <v>0</v>
      </c>
      <c r="R235" s="13">
        <f t="shared" si="44"/>
        <v>0</v>
      </c>
      <c r="S235" s="13">
        <f t="shared" si="44"/>
        <v>1</v>
      </c>
      <c r="T235" s="13">
        <f t="shared" si="44"/>
        <v>0</v>
      </c>
      <c r="U235" s="13">
        <f t="shared" si="44"/>
        <v>3</v>
      </c>
      <c r="V235" s="13">
        <f t="shared" si="44"/>
        <v>0</v>
      </c>
      <c r="W235" s="13">
        <f t="shared" si="44"/>
        <v>0</v>
      </c>
      <c r="X235" s="13">
        <f t="shared" si="44"/>
        <v>31</v>
      </c>
    </row>
    <row r="236" spans="1:24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</row>
    <row r="237" spans="1:24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1</v>
      </c>
      <c r="F237" s="16">
        <v>5</v>
      </c>
      <c r="G237" s="16">
        <v>0</v>
      </c>
      <c r="H237" s="16">
        <v>2</v>
      </c>
      <c r="I237" s="16">
        <v>0</v>
      </c>
      <c r="J237" s="16">
        <v>0</v>
      </c>
      <c r="K237" s="16">
        <v>1</v>
      </c>
      <c r="L237" s="16">
        <v>1</v>
      </c>
      <c r="M237" s="16">
        <v>0</v>
      </c>
      <c r="N237" s="16">
        <v>0</v>
      </c>
      <c r="O237" s="16">
        <v>1</v>
      </c>
      <c r="P237" s="16">
        <v>1</v>
      </c>
      <c r="Q237" s="16">
        <v>0</v>
      </c>
      <c r="R237" s="16">
        <v>0</v>
      </c>
      <c r="S237" s="16">
        <v>0</v>
      </c>
      <c r="T237" s="16">
        <v>3</v>
      </c>
      <c r="U237" s="16">
        <v>0</v>
      </c>
      <c r="V237" s="16">
        <v>4</v>
      </c>
      <c r="W237" s="16">
        <v>1</v>
      </c>
      <c r="X237" s="13">
        <f t="shared" ref="X237:X246" si="45">SUM(E237:W237)</f>
        <v>20</v>
      </c>
    </row>
    <row r="238" spans="1:24" ht="12.75" customHeight="1" x14ac:dyDescent="0.4">
      <c r="A238" s="20" t="s">
        <v>38</v>
      </c>
      <c r="B238" s="28"/>
      <c r="C238" s="29" t="s">
        <v>148</v>
      </c>
      <c r="D238" s="30"/>
      <c r="E238" s="16">
        <v>3</v>
      </c>
      <c r="F238" s="16">
        <v>1</v>
      </c>
      <c r="G238" s="16">
        <v>0</v>
      </c>
      <c r="H238" s="16">
        <v>0</v>
      </c>
      <c r="I238" s="16">
        <v>4</v>
      </c>
      <c r="J238" s="16">
        <v>0</v>
      </c>
      <c r="K238" s="16">
        <v>1</v>
      </c>
      <c r="L238" s="16">
        <v>0</v>
      </c>
      <c r="M238" s="16">
        <v>0</v>
      </c>
      <c r="N238" s="16">
        <v>0</v>
      </c>
      <c r="O238" s="16">
        <v>2</v>
      </c>
      <c r="P238" s="16">
        <v>0</v>
      </c>
      <c r="Q238" s="16">
        <v>0</v>
      </c>
      <c r="R238" s="16">
        <v>0</v>
      </c>
      <c r="S238" s="16">
        <v>0</v>
      </c>
      <c r="T238" s="16">
        <v>0</v>
      </c>
      <c r="U238" s="16">
        <v>0</v>
      </c>
      <c r="V238" s="16">
        <v>4</v>
      </c>
      <c r="W238" s="16">
        <v>2</v>
      </c>
      <c r="X238" s="13">
        <f t="shared" si="45"/>
        <v>17</v>
      </c>
    </row>
    <row r="239" spans="1:24" ht="12.75" customHeight="1" x14ac:dyDescent="0.4">
      <c r="A239" s="15"/>
      <c r="B239" s="28"/>
      <c r="C239" s="29" t="s">
        <v>149</v>
      </c>
      <c r="D239" s="30"/>
      <c r="E239" s="16">
        <v>1</v>
      </c>
      <c r="F239" s="16">
        <v>4</v>
      </c>
      <c r="G239" s="16">
        <v>1</v>
      </c>
      <c r="H239" s="16">
        <v>1</v>
      </c>
      <c r="I239" s="16">
        <v>2</v>
      </c>
      <c r="J239" s="16">
        <v>0</v>
      </c>
      <c r="K239" s="16">
        <v>0</v>
      </c>
      <c r="L239" s="16">
        <v>0</v>
      </c>
      <c r="M239" s="16">
        <v>4</v>
      </c>
      <c r="N239" s="16">
        <v>1</v>
      </c>
      <c r="O239" s="16">
        <v>0</v>
      </c>
      <c r="P239" s="16">
        <v>1</v>
      </c>
      <c r="Q239" s="16">
        <v>1</v>
      </c>
      <c r="R239" s="16">
        <v>0</v>
      </c>
      <c r="S239" s="16">
        <v>0</v>
      </c>
      <c r="T239" s="16">
        <v>1</v>
      </c>
      <c r="U239" s="16">
        <v>0</v>
      </c>
      <c r="V239" s="16">
        <v>3</v>
      </c>
      <c r="W239" s="16">
        <v>3</v>
      </c>
      <c r="X239" s="13">
        <f t="shared" si="45"/>
        <v>23</v>
      </c>
    </row>
    <row r="240" spans="1:24" ht="12.75" customHeight="1" x14ac:dyDescent="0.4">
      <c r="A240" s="15"/>
      <c r="B240" s="28"/>
      <c r="C240" s="29" t="s">
        <v>150</v>
      </c>
      <c r="D240" s="30"/>
      <c r="E240" s="16">
        <v>5</v>
      </c>
      <c r="F240" s="16">
        <v>25</v>
      </c>
      <c r="G240" s="16">
        <v>11</v>
      </c>
      <c r="H240" s="16">
        <v>4</v>
      </c>
      <c r="I240" s="16">
        <v>1</v>
      </c>
      <c r="J240" s="16">
        <v>4</v>
      </c>
      <c r="K240" s="16">
        <v>4</v>
      </c>
      <c r="L240" s="16">
        <v>2</v>
      </c>
      <c r="M240" s="16">
        <v>3</v>
      </c>
      <c r="N240" s="16">
        <v>5</v>
      </c>
      <c r="O240" s="16">
        <v>2</v>
      </c>
      <c r="P240" s="16">
        <v>0</v>
      </c>
      <c r="Q240" s="16">
        <v>0</v>
      </c>
      <c r="R240" s="16">
        <v>0</v>
      </c>
      <c r="S240" s="16">
        <v>16</v>
      </c>
      <c r="T240" s="16">
        <v>10</v>
      </c>
      <c r="U240" s="16">
        <v>0</v>
      </c>
      <c r="V240" s="16">
        <v>60</v>
      </c>
      <c r="W240" s="16">
        <v>58</v>
      </c>
      <c r="X240" s="13">
        <f t="shared" si="45"/>
        <v>210</v>
      </c>
    </row>
    <row r="241" spans="1:24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1</v>
      </c>
      <c r="J241" s="16">
        <v>0</v>
      </c>
      <c r="K241" s="16">
        <v>0</v>
      </c>
      <c r="L241" s="16">
        <v>0</v>
      </c>
      <c r="M241" s="16">
        <v>0</v>
      </c>
      <c r="N241" s="16">
        <v>1</v>
      </c>
      <c r="O241" s="16">
        <v>1</v>
      </c>
      <c r="P241" s="16">
        <v>0</v>
      </c>
      <c r="Q241" s="16">
        <v>0</v>
      </c>
      <c r="R241" s="16">
        <v>0</v>
      </c>
      <c r="S241" s="16">
        <v>0</v>
      </c>
      <c r="T241" s="16">
        <v>0</v>
      </c>
      <c r="U241" s="16">
        <v>0</v>
      </c>
      <c r="V241" s="16">
        <v>0</v>
      </c>
      <c r="W241" s="16">
        <v>0</v>
      </c>
      <c r="X241" s="13">
        <f t="shared" si="45"/>
        <v>3</v>
      </c>
    </row>
    <row r="242" spans="1:24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1</v>
      </c>
      <c r="G242" s="16">
        <v>0</v>
      </c>
      <c r="H242" s="16">
        <v>1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6">
        <v>0</v>
      </c>
      <c r="Q242" s="16">
        <v>0</v>
      </c>
      <c r="R242" s="16">
        <v>0</v>
      </c>
      <c r="S242" s="16">
        <v>0</v>
      </c>
      <c r="T242" s="16">
        <v>0</v>
      </c>
      <c r="U242" s="16">
        <v>1</v>
      </c>
      <c r="V242" s="16">
        <v>0</v>
      </c>
      <c r="W242" s="16">
        <v>0</v>
      </c>
      <c r="X242" s="13">
        <f t="shared" si="45"/>
        <v>3</v>
      </c>
    </row>
    <row r="243" spans="1:24" ht="12.75" customHeight="1" x14ac:dyDescent="0.4">
      <c r="A243" s="15"/>
      <c r="B243" s="28"/>
      <c r="C243" s="29" t="s">
        <v>153</v>
      </c>
      <c r="D243" s="30"/>
      <c r="E243" s="16">
        <v>1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  <c r="R243" s="16">
        <v>0</v>
      </c>
      <c r="S243" s="16">
        <v>0</v>
      </c>
      <c r="T243" s="16">
        <v>0</v>
      </c>
      <c r="U243" s="16">
        <v>0</v>
      </c>
      <c r="V243" s="16">
        <v>2</v>
      </c>
      <c r="W243" s="16">
        <v>0</v>
      </c>
      <c r="X243" s="13">
        <f t="shared" si="45"/>
        <v>3</v>
      </c>
    </row>
    <row r="244" spans="1:24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13">
        <f t="shared" si="45"/>
        <v>0</v>
      </c>
    </row>
    <row r="245" spans="1:24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13">
        <f t="shared" si="45"/>
        <v>0</v>
      </c>
    </row>
    <row r="246" spans="1:24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13">
        <f t="shared" si="45"/>
        <v>0</v>
      </c>
    </row>
    <row r="247" spans="1:24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X247" si="46">SUM(E237:E246)</f>
        <v>11</v>
      </c>
      <c r="F247" s="13">
        <f t="shared" si="46"/>
        <v>36</v>
      </c>
      <c r="G247" s="13">
        <f t="shared" si="46"/>
        <v>12</v>
      </c>
      <c r="H247" s="13">
        <f t="shared" si="46"/>
        <v>8</v>
      </c>
      <c r="I247" s="13">
        <f t="shared" si="46"/>
        <v>8</v>
      </c>
      <c r="J247" s="13">
        <f t="shared" si="46"/>
        <v>4</v>
      </c>
      <c r="K247" s="13">
        <f t="shared" si="46"/>
        <v>6</v>
      </c>
      <c r="L247" s="13">
        <f t="shared" si="46"/>
        <v>3</v>
      </c>
      <c r="M247" s="13">
        <f t="shared" si="46"/>
        <v>7</v>
      </c>
      <c r="N247" s="13">
        <f t="shared" si="46"/>
        <v>7</v>
      </c>
      <c r="O247" s="13">
        <f t="shared" si="46"/>
        <v>6</v>
      </c>
      <c r="P247" s="13">
        <f t="shared" si="46"/>
        <v>2</v>
      </c>
      <c r="Q247" s="13">
        <f t="shared" si="46"/>
        <v>1</v>
      </c>
      <c r="R247" s="13">
        <f t="shared" si="46"/>
        <v>0</v>
      </c>
      <c r="S247" s="13">
        <f t="shared" si="46"/>
        <v>16</v>
      </c>
      <c r="T247" s="13">
        <f t="shared" si="46"/>
        <v>14</v>
      </c>
      <c r="U247" s="13">
        <f t="shared" si="46"/>
        <v>1</v>
      </c>
      <c r="V247" s="13">
        <f t="shared" si="46"/>
        <v>73</v>
      </c>
      <c r="W247" s="13">
        <f t="shared" si="46"/>
        <v>64</v>
      </c>
      <c r="X247" s="13">
        <f t="shared" si="46"/>
        <v>279</v>
      </c>
    </row>
    <row r="248" spans="1:24" ht="12.75" customHeight="1" x14ac:dyDescent="0.4">
      <c r="A248" s="63"/>
      <c r="B248" s="61"/>
      <c r="C248" s="61"/>
      <c r="D248" s="61"/>
      <c r="E248" s="62"/>
    </row>
    <row r="249" spans="1:24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0</v>
      </c>
      <c r="H249" s="16">
        <v>0</v>
      </c>
      <c r="I249" s="16">
        <v>3</v>
      </c>
      <c r="J249" s="16">
        <v>0</v>
      </c>
      <c r="K249" s="16">
        <v>0</v>
      </c>
      <c r="L249" s="16">
        <v>1</v>
      </c>
      <c r="M249" s="16">
        <v>0</v>
      </c>
      <c r="N249" s="16">
        <v>0</v>
      </c>
      <c r="O249" s="16">
        <v>1</v>
      </c>
      <c r="P249" s="16">
        <v>1</v>
      </c>
      <c r="Q249" s="16">
        <v>0</v>
      </c>
      <c r="R249" s="16">
        <v>0</v>
      </c>
      <c r="S249" s="16">
        <v>0</v>
      </c>
      <c r="T249" s="16">
        <v>0</v>
      </c>
      <c r="U249" s="16">
        <v>0</v>
      </c>
      <c r="V249" s="16">
        <v>0</v>
      </c>
      <c r="W249" s="16">
        <v>0</v>
      </c>
      <c r="X249" s="13">
        <f t="shared" ref="X249:X258" si="47">SUM(E249:W249)</f>
        <v>6</v>
      </c>
    </row>
    <row r="250" spans="1:24" ht="12.75" customHeight="1" x14ac:dyDescent="0.4">
      <c r="A250" s="20" t="s">
        <v>38</v>
      </c>
      <c r="B250" s="27"/>
      <c r="C250" s="29" t="s">
        <v>156</v>
      </c>
      <c r="D250" s="40"/>
      <c r="E250" s="16">
        <v>4</v>
      </c>
      <c r="F250" s="16">
        <v>1</v>
      </c>
      <c r="G250" s="16">
        <v>1</v>
      </c>
      <c r="H250" s="16">
        <v>0</v>
      </c>
      <c r="I250" s="16">
        <v>2</v>
      </c>
      <c r="J250" s="16">
        <v>0</v>
      </c>
      <c r="K250" s="16">
        <v>0</v>
      </c>
      <c r="L250" s="16">
        <v>0</v>
      </c>
      <c r="M250" s="16">
        <v>0</v>
      </c>
      <c r="N250" s="16">
        <v>0</v>
      </c>
      <c r="O250" s="16">
        <v>2</v>
      </c>
      <c r="P250" s="16">
        <v>0</v>
      </c>
      <c r="Q250" s="16">
        <v>0</v>
      </c>
      <c r="R250" s="16">
        <v>0</v>
      </c>
      <c r="S250" s="16">
        <v>1</v>
      </c>
      <c r="T250" s="16">
        <v>0</v>
      </c>
      <c r="U250" s="16">
        <v>0</v>
      </c>
      <c r="V250" s="16">
        <v>0</v>
      </c>
      <c r="W250" s="16">
        <v>0</v>
      </c>
      <c r="X250" s="13">
        <f t="shared" si="47"/>
        <v>11</v>
      </c>
    </row>
    <row r="251" spans="1:24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6">
        <v>0</v>
      </c>
      <c r="T251" s="16">
        <v>0</v>
      </c>
      <c r="U251" s="16">
        <v>0</v>
      </c>
      <c r="V251" s="16">
        <v>1</v>
      </c>
      <c r="W251" s="16">
        <v>0</v>
      </c>
      <c r="X251" s="13">
        <f t="shared" si="47"/>
        <v>1</v>
      </c>
    </row>
    <row r="252" spans="1:24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6">
        <v>0</v>
      </c>
      <c r="T252" s="16">
        <v>0</v>
      </c>
      <c r="U252" s="16">
        <v>0</v>
      </c>
      <c r="V252" s="16">
        <v>0</v>
      </c>
      <c r="W252" s="16">
        <v>0</v>
      </c>
      <c r="X252" s="13">
        <f t="shared" si="47"/>
        <v>0</v>
      </c>
    </row>
    <row r="253" spans="1:24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0</v>
      </c>
      <c r="N253" s="16">
        <v>0</v>
      </c>
      <c r="O253" s="16">
        <v>1</v>
      </c>
      <c r="P253" s="16">
        <v>0</v>
      </c>
      <c r="Q253" s="16">
        <v>0</v>
      </c>
      <c r="R253" s="16">
        <v>0</v>
      </c>
      <c r="S253" s="16">
        <v>0</v>
      </c>
      <c r="T253" s="16">
        <v>0</v>
      </c>
      <c r="U253" s="16">
        <v>0</v>
      </c>
      <c r="V253" s="16">
        <v>0</v>
      </c>
      <c r="W253" s="16">
        <v>0</v>
      </c>
      <c r="X253" s="13">
        <f t="shared" si="47"/>
        <v>1</v>
      </c>
    </row>
    <row r="254" spans="1:24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13">
        <f t="shared" si="47"/>
        <v>0</v>
      </c>
    </row>
    <row r="255" spans="1:24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13">
        <f t="shared" si="47"/>
        <v>0</v>
      </c>
    </row>
    <row r="256" spans="1:24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13">
        <f t="shared" si="47"/>
        <v>0</v>
      </c>
    </row>
    <row r="257" spans="1:24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13">
        <f t="shared" si="47"/>
        <v>0</v>
      </c>
    </row>
    <row r="258" spans="1:24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13">
        <f t="shared" si="47"/>
        <v>0</v>
      </c>
    </row>
    <row r="259" spans="1:24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X259" si="48">SUM(E249:E258)</f>
        <v>4</v>
      </c>
      <c r="F259" s="13">
        <f t="shared" si="48"/>
        <v>1</v>
      </c>
      <c r="G259" s="13">
        <f t="shared" si="48"/>
        <v>1</v>
      </c>
      <c r="H259" s="13">
        <f t="shared" si="48"/>
        <v>0</v>
      </c>
      <c r="I259" s="13">
        <f t="shared" si="48"/>
        <v>5</v>
      </c>
      <c r="J259" s="13">
        <f t="shared" si="48"/>
        <v>0</v>
      </c>
      <c r="K259" s="13">
        <f t="shared" si="48"/>
        <v>0</v>
      </c>
      <c r="L259" s="13">
        <f t="shared" si="48"/>
        <v>1</v>
      </c>
      <c r="M259" s="13">
        <f t="shared" si="48"/>
        <v>0</v>
      </c>
      <c r="N259" s="13">
        <f t="shared" si="48"/>
        <v>0</v>
      </c>
      <c r="O259" s="13">
        <f t="shared" si="48"/>
        <v>4</v>
      </c>
      <c r="P259" s="13">
        <f t="shared" si="48"/>
        <v>1</v>
      </c>
      <c r="Q259" s="13">
        <f t="shared" si="48"/>
        <v>0</v>
      </c>
      <c r="R259" s="13">
        <f t="shared" si="48"/>
        <v>0</v>
      </c>
      <c r="S259" s="13">
        <f t="shared" si="48"/>
        <v>1</v>
      </c>
      <c r="T259" s="13">
        <f t="shared" si="48"/>
        <v>0</v>
      </c>
      <c r="U259" s="13">
        <f t="shared" si="48"/>
        <v>0</v>
      </c>
      <c r="V259" s="13">
        <f t="shared" si="48"/>
        <v>1</v>
      </c>
      <c r="W259" s="13">
        <f t="shared" si="48"/>
        <v>0</v>
      </c>
      <c r="X259" s="13">
        <f t="shared" si="48"/>
        <v>19</v>
      </c>
    </row>
    <row r="260" spans="1:24" ht="12.75" customHeight="1" x14ac:dyDescent="0.4"/>
    <row r="261" spans="1:24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13"/>
    </row>
    <row r="262" spans="1:24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W262" si="49">E55+E67+E79+E91+E103+E115+E127+E139+E151+E163+E175+E187+E199+E211+E223+E235+E247+E259</f>
        <v>215</v>
      </c>
      <c r="F262" s="16">
        <f t="shared" si="49"/>
        <v>201</v>
      </c>
      <c r="G262" s="16">
        <f t="shared" si="49"/>
        <v>182</v>
      </c>
      <c r="H262" s="16">
        <f t="shared" si="49"/>
        <v>191</v>
      </c>
      <c r="I262" s="16">
        <f t="shared" si="49"/>
        <v>172</v>
      </c>
      <c r="J262" s="16">
        <f t="shared" si="49"/>
        <v>183</v>
      </c>
      <c r="K262" s="16">
        <f t="shared" si="49"/>
        <v>199</v>
      </c>
      <c r="L262" s="16">
        <f t="shared" si="49"/>
        <v>159</v>
      </c>
      <c r="M262" s="16">
        <f t="shared" si="49"/>
        <v>170</v>
      </c>
      <c r="N262" s="16">
        <f t="shared" si="49"/>
        <v>193</v>
      </c>
      <c r="O262" s="16">
        <f t="shared" si="49"/>
        <v>179</v>
      </c>
      <c r="P262" s="16">
        <f t="shared" si="49"/>
        <v>141</v>
      </c>
      <c r="Q262" s="16">
        <f t="shared" si="49"/>
        <v>147</v>
      </c>
      <c r="R262" s="16">
        <f t="shared" si="49"/>
        <v>147</v>
      </c>
      <c r="S262" s="16">
        <f t="shared" si="49"/>
        <v>141</v>
      </c>
      <c r="T262" s="16">
        <f t="shared" si="49"/>
        <v>179</v>
      </c>
      <c r="U262" s="16">
        <f t="shared" si="49"/>
        <v>166</v>
      </c>
      <c r="V262" s="16">
        <f t="shared" si="49"/>
        <v>162</v>
      </c>
      <c r="W262" s="16">
        <f t="shared" si="49"/>
        <v>144</v>
      </c>
      <c r="X262" s="13">
        <f t="shared" ref="X262:X264" si="50">SUM(E262:W262)</f>
        <v>3271</v>
      </c>
    </row>
    <row r="263" spans="1:24" ht="12.75" customHeight="1" x14ac:dyDescent="0.4">
      <c r="A263" s="22"/>
      <c r="B263" s="45" t="s">
        <v>164</v>
      </c>
      <c r="C263" s="71" t="s">
        <v>165</v>
      </c>
      <c r="D263" s="62"/>
      <c r="E263" s="16">
        <v>12</v>
      </c>
      <c r="F263" s="16">
        <v>26</v>
      </c>
      <c r="G263" s="16">
        <v>23</v>
      </c>
      <c r="H263" s="16">
        <v>19</v>
      </c>
      <c r="I263" s="16">
        <v>22</v>
      </c>
      <c r="J263" s="16">
        <v>19</v>
      </c>
      <c r="K263" s="16">
        <v>9</v>
      </c>
      <c r="L263" s="16">
        <v>22</v>
      </c>
      <c r="M263" s="16">
        <v>27</v>
      </c>
      <c r="N263" s="16">
        <v>18</v>
      </c>
      <c r="O263" s="16">
        <v>22</v>
      </c>
      <c r="P263" s="16">
        <v>19</v>
      </c>
      <c r="Q263" s="16">
        <v>13</v>
      </c>
      <c r="R263" s="16">
        <v>14</v>
      </c>
      <c r="S263" s="16">
        <v>10</v>
      </c>
      <c r="T263" s="16">
        <v>27</v>
      </c>
      <c r="U263" s="16">
        <v>22</v>
      </c>
      <c r="V263" s="16">
        <v>19</v>
      </c>
      <c r="W263" s="16">
        <v>17</v>
      </c>
      <c r="X263" s="13">
        <f t="shared" si="50"/>
        <v>360</v>
      </c>
    </row>
    <row r="264" spans="1:24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W264" si="51">SUM(E262:E263)</f>
        <v>227</v>
      </c>
      <c r="F264" s="13">
        <f t="shared" si="51"/>
        <v>227</v>
      </c>
      <c r="G264" s="13">
        <f t="shared" si="51"/>
        <v>205</v>
      </c>
      <c r="H264" s="13">
        <f t="shared" si="51"/>
        <v>210</v>
      </c>
      <c r="I264" s="13">
        <f t="shared" si="51"/>
        <v>194</v>
      </c>
      <c r="J264" s="13">
        <f t="shared" si="51"/>
        <v>202</v>
      </c>
      <c r="K264" s="13">
        <f t="shared" si="51"/>
        <v>208</v>
      </c>
      <c r="L264" s="13">
        <f t="shared" si="51"/>
        <v>181</v>
      </c>
      <c r="M264" s="13">
        <f t="shared" si="51"/>
        <v>197</v>
      </c>
      <c r="N264" s="13">
        <f t="shared" si="51"/>
        <v>211</v>
      </c>
      <c r="O264" s="13">
        <f t="shared" si="51"/>
        <v>201</v>
      </c>
      <c r="P264" s="13">
        <f t="shared" si="51"/>
        <v>160</v>
      </c>
      <c r="Q264" s="13">
        <f t="shared" si="51"/>
        <v>160</v>
      </c>
      <c r="R264" s="13">
        <f t="shared" si="51"/>
        <v>161</v>
      </c>
      <c r="S264" s="13">
        <f t="shared" si="51"/>
        <v>151</v>
      </c>
      <c r="T264" s="13">
        <f t="shared" si="51"/>
        <v>206</v>
      </c>
      <c r="U264" s="13">
        <f t="shared" si="51"/>
        <v>188</v>
      </c>
      <c r="V264" s="13">
        <f t="shared" si="51"/>
        <v>181</v>
      </c>
      <c r="W264" s="13">
        <f t="shared" si="51"/>
        <v>161</v>
      </c>
      <c r="X264" s="13">
        <f t="shared" si="50"/>
        <v>3631</v>
      </c>
    </row>
    <row r="265" spans="1:24" ht="12.75" customHeight="1" x14ac:dyDescent="0.4"/>
    <row r="266" spans="1:24" ht="12.75" customHeight="1" x14ac:dyDescent="0.4"/>
    <row r="267" spans="1:24" ht="12.75" customHeight="1" x14ac:dyDescent="0.4"/>
    <row r="268" spans="1:24" ht="12.75" customHeight="1" x14ac:dyDescent="0.4"/>
    <row r="269" spans="1:24" ht="12.75" customHeight="1" x14ac:dyDescent="0.4"/>
    <row r="270" spans="1:24" ht="12.75" customHeight="1" x14ac:dyDescent="0.4"/>
    <row r="271" spans="1:24" ht="12.75" customHeight="1" x14ac:dyDescent="0.4"/>
    <row r="272" spans="1:24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W12"/>
    <mergeCell ref="X12:X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4:W15">
    <cfRule type="containsBlanks" dxfId="255" priority="1">
      <formula>LEN(TRIM(E14))=0</formula>
    </cfRule>
  </conditionalFormatting>
  <conditionalFormatting sqref="E19:W20">
    <cfRule type="containsBlanks" dxfId="254" priority="2">
      <formula>LEN(TRIM(E19))=0</formula>
    </cfRule>
  </conditionalFormatting>
  <conditionalFormatting sqref="E22:W23 E25:W26 E33:W33 E35:W35 E39:W40">
    <cfRule type="containsBlanks" dxfId="253" priority="3">
      <formula>LEN(TRIM(E22))=0</formula>
    </cfRule>
  </conditionalFormatting>
  <conditionalFormatting sqref="E30:W30">
    <cfRule type="expression" dxfId="252" priority="4">
      <formula>E30&lt;&gt;E47</formula>
    </cfRule>
    <cfRule type="expression" dxfId="251" priority="5">
      <formula>E30&lt;&gt;E34</formula>
    </cfRule>
  </conditionalFormatting>
  <conditionalFormatting sqref="E34:W34">
    <cfRule type="expression" dxfId="250" priority="6">
      <formula>E30&lt;&gt;E34</formula>
    </cfRule>
    <cfRule type="expression" dxfId="249" priority="7">
      <formula>E30=E34</formula>
    </cfRule>
    <cfRule type="expression" dxfId="248" priority="8">
      <formula>E34&lt;&gt;E30</formula>
    </cfRule>
    <cfRule type="expression" dxfId="247" priority="9">
      <formula>E34&lt;&gt;E64</formula>
    </cfRule>
  </conditionalFormatting>
  <conditionalFormatting sqref="E45:W54">
    <cfRule type="containsBlanks" dxfId="246" priority="10">
      <formula>LEN(TRIM(E45))=0</formula>
    </cfRule>
  </conditionalFormatting>
  <conditionalFormatting sqref="E57:W66">
    <cfRule type="containsBlanks" dxfId="245" priority="11">
      <formula>LEN(TRIM(E57))=0</formula>
    </cfRule>
  </conditionalFormatting>
  <conditionalFormatting sqref="E69:W78">
    <cfRule type="containsBlanks" dxfId="244" priority="12">
      <formula>LEN(TRIM(E69))=0</formula>
    </cfRule>
  </conditionalFormatting>
  <conditionalFormatting sqref="E81:W90">
    <cfRule type="containsBlanks" dxfId="243" priority="13">
      <formula>LEN(TRIM(E81))=0</formula>
    </cfRule>
  </conditionalFormatting>
  <conditionalFormatting sqref="E93:W102">
    <cfRule type="containsBlanks" dxfId="242" priority="14">
      <formula>LEN(TRIM(E93))=0</formula>
    </cfRule>
  </conditionalFormatting>
  <conditionalFormatting sqref="E105:W114">
    <cfRule type="containsBlanks" dxfId="241" priority="15">
      <formula>LEN(TRIM(E105))=0</formula>
    </cfRule>
  </conditionalFormatting>
  <conditionalFormatting sqref="E117:W126">
    <cfRule type="containsBlanks" dxfId="240" priority="16">
      <formula>LEN(TRIM(E117))=0</formula>
    </cfRule>
  </conditionalFormatting>
  <conditionalFormatting sqref="E129:W138">
    <cfRule type="containsBlanks" dxfId="239" priority="17">
      <formula>LEN(TRIM(E129))=0</formula>
    </cfRule>
  </conditionalFormatting>
  <conditionalFormatting sqref="E141:W150">
    <cfRule type="containsBlanks" dxfId="238" priority="18">
      <formula>LEN(TRIM(E141))=0</formula>
    </cfRule>
  </conditionalFormatting>
  <conditionalFormatting sqref="E153:W162">
    <cfRule type="containsBlanks" dxfId="237" priority="19">
      <formula>LEN(TRIM(E153))=0</formula>
    </cfRule>
  </conditionalFormatting>
  <conditionalFormatting sqref="E165:W174">
    <cfRule type="containsBlanks" dxfId="236" priority="20">
      <formula>LEN(TRIM(E165))=0</formula>
    </cfRule>
  </conditionalFormatting>
  <conditionalFormatting sqref="E177:W186">
    <cfRule type="containsBlanks" dxfId="235" priority="21">
      <formula>LEN(TRIM(E177))=0</formula>
    </cfRule>
  </conditionalFormatting>
  <conditionalFormatting sqref="E189:W198">
    <cfRule type="containsBlanks" dxfId="234" priority="22">
      <formula>LEN(TRIM(E189))=0</formula>
    </cfRule>
  </conditionalFormatting>
  <conditionalFormatting sqref="E201:W210">
    <cfRule type="containsBlanks" dxfId="233" priority="23">
      <formula>LEN(TRIM(E201))=0</formula>
    </cfRule>
  </conditionalFormatting>
  <conditionalFormatting sqref="E213:W222">
    <cfRule type="containsBlanks" dxfId="232" priority="24">
      <formula>LEN(TRIM(E213))=0</formula>
    </cfRule>
  </conditionalFormatting>
  <conditionalFormatting sqref="E225:W234">
    <cfRule type="containsBlanks" dxfId="231" priority="25">
      <formula>LEN(TRIM(E225))=0</formula>
    </cfRule>
  </conditionalFormatting>
  <conditionalFormatting sqref="E237:W246">
    <cfRule type="containsBlanks" dxfId="230" priority="26">
      <formula>LEN(TRIM(E237))=0</formula>
    </cfRule>
  </conditionalFormatting>
  <conditionalFormatting sqref="E249:W258">
    <cfRule type="containsBlanks" dxfId="229" priority="27">
      <formula>LEN(TRIM(E249))=0</formula>
    </cfRule>
  </conditionalFormatting>
  <conditionalFormatting sqref="E262:W263">
    <cfRule type="containsBlanks" dxfId="228" priority="28">
      <formula>LEN(TRIM(E262))=0</formula>
    </cfRule>
  </conditionalFormatting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FF00"/>
  </sheetPr>
  <dimension ref="A1:T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19" width="8.7109375" customWidth="1"/>
    <col min="20" max="20" width="13.28515625" customWidth="1"/>
    <col min="21" max="26" width="8.7109375" customWidth="1"/>
  </cols>
  <sheetData>
    <row r="1" spans="1:20" ht="12.75" customHeight="1" x14ac:dyDescent="0.4">
      <c r="A1" s="59" t="s">
        <v>209</v>
      </c>
    </row>
    <row r="2" spans="1:20" ht="12.75" customHeight="1" x14ac:dyDescent="0.4">
      <c r="C2" s="8" t="s">
        <v>0</v>
      </c>
      <c r="D2" s="8" t="s">
        <v>1</v>
      </c>
    </row>
    <row r="3" spans="1:20" ht="12.75" customHeight="1" x14ac:dyDescent="0.4">
      <c r="C3" s="8" t="s">
        <v>2</v>
      </c>
      <c r="D3" s="8" t="s">
        <v>1</v>
      </c>
    </row>
    <row r="4" spans="1:20" ht="12.75" customHeight="1" x14ac:dyDescent="0.4">
      <c r="C4" s="8" t="s">
        <v>3</v>
      </c>
      <c r="D4" s="8" t="s">
        <v>4</v>
      </c>
    </row>
    <row r="5" spans="1:20" ht="12.75" customHeight="1" x14ac:dyDescent="0.4">
      <c r="C5" s="8"/>
      <c r="D5" s="8"/>
    </row>
    <row r="6" spans="1:20" ht="12.75" customHeight="1" x14ac:dyDescent="0.4">
      <c r="C6" s="8"/>
      <c r="D6" s="8"/>
    </row>
    <row r="7" spans="1:20" ht="12.75" customHeight="1" x14ac:dyDescent="0.4">
      <c r="C7" s="8"/>
      <c r="D7" s="8"/>
    </row>
    <row r="8" spans="1:20" ht="12.75" customHeight="1" x14ac:dyDescent="0.4">
      <c r="C8" s="8"/>
      <c r="D8" s="8"/>
    </row>
    <row r="9" spans="1:20" ht="12.75" customHeight="1" x14ac:dyDescent="0.4">
      <c r="C9" s="8" t="s">
        <v>168</v>
      </c>
      <c r="D9" s="8" t="s">
        <v>210</v>
      </c>
    </row>
    <row r="10" spans="1:20" ht="12.75" customHeight="1" x14ac:dyDescent="0.4"/>
    <row r="11" spans="1:20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20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90" t="s">
        <v>7</v>
      </c>
    </row>
    <row r="13" spans="1:20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80"/>
    </row>
    <row r="14" spans="1:20" ht="12.75" customHeight="1" x14ac:dyDescent="0.4">
      <c r="A14" s="15"/>
      <c r="B14" s="75" t="s">
        <v>10</v>
      </c>
      <c r="C14" s="66"/>
      <c r="D14" s="16" t="s">
        <v>11</v>
      </c>
      <c r="E14" s="16">
        <v>136</v>
      </c>
      <c r="F14" s="16">
        <v>149</v>
      </c>
      <c r="G14" s="16">
        <v>144</v>
      </c>
      <c r="H14" s="16">
        <v>143</v>
      </c>
      <c r="I14" s="16">
        <v>141</v>
      </c>
      <c r="J14" s="16">
        <v>130</v>
      </c>
      <c r="K14" s="16">
        <v>140</v>
      </c>
      <c r="L14" s="16">
        <v>131</v>
      </c>
      <c r="M14" s="16">
        <v>129</v>
      </c>
      <c r="N14" s="16">
        <v>143</v>
      </c>
      <c r="O14" s="16">
        <v>148</v>
      </c>
      <c r="P14" s="16">
        <v>122</v>
      </c>
      <c r="Q14" s="16">
        <v>140</v>
      </c>
      <c r="R14" s="16">
        <v>140</v>
      </c>
      <c r="S14" s="16">
        <v>129</v>
      </c>
      <c r="T14" s="13">
        <f t="shared" ref="T14:T16" si="0">SUM(E14:S14)</f>
        <v>2065</v>
      </c>
    </row>
    <row r="15" spans="1:20" ht="12.75" customHeight="1" x14ac:dyDescent="0.4">
      <c r="A15" s="15"/>
      <c r="B15" s="76"/>
      <c r="C15" s="77"/>
      <c r="D15" s="16" t="s">
        <v>12</v>
      </c>
      <c r="E15" s="16">
        <v>157</v>
      </c>
      <c r="F15" s="16">
        <v>146</v>
      </c>
      <c r="G15" s="16">
        <v>131</v>
      </c>
      <c r="H15" s="16">
        <v>153</v>
      </c>
      <c r="I15" s="16">
        <v>147</v>
      </c>
      <c r="J15" s="16">
        <v>159</v>
      </c>
      <c r="K15" s="16">
        <v>147</v>
      </c>
      <c r="L15" s="16">
        <v>150</v>
      </c>
      <c r="M15" s="16">
        <v>159</v>
      </c>
      <c r="N15" s="16">
        <v>156</v>
      </c>
      <c r="O15" s="16">
        <v>140</v>
      </c>
      <c r="P15" s="16">
        <v>145</v>
      </c>
      <c r="Q15" s="16">
        <v>154</v>
      </c>
      <c r="R15" s="16">
        <v>140</v>
      </c>
      <c r="S15" s="16">
        <v>161</v>
      </c>
      <c r="T15" s="13">
        <f t="shared" si="0"/>
        <v>2245</v>
      </c>
    </row>
    <row r="16" spans="1:20" ht="12.75" customHeight="1" x14ac:dyDescent="0.4">
      <c r="A16" s="18"/>
      <c r="B16" s="73"/>
      <c r="C16" s="69"/>
      <c r="D16" s="13" t="s">
        <v>13</v>
      </c>
      <c r="E16" s="13">
        <f t="shared" ref="E16:S16" si="1">SUM(E14:E15)</f>
        <v>293</v>
      </c>
      <c r="F16" s="13">
        <f t="shared" si="1"/>
        <v>295</v>
      </c>
      <c r="G16" s="13">
        <f t="shared" si="1"/>
        <v>275</v>
      </c>
      <c r="H16" s="13">
        <f t="shared" si="1"/>
        <v>296</v>
      </c>
      <c r="I16" s="13">
        <f t="shared" si="1"/>
        <v>288</v>
      </c>
      <c r="J16" s="13">
        <f t="shared" si="1"/>
        <v>289</v>
      </c>
      <c r="K16" s="13">
        <f t="shared" si="1"/>
        <v>287</v>
      </c>
      <c r="L16" s="13">
        <f t="shared" si="1"/>
        <v>281</v>
      </c>
      <c r="M16" s="13">
        <f t="shared" si="1"/>
        <v>288</v>
      </c>
      <c r="N16" s="13">
        <f t="shared" si="1"/>
        <v>299</v>
      </c>
      <c r="O16" s="13">
        <f t="shared" si="1"/>
        <v>288</v>
      </c>
      <c r="P16" s="13">
        <f t="shared" si="1"/>
        <v>267</v>
      </c>
      <c r="Q16" s="13">
        <f t="shared" si="1"/>
        <v>294</v>
      </c>
      <c r="R16" s="13">
        <f t="shared" si="1"/>
        <v>280</v>
      </c>
      <c r="S16" s="13">
        <f t="shared" si="1"/>
        <v>290</v>
      </c>
      <c r="T16" s="13">
        <f t="shared" si="0"/>
        <v>4310</v>
      </c>
    </row>
    <row r="17" spans="1:20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49"/>
    </row>
    <row r="18" spans="1:20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49"/>
    </row>
    <row r="19" spans="1:20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96</v>
      </c>
      <c r="F19" s="16">
        <v>105</v>
      </c>
      <c r="G19" s="16">
        <v>100</v>
      </c>
      <c r="H19" s="16">
        <v>106</v>
      </c>
      <c r="I19" s="16">
        <v>95</v>
      </c>
      <c r="J19" s="16">
        <v>93</v>
      </c>
      <c r="K19" s="16">
        <v>106</v>
      </c>
      <c r="L19" s="16">
        <v>83</v>
      </c>
      <c r="M19" s="16">
        <v>98</v>
      </c>
      <c r="N19" s="16">
        <v>90</v>
      </c>
      <c r="O19" s="16">
        <v>110</v>
      </c>
      <c r="P19" s="16">
        <v>89</v>
      </c>
      <c r="Q19" s="16">
        <v>105</v>
      </c>
      <c r="R19" s="16">
        <v>92</v>
      </c>
      <c r="S19" s="16">
        <v>90</v>
      </c>
      <c r="T19" s="13">
        <f t="shared" ref="T19:T30" si="2">SUM(E19:S19)</f>
        <v>1458</v>
      </c>
    </row>
    <row r="20" spans="1:20" ht="12.75" customHeight="1" x14ac:dyDescent="0.4">
      <c r="A20" s="21"/>
      <c r="B20" s="77"/>
      <c r="C20" s="79"/>
      <c r="D20" s="16" t="s">
        <v>12</v>
      </c>
      <c r="E20" s="16">
        <v>118</v>
      </c>
      <c r="F20" s="16">
        <v>114</v>
      </c>
      <c r="G20" s="16">
        <v>101</v>
      </c>
      <c r="H20" s="16">
        <v>131</v>
      </c>
      <c r="I20" s="16">
        <v>109</v>
      </c>
      <c r="J20" s="16">
        <v>126</v>
      </c>
      <c r="K20" s="16">
        <v>115</v>
      </c>
      <c r="L20" s="16">
        <v>114</v>
      </c>
      <c r="M20" s="16">
        <v>121</v>
      </c>
      <c r="N20" s="16">
        <v>115</v>
      </c>
      <c r="O20" s="16">
        <v>112</v>
      </c>
      <c r="P20" s="16">
        <v>116</v>
      </c>
      <c r="Q20" s="16">
        <v>126</v>
      </c>
      <c r="R20" s="16">
        <v>113</v>
      </c>
      <c r="S20" s="16">
        <v>123</v>
      </c>
      <c r="T20" s="13">
        <f t="shared" si="2"/>
        <v>1754</v>
      </c>
    </row>
    <row r="21" spans="1:20" ht="12.75" customHeight="1" x14ac:dyDescent="0.4">
      <c r="A21" s="22"/>
      <c r="B21" s="69"/>
      <c r="C21" s="80"/>
      <c r="D21" s="13" t="s">
        <v>13</v>
      </c>
      <c r="E21" s="13">
        <f t="shared" ref="E21:I21" si="3">SUM(E19:E20)</f>
        <v>214</v>
      </c>
      <c r="F21" s="13">
        <f t="shared" si="3"/>
        <v>219</v>
      </c>
      <c r="G21" s="13">
        <f t="shared" si="3"/>
        <v>201</v>
      </c>
      <c r="H21" s="13">
        <f t="shared" si="3"/>
        <v>237</v>
      </c>
      <c r="I21" s="13">
        <f t="shared" si="3"/>
        <v>204</v>
      </c>
      <c r="J21" s="13">
        <v>219</v>
      </c>
      <c r="K21" s="13">
        <f t="shared" ref="K21:S21" si="4">SUM(K19:K20)</f>
        <v>221</v>
      </c>
      <c r="L21" s="13">
        <f t="shared" si="4"/>
        <v>197</v>
      </c>
      <c r="M21" s="13">
        <f t="shared" si="4"/>
        <v>219</v>
      </c>
      <c r="N21" s="13">
        <f t="shared" si="4"/>
        <v>205</v>
      </c>
      <c r="O21" s="13">
        <f t="shared" si="4"/>
        <v>222</v>
      </c>
      <c r="P21" s="13">
        <f t="shared" si="4"/>
        <v>205</v>
      </c>
      <c r="Q21" s="13">
        <f t="shared" si="4"/>
        <v>231</v>
      </c>
      <c r="R21" s="13">
        <f t="shared" si="4"/>
        <v>205</v>
      </c>
      <c r="S21" s="13">
        <f t="shared" si="4"/>
        <v>213</v>
      </c>
      <c r="T21" s="13">
        <f t="shared" si="2"/>
        <v>3212</v>
      </c>
    </row>
    <row r="22" spans="1:20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1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3">
        <f t="shared" si="2"/>
        <v>1</v>
      </c>
    </row>
    <row r="23" spans="1:20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1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3">
        <f t="shared" si="2"/>
        <v>1</v>
      </c>
    </row>
    <row r="24" spans="1:20" ht="12.75" customHeight="1" x14ac:dyDescent="0.4">
      <c r="A24" s="22"/>
      <c r="B24" s="69"/>
      <c r="C24" s="80"/>
      <c r="D24" s="13" t="s">
        <v>13</v>
      </c>
      <c r="E24" s="13">
        <f t="shared" ref="E24:S24" si="5">SUM(E22:E23)</f>
        <v>0</v>
      </c>
      <c r="F24" s="13">
        <f t="shared" si="5"/>
        <v>0</v>
      </c>
      <c r="G24" s="13">
        <f t="shared" si="5"/>
        <v>0</v>
      </c>
      <c r="H24" s="13">
        <f t="shared" si="5"/>
        <v>0</v>
      </c>
      <c r="I24" s="13">
        <f t="shared" si="5"/>
        <v>2</v>
      </c>
      <c r="J24" s="13">
        <f t="shared" si="5"/>
        <v>0</v>
      </c>
      <c r="K24" s="13">
        <f t="shared" si="5"/>
        <v>0</v>
      </c>
      <c r="L24" s="13">
        <f t="shared" si="5"/>
        <v>0</v>
      </c>
      <c r="M24" s="13">
        <f t="shared" si="5"/>
        <v>0</v>
      </c>
      <c r="N24" s="13">
        <f t="shared" si="5"/>
        <v>0</v>
      </c>
      <c r="O24" s="13">
        <f t="shared" si="5"/>
        <v>0</v>
      </c>
      <c r="P24" s="13">
        <f t="shared" si="5"/>
        <v>0</v>
      </c>
      <c r="Q24" s="13">
        <f t="shared" si="5"/>
        <v>0</v>
      </c>
      <c r="R24" s="13">
        <f t="shared" si="5"/>
        <v>0</v>
      </c>
      <c r="S24" s="13">
        <f t="shared" si="5"/>
        <v>0</v>
      </c>
      <c r="T24" s="13">
        <f t="shared" si="2"/>
        <v>2</v>
      </c>
    </row>
    <row r="25" spans="1:20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3</v>
      </c>
      <c r="F25" s="16">
        <v>0</v>
      </c>
      <c r="G25" s="16">
        <v>1</v>
      </c>
      <c r="H25" s="16">
        <v>0</v>
      </c>
      <c r="I25" s="16">
        <v>1</v>
      </c>
      <c r="J25" s="16">
        <v>0</v>
      </c>
      <c r="K25" s="16">
        <v>0</v>
      </c>
      <c r="L25" s="16">
        <v>1</v>
      </c>
      <c r="M25" s="16">
        <v>1</v>
      </c>
      <c r="N25" s="16">
        <v>1</v>
      </c>
      <c r="O25" s="16">
        <v>4</v>
      </c>
      <c r="P25" s="16">
        <v>0</v>
      </c>
      <c r="Q25" s="16">
        <v>1</v>
      </c>
      <c r="R25" s="16">
        <v>3</v>
      </c>
      <c r="S25" s="16">
        <v>2</v>
      </c>
      <c r="T25" s="13">
        <f t="shared" si="2"/>
        <v>18</v>
      </c>
    </row>
    <row r="26" spans="1:20" ht="12.75" customHeight="1" x14ac:dyDescent="0.4">
      <c r="A26" s="21"/>
      <c r="B26" s="77"/>
      <c r="C26" s="79"/>
      <c r="D26" s="16" t="s">
        <v>12</v>
      </c>
      <c r="E26" s="16">
        <v>2</v>
      </c>
      <c r="F26" s="16">
        <v>1</v>
      </c>
      <c r="G26" s="16">
        <v>1</v>
      </c>
      <c r="H26" s="16">
        <v>0</v>
      </c>
      <c r="I26" s="16">
        <v>3</v>
      </c>
      <c r="J26" s="16">
        <v>2</v>
      </c>
      <c r="K26" s="16">
        <v>1</v>
      </c>
      <c r="L26" s="16">
        <v>1</v>
      </c>
      <c r="M26" s="16">
        <v>1</v>
      </c>
      <c r="N26" s="16">
        <v>0</v>
      </c>
      <c r="O26" s="16">
        <v>6</v>
      </c>
      <c r="P26" s="16">
        <v>4</v>
      </c>
      <c r="Q26" s="16">
        <v>1</v>
      </c>
      <c r="R26" s="16">
        <v>2</v>
      </c>
      <c r="S26" s="16">
        <v>2</v>
      </c>
      <c r="T26" s="13">
        <f t="shared" si="2"/>
        <v>27</v>
      </c>
    </row>
    <row r="27" spans="1:20" ht="12.75" customHeight="1" x14ac:dyDescent="0.4">
      <c r="A27" s="22"/>
      <c r="B27" s="69"/>
      <c r="C27" s="80"/>
      <c r="D27" s="13" t="s">
        <v>13</v>
      </c>
      <c r="E27" s="13">
        <f t="shared" ref="E27:S27" si="6">SUM(E25:E26)</f>
        <v>5</v>
      </c>
      <c r="F27" s="13">
        <f t="shared" si="6"/>
        <v>1</v>
      </c>
      <c r="G27" s="13">
        <f t="shared" si="6"/>
        <v>2</v>
      </c>
      <c r="H27" s="13">
        <f t="shared" si="6"/>
        <v>0</v>
      </c>
      <c r="I27" s="13">
        <f t="shared" si="6"/>
        <v>4</v>
      </c>
      <c r="J27" s="13">
        <f t="shared" si="6"/>
        <v>2</v>
      </c>
      <c r="K27" s="13">
        <f t="shared" si="6"/>
        <v>1</v>
      </c>
      <c r="L27" s="13">
        <f t="shared" si="6"/>
        <v>2</v>
      </c>
      <c r="M27" s="13">
        <f t="shared" si="6"/>
        <v>2</v>
      </c>
      <c r="N27" s="13">
        <f t="shared" si="6"/>
        <v>1</v>
      </c>
      <c r="O27" s="13">
        <f t="shared" si="6"/>
        <v>10</v>
      </c>
      <c r="P27" s="13">
        <f t="shared" si="6"/>
        <v>4</v>
      </c>
      <c r="Q27" s="13">
        <f t="shared" si="6"/>
        <v>2</v>
      </c>
      <c r="R27" s="13">
        <f t="shared" si="6"/>
        <v>5</v>
      </c>
      <c r="S27" s="13">
        <f t="shared" si="6"/>
        <v>4</v>
      </c>
      <c r="T27" s="13">
        <f t="shared" si="2"/>
        <v>45</v>
      </c>
    </row>
    <row r="28" spans="1:20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S28" si="7">SUM(E19,E22,E25)</f>
        <v>99</v>
      </c>
      <c r="F28" s="13">
        <f t="shared" si="7"/>
        <v>105</v>
      </c>
      <c r="G28" s="13">
        <f t="shared" si="7"/>
        <v>101</v>
      </c>
      <c r="H28" s="13">
        <f t="shared" si="7"/>
        <v>106</v>
      </c>
      <c r="I28" s="13">
        <f t="shared" si="7"/>
        <v>97</v>
      </c>
      <c r="J28" s="13">
        <f t="shared" si="7"/>
        <v>93</v>
      </c>
      <c r="K28" s="13">
        <f t="shared" si="7"/>
        <v>106</v>
      </c>
      <c r="L28" s="13">
        <f t="shared" si="7"/>
        <v>84</v>
      </c>
      <c r="M28" s="13">
        <f t="shared" si="7"/>
        <v>99</v>
      </c>
      <c r="N28" s="13">
        <f t="shared" si="7"/>
        <v>91</v>
      </c>
      <c r="O28" s="13">
        <f t="shared" si="7"/>
        <v>114</v>
      </c>
      <c r="P28" s="13">
        <f t="shared" si="7"/>
        <v>89</v>
      </c>
      <c r="Q28" s="13">
        <f t="shared" si="7"/>
        <v>106</v>
      </c>
      <c r="R28" s="13">
        <f t="shared" si="7"/>
        <v>95</v>
      </c>
      <c r="S28" s="13">
        <f t="shared" si="7"/>
        <v>92</v>
      </c>
      <c r="T28" s="13">
        <f t="shared" si="2"/>
        <v>1477</v>
      </c>
    </row>
    <row r="29" spans="1:20" ht="12.75" customHeight="1" x14ac:dyDescent="0.4">
      <c r="A29" s="22"/>
      <c r="B29" s="77"/>
      <c r="C29" s="79"/>
      <c r="D29" s="13" t="s">
        <v>12</v>
      </c>
      <c r="E29" s="13">
        <f t="shared" ref="E29:S29" si="8">SUM(E20,E23,E26)</f>
        <v>120</v>
      </c>
      <c r="F29" s="13">
        <f t="shared" si="8"/>
        <v>115</v>
      </c>
      <c r="G29" s="13">
        <f t="shared" si="8"/>
        <v>102</v>
      </c>
      <c r="H29" s="13">
        <f t="shared" si="8"/>
        <v>131</v>
      </c>
      <c r="I29" s="13">
        <f t="shared" si="8"/>
        <v>113</v>
      </c>
      <c r="J29" s="13">
        <f t="shared" si="8"/>
        <v>128</v>
      </c>
      <c r="K29" s="13">
        <f t="shared" si="8"/>
        <v>116</v>
      </c>
      <c r="L29" s="13">
        <f t="shared" si="8"/>
        <v>115</v>
      </c>
      <c r="M29" s="13">
        <f t="shared" si="8"/>
        <v>122</v>
      </c>
      <c r="N29" s="13">
        <f t="shared" si="8"/>
        <v>115</v>
      </c>
      <c r="O29" s="13">
        <f t="shared" si="8"/>
        <v>118</v>
      </c>
      <c r="P29" s="13">
        <f t="shared" si="8"/>
        <v>120</v>
      </c>
      <c r="Q29" s="13">
        <f t="shared" si="8"/>
        <v>127</v>
      </c>
      <c r="R29" s="13">
        <f t="shared" si="8"/>
        <v>115</v>
      </c>
      <c r="S29" s="13">
        <f t="shared" si="8"/>
        <v>125</v>
      </c>
      <c r="T29" s="13">
        <f t="shared" si="2"/>
        <v>1782</v>
      </c>
    </row>
    <row r="30" spans="1:20" ht="12.75" customHeight="1" x14ac:dyDescent="0.4">
      <c r="A30" s="22"/>
      <c r="B30" s="69"/>
      <c r="C30" s="80"/>
      <c r="D30" s="13" t="s">
        <v>13</v>
      </c>
      <c r="E30" s="13">
        <f t="shared" ref="E30:S30" si="9">SUM(E28:E29)</f>
        <v>219</v>
      </c>
      <c r="F30" s="13">
        <f t="shared" si="9"/>
        <v>220</v>
      </c>
      <c r="G30" s="13">
        <f t="shared" si="9"/>
        <v>203</v>
      </c>
      <c r="H30" s="13">
        <f t="shared" si="9"/>
        <v>237</v>
      </c>
      <c r="I30" s="13">
        <f t="shared" si="9"/>
        <v>210</v>
      </c>
      <c r="J30" s="13">
        <f t="shared" si="9"/>
        <v>221</v>
      </c>
      <c r="K30" s="13">
        <f t="shared" si="9"/>
        <v>222</v>
      </c>
      <c r="L30" s="13">
        <f t="shared" si="9"/>
        <v>199</v>
      </c>
      <c r="M30" s="13">
        <f t="shared" si="9"/>
        <v>221</v>
      </c>
      <c r="N30" s="13">
        <f t="shared" si="9"/>
        <v>206</v>
      </c>
      <c r="O30" s="13">
        <f t="shared" si="9"/>
        <v>232</v>
      </c>
      <c r="P30" s="13">
        <f t="shared" si="9"/>
        <v>209</v>
      </c>
      <c r="Q30" s="13">
        <f t="shared" si="9"/>
        <v>233</v>
      </c>
      <c r="R30" s="13">
        <f t="shared" si="9"/>
        <v>210</v>
      </c>
      <c r="S30" s="13">
        <f t="shared" si="9"/>
        <v>217</v>
      </c>
      <c r="T30" s="13">
        <f t="shared" si="2"/>
        <v>3259</v>
      </c>
    </row>
    <row r="31" spans="1:20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49"/>
    </row>
    <row r="32" spans="1:20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49"/>
    </row>
    <row r="33" spans="1:20" ht="12.75" customHeight="1" x14ac:dyDescent="0.4">
      <c r="A33" s="16">
        <v>1</v>
      </c>
      <c r="B33" s="74" t="s">
        <v>26</v>
      </c>
      <c r="C33" s="61"/>
      <c r="D33" s="62"/>
      <c r="E33" s="16">
        <v>299</v>
      </c>
      <c r="F33" s="16">
        <v>301</v>
      </c>
      <c r="G33" s="16">
        <v>281</v>
      </c>
      <c r="H33" s="16">
        <v>301</v>
      </c>
      <c r="I33" s="16">
        <v>294</v>
      </c>
      <c r="J33" s="16">
        <v>295</v>
      </c>
      <c r="K33" s="16">
        <v>293</v>
      </c>
      <c r="L33" s="16">
        <v>287</v>
      </c>
      <c r="M33" s="16">
        <v>314</v>
      </c>
      <c r="N33" s="16">
        <v>305</v>
      </c>
      <c r="O33" s="16">
        <v>294</v>
      </c>
      <c r="P33" s="16">
        <v>273</v>
      </c>
      <c r="Q33" s="16">
        <v>300</v>
      </c>
      <c r="R33" s="16">
        <v>286</v>
      </c>
      <c r="S33" s="16">
        <v>296</v>
      </c>
      <c r="T33" s="13">
        <f t="shared" ref="T33:T36" si="10">SUM(E33:S33)</f>
        <v>4419</v>
      </c>
    </row>
    <row r="34" spans="1:20" ht="12.75" customHeight="1" x14ac:dyDescent="0.4">
      <c r="A34" s="16">
        <v>2</v>
      </c>
      <c r="B34" s="74" t="s">
        <v>27</v>
      </c>
      <c r="C34" s="61"/>
      <c r="D34" s="62"/>
      <c r="E34" s="13">
        <v>219</v>
      </c>
      <c r="F34" s="13">
        <v>220</v>
      </c>
      <c r="G34" s="13">
        <v>203</v>
      </c>
      <c r="H34" s="13">
        <v>237</v>
      </c>
      <c r="I34" s="13">
        <v>210</v>
      </c>
      <c r="J34" s="13">
        <v>221</v>
      </c>
      <c r="K34" s="13">
        <v>222</v>
      </c>
      <c r="L34" s="13">
        <v>199</v>
      </c>
      <c r="M34" s="13">
        <v>221</v>
      </c>
      <c r="N34" s="13">
        <v>206</v>
      </c>
      <c r="O34" s="13">
        <v>232</v>
      </c>
      <c r="P34" s="13">
        <v>209</v>
      </c>
      <c r="Q34" s="13">
        <v>233</v>
      </c>
      <c r="R34" s="13">
        <v>210</v>
      </c>
      <c r="S34" s="13">
        <v>217</v>
      </c>
      <c r="T34" s="13">
        <f t="shared" si="10"/>
        <v>3259</v>
      </c>
    </row>
    <row r="35" spans="1:20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0</v>
      </c>
      <c r="G35" s="16">
        <v>0</v>
      </c>
      <c r="H35" s="16">
        <v>0</v>
      </c>
      <c r="I35" s="16">
        <v>3</v>
      </c>
      <c r="J35" s="16">
        <v>1</v>
      </c>
      <c r="K35" s="16">
        <v>0</v>
      </c>
      <c r="L35" s="16">
        <v>0</v>
      </c>
      <c r="M35" s="16">
        <v>0</v>
      </c>
      <c r="N35" s="16">
        <v>0</v>
      </c>
      <c r="O35" s="16">
        <v>4</v>
      </c>
      <c r="P35" s="16">
        <v>0</v>
      </c>
      <c r="Q35" s="16">
        <v>0</v>
      </c>
      <c r="R35" s="16">
        <v>0</v>
      </c>
      <c r="S35" s="16">
        <v>0</v>
      </c>
      <c r="T35" s="13">
        <f t="shared" si="10"/>
        <v>8</v>
      </c>
    </row>
    <row r="36" spans="1:20" ht="12.75" customHeight="1" x14ac:dyDescent="0.4">
      <c r="A36" s="16">
        <v>4</v>
      </c>
      <c r="B36" s="74" t="s">
        <v>29</v>
      </c>
      <c r="C36" s="61"/>
      <c r="D36" s="62"/>
      <c r="E36" s="13">
        <v>80</v>
      </c>
      <c r="F36" s="13">
        <f t="shared" ref="F36:S36" si="11">F33-(F34+F35)</f>
        <v>81</v>
      </c>
      <c r="G36" s="13">
        <f t="shared" si="11"/>
        <v>78</v>
      </c>
      <c r="H36" s="13">
        <f t="shared" si="11"/>
        <v>64</v>
      </c>
      <c r="I36" s="13">
        <f t="shared" si="11"/>
        <v>81</v>
      </c>
      <c r="J36" s="13">
        <f t="shared" si="11"/>
        <v>73</v>
      </c>
      <c r="K36" s="13">
        <f t="shared" si="11"/>
        <v>71</v>
      </c>
      <c r="L36" s="13">
        <f t="shared" si="11"/>
        <v>88</v>
      </c>
      <c r="M36" s="13">
        <f t="shared" si="11"/>
        <v>93</v>
      </c>
      <c r="N36" s="13">
        <f t="shared" si="11"/>
        <v>99</v>
      </c>
      <c r="O36" s="13">
        <f t="shared" si="11"/>
        <v>58</v>
      </c>
      <c r="P36" s="13">
        <f t="shared" si="11"/>
        <v>64</v>
      </c>
      <c r="Q36" s="13">
        <f t="shared" si="11"/>
        <v>67</v>
      </c>
      <c r="R36" s="13">
        <f t="shared" si="11"/>
        <v>76</v>
      </c>
      <c r="S36" s="13">
        <f t="shared" si="11"/>
        <v>79</v>
      </c>
      <c r="T36" s="13">
        <f t="shared" si="10"/>
        <v>1152</v>
      </c>
    </row>
    <row r="37" spans="1:20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49"/>
    </row>
    <row r="38" spans="1:20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49"/>
    </row>
    <row r="39" spans="1:20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1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3">
        <v>1</v>
      </c>
    </row>
    <row r="40" spans="1:20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3">
        <f t="shared" ref="T40:T41" si="12">SUM(E40:S40)</f>
        <v>0</v>
      </c>
    </row>
    <row r="41" spans="1:20" ht="12.75" customHeight="1" x14ac:dyDescent="0.4">
      <c r="A41" s="25"/>
      <c r="B41" s="68"/>
      <c r="C41" s="69"/>
      <c r="D41" s="13" t="s">
        <v>13</v>
      </c>
      <c r="E41" s="13">
        <f t="shared" ref="E41:S41" si="13">SUM(E39:E40)</f>
        <v>0</v>
      </c>
      <c r="F41" s="13">
        <f t="shared" si="13"/>
        <v>0</v>
      </c>
      <c r="G41" s="13">
        <f t="shared" si="13"/>
        <v>0</v>
      </c>
      <c r="H41" s="13">
        <f t="shared" si="13"/>
        <v>0</v>
      </c>
      <c r="I41" s="13">
        <f t="shared" si="13"/>
        <v>0</v>
      </c>
      <c r="J41" s="13">
        <f t="shared" si="13"/>
        <v>0</v>
      </c>
      <c r="K41" s="13">
        <f t="shared" si="13"/>
        <v>0</v>
      </c>
      <c r="L41" s="13">
        <f t="shared" si="13"/>
        <v>0</v>
      </c>
      <c r="M41" s="13">
        <f t="shared" si="13"/>
        <v>1</v>
      </c>
      <c r="N41" s="13">
        <f t="shared" si="13"/>
        <v>0</v>
      </c>
      <c r="O41" s="13">
        <f t="shared" si="13"/>
        <v>0</v>
      </c>
      <c r="P41" s="13">
        <f t="shared" si="13"/>
        <v>0</v>
      </c>
      <c r="Q41" s="13">
        <f t="shared" si="13"/>
        <v>0</v>
      </c>
      <c r="R41" s="13">
        <f t="shared" si="13"/>
        <v>0</v>
      </c>
      <c r="S41" s="13">
        <f t="shared" si="13"/>
        <v>0</v>
      </c>
      <c r="T41" s="13">
        <f t="shared" si="12"/>
        <v>1</v>
      </c>
    </row>
    <row r="42" spans="1:20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13"/>
    </row>
    <row r="43" spans="1:20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13"/>
    </row>
    <row r="44" spans="1:20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13"/>
    </row>
    <row r="45" spans="1:20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4</v>
      </c>
      <c r="F45" s="16">
        <v>5</v>
      </c>
      <c r="G45" s="16">
        <v>5</v>
      </c>
      <c r="H45" s="16">
        <v>8</v>
      </c>
      <c r="I45" s="16">
        <v>2</v>
      </c>
      <c r="J45" s="16">
        <v>3</v>
      </c>
      <c r="K45" s="16">
        <v>3</v>
      </c>
      <c r="L45" s="16">
        <v>1</v>
      </c>
      <c r="M45" s="16">
        <v>4</v>
      </c>
      <c r="N45" s="16">
        <v>1</v>
      </c>
      <c r="O45" s="16">
        <v>2</v>
      </c>
      <c r="P45" s="16">
        <v>1</v>
      </c>
      <c r="Q45" s="16">
        <v>1</v>
      </c>
      <c r="R45" s="16">
        <v>7</v>
      </c>
      <c r="S45" s="16">
        <v>2</v>
      </c>
      <c r="T45" s="13">
        <f t="shared" ref="T45:T54" si="14">SUM(E45:S45)</f>
        <v>49</v>
      </c>
    </row>
    <row r="46" spans="1:20" ht="12.75" customHeight="1" x14ac:dyDescent="0.4">
      <c r="A46" s="20" t="s">
        <v>38</v>
      </c>
      <c r="B46" s="28"/>
      <c r="C46" s="29" t="s">
        <v>39</v>
      </c>
      <c r="D46" s="30"/>
      <c r="E46" s="16">
        <v>2</v>
      </c>
      <c r="F46" s="16">
        <v>0</v>
      </c>
      <c r="G46" s="16">
        <v>5</v>
      </c>
      <c r="H46" s="16">
        <v>3</v>
      </c>
      <c r="I46" s="16">
        <v>1</v>
      </c>
      <c r="J46" s="16">
        <v>7</v>
      </c>
      <c r="K46" s="16">
        <v>2</v>
      </c>
      <c r="L46" s="16">
        <v>5</v>
      </c>
      <c r="M46" s="16">
        <v>3</v>
      </c>
      <c r="N46" s="16">
        <v>0</v>
      </c>
      <c r="O46" s="16">
        <v>14</v>
      </c>
      <c r="P46" s="16">
        <v>1</v>
      </c>
      <c r="Q46" s="16">
        <v>1</v>
      </c>
      <c r="R46" s="16">
        <v>3</v>
      </c>
      <c r="S46" s="16">
        <v>2</v>
      </c>
      <c r="T46" s="13">
        <f t="shared" si="14"/>
        <v>49</v>
      </c>
    </row>
    <row r="47" spans="1:20" ht="12.75" customHeight="1" x14ac:dyDescent="0.4">
      <c r="A47" s="15"/>
      <c r="B47" s="28"/>
      <c r="C47" s="29" t="s">
        <v>40</v>
      </c>
      <c r="D47" s="30"/>
      <c r="E47" s="16">
        <v>0</v>
      </c>
      <c r="F47" s="16">
        <v>2</v>
      </c>
      <c r="G47" s="16">
        <v>5</v>
      </c>
      <c r="H47" s="16">
        <v>3</v>
      </c>
      <c r="I47" s="16">
        <v>1</v>
      </c>
      <c r="J47" s="16">
        <v>9</v>
      </c>
      <c r="K47" s="16">
        <v>5</v>
      </c>
      <c r="L47" s="16">
        <v>4</v>
      </c>
      <c r="M47" s="16">
        <v>1</v>
      </c>
      <c r="N47" s="16">
        <v>2</v>
      </c>
      <c r="O47" s="16">
        <v>5</v>
      </c>
      <c r="P47" s="16">
        <v>1</v>
      </c>
      <c r="Q47" s="16">
        <v>5</v>
      </c>
      <c r="R47" s="16">
        <v>13</v>
      </c>
      <c r="S47" s="16">
        <v>2</v>
      </c>
      <c r="T47" s="13">
        <f t="shared" si="14"/>
        <v>58</v>
      </c>
    </row>
    <row r="48" spans="1:20" ht="12.75" customHeight="1" x14ac:dyDescent="0.4">
      <c r="A48" s="15"/>
      <c r="B48" s="28"/>
      <c r="C48" s="29" t="s">
        <v>41</v>
      </c>
      <c r="D48" s="30"/>
      <c r="E48" s="16">
        <v>1</v>
      </c>
      <c r="F48" s="16">
        <v>0</v>
      </c>
      <c r="G48" s="16">
        <v>1</v>
      </c>
      <c r="H48" s="16">
        <v>0</v>
      </c>
      <c r="I48" s="16">
        <v>1</v>
      </c>
      <c r="J48" s="16">
        <v>0</v>
      </c>
      <c r="K48" s="16">
        <v>0</v>
      </c>
      <c r="L48" s="16">
        <v>0</v>
      </c>
      <c r="M48" s="16">
        <v>0</v>
      </c>
      <c r="N48" s="16">
        <v>2</v>
      </c>
      <c r="O48" s="16">
        <v>1</v>
      </c>
      <c r="P48" s="16">
        <v>1</v>
      </c>
      <c r="Q48" s="16">
        <v>0</v>
      </c>
      <c r="R48" s="16">
        <v>0</v>
      </c>
      <c r="S48" s="16">
        <v>0</v>
      </c>
      <c r="T48" s="13">
        <f t="shared" si="14"/>
        <v>7</v>
      </c>
    </row>
    <row r="49" spans="1:20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3">
        <f t="shared" si="14"/>
        <v>0</v>
      </c>
    </row>
    <row r="50" spans="1:20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3">
        <f t="shared" si="14"/>
        <v>0</v>
      </c>
    </row>
    <row r="51" spans="1:20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1</v>
      </c>
      <c r="N51" s="16">
        <v>0</v>
      </c>
      <c r="O51" s="16">
        <v>0</v>
      </c>
      <c r="P51" s="16">
        <v>0</v>
      </c>
      <c r="Q51" s="16">
        <v>0</v>
      </c>
      <c r="R51" s="16">
        <v>0</v>
      </c>
      <c r="S51" s="16">
        <v>1</v>
      </c>
      <c r="T51" s="13">
        <f t="shared" si="14"/>
        <v>2</v>
      </c>
    </row>
    <row r="52" spans="1:20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13">
        <f t="shared" si="14"/>
        <v>0</v>
      </c>
    </row>
    <row r="53" spans="1:20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13">
        <f t="shared" si="14"/>
        <v>0</v>
      </c>
    </row>
    <row r="54" spans="1:20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13">
        <f t="shared" si="14"/>
        <v>0</v>
      </c>
    </row>
    <row r="55" spans="1:20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T55" si="15">SUM(E45:E54)</f>
        <v>7</v>
      </c>
      <c r="F55" s="13">
        <f t="shared" si="15"/>
        <v>7</v>
      </c>
      <c r="G55" s="13">
        <f t="shared" si="15"/>
        <v>16</v>
      </c>
      <c r="H55" s="13">
        <f t="shared" si="15"/>
        <v>14</v>
      </c>
      <c r="I55" s="13">
        <f t="shared" si="15"/>
        <v>5</v>
      </c>
      <c r="J55" s="13">
        <f t="shared" si="15"/>
        <v>19</v>
      </c>
      <c r="K55" s="13">
        <f t="shared" si="15"/>
        <v>10</v>
      </c>
      <c r="L55" s="13">
        <f t="shared" si="15"/>
        <v>10</v>
      </c>
      <c r="M55" s="13">
        <f t="shared" si="15"/>
        <v>9</v>
      </c>
      <c r="N55" s="13">
        <f t="shared" si="15"/>
        <v>5</v>
      </c>
      <c r="O55" s="13">
        <f t="shared" si="15"/>
        <v>22</v>
      </c>
      <c r="P55" s="13">
        <f t="shared" si="15"/>
        <v>4</v>
      </c>
      <c r="Q55" s="13">
        <f t="shared" si="15"/>
        <v>7</v>
      </c>
      <c r="R55" s="13">
        <f t="shared" si="15"/>
        <v>23</v>
      </c>
      <c r="S55" s="13">
        <f t="shared" si="15"/>
        <v>7</v>
      </c>
      <c r="T55" s="13">
        <f t="shared" si="15"/>
        <v>165</v>
      </c>
    </row>
    <row r="56" spans="1:20" ht="12.75" customHeight="1" x14ac:dyDescent="0.4">
      <c r="A56" s="86"/>
      <c r="B56" s="68"/>
      <c r="C56" s="68"/>
      <c r="D56" s="68"/>
      <c r="E56" s="68"/>
      <c r="T56" s="13"/>
    </row>
    <row r="57" spans="1:20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4</v>
      </c>
      <c r="F57" s="16">
        <v>4</v>
      </c>
      <c r="G57" s="16">
        <v>8</v>
      </c>
      <c r="H57" s="16">
        <v>9</v>
      </c>
      <c r="I57" s="16">
        <v>10</v>
      </c>
      <c r="J57" s="16">
        <v>0</v>
      </c>
      <c r="K57" s="16">
        <v>12</v>
      </c>
      <c r="L57" s="16">
        <v>14</v>
      </c>
      <c r="M57" s="16">
        <v>3</v>
      </c>
      <c r="N57" s="16">
        <v>8</v>
      </c>
      <c r="O57" s="16">
        <v>4</v>
      </c>
      <c r="P57" s="16">
        <v>2</v>
      </c>
      <c r="Q57" s="16">
        <v>1</v>
      </c>
      <c r="R57" s="16">
        <v>8</v>
      </c>
      <c r="S57" s="16">
        <v>4</v>
      </c>
      <c r="T57" s="13">
        <f t="shared" ref="T57:T66" si="16">SUM(E57:S57)</f>
        <v>91</v>
      </c>
    </row>
    <row r="58" spans="1:20" ht="12.75" customHeight="1" x14ac:dyDescent="0.4">
      <c r="A58" s="20" t="s">
        <v>38</v>
      </c>
      <c r="B58" s="28"/>
      <c r="C58" s="29" t="s">
        <v>47</v>
      </c>
      <c r="D58" s="30"/>
      <c r="E58" s="59">
        <v>3</v>
      </c>
      <c r="F58" s="16">
        <v>3</v>
      </c>
      <c r="G58" s="16">
        <v>6</v>
      </c>
      <c r="H58" s="16">
        <v>13</v>
      </c>
      <c r="I58" s="16">
        <v>4</v>
      </c>
      <c r="J58" s="16">
        <v>1</v>
      </c>
      <c r="K58" s="16">
        <v>11</v>
      </c>
      <c r="L58" s="16">
        <v>2</v>
      </c>
      <c r="M58" s="16">
        <v>5</v>
      </c>
      <c r="N58" s="16">
        <v>1</v>
      </c>
      <c r="O58" s="16">
        <v>3</v>
      </c>
      <c r="P58" s="16">
        <v>2</v>
      </c>
      <c r="Q58" s="16">
        <v>1</v>
      </c>
      <c r="R58" s="16">
        <v>8</v>
      </c>
      <c r="S58" s="16">
        <v>5</v>
      </c>
      <c r="T58" s="13">
        <f t="shared" si="16"/>
        <v>68</v>
      </c>
    </row>
    <row r="59" spans="1:20" ht="12.75" customHeight="1" x14ac:dyDescent="0.4">
      <c r="A59" s="15"/>
      <c r="B59" s="28"/>
      <c r="C59" s="29" t="s">
        <v>48</v>
      </c>
      <c r="D59" s="30"/>
      <c r="E59" s="16">
        <v>0</v>
      </c>
      <c r="F59" s="16">
        <v>0</v>
      </c>
      <c r="G59" s="16">
        <v>0</v>
      </c>
      <c r="H59" s="16">
        <v>4</v>
      </c>
      <c r="I59" s="16">
        <v>4</v>
      </c>
      <c r="J59" s="16">
        <v>1</v>
      </c>
      <c r="K59" s="16">
        <v>1</v>
      </c>
      <c r="L59" s="16">
        <v>1</v>
      </c>
      <c r="M59" s="16">
        <v>1</v>
      </c>
      <c r="N59" s="16">
        <v>2</v>
      </c>
      <c r="O59" s="16">
        <v>1</v>
      </c>
      <c r="P59" s="16">
        <v>1</v>
      </c>
      <c r="Q59" s="16">
        <v>2</v>
      </c>
      <c r="R59" s="16">
        <v>1</v>
      </c>
      <c r="S59" s="16">
        <v>3</v>
      </c>
      <c r="T59" s="13">
        <f t="shared" si="16"/>
        <v>22</v>
      </c>
    </row>
    <row r="60" spans="1:20" ht="12.75" customHeight="1" x14ac:dyDescent="0.4">
      <c r="A60" s="15"/>
      <c r="B60" s="28"/>
      <c r="C60" s="29" t="s">
        <v>49</v>
      </c>
      <c r="D60" s="30"/>
      <c r="E60" s="16">
        <v>1</v>
      </c>
      <c r="F60" s="16">
        <v>1</v>
      </c>
      <c r="G60" s="16">
        <v>3</v>
      </c>
      <c r="H60" s="16">
        <v>5</v>
      </c>
      <c r="I60" s="16">
        <v>4</v>
      </c>
      <c r="J60" s="16">
        <v>5</v>
      </c>
      <c r="K60" s="16">
        <v>0</v>
      </c>
      <c r="L60" s="16">
        <v>0</v>
      </c>
      <c r="M60" s="16">
        <v>1</v>
      </c>
      <c r="N60" s="16">
        <v>3</v>
      </c>
      <c r="O60" s="16">
        <v>2</v>
      </c>
      <c r="P60" s="16">
        <v>1</v>
      </c>
      <c r="Q60" s="16">
        <v>0</v>
      </c>
      <c r="R60" s="16">
        <v>5</v>
      </c>
      <c r="S60" s="16">
        <v>3</v>
      </c>
      <c r="T60" s="13">
        <f t="shared" si="16"/>
        <v>34</v>
      </c>
    </row>
    <row r="61" spans="1:20" ht="12.75" customHeight="1" x14ac:dyDescent="0.4">
      <c r="A61" s="15"/>
      <c r="B61" s="28"/>
      <c r="C61" s="29" t="s">
        <v>50</v>
      </c>
      <c r="D61" s="30"/>
      <c r="E61" s="16">
        <v>2</v>
      </c>
      <c r="F61" s="16">
        <v>0</v>
      </c>
      <c r="G61" s="16">
        <v>0</v>
      </c>
      <c r="H61" s="16">
        <v>5</v>
      </c>
      <c r="I61" s="16">
        <v>2</v>
      </c>
      <c r="J61" s="16">
        <v>0</v>
      </c>
      <c r="K61" s="16">
        <v>1</v>
      </c>
      <c r="L61" s="16">
        <v>0</v>
      </c>
      <c r="M61" s="16">
        <v>0</v>
      </c>
      <c r="N61" s="16">
        <v>0</v>
      </c>
      <c r="O61" s="16">
        <v>0</v>
      </c>
      <c r="P61" s="16">
        <v>2</v>
      </c>
      <c r="Q61" s="16">
        <v>1</v>
      </c>
      <c r="R61" s="16">
        <v>2</v>
      </c>
      <c r="S61" s="16">
        <v>0</v>
      </c>
      <c r="T61" s="13">
        <f t="shared" si="16"/>
        <v>15</v>
      </c>
    </row>
    <row r="62" spans="1:20" ht="12.75" customHeight="1" x14ac:dyDescent="0.4">
      <c r="A62" s="15"/>
      <c r="B62" s="28"/>
      <c r="C62" s="29" t="s">
        <v>51</v>
      </c>
      <c r="D62" s="30"/>
      <c r="E62" s="16">
        <v>0</v>
      </c>
      <c r="F62" s="16">
        <v>0</v>
      </c>
      <c r="G62" s="16">
        <v>0</v>
      </c>
      <c r="H62" s="16">
        <v>0</v>
      </c>
      <c r="I62" s="16">
        <v>1</v>
      </c>
      <c r="J62" s="16">
        <v>0</v>
      </c>
      <c r="K62" s="16">
        <v>1</v>
      </c>
      <c r="L62" s="16">
        <v>2</v>
      </c>
      <c r="M62" s="16">
        <v>1</v>
      </c>
      <c r="N62" s="16">
        <v>0</v>
      </c>
      <c r="O62" s="16">
        <v>1</v>
      </c>
      <c r="P62" s="16">
        <v>1</v>
      </c>
      <c r="Q62" s="16">
        <v>2</v>
      </c>
      <c r="R62" s="16">
        <v>0</v>
      </c>
      <c r="S62" s="16">
        <v>0</v>
      </c>
      <c r="T62" s="13">
        <f t="shared" si="16"/>
        <v>9</v>
      </c>
    </row>
    <row r="63" spans="1:20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0</v>
      </c>
      <c r="G63" s="16">
        <v>0</v>
      </c>
      <c r="H63" s="16">
        <v>0</v>
      </c>
      <c r="I63" s="16">
        <v>0</v>
      </c>
      <c r="J63" s="16">
        <v>0</v>
      </c>
      <c r="K63" s="16">
        <v>1</v>
      </c>
      <c r="L63" s="16">
        <v>1</v>
      </c>
      <c r="M63" s="16">
        <v>1</v>
      </c>
      <c r="N63" s="16">
        <v>0</v>
      </c>
      <c r="O63" s="16">
        <v>0</v>
      </c>
      <c r="P63" s="16">
        <v>0</v>
      </c>
      <c r="Q63" s="16">
        <v>3</v>
      </c>
      <c r="R63" s="16">
        <v>1</v>
      </c>
      <c r="S63" s="16">
        <v>0</v>
      </c>
      <c r="T63" s="13">
        <f t="shared" si="16"/>
        <v>7</v>
      </c>
    </row>
    <row r="64" spans="1:20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13">
        <f t="shared" si="16"/>
        <v>0</v>
      </c>
    </row>
    <row r="65" spans="1:20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13">
        <f t="shared" si="16"/>
        <v>0</v>
      </c>
    </row>
    <row r="66" spans="1:20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13">
        <f t="shared" si="16"/>
        <v>0</v>
      </c>
    </row>
    <row r="67" spans="1:20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T67" si="17">SUM(E57:E66)</f>
        <v>10</v>
      </c>
      <c r="F67" s="13">
        <f t="shared" si="17"/>
        <v>8</v>
      </c>
      <c r="G67" s="13">
        <f t="shared" si="17"/>
        <v>17</v>
      </c>
      <c r="H67" s="13">
        <f t="shared" si="17"/>
        <v>36</v>
      </c>
      <c r="I67" s="13">
        <f t="shared" si="17"/>
        <v>25</v>
      </c>
      <c r="J67" s="13">
        <f t="shared" si="17"/>
        <v>7</v>
      </c>
      <c r="K67" s="13">
        <f t="shared" si="17"/>
        <v>27</v>
      </c>
      <c r="L67" s="13">
        <f t="shared" si="17"/>
        <v>20</v>
      </c>
      <c r="M67" s="13">
        <f t="shared" si="17"/>
        <v>12</v>
      </c>
      <c r="N67" s="13">
        <f t="shared" si="17"/>
        <v>14</v>
      </c>
      <c r="O67" s="13">
        <f t="shared" si="17"/>
        <v>11</v>
      </c>
      <c r="P67" s="13">
        <f t="shared" si="17"/>
        <v>9</v>
      </c>
      <c r="Q67" s="13">
        <f t="shared" si="17"/>
        <v>10</v>
      </c>
      <c r="R67" s="13">
        <f t="shared" si="17"/>
        <v>25</v>
      </c>
      <c r="S67" s="13">
        <f t="shared" si="17"/>
        <v>15</v>
      </c>
      <c r="T67" s="13">
        <f t="shared" si="17"/>
        <v>246</v>
      </c>
    </row>
    <row r="68" spans="1:20" ht="12.75" customHeight="1" x14ac:dyDescent="0.4">
      <c r="A68" s="86"/>
      <c r="B68" s="68"/>
      <c r="C68" s="68"/>
      <c r="D68" s="68"/>
      <c r="E68" s="68"/>
    </row>
    <row r="69" spans="1:20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9</v>
      </c>
      <c r="F69" s="16">
        <v>4</v>
      </c>
      <c r="G69" s="16">
        <v>6</v>
      </c>
      <c r="H69" s="16">
        <v>7</v>
      </c>
      <c r="I69" s="16">
        <v>7</v>
      </c>
      <c r="J69" s="16">
        <v>8</v>
      </c>
      <c r="K69" s="16">
        <v>12</v>
      </c>
      <c r="L69" s="16">
        <v>23</v>
      </c>
      <c r="M69" s="16">
        <v>13</v>
      </c>
      <c r="N69" s="16">
        <v>9</v>
      </c>
      <c r="O69" s="16">
        <v>7</v>
      </c>
      <c r="P69" s="16">
        <v>8</v>
      </c>
      <c r="Q69" s="16">
        <v>4</v>
      </c>
      <c r="R69" s="16">
        <v>9</v>
      </c>
      <c r="S69" s="16">
        <v>14</v>
      </c>
      <c r="T69" s="13">
        <f t="shared" ref="T69:T78" si="18">SUM(E69:S69)</f>
        <v>140</v>
      </c>
    </row>
    <row r="70" spans="1:20" ht="12.75" customHeight="1" x14ac:dyDescent="0.4">
      <c r="A70" s="20" t="s">
        <v>38</v>
      </c>
      <c r="B70" s="28"/>
      <c r="C70" s="29" t="s">
        <v>54</v>
      </c>
      <c r="D70" s="30"/>
      <c r="E70" s="16">
        <v>1</v>
      </c>
      <c r="F70" s="16">
        <v>2</v>
      </c>
      <c r="G70" s="16">
        <v>0</v>
      </c>
      <c r="H70" s="16">
        <v>2</v>
      </c>
      <c r="I70" s="16">
        <v>0</v>
      </c>
      <c r="J70" s="16">
        <v>3</v>
      </c>
      <c r="K70" s="16">
        <v>3</v>
      </c>
      <c r="L70" s="16">
        <v>3</v>
      </c>
      <c r="M70" s="16">
        <v>4</v>
      </c>
      <c r="N70" s="16">
        <v>6</v>
      </c>
      <c r="O70" s="16">
        <v>0</v>
      </c>
      <c r="P70" s="16">
        <v>2</v>
      </c>
      <c r="Q70" s="16">
        <v>5</v>
      </c>
      <c r="R70" s="16">
        <v>5</v>
      </c>
      <c r="S70" s="16">
        <v>7</v>
      </c>
      <c r="T70" s="13">
        <f t="shared" si="18"/>
        <v>43</v>
      </c>
    </row>
    <row r="71" spans="1:20" ht="12.75" customHeight="1" x14ac:dyDescent="0.4">
      <c r="A71" s="15"/>
      <c r="B71" s="28"/>
      <c r="C71" s="29" t="s">
        <v>55</v>
      </c>
      <c r="D71" s="30"/>
      <c r="E71" s="16">
        <v>10</v>
      </c>
      <c r="F71" s="16">
        <v>7</v>
      </c>
      <c r="G71" s="16">
        <v>16</v>
      </c>
      <c r="H71" s="16">
        <v>12</v>
      </c>
      <c r="I71" s="16">
        <v>4</v>
      </c>
      <c r="J71" s="16">
        <v>2</v>
      </c>
      <c r="K71" s="16">
        <v>11</v>
      </c>
      <c r="L71" s="16">
        <v>7</v>
      </c>
      <c r="M71" s="16">
        <v>6</v>
      </c>
      <c r="N71" s="16">
        <v>7</v>
      </c>
      <c r="O71" s="16">
        <v>5</v>
      </c>
      <c r="P71" s="16">
        <v>33</v>
      </c>
      <c r="Q71" s="16">
        <v>18</v>
      </c>
      <c r="R71" s="16">
        <v>3</v>
      </c>
      <c r="S71" s="16">
        <v>13</v>
      </c>
      <c r="T71" s="13">
        <f t="shared" si="18"/>
        <v>154</v>
      </c>
    </row>
    <row r="72" spans="1:20" ht="12.75" customHeight="1" x14ac:dyDescent="0.4">
      <c r="A72" s="15"/>
      <c r="B72" s="28"/>
      <c r="C72" s="29" t="s">
        <v>56</v>
      </c>
      <c r="D72" s="30"/>
      <c r="E72" s="16">
        <v>5</v>
      </c>
      <c r="F72" s="16">
        <v>9</v>
      </c>
      <c r="G72" s="16">
        <v>2</v>
      </c>
      <c r="H72" s="16">
        <v>15</v>
      </c>
      <c r="I72" s="16">
        <v>32</v>
      </c>
      <c r="J72" s="16">
        <v>5</v>
      </c>
      <c r="K72" s="16">
        <v>11</v>
      </c>
      <c r="L72" s="16">
        <v>5</v>
      </c>
      <c r="M72" s="16">
        <v>2</v>
      </c>
      <c r="N72" s="16">
        <v>2</v>
      </c>
      <c r="O72" s="16">
        <v>4</v>
      </c>
      <c r="P72" s="16">
        <v>4</v>
      </c>
      <c r="Q72" s="16">
        <v>9</v>
      </c>
      <c r="R72" s="16">
        <v>14</v>
      </c>
      <c r="S72" s="16">
        <v>11</v>
      </c>
      <c r="T72" s="13">
        <f t="shared" si="18"/>
        <v>130</v>
      </c>
    </row>
    <row r="73" spans="1:20" ht="12.75" customHeight="1" x14ac:dyDescent="0.4">
      <c r="A73" s="15"/>
      <c r="B73" s="28"/>
      <c r="C73" s="29" t="s">
        <v>57</v>
      </c>
      <c r="D73" s="30"/>
      <c r="E73" s="16">
        <v>1</v>
      </c>
      <c r="F73" s="16">
        <v>0</v>
      </c>
      <c r="G73" s="16">
        <v>0</v>
      </c>
      <c r="H73" s="16">
        <v>0</v>
      </c>
      <c r="I73" s="16">
        <v>4</v>
      </c>
      <c r="J73" s="16">
        <v>2</v>
      </c>
      <c r="K73" s="16">
        <v>1</v>
      </c>
      <c r="L73" s="16">
        <v>0</v>
      </c>
      <c r="M73" s="16">
        <v>3</v>
      </c>
      <c r="N73" s="16">
        <v>2</v>
      </c>
      <c r="O73" s="16">
        <v>4</v>
      </c>
      <c r="P73" s="16">
        <v>8</v>
      </c>
      <c r="Q73" s="16">
        <v>1</v>
      </c>
      <c r="R73" s="16">
        <v>2</v>
      </c>
      <c r="S73" s="16">
        <v>0</v>
      </c>
      <c r="T73" s="13">
        <f t="shared" si="18"/>
        <v>28</v>
      </c>
    </row>
    <row r="74" spans="1:20" ht="12.75" customHeight="1" x14ac:dyDescent="0.4">
      <c r="A74" s="15"/>
      <c r="B74" s="28"/>
      <c r="C74" s="29" t="s">
        <v>58</v>
      </c>
      <c r="D74" s="30"/>
      <c r="E74" s="16">
        <v>4</v>
      </c>
      <c r="F74" s="16">
        <v>2</v>
      </c>
      <c r="G74" s="16">
        <v>2</v>
      </c>
      <c r="H74" s="16">
        <v>11</v>
      </c>
      <c r="I74" s="16">
        <v>4</v>
      </c>
      <c r="J74" s="16">
        <v>1</v>
      </c>
      <c r="K74" s="16">
        <v>12</v>
      </c>
      <c r="L74" s="16">
        <v>4</v>
      </c>
      <c r="M74" s="16">
        <v>10</v>
      </c>
      <c r="N74" s="16">
        <v>6</v>
      </c>
      <c r="O74" s="16">
        <v>4</v>
      </c>
      <c r="P74" s="16">
        <v>10</v>
      </c>
      <c r="Q74" s="16">
        <v>1</v>
      </c>
      <c r="R74" s="16">
        <v>0</v>
      </c>
      <c r="S74" s="16">
        <v>5</v>
      </c>
      <c r="T74" s="13">
        <f t="shared" si="18"/>
        <v>76</v>
      </c>
    </row>
    <row r="75" spans="1:20" ht="12.75" customHeight="1" x14ac:dyDescent="0.4">
      <c r="A75" s="15"/>
      <c r="B75" s="28"/>
      <c r="C75" s="29" t="s">
        <v>59</v>
      </c>
      <c r="D75" s="30"/>
      <c r="E75" s="16">
        <v>0</v>
      </c>
      <c r="F75" s="16">
        <v>0</v>
      </c>
      <c r="G75" s="16">
        <v>1</v>
      </c>
      <c r="H75" s="16">
        <v>4</v>
      </c>
      <c r="I75" s="16">
        <v>7</v>
      </c>
      <c r="J75" s="16">
        <v>8</v>
      </c>
      <c r="K75" s="16">
        <v>7</v>
      </c>
      <c r="L75" s="16">
        <v>2</v>
      </c>
      <c r="M75" s="16">
        <v>7</v>
      </c>
      <c r="N75" s="16">
        <v>4</v>
      </c>
      <c r="O75" s="16">
        <v>1</v>
      </c>
      <c r="P75" s="16">
        <v>3</v>
      </c>
      <c r="Q75" s="16">
        <v>3</v>
      </c>
      <c r="R75" s="16">
        <v>0</v>
      </c>
      <c r="S75" s="16">
        <v>3</v>
      </c>
      <c r="T75" s="13">
        <f t="shared" si="18"/>
        <v>50</v>
      </c>
    </row>
    <row r="76" spans="1:20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13">
        <f t="shared" si="18"/>
        <v>0</v>
      </c>
    </row>
    <row r="77" spans="1:20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13">
        <f t="shared" si="18"/>
        <v>0</v>
      </c>
    </row>
    <row r="78" spans="1:20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13">
        <f t="shared" si="18"/>
        <v>0</v>
      </c>
    </row>
    <row r="79" spans="1:20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T79" si="19">SUM(E69:E78)</f>
        <v>30</v>
      </c>
      <c r="F79" s="13">
        <f t="shared" si="19"/>
        <v>24</v>
      </c>
      <c r="G79" s="13">
        <f t="shared" si="19"/>
        <v>27</v>
      </c>
      <c r="H79" s="13">
        <f t="shared" si="19"/>
        <v>51</v>
      </c>
      <c r="I79" s="13">
        <f t="shared" si="19"/>
        <v>58</v>
      </c>
      <c r="J79" s="13">
        <f t="shared" si="19"/>
        <v>29</v>
      </c>
      <c r="K79" s="13">
        <f t="shared" si="19"/>
        <v>57</v>
      </c>
      <c r="L79" s="13">
        <f t="shared" si="19"/>
        <v>44</v>
      </c>
      <c r="M79" s="13">
        <f t="shared" si="19"/>
        <v>45</v>
      </c>
      <c r="N79" s="13">
        <f t="shared" si="19"/>
        <v>36</v>
      </c>
      <c r="O79" s="13">
        <f t="shared" si="19"/>
        <v>25</v>
      </c>
      <c r="P79" s="13">
        <f t="shared" si="19"/>
        <v>68</v>
      </c>
      <c r="Q79" s="13">
        <f t="shared" si="19"/>
        <v>41</v>
      </c>
      <c r="R79" s="13">
        <f t="shared" si="19"/>
        <v>33</v>
      </c>
      <c r="S79" s="13">
        <f t="shared" si="19"/>
        <v>53</v>
      </c>
      <c r="T79" s="13">
        <f t="shared" si="19"/>
        <v>621</v>
      </c>
    </row>
    <row r="80" spans="1:20" ht="12.75" customHeight="1" x14ac:dyDescent="0.4">
      <c r="A80" s="86"/>
      <c r="B80" s="68"/>
      <c r="C80" s="68"/>
      <c r="D80" s="68"/>
      <c r="E80" s="68"/>
    </row>
    <row r="81" spans="1:20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4</v>
      </c>
      <c r="F81" s="16">
        <v>4</v>
      </c>
      <c r="G81" s="16">
        <v>5</v>
      </c>
      <c r="H81" s="16">
        <v>8</v>
      </c>
      <c r="I81" s="16">
        <v>4</v>
      </c>
      <c r="J81" s="16">
        <v>2</v>
      </c>
      <c r="K81" s="16">
        <v>9</v>
      </c>
      <c r="L81" s="16">
        <v>6</v>
      </c>
      <c r="M81" s="16">
        <v>8</v>
      </c>
      <c r="N81" s="16">
        <v>6</v>
      </c>
      <c r="O81" s="16">
        <v>3</v>
      </c>
      <c r="P81" s="16">
        <v>1</v>
      </c>
      <c r="Q81" s="16">
        <v>4</v>
      </c>
      <c r="R81" s="16">
        <v>1</v>
      </c>
      <c r="S81" s="16">
        <v>3</v>
      </c>
      <c r="T81" s="13">
        <f t="shared" ref="T81:T90" si="20">SUM(E81:S81)</f>
        <v>68</v>
      </c>
    </row>
    <row r="82" spans="1:20" ht="12.75" customHeight="1" x14ac:dyDescent="0.4">
      <c r="A82" s="20" t="s">
        <v>38</v>
      </c>
      <c r="B82" s="28"/>
      <c r="C82" s="29" t="s">
        <v>61</v>
      </c>
      <c r="D82" s="30"/>
      <c r="E82" s="16">
        <v>13</v>
      </c>
      <c r="F82" s="16">
        <v>56</v>
      </c>
      <c r="G82" s="16">
        <v>65</v>
      </c>
      <c r="H82" s="16">
        <v>10</v>
      </c>
      <c r="I82" s="16">
        <v>2</v>
      </c>
      <c r="J82" s="16">
        <v>24</v>
      </c>
      <c r="K82" s="16">
        <v>4</v>
      </c>
      <c r="L82" s="16">
        <v>7</v>
      </c>
      <c r="M82" s="16">
        <v>18</v>
      </c>
      <c r="N82" s="16">
        <v>4</v>
      </c>
      <c r="O82" s="16">
        <v>20</v>
      </c>
      <c r="P82" s="16">
        <v>32</v>
      </c>
      <c r="Q82" s="16">
        <v>3</v>
      </c>
      <c r="R82" s="16">
        <v>2</v>
      </c>
      <c r="S82" s="16">
        <v>4</v>
      </c>
      <c r="T82" s="13">
        <f t="shared" si="20"/>
        <v>264</v>
      </c>
    </row>
    <row r="83" spans="1:20" ht="12.75" customHeight="1" x14ac:dyDescent="0.4">
      <c r="A83" s="15"/>
      <c r="B83" s="28"/>
      <c r="C83" s="29" t="s">
        <v>62</v>
      </c>
      <c r="D83" s="30"/>
      <c r="E83" s="16">
        <v>0</v>
      </c>
      <c r="F83" s="16">
        <v>0</v>
      </c>
      <c r="G83" s="16">
        <v>0</v>
      </c>
      <c r="H83" s="16">
        <v>1</v>
      </c>
      <c r="I83" s="16">
        <v>1</v>
      </c>
      <c r="J83" s="16">
        <v>1</v>
      </c>
      <c r="K83" s="16">
        <v>0</v>
      </c>
      <c r="L83" s="16">
        <v>0</v>
      </c>
      <c r="M83" s="16">
        <v>0</v>
      </c>
      <c r="N83" s="16">
        <v>3</v>
      </c>
      <c r="O83" s="16">
        <v>2</v>
      </c>
      <c r="P83" s="16">
        <v>0</v>
      </c>
      <c r="Q83" s="16">
        <v>0</v>
      </c>
      <c r="R83" s="16">
        <v>0</v>
      </c>
      <c r="S83" s="16">
        <v>0</v>
      </c>
      <c r="T83" s="13">
        <f t="shared" si="20"/>
        <v>8</v>
      </c>
    </row>
    <row r="84" spans="1:20" ht="12.75" customHeight="1" x14ac:dyDescent="0.4">
      <c r="A84" s="15"/>
      <c r="B84" s="28"/>
      <c r="C84" s="29" t="s">
        <v>63</v>
      </c>
      <c r="D84" s="30"/>
      <c r="E84" s="16">
        <v>0</v>
      </c>
      <c r="F84" s="16">
        <v>0</v>
      </c>
      <c r="G84" s="16">
        <v>0</v>
      </c>
      <c r="H84" s="16">
        <v>1</v>
      </c>
      <c r="I84" s="16">
        <v>0</v>
      </c>
      <c r="J84" s="16">
        <v>1</v>
      </c>
      <c r="K84" s="16">
        <v>7</v>
      </c>
      <c r="L84" s="16">
        <v>0</v>
      </c>
      <c r="M84" s="16">
        <v>0</v>
      </c>
      <c r="N84" s="16">
        <v>2</v>
      </c>
      <c r="O84" s="16">
        <v>3</v>
      </c>
      <c r="P84" s="16">
        <v>1</v>
      </c>
      <c r="Q84" s="16">
        <v>1</v>
      </c>
      <c r="R84" s="16">
        <v>0</v>
      </c>
      <c r="S84" s="16">
        <v>1</v>
      </c>
      <c r="T84" s="13">
        <f t="shared" si="20"/>
        <v>17</v>
      </c>
    </row>
    <row r="85" spans="1:20" ht="12.75" customHeight="1" x14ac:dyDescent="0.4">
      <c r="A85" s="15"/>
      <c r="B85" s="28"/>
      <c r="C85" s="29" t="s">
        <v>64</v>
      </c>
      <c r="D85" s="30"/>
      <c r="E85" s="16">
        <v>61</v>
      </c>
      <c r="F85" s="16">
        <v>4</v>
      </c>
      <c r="G85" s="16">
        <v>1</v>
      </c>
      <c r="H85" s="16">
        <v>1</v>
      </c>
      <c r="I85" s="16">
        <v>3</v>
      </c>
      <c r="J85" s="16">
        <v>4</v>
      </c>
      <c r="K85" s="16">
        <v>0</v>
      </c>
      <c r="L85" s="16">
        <v>6</v>
      </c>
      <c r="M85" s="16">
        <v>0</v>
      </c>
      <c r="N85" s="16">
        <v>35</v>
      </c>
      <c r="O85" s="16">
        <v>2</v>
      </c>
      <c r="P85" s="16">
        <v>0</v>
      </c>
      <c r="Q85" s="16">
        <v>1</v>
      </c>
      <c r="R85" s="16">
        <v>1</v>
      </c>
      <c r="S85" s="16">
        <v>6</v>
      </c>
      <c r="T85" s="13">
        <f t="shared" si="20"/>
        <v>125</v>
      </c>
    </row>
    <row r="86" spans="1:20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0</v>
      </c>
      <c r="K86" s="16">
        <v>0</v>
      </c>
      <c r="L86" s="16">
        <v>2</v>
      </c>
      <c r="M86" s="16">
        <v>0</v>
      </c>
      <c r="N86" s="16">
        <v>1</v>
      </c>
      <c r="O86" s="16">
        <v>0</v>
      </c>
      <c r="P86" s="16">
        <v>1</v>
      </c>
      <c r="Q86" s="16">
        <v>0</v>
      </c>
      <c r="R86" s="16">
        <v>0</v>
      </c>
      <c r="S86" s="16">
        <v>2</v>
      </c>
      <c r="T86" s="13">
        <f t="shared" si="20"/>
        <v>6</v>
      </c>
    </row>
    <row r="87" spans="1:20" ht="12.75" customHeight="1" x14ac:dyDescent="0.4">
      <c r="A87" s="15"/>
      <c r="B87" s="28"/>
      <c r="C87" s="29" t="s">
        <v>66</v>
      </c>
      <c r="D87" s="30"/>
      <c r="E87" s="16">
        <v>1</v>
      </c>
      <c r="F87" s="16">
        <v>0</v>
      </c>
      <c r="G87" s="16">
        <v>1</v>
      </c>
      <c r="H87" s="16">
        <v>3</v>
      </c>
      <c r="I87" s="16">
        <v>8</v>
      </c>
      <c r="J87" s="16">
        <v>1</v>
      </c>
      <c r="K87" s="16">
        <v>1</v>
      </c>
      <c r="L87" s="16">
        <v>0</v>
      </c>
      <c r="M87" s="16">
        <v>3</v>
      </c>
      <c r="N87" s="16">
        <v>6</v>
      </c>
      <c r="O87" s="16">
        <v>2</v>
      </c>
      <c r="P87" s="16">
        <v>1</v>
      </c>
      <c r="Q87" s="16">
        <v>0</v>
      </c>
      <c r="R87" s="16">
        <v>2</v>
      </c>
      <c r="S87" s="16">
        <v>5</v>
      </c>
      <c r="T87" s="13">
        <f t="shared" si="20"/>
        <v>34</v>
      </c>
    </row>
    <row r="88" spans="1:20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13">
        <f t="shared" si="20"/>
        <v>0</v>
      </c>
    </row>
    <row r="89" spans="1:20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13">
        <f t="shared" si="20"/>
        <v>0</v>
      </c>
    </row>
    <row r="90" spans="1:20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13">
        <f t="shared" si="20"/>
        <v>0</v>
      </c>
    </row>
    <row r="91" spans="1:20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T91" si="21">SUM(E81:E90)</f>
        <v>79</v>
      </c>
      <c r="F91" s="13">
        <f t="shared" si="21"/>
        <v>64</v>
      </c>
      <c r="G91" s="13">
        <f t="shared" si="21"/>
        <v>72</v>
      </c>
      <c r="H91" s="13">
        <f t="shared" si="21"/>
        <v>24</v>
      </c>
      <c r="I91" s="13">
        <f t="shared" si="21"/>
        <v>18</v>
      </c>
      <c r="J91" s="13">
        <f t="shared" si="21"/>
        <v>33</v>
      </c>
      <c r="K91" s="13">
        <f t="shared" si="21"/>
        <v>21</v>
      </c>
      <c r="L91" s="13">
        <f t="shared" si="21"/>
        <v>21</v>
      </c>
      <c r="M91" s="13">
        <f t="shared" si="21"/>
        <v>29</v>
      </c>
      <c r="N91" s="13">
        <f t="shared" si="21"/>
        <v>57</v>
      </c>
      <c r="O91" s="13">
        <f t="shared" si="21"/>
        <v>32</v>
      </c>
      <c r="P91" s="13">
        <f t="shared" si="21"/>
        <v>36</v>
      </c>
      <c r="Q91" s="13">
        <f t="shared" si="21"/>
        <v>9</v>
      </c>
      <c r="R91" s="13">
        <f t="shared" si="21"/>
        <v>6</v>
      </c>
      <c r="S91" s="13">
        <f t="shared" si="21"/>
        <v>21</v>
      </c>
      <c r="T91" s="13">
        <f t="shared" si="21"/>
        <v>522</v>
      </c>
    </row>
    <row r="92" spans="1:20" ht="12.75" customHeight="1" x14ac:dyDescent="0.4">
      <c r="A92" s="86"/>
      <c r="B92" s="68"/>
      <c r="C92" s="68"/>
      <c r="D92" s="68"/>
      <c r="E92" s="68"/>
    </row>
    <row r="93" spans="1:20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0</v>
      </c>
      <c r="F93" s="16">
        <v>1</v>
      </c>
      <c r="G93" s="16">
        <v>1</v>
      </c>
      <c r="H93" s="16">
        <v>2</v>
      </c>
      <c r="I93" s="16">
        <v>2</v>
      </c>
      <c r="J93" s="16">
        <v>2</v>
      </c>
      <c r="K93" s="16">
        <v>1</v>
      </c>
      <c r="L93" s="16">
        <v>9</v>
      </c>
      <c r="M93" s="16">
        <v>7</v>
      </c>
      <c r="N93" s="16">
        <v>0</v>
      </c>
      <c r="O93" s="16">
        <v>0</v>
      </c>
      <c r="P93" s="16">
        <v>2</v>
      </c>
      <c r="Q93" s="16">
        <v>1</v>
      </c>
      <c r="R93" s="16">
        <v>0</v>
      </c>
      <c r="S93" s="16">
        <v>0</v>
      </c>
      <c r="T93" s="13">
        <f t="shared" ref="T93:T102" si="22">SUM(E93:S93)</f>
        <v>28</v>
      </c>
    </row>
    <row r="94" spans="1:20" ht="12.75" customHeight="1" x14ac:dyDescent="0.4">
      <c r="A94" s="20" t="s">
        <v>38</v>
      </c>
      <c r="B94" s="28"/>
      <c r="C94" s="29" t="s">
        <v>69</v>
      </c>
      <c r="D94" s="30"/>
      <c r="E94" s="16">
        <v>1</v>
      </c>
      <c r="F94" s="16">
        <v>1</v>
      </c>
      <c r="G94" s="16">
        <v>2</v>
      </c>
      <c r="H94" s="16">
        <v>2</v>
      </c>
      <c r="I94" s="16">
        <v>6</v>
      </c>
      <c r="J94" s="16">
        <v>2</v>
      </c>
      <c r="K94" s="16">
        <v>1</v>
      </c>
      <c r="L94" s="16">
        <v>1</v>
      </c>
      <c r="M94" s="16">
        <v>1</v>
      </c>
      <c r="N94" s="16">
        <v>1</v>
      </c>
      <c r="O94" s="16">
        <v>2</v>
      </c>
      <c r="P94" s="16">
        <v>0</v>
      </c>
      <c r="Q94" s="16">
        <v>2</v>
      </c>
      <c r="R94" s="16">
        <v>0</v>
      </c>
      <c r="S94" s="16">
        <v>2</v>
      </c>
      <c r="T94" s="13">
        <f t="shared" si="22"/>
        <v>24</v>
      </c>
    </row>
    <row r="95" spans="1:20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0</v>
      </c>
      <c r="G95" s="16">
        <v>0</v>
      </c>
      <c r="H95" s="16">
        <v>0</v>
      </c>
      <c r="I95" s="16">
        <v>2</v>
      </c>
      <c r="J95" s="16">
        <v>2</v>
      </c>
      <c r="K95" s="16">
        <v>2</v>
      </c>
      <c r="L95" s="16">
        <v>0</v>
      </c>
      <c r="M95" s="16">
        <v>0</v>
      </c>
      <c r="N95" s="16">
        <v>0</v>
      </c>
      <c r="O95" s="16">
        <v>1</v>
      </c>
      <c r="P95" s="16">
        <v>1</v>
      </c>
      <c r="Q95" s="16">
        <v>0</v>
      </c>
      <c r="R95" s="16">
        <v>0</v>
      </c>
      <c r="S95" s="16">
        <v>3</v>
      </c>
      <c r="T95" s="13">
        <f t="shared" si="22"/>
        <v>11</v>
      </c>
    </row>
    <row r="96" spans="1:20" ht="12.75" customHeight="1" x14ac:dyDescent="0.4">
      <c r="A96" s="15"/>
      <c r="B96" s="28"/>
      <c r="C96" s="29" t="s">
        <v>71</v>
      </c>
      <c r="D96" s="30"/>
      <c r="E96" s="16">
        <v>1</v>
      </c>
      <c r="F96" s="16">
        <v>0</v>
      </c>
      <c r="G96" s="16">
        <v>1</v>
      </c>
      <c r="H96" s="16">
        <v>2</v>
      </c>
      <c r="I96" s="16">
        <v>4</v>
      </c>
      <c r="J96" s="16">
        <v>0</v>
      </c>
      <c r="K96" s="16">
        <v>4</v>
      </c>
      <c r="L96" s="16">
        <v>3</v>
      </c>
      <c r="M96" s="16">
        <v>1</v>
      </c>
      <c r="N96" s="16">
        <v>0</v>
      </c>
      <c r="O96" s="16">
        <v>2</v>
      </c>
      <c r="P96" s="16">
        <v>1</v>
      </c>
      <c r="Q96" s="16">
        <v>1</v>
      </c>
      <c r="R96" s="16">
        <v>5</v>
      </c>
      <c r="S96" s="16">
        <v>0</v>
      </c>
      <c r="T96" s="13">
        <f t="shared" si="22"/>
        <v>25</v>
      </c>
    </row>
    <row r="97" spans="1:20" ht="12.75" customHeight="1" x14ac:dyDescent="0.4">
      <c r="A97" s="15"/>
      <c r="B97" s="28"/>
      <c r="C97" s="29" t="s">
        <v>72</v>
      </c>
      <c r="D97" s="30"/>
      <c r="E97" s="16">
        <v>3</v>
      </c>
      <c r="F97" s="16">
        <v>1</v>
      </c>
      <c r="G97" s="16">
        <v>0</v>
      </c>
      <c r="H97" s="16">
        <v>4</v>
      </c>
      <c r="I97" s="16">
        <v>2</v>
      </c>
      <c r="J97" s="16">
        <v>0</v>
      </c>
      <c r="K97" s="16">
        <v>2</v>
      </c>
      <c r="L97" s="16">
        <v>5</v>
      </c>
      <c r="M97" s="16">
        <v>1</v>
      </c>
      <c r="N97" s="16">
        <v>3</v>
      </c>
      <c r="O97" s="16">
        <v>5</v>
      </c>
      <c r="P97" s="16">
        <v>6</v>
      </c>
      <c r="Q97" s="16">
        <v>13</v>
      </c>
      <c r="R97" s="16">
        <v>2</v>
      </c>
      <c r="S97" s="16">
        <v>3</v>
      </c>
      <c r="T97" s="13">
        <f t="shared" si="22"/>
        <v>50</v>
      </c>
    </row>
    <row r="98" spans="1:20" ht="12.75" customHeight="1" x14ac:dyDescent="0.4">
      <c r="A98" s="15"/>
      <c r="B98" s="28"/>
      <c r="C98" s="29" t="s">
        <v>73</v>
      </c>
      <c r="D98" s="30"/>
      <c r="E98" s="16">
        <v>2</v>
      </c>
      <c r="F98" s="16">
        <v>1</v>
      </c>
      <c r="G98" s="16">
        <v>0</v>
      </c>
      <c r="H98" s="16">
        <v>1</v>
      </c>
      <c r="I98" s="16">
        <v>1</v>
      </c>
      <c r="J98" s="16">
        <v>0</v>
      </c>
      <c r="K98" s="16">
        <v>0</v>
      </c>
      <c r="L98" s="16">
        <v>2</v>
      </c>
      <c r="M98" s="16">
        <v>0</v>
      </c>
      <c r="N98" s="16">
        <v>1</v>
      </c>
      <c r="O98" s="16">
        <v>6</v>
      </c>
      <c r="P98" s="16">
        <v>0</v>
      </c>
      <c r="Q98" s="16">
        <v>0</v>
      </c>
      <c r="R98" s="16">
        <v>0</v>
      </c>
      <c r="S98" s="16">
        <v>1</v>
      </c>
      <c r="T98" s="13">
        <f t="shared" si="22"/>
        <v>15</v>
      </c>
    </row>
    <row r="99" spans="1:20" ht="12.75" customHeight="1" x14ac:dyDescent="0.4">
      <c r="A99" s="15"/>
      <c r="B99" s="28"/>
      <c r="C99" s="29" t="s">
        <v>74</v>
      </c>
      <c r="D99" s="30"/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2</v>
      </c>
      <c r="N99" s="16">
        <v>0</v>
      </c>
      <c r="O99" s="16">
        <v>0</v>
      </c>
      <c r="P99" s="16">
        <v>0</v>
      </c>
      <c r="Q99" s="16">
        <v>1</v>
      </c>
      <c r="R99" s="16">
        <v>0</v>
      </c>
      <c r="S99" s="16">
        <v>0</v>
      </c>
      <c r="T99" s="13">
        <f t="shared" si="22"/>
        <v>3</v>
      </c>
    </row>
    <row r="100" spans="1:20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13">
        <f t="shared" si="22"/>
        <v>0</v>
      </c>
    </row>
    <row r="101" spans="1:20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13">
        <f t="shared" si="22"/>
        <v>0</v>
      </c>
    </row>
    <row r="102" spans="1:20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13">
        <f t="shared" si="22"/>
        <v>0</v>
      </c>
    </row>
    <row r="103" spans="1:20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T103" si="23">SUM(E93:E102)</f>
        <v>7</v>
      </c>
      <c r="F103" s="13">
        <f t="shared" si="23"/>
        <v>4</v>
      </c>
      <c r="G103" s="13">
        <f t="shared" si="23"/>
        <v>4</v>
      </c>
      <c r="H103" s="13">
        <f t="shared" si="23"/>
        <v>11</v>
      </c>
      <c r="I103" s="13">
        <f t="shared" si="23"/>
        <v>17</v>
      </c>
      <c r="J103" s="13">
        <f t="shared" si="23"/>
        <v>6</v>
      </c>
      <c r="K103" s="13">
        <f t="shared" si="23"/>
        <v>10</v>
      </c>
      <c r="L103" s="13">
        <f t="shared" si="23"/>
        <v>20</v>
      </c>
      <c r="M103" s="13">
        <f t="shared" si="23"/>
        <v>12</v>
      </c>
      <c r="N103" s="13">
        <f t="shared" si="23"/>
        <v>5</v>
      </c>
      <c r="O103" s="13">
        <f t="shared" si="23"/>
        <v>16</v>
      </c>
      <c r="P103" s="13">
        <f t="shared" si="23"/>
        <v>10</v>
      </c>
      <c r="Q103" s="13">
        <f t="shared" si="23"/>
        <v>18</v>
      </c>
      <c r="R103" s="13">
        <f t="shared" si="23"/>
        <v>7</v>
      </c>
      <c r="S103" s="13">
        <f t="shared" si="23"/>
        <v>9</v>
      </c>
      <c r="T103" s="13">
        <f t="shared" si="23"/>
        <v>156</v>
      </c>
    </row>
    <row r="104" spans="1:20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</row>
    <row r="105" spans="1:20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0</v>
      </c>
      <c r="H105" s="16">
        <v>1</v>
      </c>
      <c r="I105" s="16">
        <v>0</v>
      </c>
      <c r="J105" s="16">
        <v>0</v>
      </c>
      <c r="K105" s="16">
        <v>1</v>
      </c>
      <c r="L105" s="16">
        <v>0</v>
      </c>
      <c r="M105" s="16">
        <v>1</v>
      </c>
      <c r="N105" s="16">
        <v>0</v>
      </c>
      <c r="O105" s="16">
        <v>6</v>
      </c>
      <c r="P105" s="16">
        <v>0</v>
      </c>
      <c r="Q105" s="16">
        <v>0</v>
      </c>
      <c r="R105" s="16">
        <v>1</v>
      </c>
      <c r="S105" s="16">
        <v>1</v>
      </c>
      <c r="T105" s="13">
        <f t="shared" ref="T105:T114" si="24">SUM(E105:S105)</f>
        <v>11</v>
      </c>
    </row>
    <row r="106" spans="1:20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0</v>
      </c>
      <c r="G106" s="16">
        <v>1</v>
      </c>
      <c r="H106" s="16">
        <v>2</v>
      </c>
      <c r="I106" s="16">
        <v>0</v>
      </c>
      <c r="J106" s="16">
        <v>2</v>
      </c>
      <c r="K106" s="16">
        <v>0</v>
      </c>
      <c r="L106" s="16">
        <v>2</v>
      </c>
      <c r="M106" s="16">
        <v>1</v>
      </c>
      <c r="N106" s="16">
        <v>2</v>
      </c>
      <c r="O106" s="16">
        <v>18</v>
      </c>
      <c r="P106" s="16">
        <v>5</v>
      </c>
      <c r="Q106" s="16">
        <v>0</v>
      </c>
      <c r="R106" s="16">
        <v>0</v>
      </c>
      <c r="S106" s="16">
        <v>1</v>
      </c>
      <c r="T106" s="13">
        <f t="shared" si="24"/>
        <v>34</v>
      </c>
    </row>
    <row r="107" spans="1:20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13">
        <f t="shared" si="24"/>
        <v>0</v>
      </c>
    </row>
    <row r="108" spans="1:20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13">
        <f t="shared" si="24"/>
        <v>0</v>
      </c>
    </row>
    <row r="109" spans="1:20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13">
        <f t="shared" si="24"/>
        <v>0</v>
      </c>
    </row>
    <row r="110" spans="1:20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13">
        <f t="shared" si="24"/>
        <v>0</v>
      </c>
    </row>
    <row r="111" spans="1:20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13">
        <f t="shared" si="24"/>
        <v>0</v>
      </c>
    </row>
    <row r="112" spans="1:20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13">
        <f t="shared" si="24"/>
        <v>0</v>
      </c>
    </row>
    <row r="113" spans="1:20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13">
        <f t="shared" si="24"/>
        <v>0</v>
      </c>
    </row>
    <row r="114" spans="1:20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13">
        <f t="shared" si="24"/>
        <v>0</v>
      </c>
    </row>
    <row r="115" spans="1:20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T115" si="25">SUM(E105:E114)</f>
        <v>0</v>
      </c>
      <c r="F115" s="13">
        <f t="shared" si="25"/>
        <v>0</v>
      </c>
      <c r="G115" s="13">
        <f t="shared" si="25"/>
        <v>1</v>
      </c>
      <c r="H115" s="13">
        <f t="shared" si="25"/>
        <v>3</v>
      </c>
      <c r="I115" s="13">
        <f t="shared" si="25"/>
        <v>0</v>
      </c>
      <c r="J115" s="13">
        <f t="shared" si="25"/>
        <v>2</v>
      </c>
      <c r="K115" s="13">
        <f t="shared" si="25"/>
        <v>1</v>
      </c>
      <c r="L115" s="13">
        <f t="shared" si="25"/>
        <v>2</v>
      </c>
      <c r="M115" s="13">
        <f t="shared" si="25"/>
        <v>2</v>
      </c>
      <c r="N115" s="13">
        <f t="shared" si="25"/>
        <v>2</v>
      </c>
      <c r="O115" s="13">
        <f t="shared" si="25"/>
        <v>24</v>
      </c>
      <c r="P115" s="13">
        <f t="shared" si="25"/>
        <v>5</v>
      </c>
      <c r="Q115" s="13">
        <f t="shared" si="25"/>
        <v>0</v>
      </c>
      <c r="R115" s="13">
        <f t="shared" si="25"/>
        <v>1</v>
      </c>
      <c r="S115" s="13">
        <f t="shared" si="25"/>
        <v>2</v>
      </c>
      <c r="T115" s="13">
        <f t="shared" si="25"/>
        <v>45</v>
      </c>
    </row>
    <row r="116" spans="1:20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13"/>
    </row>
    <row r="117" spans="1:20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1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1</v>
      </c>
      <c r="M117" s="16">
        <v>3</v>
      </c>
      <c r="N117" s="16">
        <v>0</v>
      </c>
      <c r="O117" s="16">
        <v>0</v>
      </c>
      <c r="P117" s="16">
        <v>1</v>
      </c>
      <c r="Q117" s="16">
        <v>0</v>
      </c>
      <c r="R117" s="16">
        <v>0</v>
      </c>
      <c r="S117" s="16">
        <v>0</v>
      </c>
      <c r="T117" s="13">
        <f t="shared" ref="T117:T126" si="26">SUM(E117:S117)</f>
        <v>6</v>
      </c>
    </row>
    <row r="118" spans="1:20" ht="12.75" customHeight="1" x14ac:dyDescent="0.4">
      <c r="A118" s="20" t="s">
        <v>38</v>
      </c>
      <c r="B118" s="28"/>
      <c r="C118" s="29" t="s">
        <v>80</v>
      </c>
      <c r="D118" s="30"/>
      <c r="E118" s="16">
        <v>0</v>
      </c>
      <c r="F118" s="16">
        <v>0</v>
      </c>
      <c r="G118" s="16">
        <v>0</v>
      </c>
      <c r="H118" s="16">
        <v>0</v>
      </c>
      <c r="I118" s="16">
        <v>2</v>
      </c>
      <c r="J118" s="16">
        <v>0</v>
      </c>
      <c r="K118" s="16">
        <v>0</v>
      </c>
      <c r="L118" s="16">
        <v>2</v>
      </c>
      <c r="M118" s="16">
        <v>0</v>
      </c>
      <c r="N118" s="16">
        <v>10</v>
      </c>
      <c r="O118" s="16">
        <v>3</v>
      </c>
      <c r="P118" s="16">
        <v>0</v>
      </c>
      <c r="Q118" s="16">
        <v>0</v>
      </c>
      <c r="R118" s="16">
        <v>3</v>
      </c>
      <c r="S118" s="16">
        <v>0</v>
      </c>
      <c r="T118" s="13">
        <f t="shared" si="26"/>
        <v>20</v>
      </c>
    </row>
    <row r="119" spans="1:20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0</v>
      </c>
      <c r="H119" s="16">
        <v>1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0</v>
      </c>
      <c r="O119" s="16">
        <v>0</v>
      </c>
      <c r="P119" s="16">
        <v>0</v>
      </c>
      <c r="Q119" s="16">
        <v>0</v>
      </c>
      <c r="R119" s="16">
        <v>1</v>
      </c>
      <c r="S119" s="16">
        <v>1</v>
      </c>
      <c r="T119" s="13">
        <f t="shared" si="26"/>
        <v>3</v>
      </c>
    </row>
    <row r="120" spans="1:20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1</v>
      </c>
      <c r="L120" s="16">
        <v>3</v>
      </c>
      <c r="M120" s="16">
        <v>15</v>
      </c>
      <c r="N120" s="16">
        <v>0</v>
      </c>
      <c r="O120" s="16">
        <v>0</v>
      </c>
      <c r="P120" s="16">
        <v>0</v>
      </c>
      <c r="Q120" s="16">
        <v>2</v>
      </c>
      <c r="R120" s="16">
        <v>0</v>
      </c>
      <c r="S120" s="16">
        <v>1</v>
      </c>
      <c r="T120" s="13">
        <f t="shared" si="26"/>
        <v>22</v>
      </c>
    </row>
    <row r="121" spans="1:20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13">
        <f t="shared" si="26"/>
        <v>0</v>
      </c>
    </row>
    <row r="122" spans="1:20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4</v>
      </c>
      <c r="G122" s="53">
        <v>0</v>
      </c>
      <c r="H122" s="53">
        <v>2</v>
      </c>
      <c r="I122" s="53">
        <v>1</v>
      </c>
      <c r="J122" s="53">
        <v>0</v>
      </c>
      <c r="K122" s="53">
        <v>3</v>
      </c>
      <c r="L122" s="53">
        <v>0</v>
      </c>
      <c r="M122" s="53">
        <v>2</v>
      </c>
      <c r="N122" s="53">
        <v>1</v>
      </c>
      <c r="O122" s="53">
        <v>0</v>
      </c>
      <c r="P122" s="16">
        <v>1</v>
      </c>
      <c r="Q122" s="53">
        <v>0</v>
      </c>
      <c r="R122" s="53">
        <v>2</v>
      </c>
      <c r="S122" s="53">
        <v>1</v>
      </c>
      <c r="T122" s="13">
        <f t="shared" si="26"/>
        <v>17</v>
      </c>
    </row>
    <row r="123" spans="1:20" ht="12.75" customHeight="1" x14ac:dyDescent="0.4">
      <c r="A123" s="52"/>
      <c r="B123" s="28"/>
      <c r="C123" s="29" t="s">
        <v>85</v>
      </c>
      <c r="D123" s="30"/>
      <c r="E123" s="41">
        <v>1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1</v>
      </c>
      <c r="R123" s="41">
        <v>1</v>
      </c>
      <c r="S123" s="41">
        <v>0</v>
      </c>
      <c r="T123" s="13">
        <f t="shared" si="26"/>
        <v>3</v>
      </c>
    </row>
    <row r="124" spans="1:20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13">
        <f t="shared" si="26"/>
        <v>0</v>
      </c>
    </row>
    <row r="125" spans="1:20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13">
        <f t="shared" si="26"/>
        <v>0</v>
      </c>
    </row>
    <row r="126" spans="1:20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13">
        <f t="shared" si="26"/>
        <v>0</v>
      </c>
    </row>
    <row r="127" spans="1:20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T127" si="27">SUM(E117:E126)</f>
        <v>2</v>
      </c>
      <c r="F127" s="13">
        <f t="shared" si="27"/>
        <v>4</v>
      </c>
      <c r="G127" s="13">
        <f t="shared" si="27"/>
        <v>0</v>
      </c>
      <c r="H127" s="13">
        <f t="shared" si="27"/>
        <v>3</v>
      </c>
      <c r="I127" s="13">
        <f t="shared" si="27"/>
        <v>3</v>
      </c>
      <c r="J127" s="13">
        <f t="shared" si="27"/>
        <v>0</v>
      </c>
      <c r="K127" s="13">
        <f t="shared" si="27"/>
        <v>4</v>
      </c>
      <c r="L127" s="13">
        <f t="shared" si="27"/>
        <v>6</v>
      </c>
      <c r="M127" s="13">
        <f t="shared" si="27"/>
        <v>20</v>
      </c>
      <c r="N127" s="13">
        <f t="shared" si="27"/>
        <v>11</v>
      </c>
      <c r="O127" s="13">
        <f t="shared" si="27"/>
        <v>3</v>
      </c>
      <c r="P127" s="13">
        <f t="shared" si="27"/>
        <v>2</v>
      </c>
      <c r="Q127" s="13">
        <f t="shared" si="27"/>
        <v>3</v>
      </c>
      <c r="R127" s="13">
        <f t="shared" si="27"/>
        <v>7</v>
      </c>
      <c r="S127" s="13">
        <f t="shared" si="27"/>
        <v>3</v>
      </c>
      <c r="T127" s="13">
        <f t="shared" si="27"/>
        <v>71</v>
      </c>
    </row>
    <row r="128" spans="1:20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</row>
    <row r="129" spans="1:20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0</v>
      </c>
      <c r="F129" s="16">
        <v>2</v>
      </c>
      <c r="G129" s="16">
        <v>4</v>
      </c>
      <c r="H129" s="16">
        <v>5</v>
      </c>
      <c r="I129" s="16">
        <v>1</v>
      </c>
      <c r="J129" s="16">
        <v>1</v>
      </c>
      <c r="K129" s="16">
        <v>1</v>
      </c>
      <c r="L129" s="16">
        <v>2</v>
      </c>
      <c r="M129" s="16">
        <v>3</v>
      </c>
      <c r="N129" s="16">
        <v>4</v>
      </c>
      <c r="O129" s="16">
        <v>1</v>
      </c>
      <c r="P129" s="16">
        <v>3</v>
      </c>
      <c r="Q129" s="16">
        <v>1</v>
      </c>
      <c r="R129" s="16">
        <v>5</v>
      </c>
      <c r="S129" s="16">
        <v>0</v>
      </c>
      <c r="T129" s="13">
        <f t="shared" ref="T129:T138" si="28">SUM(E129:S129)</f>
        <v>33</v>
      </c>
    </row>
    <row r="130" spans="1:20" ht="12.75" customHeight="1" x14ac:dyDescent="0.4">
      <c r="A130" s="20" t="s">
        <v>38</v>
      </c>
      <c r="B130" s="28"/>
      <c r="C130" s="29" t="s">
        <v>88</v>
      </c>
      <c r="D130" s="30"/>
      <c r="E130" s="16">
        <v>2</v>
      </c>
      <c r="F130" s="16">
        <v>0</v>
      </c>
      <c r="G130" s="16">
        <v>2</v>
      </c>
      <c r="H130" s="16">
        <v>4</v>
      </c>
      <c r="I130" s="16">
        <v>7</v>
      </c>
      <c r="J130" s="16">
        <v>3</v>
      </c>
      <c r="K130" s="16">
        <v>7</v>
      </c>
      <c r="L130" s="16">
        <v>8</v>
      </c>
      <c r="M130" s="16">
        <v>8</v>
      </c>
      <c r="N130" s="16">
        <v>6</v>
      </c>
      <c r="O130" s="16">
        <v>3</v>
      </c>
      <c r="P130" s="16">
        <v>4</v>
      </c>
      <c r="Q130" s="16">
        <v>4</v>
      </c>
      <c r="R130" s="16">
        <v>46</v>
      </c>
      <c r="S130" s="16">
        <v>6</v>
      </c>
      <c r="T130" s="13">
        <f t="shared" si="28"/>
        <v>110</v>
      </c>
    </row>
    <row r="131" spans="1:20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0</v>
      </c>
      <c r="G131" s="16">
        <v>1</v>
      </c>
      <c r="H131" s="16">
        <v>2</v>
      </c>
      <c r="I131" s="16">
        <v>2</v>
      </c>
      <c r="J131" s="16">
        <v>5</v>
      </c>
      <c r="K131" s="16">
        <v>1</v>
      </c>
      <c r="L131" s="16">
        <v>0</v>
      </c>
      <c r="M131" s="16">
        <v>0</v>
      </c>
      <c r="N131" s="16">
        <v>0</v>
      </c>
      <c r="O131" s="16">
        <v>2</v>
      </c>
      <c r="P131" s="16">
        <v>1</v>
      </c>
      <c r="Q131" s="16">
        <v>0</v>
      </c>
      <c r="R131" s="16">
        <v>0</v>
      </c>
      <c r="S131" s="16">
        <v>0</v>
      </c>
      <c r="T131" s="13">
        <f t="shared" si="28"/>
        <v>14</v>
      </c>
    </row>
    <row r="132" spans="1:20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0</v>
      </c>
      <c r="G132" s="16">
        <v>0</v>
      </c>
      <c r="H132" s="16">
        <v>0</v>
      </c>
      <c r="I132" s="16">
        <v>1</v>
      </c>
      <c r="J132" s="16">
        <v>2</v>
      </c>
      <c r="K132" s="16">
        <v>0</v>
      </c>
      <c r="L132" s="16">
        <v>0</v>
      </c>
      <c r="M132" s="16">
        <v>1</v>
      </c>
      <c r="N132" s="16">
        <v>0</v>
      </c>
      <c r="O132" s="16">
        <v>0</v>
      </c>
      <c r="P132" s="16">
        <v>0</v>
      </c>
      <c r="Q132" s="16">
        <v>1</v>
      </c>
      <c r="R132" s="16">
        <v>0</v>
      </c>
      <c r="S132" s="16">
        <v>3</v>
      </c>
      <c r="T132" s="13">
        <f t="shared" si="28"/>
        <v>8</v>
      </c>
    </row>
    <row r="133" spans="1:20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0</v>
      </c>
      <c r="G133" s="16">
        <v>1</v>
      </c>
      <c r="H133" s="16">
        <v>1</v>
      </c>
      <c r="I133" s="16">
        <v>0</v>
      </c>
      <c r="J133" s="16">
        <v>0</v>
      </c>
      <c r="K133" s="16">
        <v>0</v>
      </c>
      <c r="L133" s="16">
        <v>0</v>
      </c>
      <c r="M133" s="16">
        <v>1</v>
      </c>
      <c r="N133" s="16">
        <v>0</v>
      </c>
      <c r="O133" s="16">
        <v>0</v>
      </c>
      <c r="P133" s="16">
        <v>0</v>
      </c>
      <c r="Q133" s="16">
        <v>0</v>
      </c>
      <c r="R133" s="16">
        <v>1</v>
      </c>
      <c r="S133" s="16">
        <v>0</v>
      </c>
      <c r="T133" s="13">
        <f t="shared" si="28"/>
        <v>4</v>
      </c>
    </row>
    <row r="134" spans="1:20" ht="12.75" customHeight="1" x14ac:dyDescent="0.4">
      <c r="A134" s="15"/>
      <c r="B134" s="28"/>
      <c r="C134" s="29" t="s">
        <v>92</v>
      </c>
      <c r="D134" s="30"/>
      <c r="E134" s="16">
        <v>6</v>
      </c>
      <c r="F134" s="16">
        <v>0</v>
      </c>
      <c r="G134" s="16">
        <v>0</v>
      </c>
      <c r="H134" s="16">
        <v>1</v>
      </c>
      <c r="I134" s="16">
        <v>1</v>
      </c>
      <c r="J134" s="16">
        <v>5</v>
      </c>
      <c r="K134" s="16">
        <v>0</v>
      </c>
      <c r="L134" s="16">
        <v>0</v>
      </c>
      <c r="M134" s="16">
        <v>1</v>
      </c>
      <c r="N134" s="16">
        <v>4</v>
      </c>
      <c r="O134" s="16">
        <v>1</v>
      </c>
      <c r="P134" s="16">
        <v>4</v>
      </c>
      <c r="Q134" s="16">
        <v>0</v>
      </c>
      <c r="R134" s="16">
        <v>0</v>
      </c>
      <c r="S134" s="16">
        <v>1</v>
      </c>
      <c r="T134" s="13">
        <f t="shared" si="28"/>
        <v>24</v>
      </c>
    </row>
    <row r="135" spans="1:20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1</v>
      </c>
      <c r="N135" s="16">
        <v>2</v>
      </c>
      <c r="O135" s="16">
        <v>0</v>
      </c>
      <c r="P135" s="16">
        <v>0</v>
      </c>
      <c r="Q135" s="16">
        <v>1</v>
      </c>
      <c r="R135" s="16">
        <v>0</v>
      </c>
      <c r="S135" s="16">
        <v>0</v>
      </c>
      <c r="T135" s="13">
        <f t="shared" si="28"/>
        <v>4</v>
      </c>
    </row>
    <row r="136" spans="1:20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13">
        <f t="shared" si="28"/>
        <v>0</v>
      </c>
    </row>
    <row r="137" spans="1:20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13">
        <f t="shared" si="28"/>
        <v>0</v>
      </c>
    </row>
    <row r="138" spans="1:20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13">
        <f t="shared" si="28"/>
        <v>0</v>
      </c>
    </row>
    <row r="139" spans="1:20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T139" si="29">SUM(E129:E138)</f>
        <v>8</v>
      </c>
      <c r="F139" s="13">
        <f t="shared" si="29"/>
        <v>2</v>
      </c>
      <c r="G139" s="13">
        <f t="shared" si="29"/>
        <v>8</v>
      </c>
      <c r="H139" s="13">
        <f t="shared" si="29"/>
        <v>13</v>
      </c>
      <c r="I139" s="13">
        <f t="shared" si="29"/>
        <v>12</v>
      </c>
      <c r="J139" s="13">
        <f t="shared" si="29"/>
        <v>16</v>
      </c>
      <c r="K139" s="13">
        <f t="shared" si="29"/>
        <v>9</v>
      </c>
      <c r="L139" s="13">
        <f t="shared" si="29"/>
        <v>10</v>
      </c>
      <c r="M139" s="13">
        <f t="shared" si="29"/>
        <v>15</v>
      </c>
      <c r="N139" s="13">
        <f t="shared" si="29"/>
        <v>16</v>
      </c>
      <c r="O139" s="13">
        <f t="shared" si="29"/>
        <v>7</v>
      </c>
      <c r="P139" s="13">
        <f t="shared" si="29"/>
        <v>12</v>
      </c>
      <c r="Q139" s="13">
        <f t="shared" si="29"/>
        <v>7</v>
      </c>
      <c r="R139" s="13">
        <f t="shared" si="29"/>
        <v>52</v>
      </c>
      <c r="S139" s="13">
        <f t="shared" si="29"/>
        <v>10</v>
      </c>
      <c r="T139" s="13">
        <f t="shared" si="29"/>
        <v>197</v>
      </c>
    </row>
    <row r="140" spans="1:20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</row>
    <row r="141" spans="1:20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1</v>
      </c>
      <c r="K141" s="16">
        <v>1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3">
        <f t="shared" ref="T141:T150" si="30">SUM(E141:S141)</f>
        <v>2</v>
      </c>
    </row>
    <row r="142" spans="1:20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3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1</v>
      </c>
      <c r="S142" s="16">
        <v>0</v>
      </c>
      <c r="T142" s="13">
        <f t="shared" si="30"/>
        <v>4</v>
      </c>
    </row>
    <row r="143" spans="1:20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13">
        <f t="shared" si="30"/>
        <v>0</v>
      </c>
    </row>
    <row r="144" spans="1:20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13">
        <f t="shared" si="30"/>
        <v>0</v>
      </c>
    </row>
    <row r="145" spans="1:20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13">
        <f t="shared" si="30"/>
        <v>0</v>
      </c>
    </row>
    <row r="146" spans="1:20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13">
        <f t="shared" si="30"/>
        <v>0</v>
      </c>
    </row>
    <row r="147" spans="1:20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13">
        <f t="shared" si="30"/>
        <v>0</v>
      </c>
    </row>
    <row r="148" spans="1:20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13">
        <f t="shared" si="30"/>
        <v>0</v>
      </c>
    </row>
    <row r="149" spans="1:20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13">
        <f t="shared" si="30"/>
        <v>0</v>
      </c>
    </row>
    <row r="150" spans="1:20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13">
        <f t="shared" si="30"/>
        <v>0</v>
      </c>
    </row>
    <row r="151" spans="1:20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T151" si="31">SUM(E141:E150)</f>
        <v>0</v>
      </c>
      <c r="F151" s="13">
        <f t="shared" si="31"/>
        <v>0</v>
      </c>
      <c r="G151" s="13">
        <f t="shared" si="31"/>
        <v>0</v>
      </c>
      <c r="H151" s="13">
        <f t="shared" si="31"/>
        <v>0</v>
      </c>
      <c r="I151" s="13">
        <f t="shared" si="31"/>
        <v>0</v>
      </c>
      <c r="J151" s="13">
        <f t="shared" si="31"/>
        <v>1</v>
      </c>
      <c r="K151" s="13">
        <f t="shared" si="31"/>
        <v>4</v>
      </c>
      <c r="L151" s="13">
        <f t="shared" si="31"/>
        <v>0</v>
      </c>
      <c r="M151" s="13">
        <f t="shared" si="31"/>
        <v>0</v>
      </c>
      <c r="N151" s="13">
        <f t="shared" si="31"/>
        <v>0</v>
      </c>
      <c r="O151" s="13">
        <f t="shared" si="31"/>
        <v>0</v>
      </c>
      <c r="P151" s="13">
        <f t="shared" si="31"/>
        <v>0</v>
      </c>
      <c r="Q151" s="13">
        <f t="shared" si="31"/>
        <v>0</v>
      </c>
      <c r="R151" s="13">
        <f t="shared" si="31"/>
        <v>1</v>
      </c>
      <c r="S151" s="13">
        <f t="shared" si="31"/>
        <v>0</v>
      </c>
      <c r="T151" s="13">
        <f t="shared" si="31"/>
        <v>6</v>
      </c>
    </row>
    <row r="152" spans="1:20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13"/>
    </row>
    <row r="153" spans="1:20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2</v>
      </c>
      <c r="G153" s="16">
        <v>1</v>
      </c>
      <c r="H153" s="16">
        <v>0</v>
      </c>
      <c r="I153" s="16">
        <v>0</v>
      </c>
      <c r="J153" s="16">
        <v>0</v>
      </c>
      <c r="K153" s="16">
        <v>1</v>
      </c>
      <c r="L153" s="16">
        <v>0</v>
      </c>
      <c r="M153" s="16">
        <v>0</v>
      </c>
      <c r="N153" s="16">
        <v>1</v>
      </c>
      <c r="O153" s="16">
        <v>0</v>
      </c>
      <c r="P153" s="16">
        <v>0</v>
      </c>
      <c r="Q153" s="16">
        <v>0</v>
      </c>
      <c r="R153" s="16">
        <v>0</v>
      </c>
      <c r="S153" s="16">
        <v>0</v>
      </c>
      <c r="T153" s="13">
        <f t="shared" ref="T153:T162" si="32">SUM(E153:S153)</f>
        <v>5</v>
      </c>
    </row>
    <row r="154" spans="1:20" ht="12.75" customHeight="1" x14ac:dyDescent="0.4">
      <c r="A154" s="42" t="s">
        <v>38</v>
      </c>
      <c r="B154" s="28"/>
      <c r="C154" s="29" t="s">
        <v>99</v>
      </c>
      <c r="D154" s="30"/>
      <c r="E154" s="55">
        <v>4</v>
      </c>
      <c r="F154" s="16">
        <v>0</v>
      </c>
      <c r="G154" s="16">
        <v>0</v>
      </c>
      <c r="H154" s="16">
        <v>1</v>
      </c>
      <c r="I154" s="16">
        <v>4</v>
      </c>
      <c r="J154" s="16">
        <v>0</v>
      </c>
      <c r="K154" s="16">
        <v>2</v>
      </c>
      <c r="L154" s="16">
        <v>0</v>
      </c>
      <c r="M154" s="16">
        <v>0</v>
      </c>
      <c r="N154" s="16">
        <v>0</v>
      </c>
      <c r="O154" s="16">
        <v>2</v>
      </c>
      <c r="P154" s="16">
        <v>2</v>
      </c>
      <c r="Q154" s="16">
        <v>0</v>
      </c>
      <c r="R154" s="16">
        <v>0</v>
      </c>
      <c r="S154" s="16">
        <v>0</v>
      </c>
      <c r="T154" s="13">
        <f t="shared" si="32"/>
        <v>15</v>
      </c>
    </row>
    <row r="155" spans="1:20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3</v>
      </c>
      <c r="P155" s="16">
        <v>0</v>
      </c>
      <c r="Q155" s="16">
        <v>0</v>
      </c>
      <c r="R155" s="16">
        <v>0</v>
      </c>
      <c r="S155" s="16">
        <v>0</v>
      </c>
      <c r="T155" s="13">
        <f t="shared" si="32"/>
        <v>3</v>
      </c>
    </row>
    <row r="156" spans="1:20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1</v>
      </c>
      <c r="G156" s="16">
        <v>0</v>
      </c>
      <c r="H156" s="16">
        <v>3</v>
      </c>
      <c r="I156" s="16">
        <v>0</v>
      </c>
      <c r="J156" s="16">
        <v>1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1</v>
      </c>
      <c r="Q156" s="16">
        <v>2</v>
      </c>
      <c r="R156" s="16">
        <v>0</v>
      </c>
      <c r="S156" s="16">
        <v>0</v>
      </c>
      <c r="T156" s="13">
        <f t="shared" si="32"/>
        <v>8</v>
      </c>
    </row>
    <row r="157" spans="1:20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1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1</v>
      </c>
      <c r="R157" s="16">
        <v>0</v>
      </c>
      <c r="S157" s="16">
        <v>0</v>
      </c>
      <c r="T157" s="13">
        <f t="shared" si="32"/>
        <v>2</v>
      </c>
    </row>
    <row r="158" spans="1:20" ht="12.75" customHeight="1" x14ac:dyDescent="0.4">
      <c r="A158" s="52"/>
      <c r="B158" s="28"/>
      <c r="C158" s="29" t="s">
        <v>103</v>
      </c>
      <c r="D158" s="30"/>
      <c r="E158" s="56">
        <v>1</v>
      </c>
      <c r="F158" s="53">
        <v>0</v>
      </c>
      <c r="G158" s="53">
        <v>1</v>
      </c>
      <c r="H158" s="53">
        <v>0</v>
      </c>
      <c r="I158" s="53">
        <v>0</v>
      </c>
      <c r="J158" s="53">
        <v>2</v>
      </c>
      <c r="K158" s="53">
        <v>0</v>
      </c>
      <c r="L158" s="53">
        <v>0</v>
      </c>
      <c r="M158" s="53">
        <v>0</v>
      </c>
      <c r="N158" s="53">
        <v>0</v>
      </c>
      <c r="O158" s="53">
        <v>1</v>
      </c>
      <c r="P158" s="16">
        <v>1</v>
      </c>
      <c r="Q158" s="53">
        <v>0</v>
      </c>
      <c r="R158" s="53">
        <v>0</v>
      </c>
      <c r="S158" s="53">
        <v>0</v>
      </c>
      <c r="T158" s="13">
        <f t="shared" si="32"/>
        <v>6</v>
      </c>
    </row>
    <row r="159" spans="1:20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0</v>
      </c>
      <c r="T159" s="13">
        <f t="shared" si="32"/>
        <v>0</v>
      </c>
    </row>
    <row r="160" spans="1:20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13">
        <f t="shared" si="32"/>
        <v>0</v>
      </c>
    </row>
    <row r="161" spans="1:20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13">
        <f t="shared" si="32"/>
        <v>0</v>
      </c>
    </row>
    <row r="162" spans="1:20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13">
        <f t="shared" si="32"/>
        <v>0</v>
      </c>
    </row>
    <row r="163" spans="1:20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T163" si="33">SUM(E153:E162)</f>
        <v>5</v>
      </c>
      <c r="F163" s="13">
        <f t="shared" si="33"/>
        <v>3</v>
      </c>
      <c r="G163" s="13">
        <f t="shared" si="33"/>
        <v>2</v>
      </c>
      <c r="H163" s="13">
        <f t="shared" si="33"/>
        <v>5</v>
      </c>
      <c r="I163" s="13">
        <f t="shared" si="33"/>
        <v>4</v>
      </c>
      <c r="J163" s="13">
        <f t="shared" si="33"/>
        <v>3</v>
      </c>
      <c r="K163" s="13">
        <f t="shared" si="33"/>
        <v>3</v>
      </c>
      <c r="L163" s="13">
        <f t="shared" si="33"/>
        <v>0</v>
      </c>
      <c r="M163" s="13">
        <f t="shared" si="33"/>
        <v>0</v>
      </c>
      <c r="N163" s="13">
        <f t="shared" si="33"/>
        <v>1</v>
      </c>
      <c r="O163" s="13">
        <f t="shared" si="33"/>
        <v>6</v>
      </c>
      <c r="P163" s="13">
        <f t="shared" si="33"/>
        <v>4</v>
      </c>
      <c r="Q163" s="13">
        <f t="shared" si="33"/>
        <v>3</v>
      </c>
      <c r="R163" s="13">
        <f t="shared" si="33"/>
        <v>0</v>
      </c>
      <c r="S163" s="13">
        <f t="shared" si="33"/>
        <v>0</v>
      </c>
      <c r="T163" s="13">
        <f t="shared" si="33"/>
        <v>39</v>
      </c>
    </row>
    <row r="164" spans="1:20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</row>
    <row r="165" spans="1:20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1</v>
      </c>
      <c r="G165" s="16">
        <v>0</v>
      </c>
      <c r="H165" s="16">
        <v>0</v>
      </c>
      <c r="I165" s="16">
        <v>1</v>
      </c>
      <c r="J165" s="16">
        <v>0</v>
      </c>
      <c r="K165" s="16">
        <v>2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3">
        <f t="shared" ref="T165:T174" si="34">SUM(E165:S165)</f>
        <v>4</v>
      </c>
    </row>
    <row r="166" spans="1:20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13">
        <f t="shared" si="34"/>
        <v>0</v>
      </c>
    </row>
    <row r="167" spans="1:20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13">
        <f t="shared" si="34"/>
        <v>0</v>
      </c>
    </row>
    <row r="168" spans="1:20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13">
        <f t="shared" si="34"/>
        <v>0</v>
      </c>
    </row>
    <row r="169" spans="1:20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13">
        <f t="shared" si="34"/>
        <v>0</v>
      </c>
    </row>
    <row r="170" spans="1:20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13">
        <f t="shared" si="34"/>
        <v>0</v>
      </c>
    </row>
    <row r="171" spans="1:20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13">
        <f t="shared" si="34"/>
        <v>0</v>
      </c>
    </row>
    <row r="172" spans="1:20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13">
        <f t="shared" si="34"/>
        <v>0</v>
      </c>
    </row>
    <row r="173" spans="1:20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13">
        <f t="shared" si="34"/>
        <v>0</v>
      </c>
    </row>
    <row r="174" spans="1:20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13">
        <f t="shared" si="34"/>
        <v>0</v>
      </c>
    </row>
    <row r="175" spans="1:20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T175" si="35">SUM(E165:E174)</f>
        <v>0</v>
      </c>
      <c r="F175" s="13">
        <f t="shared" si="35"/>
        <v>1</v>
      </c>
      <c r="G175" s="13">
        <f t="shared" si="35"/>
        <v>0</v>
      </c>
      <c r="H175" s="13">
        <f t="shared" si="35"/>
        <v>0</v>
      </c>
      <c r="I175" s="13">
        <f t="shared" si="35"/>
        <v>1</v>
      </c>
      <c r="J175" s="13">
        <f t="shared" si="35"/>
        <v>0</v>
      </c>
      <c r="K175" s="13">
        <f t="shared" si="35"/>
        <v>2</v>
      </c>
      <c r="L175" s="13">
        <f t="shared" si="35"/>
        <v>0</v>
      </c>
      <c r="M175" s="13">
        <f t="shared" si="35"/>
        <v>0</v>
      </c>
      <c r="N175" s="13">
        <f t="shared" si="35"/>
        <v>0</v>
      </c>
      <c r="O175" s="13">
        <f t="shared" si="35"/>
        <v>0</v>
      </c>
      <c r="P175" s="13">
        <f t="shared" si="35"/>
        <v>0</v>
      </c>
      <c r="Q175" s="13">
        <f t="shared" si="35"/>
        <v>0</v>
      </c>
      <c r="R175" s="13">
        <f t="shared" si="35"/>
        <v>0</v>
      </c>
      <c r="S175" s="13">
        <f t="shared" si="35"/>
        <v>0</v>
      </c>
      <c r="T175" s="13">
        <f t="shared" si="35"/>
        <v>4</v>
      </c>
    </row>
    <row r="176" spans="1:20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</row>
    <row r="177" spans="1:20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0</v>
      </c>
      <c r="F177" s="16">
        <v>0</v>
      </c>
      <c r="G177" s="16">
        <v>0</v>
      </c>
      <c r="H177" s="16">
        <v>0</v>
      </c>
      <c r="I177" s="16">
        <v>2</v>
      </c>
      <c r="J177" s="16">
        <v>0</v>
      </c>
      <c r="K177" s="16">
        <v>0</v>
      </c>
      <c r="L177" s="16">
        <v>2</v>
      </c>
      <c r="M177" s="16">
        <v>0</v>
      </c>
      <c r="N177" s="16">
        <v>1</v>
      </c>
      <c r="O177" s="16">
        <v>1</v>
      </c>
      <c r="P177" s="16">
        <v>0</v>
      </c>
      <c r="Q177" s="16">
        <v>0</v>
      </c>
      <c r="R177" s="16">
        <v>2</v>
      </c>
      <c r="S177" s="16">
        <v>1</v>
      </c>
      <c r="T177" s="13">
        <f t="shared" ref="T177:T186" si="36">SUM(E177:S177)</f>
        <v>9</v>
      </c>
    </row>
    <row r="178" spans="1:20" ht="12.75" customHeight="1" x14ac:dyDescent="0.4">
      <c r="A178" s="20" t="s">
        <v>38</v>
      </c>
      <c r="B178" s="28"/>
      <c r="C178" s="29" t="s">
        <v>109</v>
      </c>
      <c r="D178" s="30"/>
      <c r="E178" s="16">
        <v>1</v>
      </c>
      <c r="F178" s="16">
        <v>1</v>
      </c>
      <c r="G178" s="16">
        <v>0</v>
      </c>
      <c r="H178" s="16">
        <v>2</v>
      </c>
      <c r="I178" s="16">
        <v>2</v>
      </c>
      <c r="J178" s="16">
        <v>0</v>
      </c>
      <c r="K178" s="16">
        <v>0</v>
      </c>
      <c r="L178" s="16">
        <v>4</v>
      </c>
      <c r="M178" s="16">
        <v>5</v>
      </c>
      <c r="N178" s="16">
        <v>0</v>
      </c>
      <c r="O178" s="16">
        <v>0</v>
      </c>
      <c r="P178" s="16">
        <v>1</v>
      </c>
      <c r="Q178" s="16">
        <v>1</v>
      </c>
      <c r="R178" s="16">
        <v>2</v>
      </c>
      <c r="S178" s="16">
        <v>3</v>
      </c>
      <c r="T178" s="13">
        <f t="shared" si="36"/>
        <v>22</v>
      </c>
    </row>
    <row r="179" spans="1:20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0</v>
      </c>
      <c r="G179" s="16">
        <v>0</v>
      </c>
      <c r="H179" s="16">
        <v>0</v>
      </c>
      <c r="I179" s="16">
        <v>3</v>
      </c>
      <c r="J179" s="16">
        <v>0</v>
      </c>
      <c r="K179" s="16">
        <v>0</v>
      </c>
      <c r="L179" s="16">
        <v>3</v>
      </c>
      <c r="M179" s="16">
        <v>1</v>
      </c>
      <c r="N179" s="16">
        <v>0</v>
      </c>
      <c r="O179" s="16">
        <v>0</v>
      </c>
      <c r="P179" s="16">
        <v>5</v>
      </c>
      <c r="Q179" s="16">
        <v>3</v>
      </c>
      <c r="R179" s="16">
        <v>0</v>
      </c>
      <c r="S179" s="16">
        <v>1</v>
      </c>
      <c r="T179" s="13">
        <f t="shared" si="36"/>
        <v>16</v>
      </c>
    </row>
    <row r="180" spans="1:20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1</v>
      </c>
      <c r="K180" s="16">
        <v>0</v>
      </c>
      <c r="L180" s="16">
        <v>0</v>
      </c>
      <c r="M180" s="16">
        <v>1</v>
      </c>
      <c r="N180" s="16">
        <v>0</v>
      </c>
      <c r="O180" s="16">
        <v>0</v>
      </c>
      <c r="P180" s="16">
        <v>0</v>
      </c>
      <c r="Q180" s="16">
        <v>1</v>
      </c>
      <c r="R180" s="16">
        <v>0</v>
      </c>
      <c r="S180" s="16">
        <v>0</v>
      </c>
      <c r="T180" s="13">
        <f t="shared" si="36"/>
        <v>3</v>
      </c>
    </row>
    <row r="181" spans="1:20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2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1</v>
      </c>
      <c r="S181" s="16">
        <v>0</v>
      </c>
      <c r="T181" s="13">
        <f t="shared" si="36"/>
        <v>3</v>
      </c>
    </row>
    <row r="182" spans="1:20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2</v>
      </c>
      <c r="Q182" s="16">
        <v>0</v>
      </c>
      <c r="R182" s="16">
        <v>2</v>
      </c>
      <c r="S182" s="16">
        <v>3</v>
      </c>
      <c r="T182" s="13">
        <f t="shared" si="36"/>
        <v>7</v>
      </c>
    </row>
    <row r="183" spans="1:20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3">
        <f t="shared" si="36"/>
        <v>0</v>
      </c>
    </row>
    <row r="184" spans="1:20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13">
        <f t="shared" si="36"/>
        <v>0</v>
      </c>
    </row>
    <row r="185" spans="1:20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13">
        <f t="shared" si="36"/>
        <v>0</v>
      </c>
    </row>
    <row r="186" spans="1:20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13">
        <f t="shared" si="36"/>
        <v>0</v>
      </c>
    </row>
    <row r="187" spans="1:20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T187" si="37">SUM(E177:E186)</f>
        <v>1</v>
      </c>
      <c r="F187" s="13">
        <f t="shared" si="37"/>
        <v>1</v>
      </c>
      <c r="G187" s="13">
        <f t="shared" si="37"/>
        <v>0</v>
      </c>
      <c r="H187" s="13">
        <f t="shared" si="37"/>
        <v>2</v>
      </c>
      <c r="I187" s="13">
        <f t="shared" si="37"/>
        <v>7</v>
      </c>
      <c r="J187" s="13">
        <f t="shared" si="37"/>
        <v>1</v>
      </c>
      <c r="K187" s="13">
        <f t="shared" si="37"/>
        <v>2</v>
      </c>
      <c r="L187" s="13">
        <f t="shared" si="37"/>
        <v>9</v>
      </c>
      <c r="M187" s="13">
        <f t="shared" si="37"/>
        <v>7</v>
      </c>
      <c r="N187" s="13">
        <f t="shared" si="37"/>
        <v>1</v>
      </c>
      <c r="O187" s="13">
        <f t="shared" si="37"/>
        <v>1</v>
      </c>
      <c r="P187" s="13">
        <f t="shared" si="37"/>
        <v>8</v>
      </c>
      <c r="Q187" s="13">
        <f t="shared" si="37"/>
        <v>5</v>
      </c>
      <c r="R187" s="13">
        <f t="shared" si="37"/>
        <v>7</v>
      </c>
      <c r="S187" s="13">
        <f t="shared" si="37"/>
        <v>8</v>
      </c>
      <c r="T187" s="13">
        <f t="shared" si="37"/>
        <v>60</v>
      </c>
    </row>
    <row r="188" spans="1:20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T188" s="13"/>
    </row>
    <row r="189" spans="1:20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1</v>
      </c>
      <c r="G189" s="16">
        <v>0</v>
      </c>
      <c r="H189" s="16">
        <v>1</v>
      </c>
      <c r="I189" s="16">
        <v>0</v>
      </c>
      <c r="J189" s="16">
        <v>1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1</v>
      </c>
      <c r="T189" s="13">
        <f t="shared" ref="T189:T198" si="38">SUM(E189:S189)</f>
        <v>4</v>
      </c>
    </row>
    <row r="190" spans="1:20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1</v>
      </c>
      <c r="L190" s="16">
        <v>0</v>
      </c>
      <c r="M190" s="16">
        <v>0</v>
      </c>
      <c r="N190" s="16">
        <v>1</v>
      </c>
      <c r="O190" s="16">
        <v>0</v>
      </c>
      <c r="P190" s="16">
        <v>0</v>
      </c>
      <c r="Q190" s="16">
        <v>0</v>
      </c>
      <c r="R190" s="16">
        <v>1</v>
      </c>
      <c r="S190" s="16">
        <v>0</v>
      </c>
      <c r="T190" s="13">
        <f t="shared" si="38"/>
        <v>3</v>
      </c>
    </row>
    <row r="191" spans="1:20" ht="12.75" customHeight="1" x14ac:dyDescent="0.4">
      <c r="A191" s="15"/>
      <c r="B191" s="28"/>
      <c r="C191" s="29" t="s">
        <v>118</v>
      </c>
      <c r="D191" s="30"/>
      <c r="E191" s="16">
        <v>1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1</v>
      </c>
      <c r="P191" s="16">
        <v>0</v>
      </c>
      <c r="Q191" s="16">
        <v>0</v>
      </c>
      <c r="R191" s="16">
        <v>0</v>
      </c>
      <c r="S191" s="16">
        <v>1</v>
      </c>
      <c r="T191" s="13">
        <f t="shared" si="38"/>
        <v>3</v>
      </c>
    </row>
    <row r="192" spans="1:20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0</v>
      </c>
      <c r="I192" s="16">
        <v>1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3">
        <f t="shared" si="38"/>
        <v>1</v>
      </c>
    </row>
    <row r="193" spans="1:20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3">
        <f t="shared" si="38"/>
        <v>0</v>
      </c>
    </row>
    <row r="194" spans="1:20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1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1</v>
      </c>
      <c r="T194" s="13">
        <f t="shared" si="38"/>
        <v>2</v>
      </c>
    </row>
    <row r="195" spans="1:20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0</v>
      </c>
      <c r="G195" s="16">
        <v>0</v>
      </c>
      <c r="H195" s="16">
        <v>3</v>
      </c>
      <c r="I195" s="16">
        <v>5</v>
      </c>
      <c r="J195" s="16">
        <v>1</v>
      </c>
      <c r="K195" s="16">
        <v>0</v>
      </c>
      <c r="L195" s="16">
        <v>2</v>
      </c>
      <c r="M195" s="16">
        <v>1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2</v>
      </c>
      <c r="T195" s="13">
        <f t="shared" si="38"/>
        <v>14</v>
      </c>
    </row>
    <row r="196" spans="1:20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13">
        <f t="shared" si="38"/>
        <v>0</v>
      </c>
    </row>
    <row r="197" spans="1:20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13">
        <f t="shared" si="38"/>
        <v>0</v>
      </c>
    </row>
    <row r="198" spans="1:20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13">
        <f t="shared" si="38"/>
        <v>0</v>
      </c>
    </row>
    <row r="199" spans="1:20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T199" si="39">SUM(E189:E198)</f>
        <v>1</v>
      </c>
      <c r="F199" s="13">
        <f t="shared" si="39"/>
        <v>1</v>
      </c>
      <c r="G199" s="13">
        <f t="shared" si="39"/>
        <v>0</v>
      </c>
      <c r="H199" s="13">
        <f t="shared" si="39"/>
        <v>4</v>
      </c>
      <c r="I199" s="13">
        <f t="shared" si="39"/>
        <v>6</v>
      </c>
      <c r="J199" s="13">
        <f t="shared" si="39"/>
        <v>2</v>
      </c>
      <c r="K199" s="13">
        <f t="shared" si="39"/>
        <v>1</v>
      </c>
      <c r="L199" s="13">
        <f t="shared" si="39"/>
        <v>2</v>
      </c>
      <c r="M199" s="13">
        <f t="shared" si="39"/>
        <v>2</v>
      </c>
      <c r="N199" s="13">
        <f t="shared" si="39"/>
        <v>1</v>
      </c>
      <c r="O199" s="13">
        <f t="shared" si="39"/>
        <v>1</v>
      </c>
      <c r="P199" s="13">
        <f t="shared" si="39"/>
        <v>0</v>
      </c>
      <c r="Q199" s="13">
        <f t="shared" si="39"/>
        <v>0</v>
      </c>
      <c r="R199" s="13">
        <f t="shared" si="39"/>
        <v>1</v>
      </c>
      <c r="S199" s="13">
        <f t="shared" si="39"/>
        <v>5</v>
      </c>
      <c r="T199" s="13">
        <f t="shared" si="39"/>
        <v>27</v>
      </c>
    </row>
    <row r="200" spans="1:20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</row>
    <row r="201" spans="1:20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4</v>
      </c>
      <c r="F201" s="16">
        <v>4</v>
      </c>
      <c r="G201" s="16">
        <v>3</v>
      </c>
      <c r="H201" s="16">
        <v>1</v>
      </c>
      <c r="I201" s="16">
        <v>1</v>
      </c>
      <c r="J201" s="16">
        <v>5</v>
      </c>
      <c r="K201" s="16">
        <v>4</v>
      </c>
      <c r="L201" s="16">
        <v>2</v>
      </c>
      <c r="M201" s="16">
        <v>5</v>
      </c>
      <c r="N201" s="16">
        <v>3</v>
      </c>
      <c r="O201" s="16">
        <v>2</v>
      </c>
      <c r="P201" s="16">
        <v>2</v>
      </c>
      <c r="Q201" s="16">
        <v>1</v>
      </c>
      <c r="R201" s="16">
        <v>4</v>
      </c>
      <c r="S201" s="16">
        <v>2</v>
      </c>
      <c r="T201" s="13">
        <f t="shared" ref="T201:T210" si="40">SUM(E201:S201)</f>
        <v>43</v>
      </c>
    </row>
    <row r="202" spans="1:20" ht="12.75" customHeight="1" x14ac:dyDescent="0.4">
      <c r="A202" s="20" t="s">
        <v>38</v>
      </c>
      <c r="B202" s="28"/>
      <c r="C202" s="29" t="s">
        <v>125</v>
      </c>
      <c r="D202" s="30"/>
      <c r="E202" s="16">
        <v>16</v>
      </c>
      <c r="F202" s="16">
        <v>24</v>
      </c>
      <c r="G202" s="16">
        <v>17</v>
      </c>
      <c r="H202" s="16">
        <v>16</v>
      </c>
      <c r="I202" s="16">
        <v>3</v>
      </c>
      <c r="J202" s="16">
        <v>49</v>
      </c>
      <c r="K202" s="16">
        <v>7</v>
      </c>
      <c r="L202" s="16">
        <v>1</v>
      </c>
      <c r="M202" s="16">
        <v>2</v>
      </c>
      <c r="N202" s="16">
        <v>4</v>
      </c>
      <c r="O202" s="16">
        <v>5</v>
      </c>
      <c r="P202" s="16">
        <v>0</v>
      </c>
      <c r="Q202" s="16">
        <v>3</v>
      </c>
      <c r="R202" s="16">
        <v>6</v>
      </c>
      <c r="S202" s="16">
        <v>1</v>
      </c>
      <c r="T202" s="13">
        <f t="shared" si="40"/>
        <v>154</v>
      </c>
    </row>
    <row r="203" spans="1:20" ht="12.75" customHeight="1" x14ac:dyDescent="0.4">
      <c r="A203" s="15"/>
      <c r="B203" s="28"/>
      <c r="C203" s="29" t="s">
        <v>126</v>
      </c>
      <c r="D203" s="30"/>
      <c r="E203" s="16">
        <v>5</v>
      </c>
      <c r="F203" s="16">
        <v>6</v>
      </c>
      <c r="G203" s="16">
        <v>0</v>
      </c>
      <c r="H203" s="16">
        <v>1</v>
      </c>
      <c r="I203" s="16">
        <v>1</v>
      </c>
      <c r="J203" s="16">
        <v>2</v>
      </c>
      <c r="K203" s="16">
        <v>0</v>
      </c>
      <c r="L203" s="16">
        <v>7</v>
      </c>
      <c r="M203" s="16">
        <v>1</v>
      </c>
      <c r="N203" s="16">
        <v>1</v>
      </c>
      <c r="O203" s="16">
        <v>2</v>
      </c>
      <c r="P203" s="16">
        <v>3</v>
      </c>
      <c r="Q203" s="16">
        <v>3</v>
      </c>
      <c r="R203" s="16">
        <v>2</v>
      </c>
      <c r="S203" s="16">
        <v>3</v>
      </c>
      <c r="T203" s="13">
        <f t="shared" si="40"/>
        <v>37</v>
      </c>
    </row>
    <row r="204" spans="1:20" ht="12.75" customHeight="1" x14ac:dyDescent="0.4">
      <c r="A204" s="15"/>
      <c r="B204" s="28"/>
      <c r="C204" s="29" t="s">
        <v>127</v>
      </c>
      <c r="D204" s="30"/>
      <c r="E204" s="16">
        <v>8</v>
      </c>
      <c r="F204" s="16">
        <v>36</v>
      </c>
      <c r="G204" s="16">
        <v>10</v>
      </c>
      <c r="H204" s="16">
        <v>13</v>
      </c>
      <c r="I204" s="16">
        <v>7</v>
      </c>
      <c r="J204" s="16">
        <v>29</v>
      </c>
      <c r="K204" s="16">
        <v>5</v>
      </c>
      <c r="L204" s="16">
        <v>7</v>
      </c>
      <c r="M204" s="16">
        <v>16</v>
      </c>
      <c r="N204" s="16">
        <v>9</v>
      </c>
      <c r="O204" s="16">
        <v>30</v>
      </c>
      <c r="P204" s="16">
        <v>6</v>
      </c>
      <c r="Q204" s="16">
        <v>0</v>
      </c>
      <c r="R204" s="16">
        <v>2</v>
      </c>
      <c r="S204" s="16">
        <v>4</v>
      </c>
      <c r="T204" s="13">
        <f t="shared" si="40"/>
        <v>182</v>
      </c>
    </row>
    <row r="205" spans="1:20" ht="12.75" customHeight="1" x14ac:dyDescent="0.4">
      <c r="A205" s="15"/>
      <c r="B205" s="28"/>
      <c r="C205" s="29" t="s">
        <v>128</v>
      </c>
      <c r="D205" s="30"/>
      <c r="E205" s="16">
        <v>1</v>
      </c>
      <c r="F205" s="16">
        <v>0</v>
      </c>
      <c r="G205" s="16">
        <v>0</v>
      </c>
      <c r="H205" s="16">
        <v>1</v>
      </c>
      <c r="I205" s="16">
        <v>2</v>
      </c>
      <c r="J205" s="16">
        <v>1</v>
      </c>
      <c r="K205" s="16">
        <v>0</v>
      </c>
      <c r="L205" s="16">
        <v>2</v>
      </c>
      <c r="M205" s="16">
        <v>1</v>
      </c>
      <c r="N205" s="16">
        <v>1</v>
      </c>
      <c r="O205" s="16">
        <v>0</v>
      </c>
      <c r="P205" s="16">
        <v>0</v>
      </c>
      <c r="Q205" s="16">
        <v>1</v>
      </c>
      <c r="R205" s="16">
        <v>0</v>
      </c>
      <c r="S205" s="16">
        <v>0</v>
      </c>
      <c r="T205" s="13">
        <f t="shared" si="40"/>
        <v>10</v>
      </c>
    </row>
    <row r="206" spans="1:20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0</v>
      </c>
      <c r="H206" s="16">
        <v>0</v>
      </c>
      <c r="I206" s="16">
        <v>1</v>
      </c>
      <c r="J206" s="16">
        <v>1</v>
      </c>
      <c r="K206" s="16">
        <v>1</v>
      </c>
      <c r="L206" s="16">
        <v>0</v>
      </c>
      <c r="M206" s="16">
        <v>0</v>
      </c>
      <c r="N206" s="16">
        <v>0</v>
      </c>
      <c r="O206" s="16">
        <v>0</v>
      </c>
      <c r="P206" s="16">
        <v>0</v>
      </c>
      <c r="Q206" s="16">
        <v>0</v>
      </c>
      <c r="R206" s="16">
        <v>0</v>
      </c>
      <c r="S206" s="16">
        <v>0</v>
      </c>
      <c r="T206" s="13">
        <f t="shared" si="40"/>
        <v>3</v>
      </c>
    </row>
    <row r="207" spans="1:20" ht="12.75" customHeight="1" x14ac:dyDescent="0.4">
      <c r="A207" s="15"/>
      <c r="B207" s="28"/>
      <c r="C207" s="29" t="s">
        <v>130</v>
      </c>
      <c r="D207" s="30"/>
      <c r="E207" s="16">
        <v>1</v>
      </c>
      <c r="F207" s="16">
        <v>2</v>
      </c>
      <c r="G207" s="16">
        <v>3</v>
      </c>
      <c r="H207" s="16">
        <v>0</v>
      </c>
      <c r="I207" s="16">
        <v>0</v>
      </c>
      <c r="J207" s="16">
        <v>0</v>
      </c>
      <c r="K207" s="16">
        <v>2</v>
      </c>
      <c r="L207" s="16">
        <v>2</v>
      </c>
      <c r="M207" s="16">
        <v>2</v>
      </c>
      <c r="N207" s="16">
        <v>0</v>
      </c>
      <c r="O207" s="16">
        <v>0</v>
      </c>
      <c r="P207" s="16">
        <v>0</v>
      </c>
      <c r="Q207" s="16">
        <v>4</v>
      </c>
      <c r="R207" s="16">
        <v>4</v>
      </c>
      <c r="S207" s="16">
        <v>1</v>
      </c>
      <c r="T207" s="13">
        <f t="shared" si="40"/>
        <v>21</v>
      </c>
    </row>
    <row r="208" spans="1:20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13">
        <f t="shared" si="40"/>
        <v>0</v>
      </c>
    </row>
    <row r="209" spans="1:20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13">
        <f t="shared" si="40"/>
        <v>0</v>
      </c>
    </row>
    <row r="210" spans="1:20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13">
        <f t="shared" si="40"/>
        <v>0</v>
      </c>
    </row>
    <row r="211" spans="1:20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T211" si="41">SUM(E201:E210)</f>
        <v>35</v>
      </c>
      <c r="F211" s="13">
        <f t="shared" si="41"/>
        <v>72</v>
      </c>
      <c r="G211" s="13">
        <f t="shared" si="41"/>
        <v>33</v>
      </c>
      <c r="H211" s="13">
        <f t="shared" si="41"/>
        <v>32</v>
      </c>
      <c r="I211" s="13">
        <f t="shared" si="41"/>
        <v>15</v>
      </c>
      <c r="J211" s="13">
        <f t="shared" si="41"/>
        <v>87</v>
      </c>
      <c r="K211" s="13">
        <f t="shared" si="41"/>
        <v>19</v>
      </c>
      <c r="L211" s="13">
        <f t="shared" si="41"/>
        <v>21</v>
      </c>
      <c r="M211" s="13">
        <f t="shared" si="41"/>
        <v>27</v>
      </c>
      <c r="N211" s="13">
        <f t="shared" si="41"/>
        <v>18</v>
      </c>
      <c r="O211" s="13">
        <f t="shared" si="41"/>
        <v>39</v>
      </c>
      <c r="P211" s="13">
        <f t="shared" si="41"/>
        <v>11</v>
      </c>
      <c r="Q211" s="13">
        <f t="shared" si="41"/>
        <v>12</v>
      </c>
      <c r="R211" s="13">
        <f t="shared" si="41"/>
        <v>18</v>
      </c>
      <c r="S211" s="13">
        <f t="shared" si="41"/>
        <v>11</v>
      </c>
      <c r="T211" s="13">
        <f t="shared" si="41"/>
        <v>450</v>
      </c>
    </row>
    <row r="212" spans="1:20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</row>
    <row r="213" spans="1:20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3</v>
      </c>
      <c r="F213" s="16">
        <v>1</v>
      </c>
      <c r="G213" s="16">
        <v>3</v>
      </c>
      <c r="H213" s="16">
        <v>1</v>
      </c>
      <c r="I213" s="16">
        <v>1</v>
      </c>
      <c r="J213" s="16">
        <v>0</v>
      </c>
      <c r="K213" s="16">
        <v>3</v>
      </c>
      <c r="L213" s="16">
        <v>4</v>
      </c>
      <c r="M213" s="16">
        <v>7</v>
      </c>
      <c r="N213" s="16">
        <v>3</v>
      </c>
      <c r="O213" s="16">
        <v>2</v>
      </c>
      <c r="P213" s="16">
        <v>1</v>
      </c>
      <c r="Q213" s="16">
        <v>2</v>
      </c>
      <c r="R213" s="16">
        <v>1</v>
      </c>
      <c r="S213" s="16">
        <v>6</v>
      </c>
      <c r="T213" s="13">
        <f t="shared" ref="T213:T222" si="42">SUM(E213:S213)</f>
        <v>38</v>
      </c>
    </row>
    <row r="214" spans="1:20" ht="12.75" customHeight="1" x14ac:dyDescent="0.4">
      <c r="A214" s="20" t="s">
        <v>38</v>
      </c>
      <c r="B214" s="27"/>
      <c r="C214" s="29" t="s">
        <v>133</v>
      </c>
      <c r="D214" s="40"/>
      <c r="E214" s="16">
        <v>2</v>
      </c>
      <c r="F214" s="16">
        <v>2</v>
      </c>
      <c r="G214" s="16">
        <v>0</v>
      </c>
      <c r="H214" s="16">
        <v>1</v>
      </c>
      <c r="I214" s="16">
        <v>0</v>
      </c>
      <c r="J214" s="16">
        <v>0</v>
      </c>
      <c r="K214" s="16">
        <v>1</v>
      </c>
      <c r="L214" s="16">
        <v>5</v>
      </c>
      <c r="M214" s="16">
        <v>4</v>
      </c>
      <c r="N214" s="16">
        <v>5</v>
      </c>
      <c r="O214" s="16">
        <v>1</v>
      </c>
      <c r="P214" s="16">
        <v>0</v>
      </c>
      <c r="Q214" s="16">
        <v>0</v>
      </c>
      <c r="R214" s="16">
        <v>0</v>
      </c>
      <c r="S214" s="16">
        <v>4</v>
      </c>
      <c r="T214" s="13">
        <f t="shared" si="42"/>
        <v>25</v>
      </c>
    </row>
    <row r="215" spans="1:20" ht="12.75" customHeight="1" x14ac:dyDescent="0.4">
      <c r="A215" s="15"/>
      <c r="B215" s="27"/>
      <c r="C215" s="29" t="s">
        <v>134</v>
      </c>
      <c r="D215" s="40"/>
      <c r="E215" s="16">
        <v>0</v>
      </c>
      <c r="F215" s="16">
        <v>2</v>
      </c>
      <c r="G215" s="16">
        <v>2</v>
      </c>
      <c r="H215" s="16">
        <v>0</v>
      </c>
      <c r="I215" s="16">
        <v>2</v>
      </c>
      <c r="J215" s="16">
        <v>0</v>
      </c>
      <c r="K215" s="16">
        <v>3</v>
      </c>
      <c r="L215" s="16">
        <v>0</v>
      </c>
      <c r="M215" s="16">
        <v>0</v>
      </c>
      <c r="N215" s="16">
        <v>0</v>
      </c>
      <c r="O215" s="16">
        <v>0</v>
      </c>
      <c r="P215" s="16">
        <v>0</v>
      </c>
      <c r="Q215" s="16">
        <v>0</v>
      </c>
      <c r="R215" s="16">
        <v>0</v>
      </c>
      <c r="S215" s="16">
        <v>0</v>
      </c>
      <c r="T215" s="13">
        <f t="shared" si="42"/>
        <v>9</v>
      </c>
    </row>
    <row r="216" spans="1:20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0</v>
      </c>
      <c r="G216" s="16">
        <v>1</v>
      </c>
      <c r="H216" s="16">
        <v>0</v>
      </c>
      <c r="I216" s="16">
        <v>0</v>
      </c>
      <c r="J216" s="16">
        <v>3</v>
      </c>
      <c r="K216" s="16">
        <v>0</v>
      </c>
      <c r="L216" s="16">
        <v>1</v>
      </c>
      <c r="M216" s="16">
        <v>0</v>
      </c>
      <c r="N216" s="16">
        <v>0</v>
      </c>
      <c r="O216" s="16">
        <v>2</v>
      </c>
      <c r="P216" s="16">
        <v>0</v>
      </c>
      <c r="Q216" s="16">
        <v>0</v>
      </c>
      <c r="R216" s="16">
        <v>1</v>
      </c>
      <c r="S216" s="16">
        <v>1</v>
      </c>
      <c r="T216" s="13">
        <f t="shared" si="42"/>
        <v>9</v>
      </c>
    </row>
    <row r="217" spans="1:20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0</v>
      </c>
      <c r="L217" s="16">
        <v>0</v>
      </c>
      <c r="M217" s="16">
        <v>0</v>
      </c>
      <c r="N217" s="16">
        <v>0</v>
      </c>
      <c r="O217" s="16">
        <v>1</v>
      </c>
      <c r="P217" s="16">
        <v>0</v>
      </c>
      <c r="Q217" s="16">
        <v>0</v>
      </c>
      <c r="R217" s="16">
        <v>0</v>
      </c>
      <c r="S217" s="16">
        <v>0</v>
      </c>
      <c r="T217" s="13">
        <f t="shared" si="42"/>
        <v>1</v>
      </c>
    </row>
    <row r="218" spans="1:20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0</v>
      </c>
      <c r="G218" s="16">
        <v>0</v>
      </c>
      <c r="H218" s="16">
        <v>2</v>
      </c>
      <c r="I218" s="16">
        <v>2</v>
      </c>
      <c r="J218" s="16">
        <v>0</v>
      </c>
      <c r="K218" s="16">
        <v>1</v>
      </c>
      <c r="L218" s="16">
        <v>0</v>
      </c>
      <c r="M218" s="16">
        <v>1</v>
      </c>
      <c r="N218" s="16">
        <v>1</v>
      </c>
      <c r="O218" s="16">
        <v>0</v>
      </c>
      <c r="P218" s="16">
        <v>0</v>
      </c>
      <c r="Q218" s="16">
        <v>0</v>
      </c>
      <c r="R218" s="16">
        <v>0</v>
      </c>
      <c r="S218" s="16">
        <v>1</v>
      </c>
      <c r="T218" s="13">
        <f t="shared" si="42"/>
        <v>8</v>
      </c>
    </row>
    <row r="219" spans="1:20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13">
        <f t="shared" si="42"/>
        <v>0</v>
      </c>
    </row>
    <row r="220" spans="1:20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13">
        <f t="shared" si="42"/>
        <v>0</v>
      </c>
    </row>
    <row r="221" spans="1:20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13">
        <f t="shared" si="42"/>
        <v>0</v>
      </c>
    </row>
    <row r="222" spans="1:20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13">
        <f t="shared" si="42"/>
        <v>0</v>
      </c>
    </row>
    <row r="223" spans="1:20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T223" si="43">SUM(E213:E222)</f>
        <v>5</v>
      </c>
      <c r="F223" s="13">
        <f t="shared" si="43"/>
        <v>5</v>
      </c>
      <c r="G223" s="13">
        <f t="shared" si="43"/>
        <v>6</v>
      </c>
      <c r="H223" s="13">
        <f t="shared" si="43"/>
        <v>4</v>
      </c>
      <c r="I223" s="13">
        <f t="shared" si="43"/>
        <v>5</v>
      </c>
      <c r="J223" s="13">
        <f t="shared" si="43"/>
        <v>3</v>
      </c>
      <c r="K223" s="13">
        <f t="shared" si="43"/>
        <v>8</v>
      </c>
      <c r="L223" s="13">
        <f t="shared" si="43"/>
        <v>10</v>
      </c>
      <c r="M223" s="13">
        <f t="shared" si="43"/>
        <v>12</v>
      </c>
      <c r="N223" s="13">
        <f t="shared" si="43"/>
        <v>9</v>
      </c>
      <c r="O223" s="13">
        <f t="shared" si="43"/>
        <v>6</v>
      </c>
      <c r="P223" s="13">
        <f t="shared" si="43"/>
        <v>1</v>
      </c>
      <c r="Q223" s="13">
        <f t="shared" si="43"/>
        <v>2</v>
      </c>
      <c r="R223" s="13">
        <f t="shared" si="43"/>
        <v>2</v>
      </c>
      <c r="S223" s="13">
        <f t="shared" si="43"/>
        <v>12</v>
      </c>
      <c r="T223" s="13">
        <f t="shared" si="43"/>
        <v>90</v>
      </c>
    </row>
    <row r="224" spans="1:20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</row>
    <row r="225" spans="1:20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0</v>
      </c>
      <c r="H225" s="16">
        <v>0</v>
      </c>
      <c r="I225" s="16">
        <v>1</v>
      </c>
      <c r="J225" s="16">
        <v>0</v>
      </c>
      <c r="K225" s="16">
        <v>1</v>
      </c>
      <c r="L225" s="16">
        <v>0</v>
      </c>
      <c r="M225" s="16">
        <v>1</v>
      </c>
      <c r="N225" s="16">
        <v>0</v>
      </c>
      <c r="O225" s="16">
        <v>0</v>
      </c>
      <c r="P225" s="16">
        <v>0</v>
      </c>
      <c r="Q225" s="16">
        <v>0</v>
      </c>
      <c r="R225" s="16">
        <v>1</v>
      </c>
      <c r="S225" s="16">
        <v>3</v>
      </c>
      <c r="T225" s="13">
        <f t="shared" ref="T225:T234" si="44">SUM(E225:S225)</f>
        <v>7</v>
      </c>
    </row>
    <row r="226" spans="1:20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1</v>
      </c>
      <c r="J226" s="16">
        <v>0</v>
      </c>
      <c r="K226" s="16">
        <v>0</v>
      </c>
      <c r="L226" s="16">
        <v>1</v>
      </c>
      <c r="M226" s="16">
        <v>0</v>
      </c>
      <c r="N226" s="16">
        <v>1</v>
      </c>
      <c r="O226" s="16">
        <v>0</v>
      </c>
      <c r="P226" s="16">
        <v>0</v>
      </c>
      <c r="Q226" s="16">
        <v>0</v>
      </c>
      <c r="R226" s="16">
        <v>0</v>
      </c>
      <c r="S226" s="16">
        <v>0</v>
      </c>
      <c r="T226" s="13">
        <f t="shared" si="44"/>
        <v>3</v>
      </c>
    </row>
    <row r="227" spans="1:20" ht="12.75" customHeight="1" x14ac:dyDescent="0.4">
      <c r="A227" s="15"/>
      <c r="B227" s="27"/>
      <c r="C227" s="29" t="s">
        <v>141</v>
      </c>
      <c r="D227" s="40"/>
      <c r="E227" s="16">
        <v>0</v>
      </c>
      <c r="F227" s="16">
        <v>0</v>
      </c>
      <c r="G227" s="16">
        <v>1</v>
      </c>
      <c r="H227" s="16">
        <v>0</v>
      </c>
      <c r="I227" s="16">
        <v>1</v>
      </c>
      <c r="J227" s="16">
        <v>0</v>
      </c>
      <c r="K227" s="16">
        <v>1</v>
      </c>
      <c r="L227" s="16">
        <v>0</v>
      </c>
      <c r="M227" s="16">
        <v>2</v>
      </c>
      <c r="N227" s="16">
        <v>0</v>
      </c>
      <c r="O227" s="16">
        <v>0</v>
      </c>
      <c r="P227" s="16">
        <v>0</v>
      </c>
      <c r="Q227" s="16">
        <v>0</v>
      </c>
      <c r="R227" s="16">
        <v>1</v>
      </c>
      <c r="S227" s="16">
        <v>0</v>
      </c>
      <c r="T227" s="13">
        <f t="shared" si="44"/>
        <v>6</v>
      </c>
    </row>
    <row r="228" spans="1:20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1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3">
        <f t="shared" si="44"/>
        <v>1</v>
      </c>
    </row>
    <row r="229" spans="1:20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3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1</v>
      </c>
      <c r="N229" s="16">
        <v>0</v>
      </c>
      <c r="O229" s="16">
        <v>1</v>
      </c>
      <c r="P229" s="16">
        <v>0</v>
      </c>
      <c r="Q229" s="16">
        <v>0</v>
      </c>
      <c r="R229" s="16">
        <v>0</v>
      </c>
      <c r="S229" s="16">
        <v>0</v>
      </c>
      <c r="T229" s="13">
        <f t="shared" si="44"/>
        <v>5</v>
      </c>
    </row>
    <row r="230" spans="1:20" ht="12.75" customHeight="1" x14ac:dyDescent="0.4">
      <c r="A230" s="15"/>
      <c r="B230" s="28"/>
      <c r="C230" s="29" t="s">
        <v>144</v>
      </c>
      <c r="D230" s="30"/>
      <c r="E230" s="16">
        <v>1</v>
      </c>
      <c r="F230" s="16">
        <v>0</v>
      </c>
      <c r="G230" s="16">
        <v>0</v>
      </c>
      <c r="H230" s="16">
        <v>0</v>
      </c>
      <c r="I230" s="16">
        <v>0</v>
      </c>
      <c r="J230" s="16">
        <v>0</v>
      </c>
      <c r="K230" s="16">
        <v>2</v>
      </c>
      <c r="L230" s="16">
        <v>4</v>
      </c>
      <c r="M230" s="16">
        <v>2</v>
      </c>
      <c r="N230" s="16">
        <v>1</v>
      </c>
      <c r="O230" s="16">
        <v>0</v>
      </c>
      <c r="P230" s="16">
        <v>0</v>
      </c>
      <c r="Q230" s="16">
        <v>0</v>
      </c>
      <c r="R230" s="16">
        <v>0</v>
      </c>
      <c r="S230" s="16">
        <v>1</v>
      </c>
      <c r="T230" s="13">
        <f t="shared" si="44"/>
        <v>11</v>
      </c>
    </row>
    <row r="231" spans="1:20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1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0</v>
      </c>
      <c r="R231" s="16">
        <v>0</v>
      </c>
      <c r="S231" s="16">
        <v>0</v>
      </c>
      <c r="T231" s="13">
        <f t="shared" si="44"/>
        <v>1</v>
      </c>
    </row>
    <row r="232" spans="1:20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13">
        <f t="shared" si="44"/>
        <v>0</v>
      </c>
    </row>
    <row r="233" spans="1:20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13">
        <f t="shared" si="44"/>
        <v>0</v>
      </c>
    </row>
    <row r="234" spans="1:20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13">
        <f t="shared" si="44"/>
        <v>0</v>
      </c>
    </row>
    <row r="235" spans="1:20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T235" si="45">SUM(E225:E234)</f>
        <v>1</v>
      </c>
      <c r="F235" s="13">
        <f t="shared" si="45"/>
        <v>3</v>
      </c>
      <c r="G235" s="13">
        <f t="shared" si="45"/>
        <v>1</v>
      </c>
      <c r="H235" s="13">
        <f t="shared" si="45"/>
        <v>1</v>
      </c>
      <c r="I235" s="13">
        <f t="shared" si="45"/>
        <v>3</v>
      </c>
      <c r="J235" s="13">
        <f t="shared" si="45"/>
        <v>0</v>
      </c>
      <c r="K235" s="13">
        <f t="shared" si="45"/>
        <v>4</v>
      </c>
      <c r="L235" s="13">
        <f t="shared" si="45"/>
        <v>5</v>
      </c>
      <c r="M235" s="13">
        <f t="shared" si="45"/>
        <v>6</v>
      </c>
      <c r="N235" s="13">
        <f t="shared" si="45"/>
        <v>3</v>
      </c>
      <c r="O235" s="13">
        <f t="shared" si="45"/>
        <v>1</v>
      </c>
      <c r="P235" s="13">
        <f t="shared" si="45"/>
        <v>0</v>
      </c>
      <c r="Q235" s="13">
        <f t="shared" si="45"/>
        <v>0</v>
      </c>
      <c r="R235" s="13">
        <f t="shared" si="45"/>
        <v>2</v>
      </c>
      <c r="S235" s="13">
        <f t="shared" si="45"/>
        <v>4</v>
      </c>
      <c r="T235" s="13">
        <f t="shared" si="45"/>
        <v>34</v>
      </c>
    </row>
    <row r="236" spans="1:20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</row>
    <row r="237" spans="1:20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2</v>
      </c>
      <c r="F237" s="16">
        <v>0</v>
      </c>
      <c r="G237" s="16">
        <v>0</v>
      </c>
      <c r="H237" s="16">
        <v>1</v>
      </c>
      <c r="I237" s="16">
        <v>0</v>
      </c>
      <c r="J237" s="16">
        <v>0</v>
      </c>
      <c r="K237" s="16">
        <v>1</v>
      </c>
      <c r="L237" s="16">
        <v>0</v>
      </c>
      <c r="M237" s="16">
        <v>2</v>
      </c>
      <c r="N237" s="16">
        <v>1</v>
      </c>
      <c r="O237" s="16">
        <v>0</v>
      </c>
      <c r="P237" s="16">
        <v>0</v>
      </c>
      <c r="Q237" s="16">
        <v>3</v>
      </c>
      <c r="R237" s="16">
        <v>0</v>
      </c>
      <c r="S237" s="16">
        <v>0</v>
      </c>
      <c r="T237" s="13">
        <f t="shared" ref="T237:T246" si="46">SUM(E237:S237)</f>
        <v>10</v>
      </c>
    </row>
    <row r="238" spans="1:20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0</v>
      </c>
      <c r="G238" s="16">
        <v>0</v>
      </c>
      <c r="H238" s="16">
        <v>0</v>
      </c>
      <c r="I238" s="16">
        <v>1</v>
      </c>
      <c r="J238" s="16">
        <v>0</v>
      </c>
      <c r="K238" s="16">
        <v>0</v>
      </c>
      <c r="L238" s="16">
        <v>0</v>
      </c>
      <c r="M238" s="16">
        <v>0</v>
      </c>
      <c r="N238" s="16">
        <v>0</v>
      </c>
      <c r="O238" s="16">
        <v>0</v>
      </c>
      <c r="P238" s="16">
        <v>0</v>
      </c>
      <c r="Q238" s="16">
        <v>0</v>
      </c>
      <c r="R238" s="16">
        <v>0</v>
      </c>
      <c r="S238" s="16">
        <v>0</v>
      </c>
      <c r="T238" s="13">
        <f t="shared" si="46"/>
        <v>1</v>
      </c>
    </row>
    <row r="239" spans="1:20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>
        <v>0</v>
      </c>
      <c r="K239" s="16">
        <v>1</v>
      </c>
      <c r="L239" s="16">
        <v>0</v>
      </c>
      <c r="M239" s="16">
        <v>0</v>
      </c>
      <c r="N239" s="16">
        <v>2</v>
      </c>
      <c r="O239" s="16">
        <v>1</v>
      </c>
      <c r="P239" s="16">
        <v>1</v>
      </c>
      <c r="Q239" s="16">
        <v>1</v>
      </c>
      <c r="R239" s="16">
        <v>0</v>
      </c>
      <c r="S239" s="16">
        <v>2</v>
      </c>
      <c r="T239" s="13">
        <f t="shared" si="46"/>
        <v>8</v>
      </c>
    </row>
    <row r="240" spans="1:20" ht="12.75" customHeight="1" x14ac:dyDescent="0.4">
      <c r="A240" s="15"/>
      <c r="B240" s="28"/>
      <c r="C240" s="29" t="s">
        <v>150</v>
      </c>
      <c r="D240" s="30"/>
      <c r="E240" s="16">
        <v>4</v>
      </c>
      <c r="F240" s="16">
        <v>9</v>
      </c>
      <c r="G240" s="16">
        <v>1</v>
      </c>
      <c r="H240" s="16">
        <v>1</v>
      </c>
      <c r="I240" s="16">
        <v>7</v>
      </c>
      <c r="J240" s="16">
        <v>2</v>
      </c>
      <c r="K240" s="16">
        <v>2</v>
      </c>
      <c r="L240" s="16">
        <v>2</v>
      </c>
      <c r="M240" s="16">
        <v>1</v>
      </c>
      <c r="N240" s="16">
        <v>0</v>
      </c>
      <c r="O240" s="16">
        <v>11</v>
      </c>
      <c r="P240" s="16">
        <v>20</v>
      </c>
      <c r="Q240" s="16">
        <v>82</v>
      </c>
      <c r="R240" s="16">
        <v>13</v>
      </c>
      <c r="S240" s="16">
        <v>24</v>
      </c>
      <c r="T240" s="13">
        <f t="shared" si="46"/>
        <v>179</v>
      </c>
    </row>
    <row r="241" spans="1:20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2</v>
      </c>
      <c r="I241" s="16">
        <v>1</v>
      </c>
      <c r="J241" s="16">
        <v>0</v>
      </c>
      <c r="K241" s="16">
        <v>1</v>
      </c>
      <c r="L241" s="16">
        <v>0</v>
      </c>
      <c r="M241" s="16">
        <v>1</v>
      </c>
      <c r="N241" s="16">
        <v>1</v>
      </c>
      <c r="O241" s="16">
        <v>0</v>
      </c>
      <c r="P241" s="16">
        <v>0</v>
      </c>
      <c r="Q241" s="16">
        <v>2</v>
      </c>
      <c r="R241" s="16">
        <v>0</v>
      </c>
      <c r="S241" s="16">
        <v>1</v>
      </c>
      <c r="T241" s="13">
        <f t="shared" si="46"/>
        <v>9</v>
      </c>
    </row>
    <row r="242" spans="1:20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1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1</v>
      </c>
      <c r="P242" s="16">
        <v>0</v>
      </c>
      <c r="Q242" s="16">
        <v>0</v>
      </c>
      <c r="R242" s="16">
        <v>0</v>
      </c>
      <c r="S242" s="16">
        <v>0</v>
      </c>
      <c r="T242" s="13">
        <f t="shared" si="46"/>
        <v>2</v>
      </c>
    </row>
    <row r="243" spans="1:20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1</v>
      </c>
      <c r="R243" s="16">
        <v>0</v>
      </c>
      <c r="S243" s="16">
        <v>0</v>
      </c>
      <c r="T243" s="13">
        <f t="shared" si="46"/>
        <v>1</v>
      </c>
    </row>
    <row r="244" spans="1:20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13">
        <f t="shared" si="46"/>
        <v>0</v>
      </c>
    </row>
    <row r="245" spans="1:20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13">
        <f t="shared" si="46"/>
        <v>0</v>
      </c>
    </row>
    <row r="246" spans="1:20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13">
        <f t="shared" si="46"/>
        <v>0</v>
      </c>
    </row>
    <row r="247" spans="1:20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T247" si="47">SUM(E237:E246)</f>
        <v>6</v>
      </c>
      <c r="F247" s="13">
        <f t="shared" si="47"/>
        <v>9</v>
      </c>
      <c r="G247" s="13">
        <f t="shared" si="47"/>
        <v>1</v>
      </c>
      <c r="H247" s="13">
        <f t="shared" si="47"/>
        <v>5</v>
      </c>
      <c r="I247" s="13">
        <f t="shared" si="47"/>
        <v>9</v>
      </c>
      <c r="J247" s="13">
        <f t="shared" si="47"/>
        <v>2</v>
      </c>
      <c r="K247" s="13">
        <f t="shared" si="47"/>
        <v>5</v>
      </c>
      <c r="L247" s="13">
        <f t="shared" si="47"/>
        <v>2</v>
      </c>
      <c r="M247" s="13">
        <f t="shared" si="47"/>
        <v>4</v>
      </c>
      <c r="N247" s="13">
        <f t="shared" si="47"/>
        <v>4</v>
      </c>
      <c r="O247" s="13">
        <f t="shared" si="47"/>
        <v>13</v>
      </c>
      <c r="P247" s="13">
        <f t="shared" si="47"/>
        <v>21</v>
      </c>
      <c r="Q247" s="13">
        <f t="shared" si="47"/>
        <v>89</v>
      </c>
      <c r="R247" s="13">
        <f t="shared" si="47"/>
        <v>13</v>
      </c>
      <c r="S247" s="13">
        <f t="shared" si="47"/>
        <v>27</v>
      </c>
      <c r="T247" s="13">
        <f t="shared" si="47"/>
        <v>210</v>
      </c>
    </row>
    <row r="248" spans="1:20" ht="12.75" customHeight="1" x14ac:dyDescent="0.4">
      <c r="A248" s="63"/>
      <c r="B248" s="61"/>
      <c r="C248" s="61"/>
      <c r="D248" s="61"/>
      <c r="E248" s="62"/>
    </row>
    <row r="249" spans="1:20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2</v>
      </c>
      <c r="H249" s="16">
        <v>0</v>
      </c>
      <c r="I249" s="16">
        <v>2</v>
      </c>
      <c r="J249" s="16">
        <v>0</v>
      </c>
      <c r="K249" s="16">
        <v>0</v>
      </c>
      <c r="L249" s="16">
        <v>0</v>
      </c>
      <c r="M249" s="16">
        <v>0</v>
      </c>
      <c r="N249" s="16">
        <v>0</v>
      </c>
      <c r="O249" s="16">
        <v>0</v>
      </c>
      <c r="P249" s="16">
        <v>0</v>
      </c>
      <c r="Q249" s="16">
        <v>0</v>
      </c>
      <c r="R249" s="16">
        <v>0</v>
      </c>
      <c r="S249" s="16">
        <v>0</v>
      </c>
      <c r="T249" s="13">
        <f t="shared" ref="T249:T258" si="48">SUM(E249:S249)</f>
        <v>4</v>
      </c>
    </row>
    <row r="250" spans="1:20" ht="12.75" customHeight="1" x14ac:dyDescent="0.4">
      <c r="A250" s="20" t="s">
        <v>38</v>
      </c>
      <c r="B250" s="27"/>
      <c r="C250" s="29" t="s">
        <v>156</v>
      </c>
      <c r="D250" s="40"/>
      <c r="E250" s="16">
        <v>1</v>
      </c>
      <c r="F250" s="16">
        <v>2</v>
      </c>
      <c r="G250" s="16">
        <v>5</v>
      </c>
      <c r="H250" s="16">
        <v>2</v>
      </c>
      <c r="I250" s="16">
        <v>2</v>
      </c>
      <c r="J250" s="16">
        <v>1</v>
      </c>
      <c r="K250" s="16">
        <v>0</v>
      </c>
      <c r="L250" s="16">
        <v>0</v>
      </c>
      <c r="M250" s="16">
        <v>3</v>
      </c>
      <c r="N250" s="16">
        <v>10</v>
      </c>
      <c r="O250" s="16">
        <v>6</v>
      </c>
      <c r="P250" s="16">
        <v>6</v>
      </c>
      <c r="Q250" s="16">
        <v>0</v>
      </c>
      <c r="R250" s="16">
        <v>0</v>
      </c>
      <c r="S250" s="16">
        <v>3</v>
      </c>
      <c r="T250" s="13">
        <f t="shared" si="48"/>
        <v>41</v>
      </c>
    </row>
    <row r="251" spans="1:20" ht="12.75" customHeight="1" x14ac:dyDescent="0.4">
      <c r="A251" s="15"/>
      <c r="B251" s="27"/>
      <c r="C251" s="29" t="s">
        <v>157</v>
      </c>
      <c r="D251" s="40"/>
      <c r="E251" s="16">
        <v>1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6">
        <v>0</v>
      </c>
      <c r="T251" s="13">
        <f t="shared" si="48"/>
        <v>1</v>
      </c>
    </row>
    <row r="252" spans="1:20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1</v>
      </c>
      <c r="R252" s="16">
        <v>0</v>
      </c>
      <c r="S252" s="16">
        <v>0</v>
      </c>
      <c r="T252" s="13">
        <f t="shared" si="48"/>
        <v>1</v>
      </c>
    </row>
    <row r="253" spans="1:20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0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3">
        <f t="shared" si="48"/>
        <v>0</v>
      </c>
    </row>
    <row r="254" spans="1:20" ht="12.75" customHeight="1" x14ac:dyDescent="0.4">
      <c r="A254" s="52"/>
      <c r="B254" s="35"/>
      <c r="C254" s="44"/>
      <c r="D254" s="39"/>
      <c r="E254" s="53">
        <v>0</v>
      </c>
      <c r="F254" s="53">
        <v>0</v>
      </c>
      <c r="G254" s="53">
        <v>0</v>
      </c>
      <c r="H254" s="53">
        <v>0</v>
      </c>
      <c r="I254" s="53">
        <v>0</v>
      </c>
      <c r="J254" s="53">
        <v>0</v>
      </c>
      <c r="K254" s="53">
        <v>0</v>
      </c>
      <c r="L254" s="53">
        <v>0</v>
      </c>
      <c r="M254" s="53">
        <v>0</v>
      </c>
      <c r="N254" s="53">
        <v>0</v>
      </c>
      <c r="O254" s="53">
        <v>0</v>
      </c>
      <c r="P254" s="53">
        <v>0</v>
      </c>
      <c r="Q254" s="53">
        <v>0</v>
      </c>
      <c r="R254" s="53">
        <v>0</v>
      </c>
      <c r="S254" s="53">
        <v>0</v>
      </c>
      <c r="T254" s="13">
        <f t="shared" si="48"/>
        <v>0</v>
      </c>
    </row>
    <row r="255" spans="1:20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13">
        <f t="shared" si="48"/>
        <v>0</v>
      </c>
    </row>
    <row r="256" spans="1:20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13">
        <f t="shared" si="48"/>
        <v>0</v>
      </c>
    </row>
    <row r="257" spans="1:20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13">
        <f t="shared" si="48"/>
        <v>0</v>
      </c>
    </row>
    <row r="258" spans="1:20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13">
        <f t="shared" si="48"/>
        <v>0</v>
      </c>
    </row>
    <row r="259" spans="1:20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T259" si="49">SUM(E249:E258)</f>
        <v>2</v>
      </c>
      <c r="F259" s="13">
        <f t="shared" si="49"/>
        <v>2</v>
      </c>
      <c r="G259" s="13">
        <f t="shared" si="49"/>
        <v>7</v>
      </c>
      <c r="H259" s="13">
        <f t="shared" si="49"/>
        <v>2</v>
      </c>
      <c r="I259" s="13">
        <f t="shared" si="49"/>
        <v>4</v>
      </c>
      <c r="J259" s="13">
        <f t="shared" si="49"/>
        <v>1</v>
      </c>
      <c r="K259" s="13">
        <f t="shared" si="49"/>
        <v>0</v>
      </c>
      <c r="L259" s="13">
        <f t="shared" si="49"/>
        <v>0</v>
      </c>
      <c r="M259" s="13">
        <f t="shared" si="49"/>
        <v>3</v>
      </c>
      <c r="N259" s="13">
        <f t="shared" si="49"/>
        <v>10</v>
      </c>
      <c r="O259" s="13">
        <f t="shared" si="49"/>
        <v>6</v>
      </c>
      <c r="P259" s="13">
        <f t="shared" si="49"/>
        <v>6</v>
      </c>
      <c r="Q259" s="13">
        <f t="shared" si="49"/>
        <v>1</v>
      </c>
      <c r="R259" s="13">
        <f t="shared" si="49"/>
        <v>0</v>
      </c>
      <c r="S259" s="13">
        <f t="shared" si="49"/>
        <v>3</v>
      </c>
      <c r="T259" s="13">
        <f t="shared" si="49"/>
        <v>47</v>
      </c>
    </row>
    <row r="260" spans="1:20" ht="12.75" customHeight="1" x14ac:dyDescent="0.4"/>
    <row r="261" spans="1:20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13"/>
    </row>
    <row r="262" spans="1:20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S262" si="50">E55+E67+E79+E91+E103+E115+E127+E139+E151+E163+E175+E187+E199+E211+E223+E235+E247+E259</f>
        <v>199</v>
      </c>
      <c r="F262" s="16">
        <f t="shared" si="50"/>
        <v>210</v>
      </c>
      <c r="G262" s="16">
        <f t="shared" si="50"/>
        <v>195</v>
      </c>
      <c r="H262" s="16">
        <f t="shared" si="50"/>
        <v>210</v>
      </c>
      <c r="I262" s="16">
        <f t="shared" si="50"/>
        <v>192</v>
      </c>
      <c r="J262" s="16">
        <f t="shared" si="50"/>
        <v>212</v>
      </c>
      <c r="K262" s="16">
        <f t="shared" si="50"/>
        <v>187</v>
      </c>
      <c r="L262" s="16">
        <f t="shared" si="50"/>
        <v>182</v>
      </c>
      <c r="M262" s="16">
        <f t="shared" si="50"/>
        <v>205</v>
      </c>
      <c r="N262" s="16">
        <f t="shared" si="50"/>
        <v>193</v>
      </c>
      <c r="O262" s="16">
        <f t="shared" si="50"/>
        <v>213</v>
      </c>
      <c r="P262" s="16">
        <f t="shared" si="50"/>
        <v>197</v>
      </c>
      <c r="Q262" s="16">
        <f t="shared" si="50"/>
        <v>207</v>
      </c>
      <c r="R262" s="16">
        <f t="shared" si="50"/>
        <v>198</v>
      </c>
      <c r="S262" s="16">
        <f t="shared" si="50"/>
        <v>190</v>
      </c>
      <c r="T262" s="13">
        <f t="shared" ref="T262:T264" si="51">SUM(E262:S262)</f>
        <v>2990</v>
      </c>
    </row>
    <row r="263" spans="1:20" ht="12.75" customHeight="1" x14ac:dyDescent="0.4">
      <c r="A263" s="22"/>
      <c r="B263" s="45" t="s">
        <v>164</v>
      </c>
      <c r="C263" s="71" t="s">
        <v>165</v>
      </c>
      <c r="D263" s="62"/>
      <c r="E263" s="16">
        <v>20</v>
      </c>
      <c r="F263" s="16">
        <v>10</v>
      </c>
      <c r="G263" s="16">
        <v>8</v>
      </c>
      <c r="H263" s="16">
        <v>27</v>
      </c>
      <c r="I263" s="16">
        <v>18</v>
      </c>
      <c r="J263" s="16">
        <v>9</v>
      </c>
      <c r="K263" s="16">
        <v>35</v>
      </c>
      <c r="L263" s="16">
        <v>17</v>
      </c>
      <c r="M263" s="16">
        <v>16</v>
      </c>
      <c r="N263" s="16">
        <v>13</v>
      </c>
      <c r="O263" s="16">
        <v>19</v>
      </c>
      <c r="P263" s="16">
        <v>12</v>
      </c>
      <c r="Q263" s="16">
        <v>26</v>
      </c>
      <c r="R263" s="16">
        <v>12</v>
      </c>
      <c r="S263" s="16">
        <v>27</v>
      </c>
      <c r="T263" s="13">
        <f t="shared" si="51"/>
        <v>269</v>
      </c>
    </row>
    <row r="264" spans="1:20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S264" si="52">SUM(E262:E263)</f>
        <v>219</v>
      </c>
      <c r="F264" s="13">
        <f t="shared" si="52"/>
        <v>220</v>
      </c>
      <c r="G264" s="13">
        <f t="shared" si="52"/>
        <v>203</v>
      </c>
      <c r="H264" s="13">
        <f t="shared" si="52"/>
        <v>237</v>
      </c>
      <c r="I264" s="13">
        <f t="shared" si="52"/>
        <v>210</v>
      </c>
      <c r="J264" s="13">
        <f t="shared" si="52"/>
        <v>221</v>
      </c>
      <c r="K264" s="13">
        <f t="shared" si="52"/>
        <v>222</v>
      </c>
      <c r="L264" s="13">
        <f t="shared" si="52"/>
        <v>199</v>
      </c>
      <c r="M264" s="13">
        <f t="shared" si="52"/>
        <v>221</v>
      </c>
      <c r="N264" s="13">
        <f t="shared" si="52"/>
        <v>206</v>
      </c>
      <c r="O264" s="13">
        <f t="shared" si="52"/>
        <v>232</v>
      </c>
      <c r="P264" s="13">
        <f t="shared" si="52"/>
        <v>209</v>
      </c>
      <c r="Q264" s="13">
        <f t="shared" si="52"/>
        <v>233</v>
      </c>
      <c r="R264" s="13">
        <f t="shared" si="52"/>
        <v>210</v>
      </c>
      <c r="S264" s="13">
        <f t="shared" si="52"/>
        <v>217</v>
      </c>
      <c r="T264" s="13">
        <f t="shared" si="51"/>
        <v>3259</v>
      </c>
    </row>
    <row r="265" spans="1:20" ht="12.75" customHeight="1" x14ac:dyDescent="0.4"/>
    <row r="266" spans="1:20" ht="12.75" customHeight="1" x14ac:dyDescent="0.4"/>
    <row r="267" spans="1:20" ht="12.75" customHeight="1" x14ac:dyDescent="0.4"/>
    <row r="268" spans="1:20" ht="12.75" customHeight="1" x14ac:dyDescent="0.4"/>
    <row r="269" spans="1:20" ht="12.75" customHeight="1" x14ac:dyDescent="0.4"/>
    <row r="270" spans="1:20" ht="12.75" customHeight="1" x14ac:dyDescent="0.4"/>
    <row r="271" spans="1:20" ht="12.75" customHeight="1" x14ac:dyDescent="0.4"/>
    <row r="272" spans="1:20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S12"/>
    <mergeCell ref="T12:T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4:S15">
    <cfRule type="containsBlanks" dxfId="227" priority="1">
      <formula>LEN(TRIM(E14))=0</formula>
    </cfRule>
  </conditionalFormatting>
  <conditionalFormatting sqref="E19:S20">
    <cfRule type="containsBlanks" dxfId="226" priority="2">
      <formula>LEN(TRIM(E19))=0</formula>
    </cfRule>
  </conditionalFormatting>
  <conditionalFormatting sqref="E22:S23 E25:S26 E33:S33 E35:S35 E39:S40">
    <cfRule type="containsBlanks" dxfId="225" priority="3">
      <formula>LEN(TRIM(E22))=0</formula>
    </cfRule>
  </conditionalFormatting>
  <conditionalFormatting sqref="E30:S30">
    <cfRule type="expression" dxfId="224" priority="4">
      <formula>E30&lt;&gt;E47</formula>
    </cfRule>
    <cfRule type="expression" dxfId="223" priority="5">
      <formula>E30&lt;&gt;E34</formula>
    </cfRule>
  </conditionalFormatting>
  <conditionalFormatting sqref="E34:S34">
    <cfRule type="expression" dxfId="222" priority="6">
      <formula>E30&lt;&gt;E34</formula>
    </cfRule>
    <cfRule type="expression" dxfId="221" priority="7">
      <formula>E30=E34</formula>
    </cfRule>
    <cfRule type="expression" dxfId="220" priority="8">
      <formula>E34&lt;&gt;E30</formula>
    </cfRule>
    <cfRule type="expression" dxfId="219" priority="9">
      <formula>E34&lt;&gt;E64</formula>
    </cfRule>
  </conditionalFormatting>
  <conditionalFormatting sqref="E45:S54">
    <cfRule type="containsBlanks" dxfId="218" priority="10">
      <formula>LEN(TRIM(E45))=0</formula>
    </cfRule>
  </conditionalFormatting>
  <conditionalFormatting sqref="E57:S66">
    <cfRule type="containsBlanks" dxfId="217" priority="11">
      <formula>LEN(TRIM(E57))=0</formula>
    </cfRule>
  </conditionalFormatting>
  <conditionalFormatting sqref="E69:S78">
    <cfRule type="containsBlanks" dxfId="216" priority="12">
      <formula>LEN(TRIM(E69))=0</formula>
    </cfRule>
  </conditionalFormatting>
  <conditionalFormatting sqref="E81:S90">
    <cfRule type="containsBlanks" dxfId="215" priority="13">
      <formula>LEN(TRIM(E81))=0</formula>
    </cfRule>
  </conditionalFormatting>
  <conditionalFormatting sqref="E93:S102">
    <cfRule type="containsBlanks" dxfId="214" priority="14">
      <formula>LEN(TRIM(E93))=0</formula>
    </cfRule>
  </conditionalFormatting>
  <conditionalFormatting sqref="E105:S114">
    <cfRule type="containsBlanks" dxfId="213" priority="15">
      <formula>LEN(TRIM(E105))=0</formula>
    </cfRule>
  </conditionalFormatting>
  <conditionalFormatting sqref="E117:S126">
    <cfRule type="containsBlanks" dxfId="212" priority="16">
      <formula>LEN(TRIM(E117))=0</formula>
    </cfRule>
  </conditionalFormatting>
  <conditionalFormatting sqref="E129:S138">
    <cfRule type="containsBlanks" dxfId="211" priority="17">
      <formula>LEN(TRIM(E129))=0</formula>
    </cfRule>
  </conditionalFormatting>
  <conditionalFormatting sqref="E141:S150">
    <cfRule type="containsBlanks" dxfId="210" priority="18">
      <formula>LEN(TRIM(E141))=0</formula>
    </cfRule>
  </conditionalFormatting>
  <conditionalFormatting sqref="E153:S162">
    <cfRule type="containsBlanks" dxfId="209" priority="19">
      <formula>LEN(TRIM(E153))=0</formula>
    </cfRule>
  </conditionalFormatting>
  <conditionalFormatting sqref="E165:S174">
    <cfRule type="containsBlanks" dxfId="208" priority="20">
      <formula>LEN(TRIM(E165))=0</formula>
    </cfRule>
  </conditionalFormatting>
  <conditionalFormatting sqref="E177:S186">
    <cfRule type="containsBlanks" dxfId="207" priority="21">
      <formula>LEN(TRIM(E177))=0</formula>
    </cfRule>
  </conditionalFormatting>
  <conditionalFormatting sqref="E189:S198">
    <cfRule type="containsBlanks" dxfId="206" priority="22">
      <formula>LEN(TRIM(E189))=0</formula>
    </cfRule>
  </conditionalFormatting>
  <conditionalFormatting sqref="E201:S210">
    <cfRule type="containsBlanks" dxfId="205" priority="23">
      <formula>LEN(TRIM(E201))=0</formula>
    </cfRule>
  </conditionalFormatting>
  <conditionalFormatting sqref="E213:S222">
    <cfRule type="containsBlanks" dxfId="204" priority="24">
      <formula>LEN(TRIM(E213))=0</formula>
    </cfRule>
  </conditionalFormatting>
  <conditionalFormatting sqref="E225:S234">
    <cfRule type="containsBlanks" dxfId="203" priority="25">
      <formula>LEN(TRIM(E225))=0</formula>
    </cfRule>
  </conditionalFormatting>
  <conditionalFormatting sqref="E237:S246">
    <cfRule type="containsBlanks" dxfId="202" priority="26">
      <formula>LEN(TRIM(E237))=0</formula>
    </cfRule>
  </conditionalFormatting>
  <conditionalFormatting sqref="E249:S258">
    <cfRule type="containsBlanks" dxfId="201" priority="27">
      <formula>LEN(TRIM(E249))=0</formula>
    </cfRule>
  </conditionalFormatting>
  <conditionalFormatting sqref="E262:S263">
    <cfRule type="containsBlanks" dxfId="200" priority="28">
      <formula>LEN(TRIM(E262))=0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FF00"/>
  </sheetPr>
  <dimension ref="A1:U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20" width="8.7109375" customWidth="1"/>
    <col min="21" max="21" width="13.28515625" customWidth="1"/>
    <col min="22" max="26" width="8.7109375" customWidth="1"/>
  </cols>
  <sheetData>
    <row r="1" spans="1:21" ht="12.75" customHeight="1" x14ac:dyDescent="0.4"/>
    <row r="2" spans="1:21" ht="12.75" customHeight="1" x14ac:dyDescent="0.4">
      <c r="C2" s="8" t="s">
        <v>0</v>
      </c>
      <c r="D2" s="8" t="s">
        <v>1</v>
      </c>
    </row>
    <row r="3" spans="1:21" ht="12.75" customHeight="1" x14ac:dyDescent="0.4">
      <c r="C3" s="8" t="s">
        <v>2</v>
      </c>
      <c r="D3" s="8" t="s">
        <v>1</v>
      </c>
    </row>
    <row r="4" spans="1:21" ht="12.75" customHeight="1" x14ac:dyDescent="0.4">
      <c r="C4" s="8" t="s">
        <v>3</v>
      </c>
      <c r="D4" s="8" t="s">
        <v>4</v>
      </c>
    </row>
    <row r="5" spans="1:21" ht="12.75" customHeight="1" x14ac:dyDescent="0.4">
      <c r="C5" s="8"/>
      <c r="D5" s="8"/>
    </row>
    <row r="6" spans="1:21" ht="12.75" customHeight="1" x14ac:dyDescent="0.4">
      <c r="C6" s="8"/>
      <c r="D6" s="8"/>
    </row>
    <row r="7" spans="1:21" ht="12.75" customHeight="1" x14ac:dyDescent="0.4">
      <c r="C7" s="8"/>
      <c r="D7" s="8"/>
    </row>
    <row r="8" spans="1:21" ht="12.75" customHeight="1" x14ac:dyDescent="0.4">
      <c r="C8" s="8"/>
      <c r="D8" s="8"/>
    </row>
    <row r="9" spans="1:21" ht="12.75" customHeight="1" x14ac:dyDescent="0.4">
      <c r="C9" s="8" t="s">
        <v>168</v>
      </c>
      <c r="D9" s="8" t="s">
        <v>211</v>
      </c>
    </row>
    <row r="10" spans="1:21" ht="12.75" customHeight="1" x14ac:dyDescent="0.4"/>
    <row r="11" spans="1:21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</row>
    <row r="12" spans="1:21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90" t="s">
        <v>7</v>
      </c>
    </row>
    <row r="13" spans="1:21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80"/>
    </row>
    <row r="14" spans="1:21" ht="12.75" customHeight="1" x14ac:dyDescent="0.4">
      <c r="A14" s="15"/>
      <c r="B14" s="75" t="s">
        <v>10</v>
      </c>
      <c r="C14" s="66"/>
      <c r="D14" s="16" t="s">
        <v>11</v>
      </c>
      <c r="E14" s="16">
        <v>132</v>
      </c>
      <c r="F14" s="16">
        <v>94</v>
      </c>
      <c r="G14" s="16">
        <v>99</v>
      </c>
      <c r="H14" s="16">
        <v>138</v>
      </c>
      <c r="I14" s="16">
        <v>146</v>
      </c>
      <c r="J14" s="16">
        <v>118</v>
      </c>
      <c r="K14" s="16">
        <v>114</v>
      </c>
      <c r="L14" s="16">
        <v>139</v>
      </c>
      <c r="M14" s="16">
        <v>141</v>
      </c>
      <c r="N14" s="16">
        <v>117</v>
      </c>
      <c r="O14" s="16">
        <v>130</v>
      </c>
      <c r="P14" s="16">
        <v>121</v>
      </c>
      <c r="Q14" s="16">
        <v>116</v>
      </c>
      <c r="R14" s="16">
        <v>132</v>
      </c>
      <c r="S14" s="16">
        <v>125</v>
      </c>
      <c r="T14" s="16">
        <v>108</v>
      </c>
      <c r="U14" s="13">
        <f t="shared" ref="U14:U16" si="0">SUM(E14:T14)</f>
        <v>1970</v>
      </c>
    </row>
    <row r="15" spans="1:21" ht="12.75" customHeight="1" x14ac:dyDescent="0.4">
      <c r="A15" s="15"/>
      <c r="B15" s="76"/>
      <c r="C15" s="77"/>
      <c r="D15" s="16" t="s">
        <v>12</v>
      </c>
      <c r="E15" s="16">
        <v>157</v>
      </c>
      <c r="F15" s="16">
        <v>109</v>
      </c>
      <c r="G15" s="16">
        <v>102</v>
      </c>
      <c r="H15" s="16">
        <v>146</v>
      </c>
      <c r="I15" s="16">
        <v>144</v>
      </c>
      <c r="J15" s="16">
        <v>117</v>
      </c>
      <c r="K15" s="16">
        <v>110</v>
      </c>
      <c r="L15" s="16">
        <v>151</v>
      </c>
      <c r="M15" s="16">
        <v>141</v>
      </c>
      <c r="N15" s="16">
        <v>119</v>
      </c>
      <c r="O15" s="16">
        <v>143</v>
      </c>
      <c r="P15" s="16">
        <v>132</v>
      </c>
      <c r="Q15" s="16">
        <v>114</v>
      </c>
      <c r="R15" s="16">
        <v>135</v>
      </c>
      <c r="S15" s="16">
        <v>128</v>
      </c>
      <c r="T15" s="16">
        <v>117</v>
      </c>
      <c r="U15" s="13">
        <f t="shared" si="0"/>
        <v>2065</v>
      </c>
    </row>
    <row r="16" spans="1:21" ht="12.75" customHeight="1" x14ac:dyDescent="0.4">
      <c r="A16" s="18"/>
      <c r="B16" s="73"/>
      <c r="C16" s="69"/>
      <c r="D16" s="13" t="s">
        <v>13</v>
      </c>
      <c r="E16" s="13">
        <f t="shared" ref="E16:T16" si="1">SUM(E14:E15)</f>
        <v>289</v>
      </c>
      <c r="F16" s="13">
        <f t="shared" si="1"/>
        <v>203</v>
      </c>
      <c r="G16" s="13">
        <f t="shared" si="1"/>
        <v>201</v>
      </c>
      <c r="H16" s="13">
        <f t="shared" si="1"/>
        <v>284</v>
      </c>
      <c r="I16" s="13">
        <f t="shared" si="1"/>
        <v>290</v>
      </c>
      <c r="J16" s="13">
        <f t="shared" si="1"/>
        <v>235</v>
      </c>
      <c r="K16" s="13">
        <f t="shared" si="1"/>
        <v>224</v>
      </c>
      <c r="L16" s="13">
        <f t="shared" si="1"/>
        <v>290</v>
      </c>
      <c r="M16" s="13">
        <f t="shared" si="1"/>
        <v>282</v>
      </c>
      <c r="N16" s="13">
        <f t="shared" si="1"/>
        <v>236</v>
      </c>
      <c r="O16" s="13">
        <f t="shared" si="1"/>
        <v>273</v>
      </c>
      <c r="P16" s="13">
        <f t="shared" si="1"/>
        <v>253</v>
      </c>
      <c r="Q16" s="13">
        <f t="shared" si="1"/>
        <v>230</v>
      </c>
      <c r="R16" s="13">
        <f t="shared" si="1"/>
        <v>267</v>
      </c>
      <c r="S16" s="13">
        <f t="shared" si="1"/>
        <v>253</v>
      </c>
      <c r="T16" s="13">
        <f t="shared" si="1"/>
        <v>225</v>
      </c>
      <c r="U16" s="13">
        <f t="shared" si="0"/>
        <v>4035</v>
      </c>
    </row>
    <row r="17" spans="1:21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48"/>
      <c r="U17" s="49"/>
    </row>
    <row r="18" spans="1:21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48"/>
      <c r="U18" s="49"/>
    </row>
    <row r="19" spans="1:21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122</v>
      </c>
      <c r="F19" s="16">
        <v>73</v>
      </c>
      <c r="G19" s="16">
        <v>72</v>
      </c>
      <c r="H19" s="16">
        <v>103</v>
      </c>
      <c r="I19" s="16">
        <v>100</v>
      </c>
      <c r="J19" s="16">
        <v>99</v>
      </c>
      <c r="K19" s="16">
        <v>78</v>
      </c>
      <c r="L19" s="16">
        <v>106</v>
      </c>
      <c r="M19" s="16">
        <v>107</v>
      </c>
      <c r="N19" s="16">
        <v>82</v>
      </c>
      <c r="O19" s="16">
        <v>100</v>
      </c>
      <c r="P19" s="16">
        <v>85</v>
      </c>
      <c r="Q19" s="16">
        <v>89</v>
      </c>
      <c r="R19" s="16">
        <v>99</v>
      </c>
      <c r="S19" s="16">
        <v>79</v>
      </c>
      <c r="T19" s="16">
        <v>87</v>
      </c>
      <c r="U19" s="13">
        <f t="shared" ref="U19:U30" si="2">SUM(E19:T19)</f>
        <v>1481</v>
      </c>
    </row>
    <row r="20" spans="1:21" ht="12.75" customHeight="1" x14ac:dyDescent="0.4">
      <c r="A20" s="21"/>
      <c r="B20" s="77"/>
      <c r="C20" s="79"/>
      <c r="D20" s="16" t="s">
        <v>12</v>
      </c>
      <c r="E20" s="16">
        <v>104</v>
      </c>
      <c r="F20" s="16">
        <v>90</v>
      </c>
      <c r="G20" s="16">
        <v>84</v>
      </c>
      <c r="H20" s="16">
        <v>114</v>
      </c>
      <c r="I20" s="16">
        <v>117</v>
      </c>
      <c r="J20" s="16">
        <v>105</v>
      </c>
      <c r="K20" s="16">
        <v>91</v>
      </c>
      <c r="L20" s="16">
        <v>116</v>
      </c>
      <c r="M20" s="16">
        <v>117</v>
      </c>
      <c r="N20" s="16">
        <v>93</v>
      </c>
      <c r="O20" s="16">
        <v>116</v>
      </c>
      <c r="P20" s="16">
        <v>107</v>
      </c>
      <c r="Q20" s="16">
        <v>94</v>
      </c>
      <c r="R20" s="16">
        <v>113</v>
      </c>
      <c r="S20" s="16">
        <v>94</v>
      </c>
      <c r="T20" s="16">
        <v>96</v>
      </c>
      <c r="U20" s="13">
        <f t="shared" si="2"/>
        <v>1651</v>
      </c>
    </row>
    <row r="21" spans="1:21" ht="12.75" customHeight="1" x14ac:dyDescent="0.4">
      <c r="A21" s="22"/>
      <c r="B21" s="69"/>
      <c r="C21" s="80"/>
      <c r="D21" s="13" t="s">
        <v>13</v>
      </c>
      <c r="E21" s="13">
        <f t="shared" ref="E21:T21" si="3">SUM(E19:E20)</f>
        <v>226</v>
      </c>
      <c r="F21" s="13">
        <f t="shared" si="3"/>
        <v>163</v>
      </c>
      <c r="G21" s="13">
        <f t="shared" si="3"/>
        <v>156</v>
      </c>
      <c r="H21" s="13">
        <f t="shared" si="3"/>
        <v>217</v>
      </c>
      <c r="I21" s="13">
        <f t="shared" si="3"/>
        <v>217</v>
      </c>
      <c r="J21" s="13">
        <f t="shared" si="3"/>
        <v>204</v>
      </c>
      <c r="K21" s="13">
        <f t="shared" si="3"/>
        <v>169</v>
      </c>
      <c r="L21" s="13">
        <f t="shared" si="3"/>
        <v>222</v>
      </c>
      <c r="M21" s="13">
        <f t="shared" si="3"/>
        <v>224</v>
      </c>
      <c r="N21" s="13">
        <f t="shared" si="3"/>
        <v>175</v>
      </c>
      <c r="O21" s="13">
        <f t="shared" si="3"/>
        <v>216</v>
      </c>
      <c r="P21" s="13">
        <f t="shared" si="3"/>
        <v>192</v>
      </c>
      <c r="Q21" s="13">
        <f t="shared" si="3"/>
        <v>183</v>
      </c>
      <c r="R21" s="13">
        <f t="shared" si="3"/>
        <v>212</v>
      </c>
      <c r="S21" s="13">
        <f t="shared" si="3"/>
        <v>173</v>
      </c>
      <c r="T21" s="13">
        <f t="shared" si="3"/>
        <v>183</v>
      </c>
      <c r="U21" s="13">
        <f t="shared" si="2"/>
        <v>3132</v>
      </c>
    </row>
    <row r="22" spans="1:21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3">
        <f t="shared" si="2"/>
        <v>0</v>
      </c>
    </row>
    <row r="23" spans="1:21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1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3">
        <f t="shared" si="2"/>
        <v>1</v>
      </c>
    </row>
    <row r="24" spans="1:21" ht="12.75" customHeight="1" x14ac:dyDescent="0.4">
      <c r="A24" s="22"/>
      <c r="B24" s="69"/>
      <c r="C24" s="80"/>
      <c r="D24" s="13" t="s">
        <v>13</v>
      </c>
      <c r="E24" s="13">
        <f t="shared" ref="E24:T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1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2"/>
        <v>1</v>
      </c>
    </row>
    <row r="25" spans="1:21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2</v>
      </c>
      <c r="F25" s="16">
        <v>2</v>
      </c>
      <c r="G25" s="16">
        <v>0</v>
      </c>
      <c r="H25" s="16">
        <v>4</v>
      </c>
      <c r="I25" s="16">
        <v>3</v>
      </c>
      <c r="J25" s="16">
        <v>1</v>
      </c>
      <c r="K25" s="16">
        <v>4</v>
      </c>
      <c r="L25" s="16">
        <v>3</v>
      </c>
      <c r="M25" s="16">
        <v>3</v>
      </c>
      <c r="N25" s="16">
        <v>2</v>
      </c>
      <c r="O25" s="16">
        <v>5</v>
      </c>
      <c r="P25" s="16">
        <v>3</v>
      </c>
      <c r="Q25" s="16">
        <v>0</v>
      </c>
      <c r="R25" s="16">
        <v>1</v>
      </c>
      <c r="S25" s="16">
        <v>10</v>
      </c>
      <c r="T25" s="16">
        <v>7</v>
      </c>
      <c r="U25" s="13">
        <f t="shared" si="2"/>
        <v>50</v>
      </c>
    </row>
    <row r="26" spans="1:21" ht="12.75" customHeight="1" x14ac:dyDescent="0.4">
      <c r="A26" s="21"/>
      <c r="B26" s="77"/>
      <c r="C26" s="79"/>
      <c r="D26" s="16" t="s">
        <v>12</v>
      </c>
      <c r="E26" s="16">
        <v>5</v>
      </c>
      <c r="F26" s="16">
        <v>3</v>
      </c>
      <c r="G26" s="16">
        <v>1</v>
      </c>
      <c r="H26" s="16">
        <v>7</v>
      </c>
      <c r="I26" s="16">
        <v>6</v>
      </c>
      <c r="J26" s="16">
        <v>4</v>
      </c>
      <c r="K26" s="16">
        <v>4</v>
      </c>
      <c r="L26" s="16">
        <v>1</v>
      </c>
      <c r="M26" s="16">
        <v>3</v>
      </c>
      <c r="N26" s="16">
        <v>1</v>
      </c>
      <c r="O26" s="16">
        <v>4</v>
      </c>
      <c r="P26" s="16">
        <v>3</v>
      </c>
      <c r="Q26" s="16">
        <v>1</v>
      </c>
      <c r="R26" s="16">
        <v>2</v>
      </c>
      <c r="S26" s="16">
        <v>12</v>
      </c>
      <c r="T26" s="16">
        <v>9</v>
      </c>
      <c r="U26" s="13">
        <f t="shared" si="2"/>
        <v>66</v>
      </c>
    </row>
    <row r="27" spans="1:21" ht="12.75" customHeight="1" x14ac:dyDescent="0.4">
      <c r="A27" s="22"/>
      <c r="B27" s="69"/>
      <c r="C27" s="80"/>
      <c r="D27" s="13" t="s">
        <v>13</v>
      </c>
      <c r="E27" s="13">
        <f t="shared" ref="E27:T27" si="5">SUM(E25:E26)</f>
        <v>7</v>
      </c>
      <c r="F27" s="13">
        <f t="shared" si="5"/>
        <v>5</v>
      </c>
      <c r="G27" s="13">
        <f t="shared" si="5"/>
        <v>1</v>
      </c>
      <c r="H27" s="13">
        <f t="shared" si="5"/>
        <v>11</v>
      </c>
      <c r="I27" s="13">
        <f t="shared" si="5"/>
        <v>9</v>
      </c>
      <c r="J27" s="13">
        <f t="shared" si="5"/>
        <v>5</v>
      </c>
      <c r="K27" s="13">
        <f t="shared" si="5"/>
        <v>8</v>
      </c>
      <c r="L27" s="13">
        <f t="shared" si="5"/>
        <v>4</v>
      </c>
      <c r="M27" s="13">
        <f t="shared" si="5"/>
        <v>6</v>
      </c>
      <c r="N27" s="13">
        <f t="shared" si="5"/>
        <v>3</v>
      </c>
      <c r="O27" s="13">
        <f t="shared" si="5"/>
        <v>9</v>
      </c>
      <c r="P27" s="13">
        <f t="shared" si="5"/>
        <v>6</v>
      </c>
      <c r="Q27" s="13">
        <f t="shared" si="5"/>
        <v>1</v>
      </c>
      <c r="R27" s="13">
        <f t="shared" si="5"/>
        <v>3</v>
      </c>
      <c r="S27" s="13">
        <f t="shared" si="5"/>
        <v>22</v>
      </c>
      <c r="T27" s="13">
        <f t="shared" si="5"/>
        <v>16</v>
      </c>
      <c r="U27" s="13">
        <f t="shared" si="2"/>
        <v>116</v>
      </c>
    </row>
    <row r="28" spans="1:21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T28" si="6">SUM(E19,E22,E25)</f>
        <v>124</v>
      </c>
      <c r="F28" s="13">
        <f t="shared" si="6"/>
        <v>75</v>
      </c>
      <c r="G28" s="13">
        <f t="shared" si="6"/>
        <v>72</v>
      </c>
      <c r="H28" s="13">
        <f t="shared" si="6"/>
        <v>107</v>
      </c>
      <c r="I28" s="13">
        <f t="shared" si="6"/>
        <v>103</v>
      </c>
      <c r="J28" s="13">
        <f t="shared" si="6"/>
        <v>100</v>
      </c>
      <c r="K28" s="13">
        <f t="shared" si="6"/>
        <v>82</v>
      </c>
      <c r="L28" s="13">
        <f t="shared" si="6"/>
        <v>109</v>
      </c>
      <c r="M28" s="13">
        <f t="shared" si="6"/>
        <v>110</v>
      </c>
      <c r="N28" s="13">
        <f t="shared" si="6"/>
        <v>84</v>
      </c>
      <c r="O28" s="13">
        <f t="shared" si="6"/>
        <v>105</v>
      </c>
      <c r="P28" s="13">
        <f t="shared" si="6"/>
        <v>88</v>
      </c>
      <c r="Q28" s="13">
        <f t="shared" si="6"/>
        <v>89</v>
      </c>
      <c r="R28" s="13">
        <f t="shared" si="6"/>
        <v>100</v>
      </c>
      <c r="S28" s="13">
        <f t="shared" si="6"/>
        <v>89</v>
      </c>
      <c r="T28" s="13">
        <f t="shared" si="6"/>
        <v>94</v>
      </c>
      <c r="U28" s="13">
        <f t="shared" si="2"/>
        <v>1531</v>
      </c>
    </row>
    <row r="29" spans="1:21" ht="12.75" customHeight="1" x14ac:dyDescent="0.4">
      <c r="A29" s="22"/>
      <c r="B29" s="77"/>
      <c r="C29" s="79"/>
      <c r="D29" s="13" t="s">
        <v>12</v>
      </c>
      <c r="E29" s="13">
        <f t="shared" ref="E29:T29" si="7">SUM(E20,E23,E26)</f>
        <v>109</v>
      </c>
      <c r="F29" s="13">
        <f t="shared" si="7"/>
        <v>93</v>
      </c>
      <c r="G29" s="13">
        <f t="shared" si="7"/>
        <v>85</v>
      </c>
      <c r="H29" s="13">
        <f t="shared" si="7"/>
        <v>121</v>
      </c>
      <c r="I29" s="13">
        <f t="shared" si="7"/>
        <v>123</v>
      </c>
      <c r="J29" s="13">
        <f t="shared" si="7"/>
        <v>109</v>
      </c>
      <c r="K29" s="13">
        <f t="shared" si="7"/>
        <v>95</v>
      </c>
      <c r="L29" s="13">
        <f t="shared" si="7"/>
        <v>117</v>
      </c>
      <c r="M29" s="13">
        <f t="shared" si="7"/>
        <v>120</v>
      </c>
      <c r="N29" s="13">
        <f t="shared" si="7"/>
        <v>95</v>
      </c>
      <c r="O29" s="13">
        <f t="shared" si="7"/>
        <v>120</v>
      </c>
      <c r="P29" s="13">
        <f t="shared" si="7"/>
        <v>110</v>
      </c>
      <c r="Q29" s="13">
        <f t="shared" si="7"/>
        <v>95</v>
      </c>
      <c r="R29" s="13">
        <f t="shared" si="7"/>
        <v>115</v>
      </c>
      <c r="S29" s="13">
        <f t="shared" si="7"/>
        <v>106</v>
      </c>
      <c r="T29" s="13">
        <f t="shared" si="7"/>
        <v>105</v>
      </c>
      <c r="U29" s="13">
        <f t="shared" si="2"/>
        <v>1718</v>
      </c>
    </row>
    <row r="30" spans="1:21" ht="12.75" customHeight="1" x14ac:dyDescent="0.4">
      <c r="A30" s="22"/>
      <c r="B30" s="69"/>
      <c r="C30" s="80"/>
      <c r="D30" s="13" t="s">
        <v>13</v>
      </c>
      <c r="E30" s="13">
        <f t="shared" ref="E30:T30" si="8">SUM(E28:E29)</f>
        <v>233</v>
      </c>
      <c r="F30" s="13">
        <f t="shared" si="8"/>
        <v>168</v>
      </c>
      <c r="G30" s="13">
        <f t="shared" si="8"/>
        <v>157</v>
      </c>
      <c r="H30" s="13">
        <f t="shared" si="8"/>
        <v>228</v>
      </c>
      <c r="I30" s="13">
        <f t="shared" si="8"/>
        <v>226</v>
      </c>
      <c r="J30" s="13">
        <f t="shared" si="8"/>
        <v>209</v>
      </c>
      <c r="K30" s="13">
        <f t="shared" si="8"/>
        <v>177</v>
      </c>
      <c r="L30" s="13">
        <f t="shared" si="8"/>
        <v>226</v>
      </c>
      <c r="M30" s="13">
        <f t="shared" si="8"/>
        <v>230</v>
      </c>
      <c r="N30" s="13">
        <f t="shared" si="8"/>
        <v>179</v>
      </c>
      <c r="O30" s="13">
        <f t="shared" si="8"/>
        <v>225</v>
      </c>
      <c r="P30" s="13">
        <f t="shared" si="8"/>
        <v>198</v>
      </c>
      <c r="Q30" s="13">
        <f t="shared" si="8"/>
        <v>184</v>
      </c>
      <c r="R30" s="13">
        <f t="shared" si="8"/>
        <v>215</v>
      </c>
      <c r="S30" s="13">
        <f t="shared" si="8"/>
        <v>195</v>
      </c>
      <c r="T30" s="13">
        <f t="shared" si="8"/>
        <v>199</v>
      </c>
      <c r="U30" s="13">
        <f t="shared" si="2"/>
        <v>3249</v>
      </c>
    </row>
    <row r="31" spans="1:21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48"/>
      <c r="U31" s="49"/>
    </row>
    <row r="32" spans="1:21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50"/>
      <c r="U32" s="49"/>
    </row>
    <row r="33" spans="1:21" ht="12.75" customHeight="1" x14ac:dyDescent="0.4">
      <c r="A33" s="16">
        <v>1</v>
      </c>
      <c r="B33" s="74" t="s">
        <v>26</v>
      </c>
      <c r="C33" s="61"/>
      <c r="D33" s="62"/>
      <c r="E33" s="16">
        <v>295</v>
      </c>
      <c r="F33" s="16">
        <v>209</v>
      </c>
      <c r="G33" s="16">
        <v>206</v>
      </c>
      <c r="H33" s="16">
        <v>290</v>
      </c>
      <c r="I33" s="16">
        <v>296</v>
      </c>
      <c r="J33" s="16">
        <v>240</v>
      </c>
      <c r="K33" s="16">
        <v>230</v>
      </c>
      <c r="L33" s="16">
        <v>296</v>
      </c>
      <c r="M33" s="16">
        <v>288</v>
      </c>
      <c r="N33" s="16">
        <v>241</v>
      </c>
      <c r="O33" s="16">
        <v>279</v>
      </c>
      <c r="P33" s="16">
        <v>259</v>
      </c>
      <c r="Q33" s="16">
        <v>235</v>
      </c>
      <c r="R33" s="16">
        <v>273</v>
      </c>
      <c r="S33" s="16">
        <v>259</v>
      </c>
      <c r="T33" s="16">
        <v>230</v>
      </c>
      <c r="U33" s="13">
        <f t="shared" ref="U33:U36" si="9">SUM(E33:T33)</f>
        <v>4126</v>
      </c>
    </row>
    <row r="34" spans="1:21" ht="12.75" customHeight="1" x14ac:dyDescent="0.4">
      <c r="A34" s="16">
        <v>2</v>
      </c>
      <c r="B34" s="74" t="s">
        <v>27</v>
      </c>
      <c r="C34" s="61"/>
      <c r="D34" s="62"/>
      <c r="E34" s="13">
        <v>233</v>
      </c>
      <c r="F34" s="13">
        <v>168</v>
      </c>
      <c r="G34" s="13">
        <v>157</v>
      </c>
      <c r="H34" s="13">
        <v>228</v>
      </c>
      <c r="I34" s="13">
        <v>226</v>
      </c>
      <c r="J34" s="13">
        <v>209</v>
      </c>
      <c r="K34" s="13">
        <v>177</v>
      </c>
      <c r="L34" s="13">
        <v>226</v>
      </c>
      <c r="M34" s="13">
        <v>230</v>
      </c>
      <c r="N34" s="13">
        <v>179</v>
      </c>
      <c r="O34" s="13">
        <v>225</v>
      </c>
      <c r="P34" s="13">
        <v>198</v>
      </c>
      <c r="Q34" s="13">
        <v>184</v>
      </c>
      <c r="R34" s="13">
        <v>215</v>
      </c>
      <c r="S34" s="13">
        <v>195</v>
      </c>
      <c r="T34" s="13">
        <v>199</v>
      </c>
      <c r="U34" s="13">
        <f t="shared" si="9"/>
        <v>3249</v>
      </c>
    </row>
    <row r="35" spans="1:21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1</v>
      </c>
      <c r="G35" s="16">
        <v>0</v>
      </c>
      <c r="H35" s="16">
        <v>0</v>
      </c>
      <c r="I35" s="16">
        <v>0</v>
      </c>
      <c r="J35" s="16">
        <v>1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3">
        <f t="shared" si="9"/>
        <v>2</v>
      </c>
    </row>
    <row r="36" spans="1:21" ht="12.75" customHeight="1" x14ac:dyDescent="0.4">
      <c r="A36" s="16">
        <v>4</v>
      </c>
      <c r="B36" s="74" t="s">
        <v>29</v>
      </c>
      <c r="C36" s="61"/>
      <c r="D36" s="62"/>
      <c r="E36" s="13">
        <f t="shared" ref="E36:T36" si="10">E33-(E34+E35)</f>
        <v>62</v>
      </c>
      <c r="F36" s="13">
        <f t="shared" si="10"/>
        <v>40</v>
      </c>
      <c r="G36" s="13">
        <f t="shared" si="10"/>
        <v>49</v>
      </c>
      <c r="H36" s="13">
        <f t="shared" si="10"/>
        <v>62</v>
      </c>
      <c r="I36" s="13">
        <f t="shared" si="10"/>
        <v>70</v>
      </c>
      <c r="J36" s="13">
        <f t="shared" si="10"/>
        <v>30</v>
      </c>
      <c r="K36" s="13">
        <f t="shared" si="10"/>
        <v>53</v>
      </c>
      <c r="L36" s="13">
        <f t="shared" si="10"/>
        <v>70</v>
      </c>
      <c r="M36" s="13">
        <f t="shared" si="10"/>
        <v>58</v>
      </c>
      <c r="N36" s="13">
        <f t="shared" si="10"/>
        <v>62</v>
      </c>
      <c r="O36" s="13">
        <f t="shared" si="10"/>
        <v>54</v>
      </c>
      <c r="P36" s="13">
        <f t="shared" si="10"/>
        <v>61</v>
      </c>
      <c r="Q36" s="13">
        <f t="shared" si="10"/>
        <v>51</v>
      </c>
      <c r="R36" s="13">
        <f t="shared" si="10"/>
        <v>58</v>
      </c>
      <c r="S36" s="13">
        <f t="shared" si="10"/>
        <v>64</v>
      </c>
      <c r="T36" s="13">
        <f t="shared" si="10"/>
        <v>31</v>
      </c>
      <c r="U36" s="13">
        <f t="shared" si="9"/>
        <v>875</v>
      </c>
    </row>
    <row r="37" spans="1:21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51"/>
      <c r="U37" s="49"/>
    </row>
    <row r="38" spans="1:21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50"/>
      <c r="U38" s="49"/>
    </row>
    <row r="39" spans="1:21" ht="12.75" customHeight="1" x14ac:dyDescent="0.4">
      <c r="A39" s="20"/>
      <c r="B39" s="84" t="s">
        <v>32</v>
      </c>
      <c r="C39" s="66"/>
      <c r="D39" s="16" t="s">
        <v>11</v>
      </c>
      <c r="E39" s="16">
        <v>2</v>
      </c>
      <c r="F39" s="16">
        <v>1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1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3">
        <f t="shared" ref="U39:U41" si="11">SUM(E39:T39)</f>
        <v>4</v>
      </c>
    </row>
    <row r="40" spans="1:21" ht="12.75" customHeight="1" x14ac:dyDescent="0.4">
      <c r="A40" s="21"/>
      <c r="B40" s="85"/>
      <c r="C40" s="77"/>
      <c r="D40" s="16" t="s">
        <v>12</v>
      </c>
      <c r="E40" s="16">
        <v>1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2</v>
      </c>
      <c r="T40" s="16">
        <v>0</v>
      </c>
      <c r="U40" s="13">
        <f t="shared" si="11"/>
        <v>3</v>
      </c>
    </row>
    <row r="41" spans="1:21" ht="12.75" customHeight="1" x14ac:dyDescent="0.4">
      <c r="A41" s="25"/>
      <c r="B41" s="68"/>
      <c r="C41" s="69"/>
      <c r="D41" s="13" t="s">
        <v>13</v>
      </c>
      <c r="E41" s="13">
        <f t="shared" ref="E41:T41" si="12">SUM(E39:E40)</f>
        <v>3</v>
      </c>
      <c r="F41" s="13">
        <f t="shared" si="12"/>
        <v>1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1</v>
      </c>
      <c r="M41" s="13">
        <f t="shared" si="12"/>
        <v>0</v>
      </c>
      <c r="N41" s="13">
        <f t="shared" si="12"/>
        <v>0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2"/>
        <v>2</v>
      </c>
      <c r="T41" s="13">
        <f t="shared" si="12"/>
        <v>0</v>
      </c>
      <c r="U41" s="13">
        <f t="shared" si="11"/>
        <v>7</v>
      </c>
    </row>
    <row r="42" spans="1:21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48"/>
      <c r="U42" s="13"/>
    </row>
    <row r="43" spans="1:21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50"/>
      <c r="U43" s="13"/>
    </row>
    <row r="44" spans="1:21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48"/>
      <c r="U44" s="13"/>
    </row>
    <row r="45" spans="1:21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3</v>
      </c>
      <c r="F45" s="16">
        <v>3</v>
      </c>
      <c r="G45" s="16">
        <v>2</v>
      </c>
      <c r="H45" s="16">
        <v>1</v>
      </c>
      <c r="I45" s="16">
        <v>3</v>
      </c>
      <c r="J45" s="16">
        <v>0</v>
      </c>
      <c r="K45" s="16">
        <v>0</v>
      </c>
      <c r="L45" s="16">
        <v>6</v>
      </c>
      <c r="M45" s="16">
        <v>4</v>
      </c>
      <c r="N45" s="16">
        <v>1</v>
      </c>
      <c r="O45" s="16">
        <v>4</v>
      </c>
      <c r="P45" s="16">
        <v>7</v>
      </c>
      <c r="Q45" s="16">
        <v>10</v>
      </c>
      <c r="R45" s="16">
        <v>8</v>
      </c>
      <c r="S45" s="16">
        <v>1</v>
      </c>
      <c r="T45" s="16">
        <v>1</v>
      </c>
      <c r="U45" s="13">
        <f t="shared" ref="U45:U54" si="13">SUM(E45:T45)</f>
        <v>54</v>
      </c>
    </row>
    <row r="46" spans="1:21" ht="12.75" customHeight="1" x14ac:dyDescent="0.4">
      <c r="A46" s="20" t="s">
        <v>38</v>
      </c>
      <c r="B46" s="28"/>
      <c r="C46" s="29" t="s">
        <v>39</v>
      </c>
      <c r="D46" s="30"/>
      <c r="E46" s="16">
        <v>1</v>
      </c>
      <c r="F46" s="16">
        <v>3</v>
      </c>
      <c r="G46" s="16">
        <v>3</v>
      </c>
      <c r="H46" s="16">
        <v>3</v>
      </c>
      <c r="I46" s="16">
        <v>1</v>
      </c>
      <c r="J46" s="16">
        <v>0</v>
      </c>
      <c r="K46" s="16">
        <v>3</v>
      </c>
      <c r="L46" s="16">
        <v>0</v>
      </c>
      <c r="M46" s="16">
        <v>0</v>
      </c>
      <c r="N46" s="16">
        <v>6</v>
      </c>
      <c r="O46" s="16">
        <v>9</v>
      </c>
      <c r="P46" s="16">
        <v>4</v>
      </c>
      <c r="Q46" s="16">
        <v>6</v>
      </c>
      <c r="R46" s="16">
        <v>3</v>
      </c>
      <c r="S46" s="16">
        <v>5</v>
      </c>
      <c r="T46" s="16">
        <v>2</v>
      </c>
      <c r="U46" s="13">
        <f t="shared" si="13"/>
        <v>49</v>
      </c>
    </row>
    <row r="47" spans="1:21" ht="12.75" customHeight="1" x14ac:dyDescent="0.4">
      <c r="A47" s="15"/>
      <c r="B47" s="28"/>
      <c r="C47" s="29" t="s">
        <v>40</v>
      </c>
      <c r="D47" s="30"/>
      <c r="E47" s="16">
        <v>2</v>
      </c>
      <c r="F47" s="16">
        <v>1</v>
      </c>
      <c r="G47" s="16">
        <v>0</v>
      </c>
      <c r="H47" s="16">
        <v>0</v>
      </c>
      <c r="I47" s="16">
        <v>1</v>
      </c>
      <c r="J47" s="16">
        <v>2</v>
      </c>
      <c r="K47" s="16">
        <v>8</v>
      </c>
      <c r="L47" s="16">
        <v>1</v>
      </c>
      <c r="M47" s="16">
        <v>2</v>
      </c>
      <c r="N47" s="16">
        <v>1</v>
      </c>
      <c r="O47" s="16">
        <v>1</v>
      </c>
      <c r="P47" s="16">
        <v>10</v>
      </c>
      <c r="Q47" s="16">
        <v>16</v>
      </c>
      <c r="R47" s="16">
        <v>9</v>
      </c>
      <c r="S47" s="16">
        <v>2</v>
      </c>
      <c r="T47" s="16">
        <v>1</v>
      </c>
      <c r="U47" s="13">
        <f t="shared" si="13"/>
        <v>57</v>
      </c>
    </row>
    <row r="48" spans="1:21" ht="12.75" customHeight="1" x14ac:dyDescent="0.4">
      <c r="A48" s="15"/>
      <c r="B48" s="28"/>
      <c r="C48" s="29" t="s">
        <v>41</v>
      </c>
      <c r="D48" s="30"/>
      <c r="E48" s="16">
        <v>1</v>
      </c>
      <c r="F48" s="16">
        <v>0</v>
      </c>
      <c r="G48" s="16">
        <v>1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1</v>
      </c>
      <c r="P48" s="16">
        <v>0</v>
      </c>
      <c r="Q48" s="16">
        <v>0</v>
      </c>
      <c r="R48" s="16">
        <v>1</v>
      </c>
      <c r="S48" s="16">
        <v>1</v>
      </c>
      <c r="T48" s="16">
        <v>0</v>
      </c>
      <c r="U48" s="13">
        <f t="shared" si="13"/>
        <v>5</v>
      </c>
    </row>
    <row r="49" spans="1:21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1</v>
      </c>
      <c r="L49" s="16">
        <v>0</v>
      </c>
      <c r="M49" s="16">
        <v>1</v>
      </c>
      <c r="N49" s="16">
        <v>0</v>
      </c>
      <c r="O49" s="16">
        <v>0</v>
      </c>
      <c r="P49" s="16">
        <v>1</v>
      </c>
      <c r="Q49" s="16">
        <v>0</v>
      </c>
      <c r="R49" s="16">
        <v>0</v>
      </c>
      <c r="S49" s="16">
        <v>1</v>
      </c>
      <c r="T49" s="16">
        <v>0</v>
      </c>
      <c r="U49" s="13">
        <f t="shared" si="13"/>
        <v>4</v>
      </c>
    </row>
    <row r="50" spans="1:21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2</v>
      </c>
      <c r="I50" s="16">
        <v>1</v>
      </c>
      <c r="J50" s="16">
        <v>2</v>
      </c>
      <c r="K50" s="16">
        <v>1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3">
        <f t="shared" si="13"/>
        <v>6</v>
      </c>
    </row>
    <row r="51" spans="1:21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1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1</v>
      </c>
      <c r="N51" s="16">
        <v>0</v>
      </c>
      <c r="O51" s="16">
        <v>0</v>
      </c>
      <c r="P51" s="16">
        <v>0</v>
      </c>
      <c r="Q51" s="16">
        <v>0</v>
      </c>
      <c r="R51" s="16">
        <v>0</v>
      </c>
      <c r="S51" s="16">
        <v>1</v>
      </c>
      <c r="T51" s="16">
        <v>0</v>
      </c>
      <c r="U51" s="13">
        <f t="shared" si="13"/>
        <v>3</v>
      </c>
    </row>
    <row r="52" spans="1:21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13">
        <f t="shared" si="13"/>
        <v>0</v>
      </c>
    </row>
    <row r="53" spans="1:21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13">
        <f t="shared" si="13"/>
        <v>0</v>
      </c>
    </row>
    <row r="54" spans="1:21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13">
        <f t="shared" si="13"/>
        <v>0</v>
      </c>
    </row>
    <row r="55" spans="1:21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U55" si="14">SUM(E45:E54)</f>
        <v>7</v>
      </c>
      <c r="F55" s="13">
        <f t="shared" si="14"/>
        <v>8</v>
      </c>
      <c r="G55" s="13">
        <f t="shared" si="14"/>
        <v>6</v>
      </c>
      <c r="H55" s="13">
        <f t="shared" si="14"/>
        <v>6</v>
      </c>
      <c r="I55" s="13">
        <f t="shared" si="14"/>
        <v>6</v>
      </c>
      <c r="J55" s="13">
        <f t="shared" si="14"/>
        <v>4</v>
      </c>
      <c r="K55" s="13">
        <f t="shared" si="14"/>
        <v>13</v>
      </c>
      <c r="L55" s="13">
        <f t="shared" si="14"/>
        <v>7</v>
      </c>
      <c r="M55" s="13">
        <f t="shared" si="14"/>
        <v>8</v>
      </c>
      <c r="N55" s="13">
        <f t="shared" si="14"/>
        <v>8</v>
      </c>
      <c r="O55" s="13">
        <f t="shared" si="14"/>
        <v>15</v>
      </c>
      <c r="P55" s="13">
        <f t="shared" si="14"/>
        <v>22</v>
      </c>
      <c r="Q55" s="13">
        <f t="shared" si="14"/>
        <v>32</v>
      </c>
      <c r="R55" s="13">
        <f t="shared" si="14"/>
        <v>21</v>
      </c>
      <c r="S55" s="13">
        <f t="shared" si="14"/>
        <v>11</v>
      </c>
      <c r="T55" s="13">
        <f t="shared" si="14"/>
        <v>4</v>
      </c>
      <c r="U55" s="13">
        <f t="shared" si="14"/>
        <v>178</v>
      </c>
    </row>
    <row r="56" spans="1:21" ht="12.75" customHeight="1" x14ac:dyDescent="0.4">
      <c r="A56" s="86"/>
      <c r="B56" s="68"/>
      <c r="C56" s="68"/>
      <c r="D56" s="68"/>
      <c r="E56" s="68"/>
      <c r="U56" s="13"/>
    </row>
    <row r="57" spans="1:21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6</v>
      </c>
      <c r="F57" s="16">
        <v>1</v>
      </c>
      <c r="G57" s="16">
        <v>3</v>
      </c>
      <c r="H57" s="16">
        <v>5</v>
      </c>
      <c r="I57" s="16">
        <v>2</v>
      </c>
      <c r="J57" s="16">
        <v>1</v>
      </c>
      <c r="K57" s="16">
        <v>6</v>
      </c>
      <c r="L57" s="16">
        <v>11</v>
      </c>
      <c r="M57" s="16">
        <v>7</v>
      </c>
      <c r="N57" s="16">
        <v>5</v>
      </c>
      <c r="O57" s="16">
        <v>10</v>
      </c>
      <c r="P57" s="16">
        <v>8</v>
      </c>
      <c r="Q57" s="16">
        <v>10</v>
      </c>
      <c r="R57" s="16">
        <v>10</v>
      </c>
      <c r="S57" s="16">
        <v>14</v>
      </c>
      <c r="T57" s="16">
        <v>7</v>
      </c>
      <c r="U57" s="13">
        <f t="shared" ref="U57:U66" si="15">SUM(E57:T57)</f>
        <v>106</v>
      </c>
    </row>
    <row r="58" spans="1:21" ht="12.75" customHeight="1" x14ac:dyDescent="0.4">
      <c r="A58" s="20" t="s">
        <v>38</v>
      </c>
      <c r="B58" s="28"/>
      <c r="C58" s="29" t="s">
        <v>47</v>
      </c>
      <c r="D58" s="30"/>
      <c r="E58" s="16">
        <v>4</v>
      </c>
      <c r="F58" s="16">
        <v>8</v>
      </c>
      <c r="G58" s="16">
        <v>0</v>
      </c>
      <c r="H58" s="16">
        <v>6</v>
      </c>
      <c r="I58" s="16">
        <v>7</v>
      </c>
      <c r="J58" s="16">
        <v>1</v>
      </c>
      <c r="K58" s="16">
        <v>3</v>
      </c>
      <c r="L58" s="16">
        <v>9</v>
      </c>
      <c r="M58" s="16">
        <v>6</v>
      </c>
      <c r="N58" s="16">
        <v>4</v>
      </c>
      <c r="O58" s="16">
        <v>8</v>
      </c>
      <c r="P58" s="16">
        <v>6</v>
      </c>
      <c r="Q58" s="16">
        <v>9</v>
      </c>
      <c r="R58" s="16">
        <v>6</v>
      </c>
      <c r="S58" s="16">
        <v>10</v>
      </c>
      <c r="T58" s="16">
        <v>9</v>
      </c>
      <c r="U58" s="13">
        <f t="shared" si="15"/>
        <v>96</v>
      </c>
    </row>
    <row r="59" spans="1:21" ht="12.75" customHeight="1" x14ac:dyDescent="0.4">
      <c r="A59" s="15"/>
      <c r="B59" s="28"/>
      <c r="C59" s="29" t="s">
        <v>48</v>
      </c>
      <c r="D59" s="30"/>
      <c r="E59" s="16">
        <v>1</v>
      </c>
      <c r="F59" s="16">
        <v>1</v>
      </c>
      <c r="G59" s="16">
        <v>2</v>
      </c>
      <c r="H59" s="16">
        <v>1</v>
      </c>
      <c r="I59" s="16">
        <v>0</v>
      </c>
      <c r="J59" s="16">
        <v>1</v>
      </c>
      <c r="K59" s="16">
        <v>0</v>
      </c>
      <c r="L59" s="16">
        <v>5</v>
      </c>
      <c r="M59" s="16">
        <v>1</v>
      </c>
      <c r="N59" s="16">
        <v>1</v>
      </c>
      <c r="O59" s="16">
        <v>6</v>
      </c>
      <c r="P59" s="16">
        <v>2</v>
      </c>
      <c r="Q59" s="16">
        <v>3</v>
      </c>
      <c r="R59" s="16">
        <v>0</v>
      </c>
      <c r="S59" s="16">
        <v>1</v>
      </c>
      <c r="T59" s="16">
        <v>3</v>
      </c>
      <c r="U59" s="13">
        <f t="shared" si="15"/>
        <v>28</v>
      </c>
    </row>
    <row r="60" spans="1:21" ht="12.75" customHeight="1" x14ac:dyDescent="0.4">
      <c r="A60" s="15"/>
      <c r="B60" s="28"/>
      <c r="C60" s="29" t="s">
        <v>49</v>
      </c>
      <c r="D60" s="30"/>
      <c r="E60" s="16">
        <v>0</v>
      </c>
      <c r="F60" s="16">
        <v>0</v>
      </c>
      <c r="G60" s="16">
        <v>0</v>
      </c>
      <c r="H60" s="16">
        <v>3</v>
      </c>
      <c r="I60" s="16">
        <v>1</v>
      </c>
      <c r="J60" s="16">
        <v>2</v>
      </c>
      <c r="K60" s="16">
        <v>0</v>
      </c>
      <c r="L60" s="16">
        <v>0</v>
      </c>
      <c r="M60" s="16">
        <v>0</v>
      </c>
      <c r="N60" s="16">
        <v>1</v>
      </c>
      <c r="O60" s="16">
        <v>3</v>
      </c>
      <c r="P60" s="16">
        <v>1</v>
      </c>
      <c r="Q60" s="16">
        <v>2</v>
      </c>
      <c r="R60" s="16">
        <v>2</v>
      </c>
      <c r="S60" s="16">
        <v>1</v>
      </c>
      <c r="T60" s="16">
        <v>1</v>
      </c>
      <c r="U60" s="13">
        <f t="shared" si="15"/>
        <v>17</v>
      </c>
    </row>
    <row r="61" spans="1:21" ht="12.75" customHeight="1" x14ac:dyDescent="0.4">
      <c r="A61" s="15"/>
      <c r="B61" s="28"/>
      <c r="C61" s="29" t="s">
        <v>50</v>
      </c>
      <c r="D61" s="30"/>
      <c r="E61" s="16">
        <v>0</v>
      </c>
      <c r="F61" s="16">
        <v>1</v>
      </c>
      <c r="G61" s="16">
        <v>0</v>
      </c>
      <c r="H61" s="16">
        <v>2</v>
      </c>
      <c r="I61" s="16">
        <v>1</v>
      </c>
      <c r="J61" s="16">
        <v>1</v>
      </c>
      <c r="K61" s="16">
        <v>1</v>
      </c>
      <c r="L61" s="16">
        <v>0</v>
      </c>
      <c r="M61" s="16">
        <v>2</v>
      </c>
      <c r="N61" s="16">
        <v>0</v>
      </c>
      <c r="O61" s="16">
        <v>0</v>
      </c>
      <c r="P61" s="16">
        <v>0</v>
      </c>
      <c r="Q61" s="16">
        <v>0</v>
      </c>
      <c r="R61" s="16">
        <v>2</v>
      </c>
      <c r="S61" s="16">
        <v>2</v>
      </c>
      <c r="T61" s="16">
        <v>1</v>
      </c>
      <c r="U61" s="13">
        <f t="shared" si="15"/>
        <v>13</v>
      </c>
    </row>
    <row r="62" spans="1:21" ht="12.75" customHeight="1" x14ac:dyDescent="0.4">
      <c r="A62" s="15"/>
      <c r="B62" s="28"/>
      <c r="C62" s="29" t="s">
        <v>51</v>
      </c>
      <c r="D62" s="30"/>
      <c r="E62" s="16">
        <v>2</v>
      </c>
      <c r="F62" s="16">
        <v>1</v>
      </c>
      <c r="G62" s="16">
        <v>1</v>
      </c>
      <c r="H62" s="16">
        <v>6</v>
      </c>
      <c r="I62" s="16">
        <v>0</v>
      </c>
      <c r="J62" s="16">
        <v>0</v>
      </c>
      <c r="K62" s="16">
        <v>1</v>
      </c>
      <c r="L62" s="16">
        <v>0</v>
      </c>
      <c r="M62" s="16">
        <v>0</v>
      </c>
      <c r="N62" s="16">
        <v>2</v>
      </c>
      <c r="O62" s="16">
        <v>2</v>
      </c>
      <c r="P62" s="16">
        <v>0</v>
      </c>
      <c r="Q62" s="16">
        <v>0</v>
      </c>
      <c r="R62" s="16">
        <v>3</v>
      </c>
      <c r="S62" s="16">
        <v>0</v>
      </c>
      <c r="T62" s="16">
        <v>2</v>
      </c>
      <c r="U62" s="13">
        <f t="shared" si="15"/>
        <v>20</v>
      </c>
    </row>
    <row r="63" spans="1:21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0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3">
        <f t="shared" si="15"/>
        <v>2</v>
      </c>
    </row>
    <row r="64" spans="1:21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13">
        <f t="shared" si="15"/>
        <v>0</v>
      </c>
    </row>
    <row r="65" spans="1:21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13">
        <f t="shared" si="15"/>
        <v>0</v>
      </c>
    </row>
    <row r="66" spans="1:21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13">
        <f t="shared" si="15"/>
        <v>0</v>
      </c>
    </row>
    <row r="67" spans="1:21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U67" si="16">SUM(E57:E66)</f>
        <v>13</v>
      </c>
      <c r="F67" s="13">
        <f t="shared" si="16"/>
        <v>13</v>
      </c>
      <c r="G67" s="13">
        <f t="shared" si="16"/>
        <v>6</v>
      </c>
      <c r="H67" s="13">
        <f t="shared" si="16"/>
        <v>23</v>
      </c>
      <c r="I67" s="13">
        <f t="shared" si="16"/>
        <v>11</v>
      </c>
      <c r="J67" s="13">
        <f t="shared" si="16"/>
        <v>6</v>
      </c>
      <c r="K67" s="13">
        <f t="shared" si="16"/>
        <v>11</v>
      </c>
      <c r="L67" s="13">
        <f t="shared" si="16"/>
        <v>25</v>
      </c>
      <c r="M67" s="13">
        <f t="shared" si="16"/>
        <v>16</v>
      </c>
      <c r="N67" s="13">
        <f t="shared" si="16"/>
        <v>13</v>
      </c>
      <c r="O67" s="13">
        <f t="shared" si="16"/>
        <v>29</v>
      </c>
      <c r="P67" s="13">
        <f t="shared" si="16"/>
        <v>18</v>
      </c>
      <c r="Q67" s="13">
        <f t="shared" si="16"/>
        <v>24</v>
      </c>
      <c r="R67" s="13">
        <f t="shared" si="16"/>
        <v>23</v>
      </c>
      <c r="S67" s="13">
        <f t="shared" si="16"/>
        <v>28</v>
      </c>
      <c r="T67" s="13">
        <f t="shared" si="16"/>
        <v>23</v>
      </c>
      <c r="U67" s="13">
        <f t="shared" si="16"/>
        <v>282</v>
      </c>
    </row>
    <row r="68" spans="1:21" ht="12.75" customHeight="1" x14ac:dyDescent="0.4">
      <c r="A68" s="86"/>
      <c r="B68" s="68"/>
      <c r="C68" s="68"/>
      <c r="D68" s="68"/>
      <c r="E68" s="68"/>
    </row>
    <row r="69" spans="1:21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24</v>
      </c>
      <c r="F69" s="16">
        <v>5</v>
      </c>
      <c r="G69" s="16">
        <v>10</v>
      </c>
      <c r="H69" s="16">
        <v>5</v>
      </c>
      <c r="I69" s="16">
        <v>4</v>
      </c>
      <c r="J69" s="16">
        <v>10</v>
      </c>
      <c r="K69" s="16">
        <v>4</v>
      </c>
      <c r="L69" s="16">
        <v>2</v>
      </c>
      <c r="M69" s="16">
        <v>11</v>
      </c>
      <c r="N69" s="16">
        <v>5</v>
      </c>
      <c r="O69" s="16">
        <v>7</v>
      </c>
      <c r="P69" s="16">
        <v>10</v>
      </c>
      <c r="Q69" s="16">
        <v>11</v>
      </c>
      <c r="R69" s="16">
        <v>10</v>
      </c>
      <c r="S69" s="16">
        <v>8</v>
      </c>
      <c r="T69" s="16">
        <v>4</v>
      </c>
      <c r="U69" s="13">
        <f t="shared" ref="U69:U78" si="17">SUM(E69:T69)</f>
        <v>130</v>
      </c>
    </row>
    <row r="70" spans="1:21" ht="12.75" customHeight="1" x14ac:dyDescent="0.4">
      <c r="A70" s="20" t="s">
        <v>38</v>
      </c>
      <c r="B70" s="28"/>
      <c r="C70" s="29" t="s">
        <v>54</v>
      </c>
      <c r="D70" s="30"/>
      <c r="E70" s="16">
        <v>60</v>
      </c>
      <c r="F70" s="16">
        <v>6</v>
      </c>
      <c r="G70" s="16">
        <v>1</v>
      </c>
      <c r="H70" s="16">
        <v>4</v>
      </c>
      <c r="I70" s="16">
        <v>3</v>
      </c>
      <c r="J70" s="16">
        <v>3</v>
      </c>
      <c r="K70" s="16">
        <v>1</v>
      </c>
      <c r="L70" s="16">
        <v>2</v>
      </c>
      <c r="M70" s="16">
        <v>5</v>
      </c>
      <c r="N70" s="16">
        <v>3</v>
      </c>
      <c r="O70" s="16">
        <v>13</v>
      </c>
      <c r="P70" s="16">
        <v>4</v>
      </c>
      <c r="Q70" s="16">
        <v>12</v>
      </c>
      <c r="R70" s="16">
        <v>5</v>
      </c>
      <c r="S70" s="16">
        <v>6</v>
      </c>
      <c r="T70" s="16">
        <v>6</v>
      </c>
      <c r="U70" s="13">
        <f t="shared" si="17"/>
        <v>134</v>
      </c>
    </row>
    <row r="71" spans="1:21" ht="12.75" customHeight="1" x14ac:dyDescent="0.4">
      <c r="A71" s="15"/>
      <c r="B71" s="28"/>
      <c r="C71" s="29" t="s">
        <v>55</v>
      </c>
      <c r="D71" s="30"/>
      <c r="E71" s="16">
        <v>3</v>
      </c>
      <c r="F71" s="16">
        <v>6</v>
      </c>
      <c r="G71" s="16">
        <v>4</v>
      </c>
      <c r="H71" s="16">
        <v>1</v>
      </c>
      <c r="I71" s="16">
        <v>2</v>
      </c>
      <c r="J71" s="16">
        <v>4</v>
      </c>
      <c r="K71" s="16">
        <v>4</v>
      </c>
      <c r="L71" s="16">
        <v>1</v>
      </c>
      <c r="M71" s="16">
        <v>7</v>
      </c>
      <c r="N71" s="16">
        <v>3</v>
      </c>
      <c r="O71" s="16">
        <v>21</v>
      </c>
      <c r="P71" s="16">
        <v>10</v>
      </c>
      <c r="Q71" s="16">
        <v>12</v>
      </c>
      <c r="R71" s="16">
        <v>30</v>
      </c>
      <c r="S71" s="16">
        <v>18</v>
      </c>
      <c r="T71" s="16">
        <v>13</v>
      </c>
      <c r="U71" s="13">
        <f t="shared" si="17"/>
        <v>139</v>
      </c>
    </row>
    <row r="72" spans="1:21" ht="12.75" customHeight="1" x14ac:dyDescent="0.4">
      <c r="A72" s="15"/>
      <c r="B72" s="28"/>
      <c r="C72" s="29" t="s">
        <v>56</v>
      </c>
      <c r="D72" s="30"/>
      <c r="E72" s="16">
        <v>39</v>
      </c>
      <c r="F72" s="16">
        <v>41</v>
      </c>
      <c r="G72" s="16">
        <v>70</v>
      </c>
      <c r="H72" s="16">
        <v>16</v>
      </c>
      <c r="I72" s="16">
        <v>31</v>
      </c>
      <c r="J72" s="16">
        <v>150</v>
      </c>
      <c r="K72" s="16">
        <v>26</v>
      </c>
      <c r="L72" s="16">
        <v>38</v>
      </c>
      <c r="M72" s="16">
        <v>86</v>
      </c>
      <c r="N72" s="16">
        <v>26</v>
      </c>
      <c r="O72" s="16">
        <v>45</v>
      </c>
      <c r="P72" s="16">
        <v>27</v>
      </c>
      <c r="Q72" s="16">
        <v>11</v>
      </c>
      <c r="R72" s="16">
        <v>11</v>
      </c>
      <c r="S72" s="16">
        <v>8</v>
      </c>
      <c r="T72" s="16">
        <v>46</v>
      </c>
      <c r="U72" s="13">
        <f t="shared" si="17"/>
        <v>671</v>
      </c>
    </row>
    <row r="73" spans="1:21" ht="12.75" customHeight="1" x14ac:dyDescent="0.4">
      <c r="A73" s="15"/>
      <c r="B73" s="28"/>
      <c r="C73" s="29" t="s">
        <v>57</v>
      </c>
      <c r="D73" s="30"/>
      <c r="E73" s="16">
        <v>13</v>
      </c>
      <c r="F73" s="16">
        <v>0</v>
      </c>
      <c r="G73" s="16">
        <v>0</v>
      </c>
      <c r="H73" s="16">
        <v>1</v>
      </c>
      <c r="I73" s="16">
        <v>0</v>
      </c>
      <c r="J73" s="16">
        <v>4</v>
      </c>
      <c r="K73" s="16">
        <v>0</v>
      </c>
      <c r="L73" s="16">
        <v>0</v>
      </c>
      <c r="M73" s="16">
        <v>0</v>
      </c>
      <c r="N73" s="16">
        <v>0</v>
      </c>
      <c r="O73" s="16">
        <v>2</v>
      </c>
      <c r="P73" s="16">
        <v>4</v>
      </c>
      <c r="Q73" s="16">
        <v>1</v>
      </c>
      <c r="R73" s="16">
        <v>1</v>
      </c>
      <c r="S73" s="16">
        <v>4</v>
      </c>
      <c r="T73" s="16">
        <v>0</v>
      </c>
      <c r="U73" s="13">
        <f t="shared" si="17"/>
        <v>30</v>
      </c>
    </row>
    <row r="74" spans="1:21" ht="12.75" customHeight="1" x14ac:dyDescent="0.4">
      <c r="A74" s="15"/>
      <c r="B74" s="28"/>
      <c r="C74" s="29" t="s">
        <v>58</v>
      </c>
      <c r="D74" s="30"/>
      <c r="E74" s="16">
        <v>6</v>
      </c>
      <c r="F74" s="16">
        <v>17</v>
      </c>
      <c r="G74" s="16">
        <v>1</v>
      </c>
      <c r="H74" s="16">
        <v>5</v>
      </c>
      <c r="I74" s="16">
        <v>12</v>
      </c>
      <c r="J74" s="16">
        <v>2</v>
      </c>
      <c r="K74" s="16">
        <v>0</v>
      </c>
      <c r="L74" s="16">
        <v>6</v>
      </c>
      <c r="M74" s="16">
        <v>1</v>
      </c>
      <c r="N74" s="16">
        <v>4</v>
      </c>
      <c r="O74" s="16">
        <v>3</v>
      </c>
      <c r="P74" s="16">
        <v>2</v>
      </c>
      <c r="Q74" s="16">
        <v>0</v>
      </c>
      <c r="R74" s="16">
        <v>6</v>
      </c>
      <c r="S74" s="16">
        <v>4</v>
      </c>
      <c r="T74" s="16">
        <v>6</v>
      </c>
      <c r="U74" s="13">
        <f t="shared" si="17"/>
        <v>75</v>
      </c>
    </row>
    <row r="75" spans="1:21" ht="12.75" customHeight="1" x14ac:dyDescent="0.4">
      <c r="A75" s="15"/>
      <c r="B75" s="28"/>
      <c r="C75" s="29" t="s">
        <v>59</v>
      </c>
      <c r="D75" s="30"/>
      <c r="E75" s="16">
        <v>2</v>
      </c>
      <c r="F75" s="16">
        <v>3</v>
      </c>
      <c r="G75" s="16">
        <v>1</v>
      </c>
      <c r="H75" s="16">
        <v>3</v>
      </c>
      <c r="I75" s="16">
        <v>0</v>
      </c>
      <c r="J75" s="16">
        <v>1</v>
      </c>
      <c r="K75" s="16">
        <v>2</v>
      </c>
      <c r="L75" s="16">
        <v>0</v>
      </c>
      <c r="M75" s="16">
        <v>3</v>
      </c>
      <c r="N75" s="16">
        <v>2</v>
      </c>
      <c r="O75" s="16">
        <v>1</v>
      </c>
      <c r="P75" s="16">
        <v>5</v>
      </c>
      <c r="Q75" s="16">
        <v>1</v>
      </c>
      <c r="R75" s="16">
        <v>2</v>
      </c>
      <c r="S75" s="16">
        <v>0</v>
      </c>
      <c r="T75" s="16">
        <v>3</v>
      </c>
      <c r="U75" s="13">
        <f t="shared" si="17"/>
        <v>29</v>
      </c>
    </row>
    <row r="76" spans="1:21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13">
        <f t="shared" si="17"/>
        <v>0</v>
      </c>
    </row>
    <row r="77" spans="1:21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13">
        <f t="shared" si="17"/>
        <v>0</v>
      </c>
    </row>
    <row r="78" spans="1:21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13">
        <f t="shared" si="17"/>
        <v>0</v>
      </c>
    </row>
    <row r="79" spans="1:21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U79" si="18">SUM(E69:E78)</f>
        <v>147</v>
      </c>
      <c r="F79" s="13">
        <f t="shared" si="18"/>
        <v>78</v>
      </c>
      <c r="G79" s="13">
        <f t="shared" si="18"/>
        <v>87</v>
      </c>
      <c r="H79" s="13">
        <f t="shared" si="18"/>
        <v>35</v>
      </c>
      <c r="I79" s="13">
        <f t="shared" si="18"/>
        <v>52</v>
      </c>
      <c r="J79" s="13">
        <f t="shared" si="18"/>
        <v>174</v>
      </c>
      <c r="K79" s="13">
        <f t="shared" si="18"/>
        <v>37</v>
      </c>
      <c r="L79" s="13">
        <f t="shared" si="18"/>
        <v>49</v>
      </c>
      <c r="M79" s="13">
        <f t="shared" si="18"/>
        <v>113</v>
      </c>
      <c r="N79" s="13">
        <f t="shared" si="18"/>
        <v>43</v>
      </c>
      <c r="O79" s="13">
        <f t="shared" si="18"/>
        <v>92</v>
      </c>
      <c r="P79" s="13">
        <f t="shared" si="18"/>
        <v>62</v>
      </c>
      <c r="Q79" s="13">
        <f t="shared" si="18"/>
        <v>48</v>
      </c>
      <c r="R79" s="13">
        <f t="shared" si="18"/>
        <v>65</v>
      </c>
      <c r="S79" s="13">
        <f t="shared" si="18"/>
        <v>48</v>
      </c>
      <c r="T79" s="13">
        <f t="shared" si="18"/>
        <v>78</v>
      </c>
      <c r="U79" s="13">
        <f t="shared" si="18"/>
        <v>1208</v>
      </c>
    </row>
    <row r="80" spans="1:21" ht="12.75" customHeight="1" x14ac:dyDescent="0.4">
      <c r="A80" s="86"/>
      <c r="B80" s="68"/>
      <c r="C80" s="68"/>
      <c r="D80" s="68"/>
      <c r="E80" s="68"/>
    </row>
    <row r="81" spans="1:21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3</v>
      </c>
      <c r="F81" s="16">
        <v>0</v>
      </c>
      <c r="G81" s="16">
        <v>1</v>
      </c>
      <c r="H81" s="16">
        <v>0</v>
      </c>
      <c r="I81" s="16">
        <v>2</v>
      </c>
      <c r="J81" s="16">
        <v>0</v>
      </c>
      <c r="K81" s="16">
        <v>3</v>
      </c>
      <c r="L81" s="16">
        <v>2</v>
      </c>
      <c r="M81" s="16">
        <v>4</v>
      </c>
      <c r="N81" s="16">
        <v>4</v>
      </c>
      <c r="O81" s="16">
        <v>3</v>
      </c>
      <c r="P81" s="16">
        <v>2</v>
      </c>
      <c r="Q81" s="16">
        <v>5</v>
      </c>
      <c r="R81" s="16">
        <v>3</v>
      </c>
      <c r="S81" s="16">
        <v>7</v>
      </c>
      <c r="T81" s="16">
        <v>0</v>
      </c>
      <c r="U81" s="13">
        <f t="shared" ref="U81:U90" si="19">SUM(E81:T81)</f>
        <v>39</v>
      </c>
    </row>
    <row r="82" spans="1:21" ht="12.75" customHeight="1" x14ac:dyDescent="0.4">
      <c r="A82" s="20" t="s">
        <v>38</v>
      </c>
      <c r="B82" s="28"/>
      <c r="C82" s="29" t="s">
        <v>61</v>
      </c>
      <c r="D82" s="30"/>
      <c r="E82" s="16">
        <v>2</v>
      </c>
      <c r="F82" s="16">
        <v>2</v>
      </c>
      <c r="G82" s="16">
        <v>1</v>
      </c>
      <c r="H82" s="16">
        <v>7</v>
      </c>
      <c r="I82" s="16">
        <v>3</v>
      </c>
      <c r="J82" s="16">
        <v>2</v>
      </c>
      <c r="K82" s="16">
        <v>7</v>
      </c>
      <c r="L82" s="16">
        <v>3</v>
      </c>
      <c r="M82" s="16">
        <v>2</v>
      </c>
      <c r="N82" s="16">
        <v>2</v>
      </c>
      <c r="O82" s="16">
        <v>4</v>
      </c>
      <c r="P82" s="16">
        <v>4</v>
      </c>
      <c r="Q82" s="16">
        <v>7</v>
      </c>
      <c r="R82" s="16">
        <v>12</v>
      </c>
      <c r="S82" s="16">
        <v>7</v>
      </c>
      <c r="T82" s="16">
        <v>4</v>
      </c>
      <c r="U82" s="13">
        <f t="shared" si="19"/>
        <v>69</v>
      </c>
    </row>
    <row r="83" spans="1:21" ht="12.75" customHeight="1" x14ac:dyDescent="0.4">
      <c r="A83" s="15"/>
      <c r="B83" s="28"/>
      <c r="C83" s="29" t="s">
        <v>62</v>
      </c>
      <c r="D83" s="30"/>
      <c r="E83" s="16">
        <v>1</v>
      </c>
      <c r="F83" s="16">
        <v>0</v>
      </c>
      <c r="G83" s="16">
        <v>0</v>
      </c>
      <c r="H83" s="16">
        <v>0</v>
      </c>
      <c r="I83" s="16">
        <v>0</v>
      </c>
      <c r="J83" s="16">
        <v>0</v>
      </c>
      <c r="K83" s="16">
        <v>1</v>
      </c>
      <c r="L83" s="16">
        <v>0</v>
      </c>
      <c r="M83" s="16">
        <v>1</v>
      </c>
      <c r="N83" s="16">
        <v>0</v>
      </c>
      <c r="O83" s="16">
        <v>0</v>
      </c>
      <c r="P83" s="16">
        <v>0</v>
      </c>
      <c r="Q83" s="16">
        <v>1</v>
      </c>
      <c r="R83" s="16">
        <v>3</v>
      </c>
      <c r="S83" s="16">
        <v>1</v>
      </c>
      <c r="T83" s="16">
        <v>1</v>
      </c>
      <c r="U83" s="13">
        <f t="shared" si="19"/>
        <v>9</v>
      </c>
    </row>
    <row r="84" spans="1:21" ht="12.75" customHeight="1" x14ac:dyDescent="0.4">
      <c r="A84" s="15"/>
      <c r="B84" s="28"/>
      <c r="C84" s="29" t="s">
        <v>63</v>
      </c>
      <c r="D84" s="30"/>
      <c r="E84" s="16">
        <v>0</v>
      </c>
      <c r="F84" s="16">
        <v>2</v>
      </c>
      <c r="G84" s="16">
        <v>3</v>
      </c>
      <c r="H84" s="16">
        <v>1</v>
      </c>
      <c r="I84" s="16">
        <v>0</v>
      </c>
      <c r="J84" s="16">
        <v>0</v>
      </c>
      <c r="K84" s="16">
        <v>1</v>
      </c>
      <c r="L84" s="16">
        <v>2</v>
      </c>
      <c r="M84" s="16">
        <v>0</v>
      </c>
      <c r="N84" s="16">
        <v>0</v>
      </c>
      <c r="O84" s="16">
        <v>0</v>
      </c>
      <c r="P84" s="16">
        <v>0</v>
      </c>
      <c r="Q84" s="16">
        <v>1</v>
      </c>
      <c r="R84" s="16">
        <v>0</v>
      </c>
      <c r="S84" s="16">
        <v>0</v>
      </c>
      <c r="T84" s="16">
        <v>1</v>
      </c>
      <c r="U84" s="13">
        <f t="shared" si="19"/>
        <v>11</v>
      </c>
    </row>
    <row r="85" spans="1:21" ht="12.75" customHeight="1" x14ac:dyDescent="0.4">
      <c r="A85" s="15"/>
      <c r="B85" s="28"/>
      <c r="C85" s="29" t="s">
        <v>64</v>
      </c>
      <c r="D85" s="30"/>
      <c r="E85" s="16">
        <v>0</v>
      </c>
      <c r="F85" s="16">
        <v>0</v>
      </c>
      <c r="G85" s="16">
        <v>0</v>
      </c>
      <c r="H85" s="16">
        <v>0</v>
      </c>
      <c r="I85" s="16">
        <v>16</v>
      </c>
      <c r="J85" s="16">
        <v>0</v>
      </c>
      <c r="K85" s="16">
        <v>40</v>
      </c>
      <c r="L85" s="16">
        <v>25</v>
      </c>
      <c r="M85" s="16">
        <v>18</v>
      </c>
      <c r="N85" s="16">
        <v>5</v>
      </c>
      <c r="O85" s="16">
        <v>5</v>
      </c>
      <c r="P85" s="16">
        <v>0</v>
      </c>
      <c r="Q85" s="16">
        <v>3</v>
      </c>
      <c r="R85" s="16">
        <v>0</v>
      </c>
      <c r="S85" s="16">
        <v>2</v>
      </c>
      <c r="T85" s="16">
        <v>0</v>
      </c>
      <c r="U85" s="13">
        <f t="shared" si="19"/>
        <v>114</v>
      </c>
    </row>
    <row r="86" spans="1:21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0</v>
      </c>
      <c r="K86" s="16">
        <v>0</v>
      </c>
      <c r="L86" s="16">
        <v>0</v>
      </c>
      <c r="M86" s="16">
        <v>0</v>
      </c>
      <c r="N86" s="16">
        <v>0</v>
      </c>
      <c r="O86" s="16">
        <v>1</v>
      </c>
      <c r="P86" s="16">
        <v>0</v>
      </c>
      <c r="Q86" s="16">
        <v>0</v>
      </c>
      <c r="R86" s="16">
        <v>0</v>
      </c>
      <c r="S86" s="16">
        <v>0</v>
      </c>
      <c r="T86" s="16">
        <v>1</v>
      </c>
      <c r="U86" s="13">
        <f t="shared" si="19"/>
        <v>2</v>
      </c>
    </row>
    <row r="87" spans="1:21" ht="12.75" customHeight="1" x14ac:dyDescent="0.4">
      <c r="A87" s="15"/>
      <c r="B87" s="28"/>
      <c r="C87" s="29" t="s">
        <v>66</v>
      </c>
      <c r="D87" s="30"/>
      <c r="E87" s="16">
        <v>1</v>
      </c>
      <c r="F87" s="16">
        <v>1</v>
      </c>
      <c r="G87" s="16">
        <v>1</v>
      </c>
      <c r="H87" s="16">
        <v>1</v>
      </c>
      <c r="I87" s="16">
        <v>4</v>
      </c>
      <c r="J87" s="16">
        <v>0</v>
      </c>
      <c r="K87" s="16">
        <v>2</v>
      </c>
      <c r="L87" s="16">
        <v>2</v>
      </c>
      <c r="M87" s="16">
        <v>3</v>
      </c>
      <c r="N87" s="16">
        <v>3</v>
      </c>
      <c r="O87" s="16">
        <v>1</v>
      </c>
      <c r="P87" s="16">
        <v>3</v>
      </c>
      <c r="Q87" s="16">
        <v>0</v>
      </c>
      <c r="R87" s="16">
        <v>0</v>
      </c>
      <c r="S87" s="16">
        <v>2</v>
      </c>
      <c r="T87" s="16">
        <v>3</v>
      </c>
      <c r="U87" s="13">
        <f t="shared" si="19"/>
        <v>27</v>
      </c>
    </row>
    <row r="88" spans="1:21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13">
        <f t="shared" si="19"/>
        <v>0</v>
      </c>
    </row>
    <row r="89" spans="1:21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13">
        <f t="shared" si="19"/>
        <v>0</v>
      </c>
    </row>
    <row r="90" spans="1:21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13">
        <f t="shared" si="19"/>
        <v>0</v>
      </c>
    </row>
    <row r="91" spans="1:21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U91" si="20">SUM(E81:E90)</f>
        <v>7</v>
      </c>
      <c r="F91" s="13">
        <f t="shared" si="20"/>
        <v>5</v>
      </c>
      <c r="G91" s="13">
        <f t="shared" si="20"/>
        <v>6</v>
      </c>
      <c r="H91" s="13">
        <f t="shared" si="20"/>
        <v>9</v>
      </c>
      <c r="I91" s="13">
        <f t="shared" si="20"/>
        <v>25</v>
      </c>
      <c r="J91" s="13">
        <f t="shared" si="20"/>
        <v>2</v>
      </c>
      <c r="K91" s="13">
        <f t="shared" si="20"/>
        <v>54</v>
      </c>
      <c r="L91" s="13">
        <f t="shared" si="20"/>
        <v>34</v>
      </c>
      <c r="M91" s="13">
        <f t="shared" si="20"/>
        <v>28</v>
      </c>
      <c r="N91" s="13">
        <f t="shared" si="20"/>
        <v>14</v>
      </c>
      <c r="O91" s="13">
        <f t="shared" si="20"/>
        <v>14</v>
      </c>
      <c r="P91" s="13">
        <f t="shared" si="20"/>
        <v>9</v>
      </c>
      <c r="Q91" s="13">
        <f t="shared" si="20"/>
        <v>17</v>
      </c>
      <c r="R91" s="13">
        <f t="shared" si="20"/>
        <v>18</v>
      </c>
      <c r="S91" s="13">
        <f t="shared" si="20"/>
        <v>19</v>
      </c>
      <c r="T91" s="13">
        <f t="shared" si="20"/>
        <v>10</v>
      </c>
      <c r="U91" s="13">
        <f t="shared" si="20"/>
        <v>271</v>
      </c>
    </row>
    <row r="92" spans="1:21" ht="12.75" customHeight="1" x14ac:dyDescent="0.4">
      <c r="A92" s="86"/>
      <c r="B92" s="68"/>
      <c r="C92" s="68"/>
      <c r="D92" s="68"/>
      <c r="E92" s="68"/>
    </row>
    <row r="93" spans="1:21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0</v>
      </c>
      <c r="F93" s="16">
        <v>2</v>
      </c>
      <c r="G93" s="16">
        <v>3</v>
      </c>
      <c r="H93" s="16">
        <v>2</v>
      </c>
      <c r="I93" s="16">
        <v>1</v>
      </c>
      <c r="J93" s="16">
        <v>2</v>
      </c>
      <c r="K93" s="16">
        <v>1</v>
      </c>
      <c r="L93" s="16">
        <v>3</v>
      </c>
      <c r="M93" s="16">
        <v>0</v>
      </c>
      <c r="N93" s="16">
        <v>2</v>
      </c>
      <c r="O93" s="16">
        <v>1</v>
      </c>
      <c r="P93" s="16">
        <v>2</v>
      </c>
      <c r="Q93" s="16">
        <v>0</v>
      </c>
      <c r="R93" s="16">
        <v>1</v>
      </c>
      <c r="S93" s="16">
        <v>0</v>
      </c>
      <c r="T93" s="16">
        <v>2</v>
      </c>
      <c r="U93" s="13">
        <f t="shared" ref="U93:U102" si="21">SUM(E93:T93)</f>
        <v>22</v>
      </c>
    </row>
    <row r="94" spans="1:21" ht="12.75" customHeight="1" x14ac:dyDescent="0.4">
      <c r="A94" s="20" t="s">
        <v>38</v>
      </c>
      <c r="B94" s="28"/>
      <c r="C94" s="29" t="s">
        <v>69</v>
      </c>
      <c r="D94" s="30"/>
      <c r="E94" s="16">
        <v>1</v>
      </c>
      <c r="F94" s="16">
        <v>1</v>
      </c>
      <c r="G94" s="16">
        <v>0</v>
      </c>
      <c r="H94" s="16">
        <v>0</v>
      </c>
      <c r="I94" s="16">
        <v>1</v>
      </c>
      <c r="J94" s="16">
        <v>0</v>
      </c>
      <c r="K94" s="16">
        <v>1</v>
      </c>
      <c r="L94" s="16">
        <v>2</v>
      </c>
      <c r="M94" s="16">
        <v>0</v>
      </c>
      <c r="N94" s="16">
        <v>3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3">
        <f t="shared" si="21"/>
        <v>11</v>
      </c>
    </row>
    <row r="95" spans="1:21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6</v>
      </c>
      <c r="M95" s="16">
        <v>1</v>
      </c>
      <c r="N95" s="16">
        <v>1</v>
      </c>
      <c r="O95" s="16">
        <v>0</v>
      </c>
      <c r="P95" s="16">
        <v>1</v>
      </c>
      <c r="Q95" s="16">
        <v>0</v>
      </c>
      <c r="R95" s="16">
        <v>0</v>
      </c>
      <c r="S95" s="16">
        <v>0</v>
      </c>
      <c r="T95" s="16">
        <v>0</v>
      </c>
      <c r="U95" s="13">
        <f t="shared" si="21"/>
        <v>9</v>
      </c>
    </row>
    <row r="96" spans="1:21" ht="12.75" customHeight="1" x14ac:dyDescent="0.4">
      <c r="A96" s="15"/>
      <c r="B96" s="28"/>
      <c r="C96" s="29" t="s">
        <v>71</v>
      </c>
      <c r="D96" s="30"/>
      <c r="E96" s="16">
        <v>0</v>
      </c>
      <c r="F96" s="16">
        <v>4</v>
      </c>
      <c r="G96" s="16">
        <v>0</v>
      </c>
      <c r="H96" s="16">
        <v>0</v>
      </c>
      <c r="I96" s="16">
        <v>0</v>
      </c>
      <c r="J96" s="16">
        <v>0</v>
      </c>
      <c r="K96" s="16">
        <v>2</v>
      </c>
      <c r="L96" s="16">
        <v>1</v>
      </c>
      <c r="M96" s="16">
        <v>2</v>
      </c>
      <c r="N96" s="16">
        <v>1</v>
      </c>
      <c r="O96" s="16">
        <v>1</v>
      </c>
      <c r="P96" s="16">
        <v>0</v>
      </c>
      <c r="Q96" s="16">
        <v>3</v>
      </c>
      <c r="R96" s="16">
        <v>2</v>
      </c>
      <c r="S96" s="16">
        <v>1</v>
      </c>
      <c r="T96" s="16">
        <v>2</v>
      </c>
      <c r="U96" s="13">
        <f t="shared" si="21"/>
        <v>19</v>
      </c>
    </row>
    <row r="97" spans="1:21" ht="12.75" customHeight="1" x14ac:dyDescent="0.4">
      <c r="A97" s="15"/>
      <c r="B97" s="28"/>
      <c r="C97" s="29" t="s">
        <v>72</v>
      </c>
      <c r="D97" s="30"/>
      <c r="E97" s="16">
        <v>0</v>
      </c>
      <c r="F97" s="16">
        <v>0</v>
      </c>
      <c r="G97" s="16">
        <v>2</v>
      </c>
      <c r="H97" s="16">
        <v>0</v>
      </c>
      <c r="I97" s="16">
        <v>7</v>
      </c>
      <c r="J97" s="16">
        <v>1</v>
      </c>
      <c r="K97" s="16">
        <v>0</v>
      </c>
      <c r="L97" s="16">
        <v>1</v>
      </c>
      <c r="M97" s="16">
        <v>1</v>
      </c>
      <c r="N97" s="16">
        <v>3</v>
      </c>
      <c r="O97" s="16">
        <v>0</v>
      </c>
      <c r="P97" s="16">
        <v>3</v>
      </c>
      <c r="Q97" s="16">
        <v>0</v>
      </c>
      <c r="R97" s="16">
        <v>0</v>
      </c>
      <c r="S97" s="16">
        <v>1</v>
      </c>
      <c r="T97" s="16">
        <v>0</v>
      </c>
      <c r="U97" s="13">
        <f t="shared" si="21"/>
        <v>19</v>
      </c>
    </row>
    <row r="98" spans="1:21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10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3</v>
      </c>
      <c r="N98" s="16">
        <v>0</v>
      </c>
      <c r="O98" s="16">
        <v>0</v>
      </c>
      <c r="P98" s="16">
        <v>0</v>
      </c>
      <c r="Q98" s="16">
        <v>0</v>
      </c>
      <c r="R98" s="16">
        <v>1</v>
      </c>
      <c r="S98" s="16">
        <v>3</v>
      </c>
      <c r="T98" s="16">
        <v>0</v>
      </c>
      <c r="U98" s="13">
        <f t="shared" si="21"/>
        <v>17</v>
      </c>
    </row>
    <row r="99" spans="1:21" ht="12.75" customHeight="1" x14ac:dyDescent="0.4">
      <c r="A99" s="15"/>
      <c r="B99" s="28"/>
      <c r="C99" s="29" t="s">
        <v>74</v>
      </c>
      <c r="D99" s="30"/>
      <c r="E99" s="16">
        <v>2</v>
      </c>
      <c r="F99" s="16">
        <v>1</v>
      </c>
      <c r="G99" s="16">
        <v>0</v>
      </c>
      <c r="H99" s="16">
        <v>0</v>
      </c>
      <c r="I99" s="16">
        <v>1</v>
      </c>
      <c r="J99" s="16">
        <v>0</v>
      </c>
      <c r="K99" s="16">
        <v>0</v>
      </c>
      <c r="L99" s="16">
        <v>0</v>
      </c>
      <c r="M99" s="16">
        <v>0</v>
      </c>
      <c r="N99" s="16">
        <v>0</v>
      </c>
      <c r="O99" s="16">
        <v>0</v>
      </c>
      <c r="P99" s="16">
        <v>0</v>
      </c>
      <c r="Q99" s="16">
        <v>0</v>
      </c>
      <c r="R99" s="16">
        <v>1</v>
      </c>
      <c r="S99" s="16">
        <v>0</v>
      </c>
      <c r="T99" s="16">
        <v>0</v>
      </c>
      <c r="U99" s="13">
        <f t="shared" si="21"/>
        <v>5</v>
      </c>
    </row>
    <row r="100" spans="1:21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13">
        <f t="shared" si="21"/>
        <v>0</v>
      </c>
    </row>
    <row r="101" spans="1:21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13">
        <f t="shared" si="21"/>
        <v>0</v>
      </c>
    </row>
    <row r="102" spans="1:21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13">
        <f t="shared" si="21"/>
        <v>0</v>
      </c>
    </row>
    <row r="103" spans="1:21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U103" si="22">SUM(E93:E102)</f>
        <v>3</v>
      </c>
      <c r="F103" s="13">
        <f t="shared" si="22"/>
        <v>18</v>
      </c>
      <c r="G103" s="13">
        <f t="shared" si="22"/>
        <v>5</v>
      </c>
      <c r="H103" s="13">
        <f t="shared" si="22"/>
        <v>2</v>
      </c>
      <c r="I103" s="13">
        <f t="shared" si="22"/>
        <v>10</v>
      </c>
      <c r="J103" s="13">
        <f t="shared" si="22"/>
        <v>3</v>
      </c>
      <c r="K103" s="13">
        <f t="shared" si="22"/>
        <v>4</v>
      </c>
      <c r="L103" s="13">
        <f t="shared" si="22"/>
        <v>13</v>
      </c>
      <c r="M103" s="13">
        <f t="shared" si="22"/>
        <v>7</v>
      </c>
      <c r="N103" s="13">
        <f t="shared" si="22"/>
        <v>10</v>
      </c>
      <c r="O103" s="13">
        <f t="shared" si="22"/>
        <v>3</v>
      </c>
      <c r="P103" s="13">
        <f t="shared" si="22"/>
        <v>6</v>
      </c>
      <c r="Q103" s="13">
        <f t="shared" si="22"/>
        <v>3</v>
      </c>
      <c r="R103" s="13">
        <f t="shared" si="22"/>
        <v>5</v>
      </c>
      <c r="S103" s="13">
        <f t="shared" si="22"/>
        <v>5</v>
      </c>
      <c r="T103" s="13">
        <f t="shared" si="22"/>
        <v>5</v>
      </c>
      <c r="U103" s="13">
        <f t="shared" si="22"/>
        <v>102</v>
      </c>
    </row>
    <row r="104" spans="1:21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13"/>
    </row>
    <row r="105" spans="1:21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1</v>
      </c>
      <c r="F105" s="16">
        <v>0</v>
      </c>
      <c r="G105" s="16">
        <v>1</v>
      </c>
      <c r="H105" s="16">
        <v>0</v>
      </c>
      <c r="I105" s="16">
        <v>1</v>
      </c>
      <c r="J105" s="16">
        <v>0</v>
      </c>
      <c r="K105" s="16">
        <v>0</v>
      </c>
      <c r="L105" s="16">
        <v>0</v>
      </c>
      <c r="M105" s="16">
        <v>1</v>
      </c>
      <c r="N105" s="16">
        <v>0</v>
      </c>
      <c r="O105" s="16">
        <v>0</v>
      </c>
      <c r="P105" s="16">
        <v>1</v>
      </c>
      <c r="Q105" s="16">
        <v>0</v>
      </c>
      <c r="R105" s="16">
        <v>0</v>
      </c>
      <c r="S105" s="16">
        <v>0</v>
      </c>
      <c r="T105" s="16">
        <v>0</v>
      </c>
      <c r="U105" s="13">
        <f t="shared" ref="U105:U114" si="23">SUM(E105:T105)</f>
        <v>5</v>
      </c>
    </row>
    <row r="106" spans="1:21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0</v>
      </c>
      <c r="L106" s="16">
        <v>0</v>
      </c>
      <c r="M106" s="16">
        <v>0</v>
      </c>
      <c r="N106" s="16">
        <v>3</v>
      </c>
      <c r="O106" s="16">
        <v>0</v>
      </c>
      <c r="P106" s="16">
        <v>0</v>
      </c>
      <c r="Q106" s="16">
        <v>0</v>
      </c>
      <c r="R106" s="16">
        <v>0</v>
      </c>
      <c r="S106" s="16">
        <v>2</v>
      </c>
      <c r="T106" s="16">
        <v>0</v>
      </c>
      <c r="U106" s="13">
        <f t="shared" si="23"/>
        <v>5</v>
      </c>
    </row>
    <row r="107" spans="1:21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13">
        <f t="shared" si="23"/>
        <v>0</v>
      </c>
    </row>
    <row r="108" spans="1:21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13">
        <f t="shared" si="23"/>
        <v>0</v>
      </c>
    </row>
    <row r="109" spans="1:21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13">
        <f t="shared" si="23"/>
        <v>0</v>
      </c>
    </row>
    <row r="110" spans="1:21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13">
        <f t="shared" si="23"/>
        <v>0</v>
      </c>
    </row>
    <row r="111" spans="1:21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13">
        <f t="shared" si="23"/>
        <v>0</v>
      </c>
    </row>
    <row r="112" spans="1:21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13">
        <f t="shared" si="23"/>
        <v>0</v>
      </c>
    </row>
    <row r="113" spans="1:21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13">
        <f t="shared" si="23"/>
        <v>0</v>
      </c>
    </row>
    <row r="114" spans="1:21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13">
        <f t="shared" si="23"/>
        <v>0</v>
      </c>
    </row>
    <row r="115" spans="1:21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U115" si="24">SUM(E105:E114)</f>
        <v>1</v>
      </c>
      <c r="F115" s="13">
        <f t="shared" si="24"/>
        <v>0</v>
      </c>
      <c r="G115" s="13">
        <f t="shared" si="24"/>
        <v>1</v>
      </c>
      <c r="H115" s="13">
        <f t="shared" si="24"/>
        <v>0</v>
      </c>
      <c r="I115" s="13">
        <f t="shared" si="24"/>
        <v>1</v>
      </c>
      <c r="J115" s="13">
        <f t="shared" si="24"/>
        <v>0</v>
      </c>
      <c r="K115" s="13">
        <f t="shared" si="24"/>
        <v>0</v>
      </c>
      <c r="L115" s="13">
        <f t="shared" si="24"/>
        <v>0</v>
      </c>
      <c r="M115" s="13">
        <f t="shared" si="24"/>
        <v>1</v>
      </c>
      <c r="N115" s="13">
        <f t="shared" si="24"/>
        <v>3</v>
      </c>
      <c r="O115" s="13">
        <f t="shared" si="24"/>
        <v>0</v>
      </c>
      <c r="P115" s="13">
        <f t="shared" si="24"/>
        <v>1</v>
      </c>
      <c r="Q115" s="13">
        <f t="shared" si="24"/>
        <v>0</v>
      </c>
      <c r="R115" s="13">
        <f t="shared" si="24"/>
        <v>0</v>
      </c>
      <c r="S115" s="13">
        <f t="shared" si="24"/>
        <v>2</v>
      </c>
      <c r="T115" s="13">
        <f t="shared" si="24"/>
        <v>0</v>
      </c>
      <c r="U115" s="13">
        <f t="shared" si="24"/>
        <v>10</v>
      </c>
    </row>
    <row r="116" spans="1:21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13"/>
    </row>
    <row r="117" spans="1:21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1</v>
      </c>
      <c r="F117" s="16">
        <v>0</v>
      </c>
      <c r="G117" s="16">
        <v>0</v>
      </c>
      <c r="H117" s="16">
        <v>1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0</v>
      </c>
      <c r="O117" s="16">
        <v>1</v>
      </c>
      <c r="P117" s="16">
        <v>2</v>
      </c>
      <c r="Q117" s="16">
        <v>1</v>
      </c>
      <c r="R117" s="16">
        <v>0</v>
      </c>
      <c r="S117" s="16">
        <v>0</v>
      </c>
      <c r="T117" s="16">
        <v>0</v>
      </c>
      <c r="U117" s="13">
        <f t="shared" ref="U117:U126" si="25">SUM(E117:T117)</f>
        <v>6</v>
      </c>
    </row>
    <row r="118" spans="1:21" ht="12.75" customHeight="1" x14ac:dyDescent="0.4">
      <c r="A118" s="20" t="s">
        <v>38</v>
      </c>
      <c r="B118" s="28"/>
      <c r="C118" s="29" t="s">
        <v>80</v>
      </c>
      <c r="D118" s="30"/>
      <c r="E118" s="16">
        <v>2</v>
      </c>
      <c r="F118" s="16">
        <v>1</v>
      </c>
      <c r="G118" s="16">
        <v>1</v>
      </c>
      <c r="H118" s="16">
        <v>2</v>
      </c>
      <c r="I118" s="16">
        <v>0</v>
      </c>
      <c r="J118" s="16">
        <v>2</v>
      </c>
      <c r="K118" s="16">
        <v>0</v>
      </c>
      <c r="L118" s="16">
        <v>2</v>
      </c>
      <c r="M118" s="16">
        <v>0</v>
      </c>
      <c r="N118" s="16">
        <v>1</v>
      </c>
      <c r="O118" s="16">
        <v>1</v>
      </c>
      <c r="P118" s="16">
        <v>0</v>
      </c>
      <c r="Q118" s="16">
        <v>2</v>
      </c>
      <c r="R118" s="16">
        <v>0</v>
      </c>
      <c r="S118" s="16">
        <v>0</v>
      </c>
      <c r="T118" s="16">
        <v>2</v>
      </c>
      <c r="U118" s="13">
        <f t="shared" si="25"/>
        <v>16</v>
      </c>
    </row>
    <row r="119" spans="1:21" ht="12.75" customHeight="1" x14ac:dyDescent="0.4">
      <c r="A119" s="15"/>
      <c r="B119" s="28"/>
      <c r="C119" s="29" t="s">
        <v>81</v>
      </c>
      <c r="D119" s="30"/>
      <c r="E119" s="16">
        <v>1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0</v>
      </c>
      <c r="O119" s="16">
        <v>0</v>
      </c>
      <c r="P119" s="16">
        <v>0</v>
      </c>
      <c r="Q119" s="16">
        <v>0</v>
      </c>
      <c r="R119" s="16">
        <v>0</v>
      </c>
      <c r="S119" s="16">
        <v>0</v>
      </c>
      <c r="T119" s="16">
        <v>2</v>
      </c>
      <c r="U119" s="13">
        <f t="shared" si="25"/>
        <v>3</v>
      </c>
    </row>
    <row r="120" spans="1:21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1</v>
      </c>
      <c r="S120" s="16">
        <v>0</v>
      </c>
      <c r="T120" s="16">
        <v>0</v>
      </c>
      <c r="U120" s="13">
        <f t="shared" si="25"/>
        <v>1</v>
      </c>
    </row>
    <row r="121" spans="1:21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1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53">
        <v>0</v>
      </c>
      <c r="U121" s="13">
        <f t="shared" si="25"/>
        <v>1</v>
      </c>
    </row>
    <row r="122" spans="1:21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0</v>
      </c>
      <c r="G122" s="53">
        <v>0</v>
      </c>
      <c r="H122" s="53">
        <v>1</v>
      </c>
      <c r="I122" s="53">
        <v>1</v>
      </c>
      <c r="J122" s="53">
        <v>0</v>
      </c>
      <c r="K122" s="53">
        <v>1</v>
      </c>
      <c r="L122" s="53">
        <v>0</v>
      </c>
      <c r="M122" s="53">
        <v>1</v>
      </c>
      <c r="N122" s="53">
        <v>1</v>
      </c>
      <c r="O122" s="53">
        <v>0</v>
      </c>
      <c r="P122" s="16">
        <v>3</v>
      </c>
      <c r="Q122" s="53">
        <v>1</v>
      </c>
      <c r="R122" s="53">
        <v>0</v>
      </c>
      <c r="S122" s="53">
        <v>0</v>
      </c>
      <c r="T122" s="53">
        <v>1</v>
      </c>
      <c r="U122" s="13">
        <f t="shared" si="25"/>
        <v>10</v>
      </c>
    </row>
    <row r="123" spans="1:21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41">
        <v>0</v>
      </c>
      <c r="S123" s="41">
        <v>0</v>
      </c>
      <c r="T123" s="41">
        <v>1</v>
      </c>
      <c r="U123" s="13">
        <f t="shared" si="25"/>
        <v>1</v>
      </c>
    </row>
    <row r="124" spans="1:21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13">
        <f t="shared" si="25"/>
        <v>0</v>
      </c>
    </row>
    <row r="125" spans="1:21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13">
        <f t="shared" si="25"/>
        <v>0</v>
      </c>
    </row>
    <row r="126" spans="1:21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13">
        <f t="shared" si="25"/>
        <v>0</v>
      </c>
    </row>
    <row r="127" spans="1:21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U127" si="26">SUM(E117:E126)</f>
        <v>4</v>
      </c>
      <c r="F127" s="13">
        <f t="shared" si="26"/>
        <v>1</v>
      </c>
      <c r="G127" s="13">
        <f t="shared" si="26"/>
        <v>1</v>
      </c>
      <c r="H127" s="13">
        <f t="shared" si="26"/>
        <v>4</v>
      </c>
      <c r="I127" s="13">
        <f t="shared" si="26"/>
        <v>1</v>
      </c>
      <c r="J127" s="13">
        <f t="shared" si="26"/>
        <v>2</v>
      </c>
      <c r="K127" s="13">
        <f t="shared" si="26"/>
        <v>2</v>
      </c>
      <c r="L127" s="13">
        <f t="shared" si="26"/>
        <v>2</v>
      </c>
      <c r="M127" s="13">
        <f t="shared" si="26"/>
        <v>1</v>
      </c>
      <c r="N127" s="13">
        <f t="shared" si="26"/>
        <v>2</v>
      </c>
      <c r="O127" s="13">
        <f t="shared" si="26"/>
        <v>2</v>
      </c>
      <c r="P127" s="13">
        <f t="shared" si="26"/>
        <v>5</v>
      </c>
      <c r="Q127" s="13">
        <f t="shared" si="26"/>
        <v>4</v>
      </c>
      <c r="R127" s="13">
        <f t="shared" si="26"/>
        <v>1</v>
      </c>
      <c r="S127" s="13">
        <f t="shared" si="26"/>
        <v>0</v>
      </c>
      <c r="T127" s="13">
        <f t="shared" si="26"/>
        <v>6</v>
      </c>
      <c r="U127" s="13">
        <f t="shared" si="26"/>
        <v>38</v>
      </c>
    </row>
    <row r="128" spans="1:21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</row>
    <row r="129" spans="1:21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1</v>
      </c>
      <c r="F129" s="16">
        <v>1</v>
      </c>
      <c r="G129" s="16">
        <v>0</v>
      </c>
      <c r="H129" s="16">
        <v>0</v>
      </c>
      <c r="I129" s="16">
        <v>0</v>
      </c>
      <c r="J129" s="16">
        <v>0</v>
      </c>
      <c r="K129" s="16">
        <v>1</v>
      </c>
      <c r="L129" s="16">
        <v>5</v>
      </c>
      <c r="M129" s="16">
        <v>4</v>
      </c>
      <c r="N129" s="16">
        <v>5</v>
      </c>
      <c r="O129" s="16">
        <v>3</v>
      </c>
      <c r="P129" s="16">
        <v>3</v>
      </c>
      <c r="Q129" s="16">
        <v>0</v>
      </c>
      <c r="R129" s="16">
        <v>0</v>
      </c>
      <c r="S129" s="16">
        <v>0</v>
      </c>
      <c r="T129" s="16">
        <v>5</v>
      </c>
      <c r="U129" s="13">
        <f t="shared" ref="U129:U138" si="27">SUM(E129:T129)</f>
        <v>28</v>
      </c>
    </row>
    <row r="130" spans="1:21" ht="12.75" customHeight="1" x14ac:dyDescent="0.4">
      <c r="A130" s="20" t="s">
        <v>38</v>
      </c>
      <c r="B130" s="28"/>
      <c r="C130" s="29" t="s">
        <v>88</v>
      </c>
      <c r="D130" s="30"/>
      <c r="E130" s="16">
        <v>1</v>
      </c>
      <c r="F130" s="16">
        <v>2</v>
      </c>
      <c r="G130" s="16">
        <v>1</v>
      </c>
      <c r="H130" s="16">
        <v>1</v>
      </c>
      <c r="I130" s="16">
        <v>31</v>
      </c>
      <c r="J130" s="16">
        <v>3</v>
      </c>
      <c r="K130" s="16">
        <v>5</v>
      </c>
      <c r="L130" s="16">
        <v>17</v>
      </c>
      <c r="M130" s="16">
        <v>3</v>
      </c>
      <c r="N130" s="16">
        <v>24</v>
      </c>
      <c r="O130" s="16">
        <v>2</v>
      </c>
      <c r="P130" s="16">
        <v>2</v>
      </c>
      <c r="Q130" s="16">
        <v>6</v>
      </c>
      <c r="R130" s="16">
        <v>3</v>
      </c>
      <c r="S130" s="16">
        <v>5</v>
      </c>
      <c r="T130" s="16">
        <v>3</v>
      </c>
      <c r="U130" s="13">
        <f t="shared" si="27"/>
        <v>109</v>
      </c>
    </row>
    <row r="131" spans="1:21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0</v>
      </c>
      <c r="G131" s="16">
        <v>1</v>
      </c>
      <c r="H131" s="16">
        <v>0</v>
      </c>
      <c r="I131" s="16">
        <v>3</v>
      </c>
      <c r="J131" s="16">
        <v>0</v>
      </c>
      <c r="K131" s="16">
        <v>0</v>
      </c>
      <c r="L131" s="16">
        <v>3</v>
      </c>
      <c r="M131" s="16">
        <v>0</v>
      </c>
      <c r="N131" s="16">
        <v>7</v>
      </c>
      <c r="O131" s="16">
        <v>0</v>
      </c>
      <c r="P131" s="16">
        <v>0</v>
      </c>
      <c r="Q131" s="16">
        <v>0</v>
      </c>
      <c r="R131" s="16">
        <v>0</v>
      </c>
      <c r="S131" s="16">
        <v>0</v>
      </c>
      <c r="T131" s="16">
        <v>1</v>
      </c>
      <c r="U131" s="13">
        <f t="shared" si="27"/>
        <v>15</v>
      </c>
    </row>
    <row r="132" spans="1:21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2</v>
      </c>
      <c r="G132" s="16">
        <v>0</v>
      </c>
      <c r="H132" s="16">
        <v>0</v>
      </c>
      <c r="I132" s="16">
        <v>0</v>
      </c>
      <c r="J132" s="16">
        <v>1</v>
      </c>
      <c r="K132" s="16">
        <v>1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1</v>
      </c>
      <c r="S132" s="16">
        <v>0</v>
      </c>
      <c r="T132" s="16">
        <v>0</v>
      </c>
      <c r="U132" s="13">
        <f t="shared" si="27"/>
        <v>6</v>
      </c>
    </row>
    <row r="133" spans="1:21" ht="12.75" customHeight="1" x14ac:dyDescent="0.4">
      <c r="A133" s="15"/>
      <c r="B133" s="28"/>
      <c r="C133" s="29" t="s">
        <v>91</v>
      </c>
      <c r="D133" s="30"/>
      <c r="E133" s="16">
        <v>1</v>
      </c>
      <c r="F133" s="16">
        <v>0</v>
      </c>
      <c r="G133" s="16">
        <v>0</v>
      </c>
      <c r="H133" s="16">
        <v>0</v>
      </c>
      <c r="I133" s="16">
        <v>1</v>
      </c>
      <c r="J133" s="16">
        <v>1</v>
      </c>
      <c r="K133" s="16">
        <v>0</v>
      </c>
      <c r="L133" s="16">
        <v>0</v>
      </c>
      <c r="M133" s="16">
        <v>0</v>
      </c>
      <c r="N133" s="16">
        <v>1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3">
        <f t="shared" si="27"/>
        <v>5</v>
      </c>
    </row>
    <row r="134" spans="1:21" ht="12.75" customHeight="1" x14ac:dyDescent="0.4">
      <c r="A134" s="15"/>
      <c r="B134" s="28"/>
      <c r="C134" s="29" t="s">
        <v>92</v>
      </c>
      <c r="D134" s="30"/>
      <c r="E134" s="16">
        <v>1</v>
      </c>
      <c r="F134" s="16">
        <v>1</v>
      </c>
      <c r="G134" s="16">
        <v>0</v>
      </c>
      <c r="H134" s="16">
        <v>0</v>
      </c>
      <c r="I134" s="16">
        <v>2</v>
      </c>
      <c r="J134" s="16">
        <v>0</v>
      </c>
      <c r="K134" s="16">
        <v>1</v>
      </c>
      <c r="L134" s="16">
        <v>5</v>
      </c>
      <c r="M134" s="16">
        <v>1</v>
      </c>
      <c r="N134" s="16">
        <v>5</v>
      </c>
      <c r="O134" s="16">
        <v>1</v>
      </c>
      <c r="P134" s="16">
        <v>0</v>
      </c>
      <c r="Q134" s="16">
        <v>0</v>
      </c>
      <c r="R134" s="16">
        <v>1</v>
      </c>
      <c r="S134" s="16">
        <v>0</v>
      </c>
      <c r="T134" s="16">
        <v>3</v>
      </c>
      <c r="U134" s="13">
        <f t="shared" si="27"/>
        <v>21</v>
      </c>
    </row>
    <row r="135" spans="1:21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1</v>
      </c>
      <c r="H135" s="16">
        <v>0</v>
      </c>
      <c r="I135" s="16">
        <v>0</v>
      </c>
      <c r="J135" s="16">
        <v>0</v>
      </c>
      <c r="K135" s="16">
        <v>7</v>
      </c>
      <c r="L135" s="16">
        <v>2</v>
      </c>
      <c r="M135" s="16">
        <v>0</v>
      </c>
      <c r="N135" s="16">
        <v>1</v>
      </c>
      <c r="O135" s="16">
        <v>1</v>
      </c>
      <c r="P135" s="16">
        <v>0</v>
      </c>
      <c r="Q135" s="16">
        <v>0</v>
      </c>
      <c r="R135" s="16">
        <v>0</v>
      </c>
      <c r="S135" s="16">
        <v>1</v>
      </c>
      <c r="T135" s="16">
        <v>0</v>
      </c>
      <c r="U135" s="13">
        <f t="shared" si="27"/>
        <v>13</v>
      </c>
    </row>
    <row r="136" spans="1:21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13">
        <f t="shared" si="27"/>
        <v>0</v>
      </c>
    </row>
    <row r="137" spans="1:21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13">
        <f t="shared" si="27"/>
        <v>0</v>
      </c>
    </row>
    <row r="138" spans="1:21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13">
        <f t="shared" si="27"/>
        <v>0</v>
      </c>
    </row>
    <row r="139" spans="1:21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U139" si="28">SUM(E129:E138)</f>
        <v>4</v>
      </c>
      <c r="F139" s="13">
        <f t="shared" si="28"/>
        <v>6</v>
      </c>
      <c r="G139" s="13">
        <f t="shared" si="28"/>
        <v>3</v>
      </c>
      <c r="H139" s="13">
        <f t="shared" si="28"/>
        <v>1</v>
      </c>
      <c r="I139" s="13">
        <f t="shared" si="28"/>
        <v>37</v>
      </c>
      <c r="J139" s="13">
        <f t="shared" si="28"/>
        <v>5</v>
      </c>
      <c r="K139" s="13">
        <f t="shared" si="28"/>
        <v>15</v>
      </c>
      <c r="L139" s="13">
        <f t="shared" si="28"/>
        <v>32</v>
      </c>
      <c r="M139" s="13">
        <f t="shared" si="28"/>
        <v>8</v>
      </c>
      <c r="N139" s="13">
        <f t="shared" si="28"/>
        <v>43</v>
      </c>
      <c r="O139" s="13">
        <f t="shared" si="28"/>
        <v>7</v>
      </c>
      <c r="P139" s="13">
        <f t="shared" si="28"/>
        <v>7</v>
      </c>
      <c r="Q139" s="13">
        <f t="shared" si="28"/>
        <v>6</v>
      </c>
      <c r="R139" s="13">
        <f t="shared" si="28"/>
        <v>5</v>
      </c>
      <c r="S139" s="13">
        <f t="shared" si="28"/>
        <v>6</v>
      </c>
      <c r="T139" s="13">
        <f t="shared" si="28"/>
        <v>12</v>
      </c>
      <c r="U139" s="13">
        <f t="shared" si="28"/>
        <v>197</v>
      </c>
    </row>
    <row r="140" spans="1:21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</row>
    <row r="141" spans="1:21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6">
        <v>0</v>
      </c>
      <c r="U141" s="13">
        <f t="shared" ref="U141:U150" si="29">SUM(E141:T141)</f>
        <v>0</v>
      </c>
    </row>
    <row r="142" spans="1:21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1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6">
        <v>0</v>
      </c>
      <c r="T142" s="16">
        <v>0</v>
      </c>
      <c r="U142" s="13">
        <f t="shared" si="29"/>
        <v>1</v>
      </c>
    </row>
    <row r="143" spans="1:21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13">
        <f t="shared" si="29"/>
        <v>0</v>
      </c>
    </row>
    <row r="144" spans="1:21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13">
        <f t="shared" si="29"/>
        <v>0</v>
      </c>
    </row>
    <row r="145" spans="1:21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13">
        <f t="shared" si="29"/>
        <v>0</v>
      </c>
    </row>
    <row r="146" spans="1:21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13">
        <f t="shared" si="29"/>
        <v>0</v>
      </c>
    </row>
    <row r="147" spans="1:21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13">
        <f t="shared" si="29"/>
        <v>0</v>
      </c>
    </row>
    <row r="148" spans="1:21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13">
        <f t="shared" si="29"/>
        <v>0</v>
      </c>
    </row>
    <row r="149" spans="1:21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13">
        <f t="shared" si="29"/>
        <v>0</v>
      </c>
    </row>
    <row r="150" spans="1:21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13">
        <f t="shared" si="29"/>
        <v>0</v>
      </c>
    </row>
    <row r="151" spans="1:21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U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0</v>
      </c>
      <c r="M151" s="13">
        <f t="shared" si="30"/>
        <v>1</v>
      </c>
      <c r="N151" s="13">
        <f t="shared" si="30"/>
        <v>0</v>
      </c>
      <c r="O151" s="13">
        <f t="shared" si="30"/>
        <v>0</v>
      </c>
      <c r="P151" s="13">
        <f t="shared" si="30"/>
        <v>0</v>
      </c>
      <c r="Q151" s="13">
        <f t="shared" si="30"/>
        <v>0</v>
      </c>
      <c r="R151" s="13">
        <f t="shared" si="30"/>
        <v>0</v>
      </c>
      <c r="S151" s="13">
        <f t="shared" si="30"/>
        <v>0</v>
      </c>
      <c r="T151" s="13">
        <f t="shared" si="30"/>
        <v>0</v>
      </c>
      <c r="U151" s="13">
        <f t="shared" si="30"/>
        <v>1</v>
      </c>
    </row>
    <row r="152" spans="1:21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13"/>
    </row>
    <row r="153" spans="1:21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1</v>
      </c>
      <c r="M153" s="16">
        <v>0</v>
      </c>
      <c r="N153" s="16">
        <v>0</v>
      </c>
      <c r="O153" s="16">
        <v>0</v>
      </c>
      <c r="P153" s="16">
        <v>0</v>
      </c>
      <c r="Q153" s="16">
        <v>1</v>
      </c>
      <c r="R153" s="16">
        <v>0</v>
      </c>
      <c r="S153" s="16">
        <v>0</v>
      </c>
      <c r="T153" s="16">
        <v>0</v>
      </c>
      <c r="U153" s="13">
        <f t="shared" ref="U153:U162" si="31">SUM(E153:T153)</f>
        <v>2</v>
      </c>
    </row>
    <row r="154" spans="1:21" ht="12.75" customHeight="1" x14ac:dyDescent="0.4">
      <c r="A154" s="42" t="s">
        <v>38</v>
      </c>
      <c r="B154" s="28"/>
      <c r="C154" s="29" t="s">
        <v>99</v>
      </c>
      <c r="D154" s="30"/>
      <c r="E154" s="55">
        <v>6</v>
      </c>
      <c r="F154" s="16">
        <v>0</v>
      </c>
      <c r="G154" s="16">
        <v>0</v>
      </c>
      <c r="H154" s="16">
        <v>3</v>
      </c>
      <c r="I154" s="16">
        <v>0</v>
      </c>
      <c r="J154" s="16">
        <v>0</v>
      </c>
      <c r="K154" s="16">
        <v>3</v>
      </c>
      <c r="L154" s="16">
        <v>0</v>
      </c>
      <c r="M154" s="16">
        <v>5</v>
      </c>
      <c r="N154" s="16">
        <v>0</v>
      </c>
      <c r="O154" s="16">
        <v>1</v>
      </c>
      <c r="P154" s="16">
        <v>0</v>
      </c>
      <c r="Q154" s="16">
        <v>4</v>
      </c>
      <c r="R154" s="16">
        <v>0</v>
      </c>
      <c r="S154" s="16">
        <v>0</v>
      </c>
      <c r="T154" s="16">
        <v>0</v>
      </c>
      <c r="U154" s="13">
        <f t="shared" si="31"/>
        <v>22</v>
      </c>
    </row>
    <row r="155" spans="1:21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0</v>
      </c>
      <c r="T155" s="16">
        <v>0</v>
      </c>
      <c r="U155" s="13">
        <f t="shared" si="31"/>
        <v>0</v>
      </c>
    </row>
    <row r="156" spans="1:21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1</v>
      </c>
      <c r="I156" s="16">
        <v>0</v>
      </c>
      <c r="J156" s="16">
        <v>0</v>
      </c>
      <c r="K156" s="16">
        <v>1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0</v>
      </c>
      <c r="T156" s="16">
        <v>0</v>
      </c>
      <c r="U156" s="13">
        <f t="shared" si="31"/>
        <v>2</v>
      </c>
    </row>
    <row r="157" spans="1:21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1</v>
      </c>
      <c r="J157" s="16">
        <v>0</v>
      </c>
      <c r="K157" s="16">
        <v>0</v>
      </c>
      <c r="L157" s="16">
        <v>0</v>
      </c>
      <c r="M157" s="16">
        <v>3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0</v>
      </c>
      <c r="U157" s="13">
        <f t="shared" si="31"/>
        <v>4</v>
      </c>
    </row>
    <row r="158" spans="1:21" ht="12.75" customHeight="1" x14ac:dyDescent="0.4">
      <c r="A158" s="52"/>
      <c r="B158" s="28"/>
      <c r="C158" s="29" t="s">
        <v>103</v>
      </c>
      <c r="D158" s="30"/>
      <c r="E158" s="56">
        <v>2</v>
      </c>
      <c r="F158" s="53">
        <v>0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0</v>
      </c>
      <c r="M158" s="53">
        <v>1</v>
      </c>
      <c r="N158" s="53">
        <v>1</v>
      </c>
      <c r="O158" s="53">
        <v>0</v>
      </c>
      <c r="P158" s="16">
        <v>0</v>
      </c>
      <c r="Q158" s="53">
        <v>0</v>
      </c>
      <c r="R158" s="53">
        <v>0</v>
      </c>
      <c r="S158" s="53">
        <v>0</v>
      </c>
      <c r="T158" s="53">
        <v>0</v>
      </c>
      <c r="U158" s="13">
        <f t="shared" si="31"/>
        <v>4</v>
      </c>
    </row>
    <row r="159" spans="1:21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1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0</v>
      </c>
      <c r="T159" s="53">
        <v>0</v>
      </c>
      <c r="U159" s="13">
        <f t="shared" si="31"/>
        <v>1</v>
      </c>
    </row>
    <row r="160" spans="1:21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13">
        <f t="shared" si="31"/>
        <v>0</v>
      </c>
    </row>
    <row r="161" spans="1:21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13">
        <f t="shared" si="31"/>
        <v>0</v>
      </c>
    </row>
    <row r="162" spans="1:21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13">
        <f t="shared" si="31"/>
        <v>0</v>
      </c>
    </row>
    <row r="163" spans="1:21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U163" si="32">SUM(E153:E162)</f>
        <v>8</v>
      </c>
      <c r="F163" s="13">
        <f t="shared" si="32"/>
        <v>0</v>
      </c>
      <c r="G163" s="13">
        <f t="shared" si="32"/>
        <v>0</v>
      </c>
      <c r="H163" s="13">
        <f t="shared" si="32"/>
        <v>4</v>
      </c>
      <c r="I163" s="13">
        <f t="shared" si="32"/>
        <v>1</v>
      </c>
      <c r="J163" s="13">
        <f t="shared" si="32"/>
        <v>1</v>
      </c>
      <c r="K163" s="13">
        <f t="shared" si="32"/>
        <v>4</v>
      </c>
      <c r="L163" s="13">
        <f t="shared" si="32"/>
        <v>1</v>
      </c>
      <c r="M163" s="13">
        <f t="shared" si="32"/>
        <v>9</v>
      </c>
      <c r="N163" s="13">
        <f t="shared" si="32"/>
        <v>1</v>
      </c>
      <c r="O163" s="13">
        <f t="shared" si="32"/>
        <v>1</v>
      </c>
      <c r="P163" s="13">
        <f t="shared" si="32"/>
        <v>0</v>
      </c>
      <c r="Q163" s="13">
        <f t="shared" si="32"/>
        <v>5</v>
      </c>
      <c r="R163" s="13">
        <f t="shared" si="32"/>
        <v>0</v>
      </c>
      <c r="S163" s="13">
        <f t="shared" si="32"/>
        <v>0</v>
      </c>
      <c r="T163" s="13">
        <f t="shared" si="32"/>
        <v>0</v>
      </c>
      <c r="U163" s="13">
        <f t="shared" si="32"/>
        <v>35</v>
      </c>
    </row>
    <row r="164" spans="1:21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</row>
    <row r="165" spans="1:21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1</v>
      </c>
      <c r="F165" s="16">
        <v>1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1</v>
      </c>
      <c r="T165" s="16">
        <v>0</v>
      </c>
      <c r="U165" s="13">
        <f t="shared" ref="U165:U174" si="33">SUM(E165:T165)</f>
        <v>3</v>
      </c>
    </row>
    <row r="166" spans="1:21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13">
        <f t="shared" si="33"/>
        <v>0</v>
      </c>
    </row>
    <row r="167" spans="1:21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13">
        <f t="shared" si="33"/>
        <v>0</v>
      </c>
    </row>
    <row r="168" spans="1:21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13">
        <f t="shared" si="33"/>
        <v>0</v>
      </c>
    </row>
    <row r="169" spans="1:21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13">
        <f t="shared" si="33"/>
        <v>0</v>
      </c>
    </row>
    <row r="170" spans="1:21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13">
        <f t="shared" si="33"/>
        <v>0</v>
      </c>
    </row>
    <row r="171" spans="1:21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13">
        <f t="shared" si="33"/>
        <v>0</v>
      </c>
    </row>
    <row r="172" spans="1:21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13">
        <f t="shared" si="33"/>
        <v>0</v>
      </c>
    </row>
    <row r="173" spans="1:21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13">
        <f t="shared" si="33"/>
        <v>0</v>
      </c>
    </row>
    <row r="174" spans="1:21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13">
        <f t="shared" si="33"/>
        <v>0</v>
      </c>
    </row>
    <row r="175" spans="1:21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U175" si="34">SUM(E165:E174)</f>
        <v>1</v>
      </c>
      <c r="F175" s="13">
        <f t="shared" si="34"/>
        <v>1</v>
      </c>
      <c r="G175" s="13">
        <f t="shared" si="34"/>
        <v>0</v>
      </c>
      <c r="H175" s="13">
        <f t="shared" si="34"/>
        <v>0</v>
      </c>
      <c r="I175" s="13">
        <f t="shared" si="34"/>
        <v>0</v>
      </c>
      <c r="J175" s="13">
        <f t="shared" si="34"/>
        <v>0</v>
      </c>
      <c r="K175" s="13">
        <f t="shared" si="34"/>
        <v>0</v>
      </c>
      <c r="L175" s="13">
        <f t="shared" si="34"/>
        <v>0</v>
      </c>
      <c r="M175" s="13">
        <f t="shared" si="34"/>
        <v>0</v>
      </c>
      <c r="N175" s="13">
        <f t="shared" si="34"/>
        <v>0</v>
      </c>
      <c r="O175" s="13">
        <f t="shared" si="34"/>
        <v>0</v>
      </c>
      <c r="P175" s="13">
        <f t="shared" si="34"/>
        <v>0</v>
      </c>
      <c r="Q175" s="13">
        <f t="shared" si="34"/>
        <v>0</v>
      </c>
      <c r="R175" s="13">
        <f t="shared" si="34"/>
        <v>0</v>
      </c>
      <c r="S175" s="13">
        <f t="shared" si="34"/>
        <v>1</v>
      </c>
      <c r="T175" s="13">
        <f t="shared" si="34"/>
        <v>0</v>
      </c>
      <c r="U175" s="13">
        <f t="shared" si="34"/>
        <v>3</v>
      </c>
    </row>
    <row r="176" spans="1:21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</row>
    <row r="177" spans="1:21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1</v>
      </c>
      <c r="F177" s="16">
        <v>1</v>
      </c>
      <c r="G177" s="16">
        <v>0</v>
      </c>
      <c r="H177" s="16">
        <v>0</v>
      </c>
      <c r="I177" s="16">
        <v>0</v>
      </c>
      <c r="J177" s="16">
        <v>0</v>
      </c>
      <c r="K177" s="16">
        <v>1</v>
      </c>
      <c r="L177" s="16">
        <v>3</v>
      </c>
      <c r="M177" s="16">
        <v>1</v>
      </c>
      <c r="N177" s="16">
        <v>2</v>
      </c>
      <c r="O177" s="16">
        <v>0</v>
      </c>
      <c r="P177" s="16">
        <v>0</v>
      </c>
      <c r="Q177" s="16">
        <v>0</v>
      </c>
      <c r="R177" s="16">
        <v>1</v>
      </c>
      <c r="S177" s="16">
        <v>2</v>
      </c>
      <c r="T177" s="16">
        <v>1</v>
      </c>
      <c r="U177" s="13">
        <f t="shared" ref="U177:U186" si="35">SUM(E177:T177)</f>
        <v>13</v>
      </c>
    </row>
    <row r="178" spans="1:21" ht="12.75" customHeight="1" x14ac:dyDescent="0.4">
      <c r="A178" s="20" t="s">
        <v>38</v>
      </c>
      <c r="B178" s="28"/>
      <c r="C178" s="29" t="s">
        <v>109</v>
      </c>
      <c r="D178" s="30"/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4</v>
      </c>
      <c r="Q178" s="16">
        <v>0</v>
      </c>
      <c r="R178" s="16">
        <v>3</v>
      </c>
      <c r="S178" s="16">
        <v>0</v>
      </c>
      <c r="T178" s="16">
        <v>1</v>
      </c>
      <c r="U178" s="13">
        <f t="shared" si="35"/>
        <v>8</v>
      </c>
    </row>
    <row r="179" spans="1:21" ht="12.75" customHeight="1" x14ac:dyDescent="0.4">
      <c r="A179" s="15"/>
      <c r="B179" s="28"/>
      <c r="C179" s="29" t="s">
        <v>110</v>
      </c>
      <c r="D179" s="30"/>
      <c r="E179" s="16">
        <v>1</v>
      </c>
      <c r="F179" s="16">
        <v>0</v>
      </c>
      <c r="G179" s="16">
        <v>2</v>
      </c>
      <c r="H179" s="16">
        <v>5</v>
      </c>
      <c r="I179" s="16">
        <v>8</v>
      </c>
      <c r="J179" s="16">
        <v>0</v>
      </c>
      <c r="K179" s="16">
        <v>0</v>
      </c>
      <c r="L179" s="16">
        <v>0</v>
      </c>
      <c r="M179" s="16">
        <v>1</v>
      </c>
      <c r="N179" s="16">
        <v>0</v>
      </c>
      <c r="O179" s="16">
        <v>0</v>
      </c>
      <c r="P179" s="16">
        <v>0</v>
      </c>
      <c r="Q179" s="16">
        <v>2</v>
      </c>
      <c r="R179" s="16">
        <v>0</v>
      </c>
      <c r="S179" s="16">
        <v>0</v>
      </c>
      <c r="T179" s="16">
        <v>0</v>
      </c>
      <c r="U179" s="13">
        <f t="shared" si="35"/>
        <v>19</v>
      </c>
    </row>
    <row r="180" spans="1:21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0</v>
      </c>
      <c r="G180" s="16">
        <v>0</v>
      </c>
      <c r="H180" s="16">
        <v>1</v>
      </c>
      <c r="I180" s="16">
        <v>0</v>
      </c>
      <c r="J180" s="16">
        <v>0</v>
      </c>
      <c r="K180" s="16">
        <v>0</v>
      </c>
      <c r="L180" s="16">
        <v>0</v>
      </c>
      <c r="M180" s="16">
        <v>1</v>
      </c>
      <c r="N180" s="16">
        <v>0</v>
      </c>
      <c r="O180" s="16">
        <v>2</v>
      </c>
      <c r="P180" s="16">
        <v>0</v>
      </c>
      <c r="Q180" s="16">
        <v>0</v>
      </c>
      <c r="R180" s="16">
        <v>0</v>
      </c>
      <c r="S180" s="16">
        <v>0</v>
      </c>
      <c r="T180" s="16">
        <v>2</v>
      </c>
      <c r="U180" s="13">
        <f t="shared" si="35"/>
        <v>6</v>
      </c>
    </row>
    <row r="181" spans="1:21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1</v>
      </c>
      <c r="U181" s="13">
        <f t="shared" si="35"/>
        <v>1</v>
      </c>
    </row>
    <row r="182" spans="1:21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5</v>
      </c>
      <c r="M182" s="16">
        <v>1</v>
      </c>
      <c r="N182" s="16">
        <v>0</v>
      </c>
      <c r="O182" s="16">
        <v>0</v>
      </c>
      <c r="P182" s="16">
        <v>1</v>
      </c>
      <c r="Q182" s="16">
        <v>0</v>
      </c>
      <c r="R182" s="16">
        <v>0</v>
      </c>
      <c r="S182" s="16">
        <v>0</v>
      </c>
      <c r="T182" s="16">
        <v>0</v>
      </c>
      <c r="U182" s="13">
        <f t="shared" si="35"/>
        <v>7</v>
      </c>
    </row>
    <row r="183" spans="1:21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3">
        <f t="shared" si="35"/>
        <v>0</v>
      </c>
    </row>
    <row r="184" spans="1:21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13">
        <f t="shared" si="35"/>
        <v>0</v>
      </c>
    </row>
    <row r="185" spans="1:21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13">
        <f t="shared" si="35"/>
        <v>0</v>
      </c>
    </row>
    <row r="186" spans="1:21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13">
        <f t="shared" si="35"/>
        <v>0</v>
      </c>
    </row>
    <row r="187" spans="1:21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U187" si="36">SUM(E177:E186)</f>
        <v>2</v>
      </c>
      <c r="F187" s="13">
        <f t="shared" si="36"/>
        <v>1</v>
      </c>
      <c r="G187" s="13">
        <f t="shared" si="36"/>
        <v>2</v>
      </c>
      <c r="H187" s="13">
        <f t="shared" si="36"/>
        <v>6</v>
      </c>
      <c r="I187" s="13">
        <f t="shared" si="36"/>
        <v>8</v>
      </c>
      <c r="J187" s="13">
        <f t="shared" si="36"/>
        <v>0</v>
      </c>
      <c r="K187" s="13">
        <f t="shared" si="36"/>
        <v>1</v>
      </c>
      <c r="L187" s="13">
        <f t="shared" si="36"/>
        <v>8</v>
      </c>
      <c r="M187" s="13">
        <f t="shared" si="36"/>
        <v>4</v>
      </c>
      <c r="N187" s="13">
        <f t="shared" si="36"/>
        <v>2</v>
      </c>
      <c r="O187" s="13">
        <f t="shared" si="36"/>
        <v>2</v>
      </c>
      <c r="P187" s="13">
        <f t="shared" si="36"/>
        <v>5</v>
      </c>
      <c r="Q187" s="13">
        <f t="shared" si="36"/>
        <v>2</v>
      </c>
      <c r="R187" s="13">
        <f t="shared" si="36"/>
        <v>4</v>
      </c>
      <c r="S187" s="13">
        <f t="shared" si="36"/>
        <v>2</v>
      </c>
      <c r="T187" s="13">
        <f t="shared" si="36"/>
        <v>5</v>
      </c>
      <c r="U187" s="13">
        <f t="shared" si="36"/>
        <v>54</v>
      </c>
    </row>
    <row r="188" spans="1:21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U188" s="13"/>
    </row>
    <row r="189" spans="1:21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1</v>
      </c>
      <c r="S189" s="16">
        <v>0</v>
      </c>
      <c r="T189" s="16">
        <v>0</v>
      </c>
      <c r="U189" s="13">
        <f t="shared" ref="U189:U198" si="37">SUM(E189:T189)</f>
        <v>1</v>
      </c>
    </row>
    <row r="190" spans="1:21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1</v>
      </c>
      <c r="I190" s="16">
        <v>0</v>
      </c>
      <c r="J190" s="16">
        <v>0</v>
      </c>
      <c r="K190" s="16">
        <v>0</v>
      </c>
      <c r="L190" s="16">
        <v>0</v>
      </c>
      <c r="M190" s="16">
        <v>1</v>
      </c>
      <c r="N190" s="16">
        <v>0</v>
      </c>
      <c r="O190" s="16">
        <v>0</v>
      </c>
      <c r="P190" s="16">
        <v>0</v>
      </c>
      <c r="Q190" s="16">
        <v>1</v>
      </c>
      <c r="R190" s="16">
        <v>0</v>
      </c>
      <c r="S190" s="16">
        <v>0</v>
      </c>
      <c r="T190" s="16">
        <v>0</v>
      </c>
      <c r="U190" s="13">
        <f t="shared" si="37"/>
        <v>3</v>
      </c>
    </row>
    <row r="191" spans="1:21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3">
        <f t="shared" si="37"/>
        <v>0</v>
      </c>
    </row>
    <row r="192" spans="1:21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3">
        <f t="shared" si="37"/>
        <v>0</v>
      </c>
    </row>
    <row r="193" spans="1:21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3">
        <f t="shared" si="37"/>
        <v>0</v>
      </c>
    </row>
    <row r="194" spans="1:21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1</v>
      </c>
      <c r="H194" s="16">
        <v>0</v>
      </c>
      <c r="I194" s="16">
        <v>1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4</v>
      </c>
      <c r="P194" s="16">
        <v>0</v>
      </c>
      <c r="Q194" s="16">
        <v>1</v>
      </c>
      <c r="R194" s="16">
        <v>0</v>
      </c>
      <c r="S194" s="16">
        <v>0</v>
      </c>
      <c r="T194" s="16">
        <v>0</v>
      </c>
      <c r="U194" s="13">
        <f t="shared" si="37"/>
        <v>7</v>
      </c>
    </row>
    <row r="195" spans="1:21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2</v>
      </c>
      <c r="N195" s="16">
        <v>0</v>
      </c>
      <c r="O195" s="16">
        <v>0</v>
      </c>
      <c r="P195" s="16">
        <v>1</v>
      </c>
      <c r="Q195" s="16">
        <v>0</v>
      </c>
      <c r="R195" s="16">
        <v>0</v>
      </c>
      <c r="S195" s="16">
        <v>1</v>
      </c>
      <c r="T195" s="16">
        <v>0</v>
      </c>
      <c r="U195" s="13">
        <f t="shared" si="37"/>
        <v>4</v>
      </c>
    </row>
    <row r="196" spans="1:21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13">
        <f t="shared" si="37"/>
        <v>0</v>
      </c>
    </row>
    <row r="197" spans="1:21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13">
        <f t="shared" si="37"/>
        <v>0</v>
      </c>
    </row>
    <row r="198" spans="1:21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13">
        <f t="shared" si="37"/>
        <v>0</v>
      </c>
    </row>
    <row r="199" spans="1:21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U199" si="38">SUM(E189:E198)</f>
        <v>0</v>
      </c>
      <c r="F199" s="13">
        <f t="shared" si="38"/>
        <v>0</v>
      </c>
      <c r="G199" s="13">
        <f t="shared" si="38"/>
        <v>1</v>
      </c>
      <c r="H199" s="13">
        <f t="shared" si="38"/>
        <v>1</v>
      </c>
      <c r="I199" s="13">
        <f t="shared" si="38"/>
        <v>1</v>
      </c>
      <c r="J199" s="13">
        <f t="shared" si="38"/>
        <v>0</v>
      </c>
      <c r="K199" s="13">
        <f t="shared" si="38"/>
        <v>0</v>
      </c>
      <c r="L199" s="13">
        <f t="shared" si="38"/>
        <v>0</v>
      </c>
      <c r="M199" s="13">
        <f t="shared" si="38"/>
        <v>3</v>
      </c>
      <c r="N199" s="13">
        <f t="shared" si="38"/>
        <v>0</v>
      </c>
      <c r="O199" s="13">
        <f t="shared" si="38"/>
        <v>4</v>
      </c>
      <c r="P199" s="13">
        <f t="shared" si="38"/>
        <v>1</v>
      </c>
      <c r="Q199" s="13">
        <f t="shared" si="38"/>
        <v>2</v>
      </c>
      <c r="R199" s="13">
        <f t="shared" si="38"/>
        <v>1</v>
      </c>
      <c r="S199" s="13">
        <f t="shared" si="38"/>
        <v>1</v>
      </c>
      <c r="T199" s="13">
        <f t="shared" si="38"/>
        <v>0</v>
      </c>
      <c r="U199" s="13">
        <f t="shared" si="38"/>
        <v>15</v>
      </c>
    </row>
    <row r="200" spans="1:21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</row>
    <row r="201" spans="1:21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1</v>
      </c>
      <c r="F201" s="16">
        <v>2</v>
      </c>
      <c r="G201" s="16">
        <v>2</v>
      </c>
      <c r="H201" s="16">
        <v>8</v>
      </c>
      <c r="I201" s="16">
        <v>3</v>
      </c>
      <c r="J201" s="16">
        <v>0</v>
      </c>
      <c r="K201" s="16">
        <v>0</v>
      </c>
      <c r="L201" s="16">
        <v>1</v>
      </c>
      <c r="M201" s="16">
        <v>1</v>
      </c>
      <c r="N201" s="16">
        <v>4</v>
      </c>
      <c r="O201" s="16">
        <v>5</v>
      </c>
      <c r="P201" s="16">
        <v>1</v>
      </c>
      <c r="Q201" s="16">
        <v>1</v>
      </c>
      <c r="R201" s="16">
        <v>4</v>
      </c>
      <c r="S201" s="16">
        <v>5</v>
      </c>
      <c r="T201" s="16">
        <v>3</v>
      </c>
      <c r="U201" s="13">
        <f t="shared" ref="U201:U210" si="39">SUM(E201:T201)</f>
        <v>41</v>
      </c>
    </row>
    <row r="202" spans="1:21" ht="12.75" customHeight="1" x14ac:dyDescent="0.4">
      <c r="A202" s="20" t="s">
        <v>38</v>
      </c>
      <c r="B202" s="28"/>
      <c r="C202" s="29" t="s">
        <v>125</v>
      </c>
      <c r="D202" s="30"/>
      <c r="E202" s="16">
        <v>2</v>
      </c>
      <c r="F202" s="16">
        <v>1</v>
      </c>
      <c r="G202" s="16">
        <v>11</v>
      </c>
      <c r="H202" s="16">
        <v>86</v>
      </c>
      <c r="I202" s="16">
        <v>25</v>
      </c>
      <c r="J202" s="16">
        <v>3</v>
      </c>
      <c r="K202" s="16">
        <v>5</v>
      </c>
      <c r="L202" s="16">
        <v>3</v>
      </c>
      <c r="M202" s="16">
        <v>2</v>
      </c>
      <c r="N202" s="16">
        <v>1</v>
      </c>
      <c r="O202" s="16">
        <v>10</v>
      </c>
      <c r="P202" s="16">
        <v>3</v>
      </c>
      <c r="Q202" s="16">
        <v>4</v>
      </c>
      <c r="R202" s="16">
        <v>9</v>
      </c>
      <c r="S202" s="16">
        <v>1</v>
      </c>
      <c r="T202" s="16">
        <v>9</v>
      </c>
      <c r="U202" s="13">
        <f t="shared" si="39"/>
        <v>175</v>
      </c>
    </row>
    <row r="203" spans="1:21" ht="12.75" customHeight="1" x14ac:dyDescent="0.4">
      <c r="A203" s="15"/>
      <c r="B203" s="28"/>
      <c r="C203" s="29" t="s">
        <v>126</v>
      </c>
      <c r="D203" s="30"/>
      <c r="E203" s="16">
        <v>1</v>
      </c>
      <c r="F203" s="16">
        <v>0</v>
      </c>
      <c r="G203" s="16">
        <v>5</v>
      </c>
      <c r="H203" s="16">
        <v>25</v>
      </c>
      <c r="I203" s="16">
        <v>3</v>
      </c>
      <c r="J203" s="16">
        <v>0</v>
      </c>
      <c r="K203" s="16">
        <v>2</v>
      </c>
      <c r="L203" s="16">
        <v>5</v>
      </c>
      <c r="M203" s="16">
        <v>2</v>
      </c>
      <c r="N203" s="16">
        <v>5</v>
      </c>
      <c r="O203" s="16">
        <v>4</v>
      </c>
      <c r="P203" s="16">
        <v>4</v>
      </c>
      <c r="Q203" s="16">
        <v>2</v>
      </c>
      <c r="R203" s="16">
        <v>17</v>
      </c>
      <c r="S203" s="16">
        <v>22</v>
      </c>
      <c r="T203" s="16">
        <v>1</v>
      </c>
      <c r="U203" s="13">
        <f t="shared" si="39"/>
        <v>98</v>
      </c>
    </row>
    <row r="204" spans="1:21" ht="12.75" customHeight="1" x14ac:dyDescent="0.4">
      <c r="A204" s="15"/>
      <c r="B204" s="28"/>
      <c r="C204" s="29" t="s">
        <v>127</v>
      </c>
      <c r="D204" s="30"/>
      <c r="E204" s="16">
        <v>6</v>
      </c>
      <c r="F204" s="16">
        <v>5</v>
      </c>
      <c r="G204" s="16">
        <v>1</v>
      </c>
      <c r="H204" s="16">
        <v>3</v>
      </c>
      <c r="I204" s="16">
        <v>12</v>
      </c>
      <c r="J204" s="16">
        <v>0</v>
      </c>
      <c r="K204" s="16">
        <v>2</v>
      </c>
      <c r="L204" s="16">
        <v>3</v>
      </c>
      <c r="M204" s="16">
        <v>2</v>
      </c>
      <c r="N204" s="16">
        <v>2</v>
      </c>
      <c r="O204" s="16">
        <v>4</v>
      </c>
      <c r="P204" s="16">
        <v>1</v>
      </c>
      <c r="Q204" s="16">
        <v>2</v>
      </c>
      <c r="R204" s="16">
        <v>7</v>
      </c>
      <c r="S204" s="16">
        <v>3</v>
      </c>
      <c r="T204" s="16">
        <v>3</v>
      </c>
      <c r="U204" s="13">
        <f t="shared" si="39"/>
        <v>56</v>
      </c>
    </row>
    <row r="205" spans="1:21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1</v>
      </c>
      <c r="H205" s="16">
        <v>0</v>
      </c>
      <c r="I205" s="16">
        <v>0</v>
      </c>
      <c r="J205" s="16">
        <v>0</v>
      </c>
      <c r="K205" s="16">
        <v>0</v>
      </c>
      <c r="L205" s="16">
        <v>0</v>
      </c>
      <c r="M205" s="16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1</v>
      </c>
      <c r="T205" s="16">
        <v>0</v>
      </c>
      <c r="U205" s="13">
        <f t="shared" si="39"/>
        <v>2</v>
      </c>
    </row>
    <row r="206" spans="1:21" ht="12.75" customHeight="1" x14ac:dyDescent="0.4">
      <c r="A206" s="15"/>
      <c r="B206" s="28"/>
      <c r="C206" s="29" t="s">
        <v>129</v>
      </c>
      <c r="D206" s="30"/>
      <c r="E206" s="16">
        <v>1</v>
      </c>
      <c r="F206" s="16">
        <v>1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0</v>
      </c>
      <c r="M206" s="16">
        <v>0</v>
      </c>
      <c r="N206" s="16">
        <v>0</v>
      </c>
      <c r="O206" s="16">
        <v>0</v>
      </c>
      <c r="P206" s="16">
        <v>0</v>
      </c>
      <c r="Q206" s="16">
        <v>1</v>
      </c>
      <c r="R206" s="16">
        <v>0</v>
      </c>
      <c r="S206" s="16">
        <v>1</v>
      </c>
      <c r="T206" s="16">
        <v>0</v>
      </c>
      <c r="U206" s="13">
        <f t="shared" si="39"/>
        <v>4</v>
      </c>
    </row>
    <row r="207" spans="1:21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3</v>
      </c>
      <c r="G207" s="16">
        <v>0</v>
      </c>
      <c r="H207" s="16">
        <v>0</v>
      </c>
      <c r="I207" s="16">
        <v>0</v>
      </c>
      <c r="J207" s="16">
        <v>0</v>
      </c>
      <c r="K207" s="16">
        <v>1</v>
      </c>
      <c r="L207" s="16">
        <v>0</v>
      </c>
      <c r="M207" s="16">
        <v>0</v>
      </c>
      <c r="N207" s="16">
        <v>2</v>
      </c>
      <c r="O207" s="16">
        <v>0</v>
      </c>
      <c r="P207" s="16">
        <v>0</v>
      </c>
      <c r="Q207" s="16">
        <v>0</v>
      </c>
      <c r="R207" s="16">
        <v>3</v>
      </c>
      <c r="S207" s="16">
        <v>0</v>
      </c>
      <c r="T207" s="16">
        <v>0</v>
      </c>
      <c r="U207" s="13">
        <f t="shared" si="39"/>
        <v>9</v>
      </c>
    </row>
    <row r="208" spans="1:21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13">
        <f t="shared" si="39"/>
        <v>0</v>
      </c>
    </row>
    <row r="209" spans="1:21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13">
        <f t="shared" si="39"/>
        <v>0</v>
      </c>
    </row>
    <row r="210" spans="1:21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13">
        <f t="shared" si="39"/>
        <v>0</v>
      </c>
    </row>
    <row r="211" spans="1:21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U211" si="40">SUM(E201:E210)</f>
        <v>11</v>
      </c>
      <c r="F211" s="13">
        <f t="shared" si="40"/>
        <v>12</v>
      </c>
      <c r="G211" s="13">
        <f t="shared" si="40"/>
        <v>20</v>
      </c>
      <c r="H211" s="13">
        <f t="shared" si="40"/>
        <v>122</v>
      </c>
      <c r="I211" s="13">
        <f t="shared" si="40"/>
        <v>43</v>
      </c>
      <c r="J211" s="13">
        <f t="shared" si="40"/>
        <v>3</v>
      </c>
      <c r="K211" s="13">
        <f t="shared" si="40"/>
        <v>10</v>
      </c>
      <c r="L211" s="13">
        <f t="shared" si="40"/>
        <v>12</v>
      </c>
      <c r="M211" s="13">
        <f t="shared" si="40"/>
        <v>7</v>
      </c>
      <c r="N211" s="13">
        <f t="shared" si="40"/>
        <v>14</v>
      </c>
      <c r="O211" s="13">
        <f t="shared" si="40"/>
        <v>23</v>
      </c>
      <c r="P211" s="13">
        <f t="shared" si="40"/>
        <v>9</v>
      </c>
      <c r="Q211" s="13">
        <f t="shared" si="40"/>
        <v>10</v>
      </c>
      <c r="R211" s="13">
        <f t="shared" si="40"/>
        <v>40</v>
      </c>
      <c r="S211" s="13">
        <f t="shared" si="40"/>
        <v>33</v>
      </c>
      <c r="T211" s="13">
        <f t="shared" si="40"/>
        <v>16</v>
      </c>
      <c r="U211" s="13">
        <f t="shared" si="40"/>
        <v>385</v>
      </c>
    </row>
    <row r="212" spans="1:21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</row>
    <row r="213" spans="1:21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2</v>
      </c>
      <c r="F213" s="16">
        <v>1</v>
      </c>
      <c r="G213" s="16">
        <v>3</v>
      </c>
      <c r="H213" s="16">
        <v>0</v>
      </c>
      <c r="I213" s="16">
        <v>3</v>
      </c>
      <c r="J213" s="16">
        <v>0</v>
      </c>
      <c r="K213" s="16">
        <v>0</v>
      </c>
      <c r="L213" s="16">
        <v>3</v>
      </c>
      <c r="M213" s="16">
        <v>1</v>
      </c>
      <c r="N213" s="16">
        <v>4</v>
      </c>
      <c r="O213" s="16">
        <v>2</v>
      </c>
      <c r="P213" s="16">
        <v>6</v>
      </c>
      <c r="Q213" s="16">
        <v>1</v>
      </c>
      <c r="R213" s="16">
        <v>2</v>
      </c>
      <c r="S213" s="16">
        <v>0</v>
      </c>
      <c r="T213" s="16">
        <v>1</v>
      </c>
      <c r="U213" s="13">
        <f t="shared" ref="U213:U222" si="41">SUM(E213:T213)</f>
        <v>29</v>
      </c>
    </row>
    <row r="214" spans="1:21" ht="12.75" customHeight="1" x14ac:dyDescent="0.4">
      <c r="A214" s="20" t="s">
        <v>38</v>
      </c>
      <c r="B214" s="27"/>
      <c r="C214" s="29" t="s">
        <v>133</v>
      </c>
      <c r="D214" s="40"/>
      <c r="E214" s="16">
        <v>1</v>
      </c>
      <c r="F214" s="16">
        <v>2</v>
      </c>
      <c r="G214" s="16">
        <v>0</v>
      </c>
      <c r="H214" s="16">
        <v>2</v>
      </c>
      <c r="I214" s="16">
        <v>2</v>
      </c>
      <c r="J214" s="16">
        <v>1</v>
      </c>
      <c r="K214" s="16">
        <v>0</v>
      </c>
      <c r="L214" s="16">
        <v>1</v>
      </c>
      <c r="M214" s="16">
        <v>2</v>
      </c>
      <c r="N214" s="16">
        <v>3</v>
      </c>
      <c r="O214" s="16">
        <v>1</v>
      </c>
      <c r="P214" s="16">
        <v>2</v>
      </c>
      <c r="Q214" s="16">
        <v>0</v>
      </c>
      <c r="R214" s="16">
        <v>1</v>
      </c>
      <c r="S214" s="16">
        <v>0</v>
      </c>
      <c r="T214" s="16">
        <v>1</v>
      </c>
      <c r="U214" s="13">
        <f t="shared" si="41"/>
        <v>19</v>
      </c>
    </row>
    <row r="215" spans="1:21" ht="12.75" customHeight="1" x14ac:dyDescent="0.4">
      <c r="A215" s="15"/>
      <c r="B215" s="27"/>
      <c r="C215" s="29" t="s">
        <v>134</v>
      </c>
      <c r="D215" s="40"/>
      <c r="E215" s="16">
        <v>0</v>
      </c>
      <c r="F215" s="16">
        <v>0</v>
      </c>
      <c r="G215" s="16">
        <v>0</v>
      </c>
      <c r="H215" s="16">
        <v>0</v>
      </c>
      <c r="I215" s="16">
        <v>2</v>
      </c>
      <c r="J215" s="16">
        <v>1</v>
      </c>
      <c r="K215" s="16">
        <v>2</v>
      </c>
      <c r="L215" s="16">
        <v>1</v>
      </c>
      <c r="M215" s="16">
        <v>1</v>
      </c>
      <c r="N215" s="16">
        <v>0</v>
      </c>
      <c r="O215" s="16">
        <v>1</v>
      </c>
      <c r="P215" s="16">
        <v>0</v>
      </c>
      <c r="Q215" s="16">
        <v>0</v>
      </c>
      <c r="R215" s="16">
        <v>1</v>
      </c>
      <c r="S215" s="16">
        <v>0</v>
      </c>
      <c r="T215" s="16">
        <v>1</v>
      </c>
      <c r="U215" s="13">
        <f t="shared" si="41"/>
        <v>10</v>
      </c>
    </row>
    <row r="216" spans="1:21" ht="12.75" customHeight="1" x14ac:dyDescent="0.4">
      <c r="A216" s="15"/>
      <c r="B216" s="27"/>
      <c r="C216" s="29" t="s">
        <v>135</v>
      </c>
      <c r="D216" s="40"/>
      <c r="E216" s="16">
        <v>5</v>
      </c>
      <c r="F216" s="16">
        <v>1</v>
      </c>
      <c r="G216" s="16">
        <v>0</v>
      </c>
      <c r="H216" s="16">
        <v>0</v>
      </c>
      <c r="I216" s="16">
        <v>0</v>
      </c>
      <c r="J216" s="16">
        <v>0</v>
      </c>
      <c r="K216" s="16">
        <v>0</v>
      </c>
      <c r="L216" s="16">
        <v>0</v>
      </c>
      <c r="M216" s="16">
        <v>0</v>
      </c>
      <c r="N216" s="16">
        <v>1</v>
      </c>
      <c r="O216" s="16">
        <v>0</v>
      </c>
      <c r="P216" s="16">
        <v>0</v>
      </c>
      <c r="Q216" s="16">
        <v>0</v>
      </c>
      <c r="R216" s="16">
        <v>0</v>
      </c>
      <c r="S216" s="16">
        <v>0</v>
      </c>
      <c r="T216" s="16">
        <v>0</v>
      </c>
      <c r="U216" s="13">
        <f t="shared" si="41"/>
        <v>7</v>
      </c>
    </row>
    <row r="217" spans="1:21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1</v>
      </c>
      <c r="J217" s="16">
        <v>0</v>
      </c>
      <c r="K217" s="16">
        <v>0</v>
      </c>
      <c r="L217" s="16">
        <v>1</v>
      </c>
      <c r="M217" s="16">
        <v>1</v>
      </c>
      <c r="N217" s="16">
        <v>1</v>
      </c>
      <c r="O217" s="16">
        <v>0</v>
      </c>
      <c r="P217" s="16">
        <v>0</v>
      </c>
      <c r="Q217" s="16">
        <v>0</v>
      </c>
      <c r="R217" s="16">
        <v>0</v>
      </c>
      <c r="S217" s="16">
        <v>0</v>
      </c>
      <c r="T217" s="16">
        <v>0</v>
      </c>
      <c r="U217" s="13">
        <f t="shared" si="41"/>
        <v>4</v>
      </c>
    </row>
    <row r="218" spans="1:21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3</v>
      </c>
      <c r="G218" s="16">
        <v>1</v>
      </c>
      <c r="H218" s="16">
        <v>0</v>
      </c>
      <c r="I218" s="16">
        <v>1</v>
      </c>
      <c r="J218" s="16">
        <v>0</v>
      </c>
      <c r="K218" s="16">
        <v>0</v>
      </c>
      <c r="L218" s="16">
        <v>0</v>
      </c>
      <c r="M218" s="16">
        <v>0</v>
      </c>
      <c r="N218" s="16">
        <v>0</v>
      </c>
      <c r="O218" s="16">
        <v>0</v>
      </c>
      <c r="P218" s="16">
        <v>0</v>
      </c>
      <c r="Q218" s="16">
        <v>0</v>
      </c>
      <c r="R218" s="16">
        <v>0</v>
      </c>
      <c r="S218" s="16">
        <v>0</v>
      </c>
      <c r="T218" s="16">
        <v>0</v>
      </c>
      <c r="U218" s="13">
        <f t="shared" si="41"/>
        <v>5</v>
      </c>
    </row>
    <row r="219" spans="1:21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13">
        <f t="shared" si="41"/>
        <v>0</v>
      </c>
    </row>
    <row r="220" spans="1:21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13">
        <f t="shared" si="41"/>
        <v>0</v>
      </c>
    </row>
    <row r="221" spans="1:21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13">
        <f t="shared" si="41"/>
        <v>0</v>
      </c>
    </row>
    <row r="222" spans="1:21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13">
        <f t="shared" si="41"/>
        <v>0</v>
      </c>
    </row>
    <row r="223" spans="1:21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U223" si="42">SUM(E213:E222)</f>
        <v>8</v>
      </c>
      <c r="F223" s="13">
        <f t="shared" si="42"/>
        <v>7</v>
      </c>
      <c r="G223" s="13">
        <f t="shared" si="42"/>
        <v>4</v>
      </c>
      <c r="H223" s="13">
        <f t="shared" si="42"/>
        <v>2</v>
      </c>
      <c r="I223" s="13">
        <f t="shared" si="42"/>
        <v>9</v>
      </c>
      <c r="J223" s="13">
        <f t="shared" si="42"/>
        <v>2</v>
      </c>
      <c r="K223" s="13">
        <f t="shared" si="42"/>
        <v>2</v>
      </c>
      <c r="L223" s="13">
        <f t="shared" si="42"/>
        <v>6</v>
      </c>
      <c r="M223" s="13">
        <f t="shared" si="42"/>
        <v>5</v>
      </c>
      <c r="N223" s="13">
        <f t="shared" si="42"/>
        <v>9</v>
      </c>
      <c r="O223" s="13">
        <f t="shared" si="42"/>
        <v>4</v>
      </c>
      <c r="P223" s="13">
        <f t="shared" si="42"/>
        <v>8</v>
      </c>
      <c r="Q223" s="13">
        <f t="shared" si="42"/>
        <v>1</v>
      </c>
      <c r="R223" s="13">
        <f t="shared" si="42"/>
        <v>4</v>
      </c>
      <c r="S223" s="13">
        <f t="shared" si="42"/>
        <v>0</v>
      </c>
      <c r="T223" s="13">
        <f t="shared" si="42"/>
        <v>3</v>
      </c>
      <c r="U223" s="13">
        <f t="shared" si="42"/>
        <v>74</v>
      </c>
    </row>
    <row r="224" spans="1:21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</row>
    <row r="225" spans="1:21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0</v>
      </c>
      <c r="H225" s="16">
        <v>0</v>
      </c>
      <c r="I225" s="16">
        <v>0</v>
      </c>
      <c r="J225" s="16">
        <v>0</v>
      </c>
      <c r="K225" s="16">
        <v>0</v>
      </c>
      <c r="L225" s="16">
        <v>1</v>
      </c>
      <c r="M225" s="16">
        <v>1</v>
      </c>
      <c r="N225" s="16">
        <v>0</v>
      </c>
      <c r="O225" s="16">
        <v>0</v>
      </c>
      <c r="P225" s="16">
        <v>5</v>
      </c>
      <c r="Q225" s="16">
        <v>0</v>
      </c>
      <c r="R225" s="16">
        <v>1</v>
      </c>
      <c r="S225" s="16">
        <v>0</v>
      </c>
      <c r="T225" s="16">
        <v>2</v>
      </c>
      <c r="U225" s="13">
        <f t="shared" ref="U225:U234" si="43">SUM(E225:T225)</f>
        <v>10</v>
      </c>
    </row>
    <row r="226" spans="1:21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0</v>
      </c>
      <c r="L226" s="16">
        <v>0</v>
      </c>
      <c r="M226" s="16">
        <v>3</v>
      </c>
      <c r="N226" s="16">
        <v>0</v>
      </c>
      <c r="O226" s="16">
        <v>0</v>
      </c>
      <c r="P226" s="16">
        <v>0</v>
      </c>
      <c r="Q226" s="16">
        <v>0</v>
      </c>
      <c r="R226" s="16">
        <v>0</v>
      </c>
      <c r="S226" s="16">
        <v>1</v>
      </c>
      <c r="T226" s="16">
        <v>1</v>
      </c>
      <c r="U226" s="13">
        <f t="shared" si="43"/>
        <v>5</v>
      </c>
    </row>
    <row r="227" spans="1:21" ht="12.75" customHeight="1" x14ac:dyDescent="0.4">
      <c r="A227" s="15"/>
      <c r="B227" s="27"/>
      <c r="C227" s="29" t="s">
        <v>141</v>
      </c>
      <c r="D227" s="40"/>
      <c r="E227" s="16">
        <v>0</v>
      </c>
      <c r="F227" s="16">
        <v>0</v>
      </c>
      <c r="G227" s="16">
        <v>0</v>
      </c>
      <c r="H227" s="16">
        <v>0</v>
      </c>
      <c r="I227" s="16">
        <v>3</v>
      </c>
      <c r="J227" s="16">
        <v>0</v>
      </c>
      <c r="K227" s="16">
        <v>0</v>
      </c>
      <c r="L227" s="16">
        <v>1</v>
      </c>
      <c r="M227" s="16">
        <v>0</v>
      </c>
      <c r="N227" s="16">
        <v>0</v>
      </c>
      <c r="O227" s="16">
        <v>0</v>
      </c>
      <c r="P227" s="16">
        <v>2</v>
      </c>
      <c r="Q227" s="16">
        <v>0</v>
      </c>
      <c r="R227" s="16">
        <v>0</v>
      </c>
      <c r="S227" s="16">
        <v>0</v>
      </c>
      <c r="T227" s="16">
        <v>0</v>
      </c>
      <c r="U227" s="13">
        <f t="shared" si="43"/>
        <v>6</v>
      </c>
    </row>
    <row r="228" spans="1:21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1</v>
      </c>
      <c r="Q228" s="16">
        <v>0</v>
      </c>
      <c r="R228" s="16">
        <v>0</v>
      </c>
      <c r="S228" s="16">
        <v>0</v>
      </c>
      <c r="T228" s="16">
        <v>0</v>
      </c>
      <c r="U228" s="13">
        <f t="shared" si="43"/>
        <v>1</v>
      </c>
    </row>
    <row r="229" spans="1:21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0</v>
      </c>
      <c r="N229" s="16">
        <v>0</v>
      </c>
      <c r="O229" s="16">
        <v>1</v>
      </c>
      <c r="P229" s="16">
        <v>9</v>
      </c>
      <c r="Q229" s="16">
        <v>0</v>
      </c>
      <c r="R229" s="16">
        <v>0</v>
      </c>
      <c r="S229" s="16">
        <v>0</v>
      </c>
      <c r="T229" s="16">
        <v>0</v>
      </c>
      <c r="U229" s="13">
        <f t="shared" si="43"/>
        <v>10</v>
      </c>
    </row>
    <row r="230" spans="1:21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0</v>
      </c>
      <c r="G230" s="16">
        <v>0</v>
      </c>
      <c r="H230" s="16">
        <v>0</v>
      </c>
      <c r="I230" s="16">
        <v>0</v>
      </c>
      <c r="J230" s="16">
        <v>0</v>
      </c>
      <c r="K230" s="16">
        <v>0</v>
      </c>
      <c r="L230" s="16">
        <v>0</v>
      </c>
      <c r="M230" s="16">
        <v>0</v>
      </c>
      <c r="N230" s="16">
        <v>0</v>
      </c>
      <c r="O230" s="16">
        <v>0</v>
      </c>
      <c r="P230" s="16">
        <v>13</v>
      </c>
      <c r="Q230" s="16">
        <v>0</v>
      </c>
      <c r="R230" s="16">
        <v>0</v>
      </c>
      <c r="S230" s="16">
        <v>0</v>
      </c>
      <c r="T230" s="16">
        <v>1</v>
      </c>
      <c r="U230" s="13">
        <f t="shared" si="43"/>
        <v>14</v>
      </c>
    </row>
    <row r="231" spans="1:21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1</v>
      </c>
      <c r="J231" s="16">
        <v>0</v>
      </c>
      <c r="K231" s="16">
        <v>1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1</v>
      </c>
      <c r="R231" s="16">
        <v>0</v>
      </c>
      <c r="S231" s="16">
        <v>0</v>
      </c>
      <c r="T231" s="16">
        <v>0</v>
      </c>
      <c r="U231" s="13">
        <f t="shared" si="43"/>
        <v>3</v>
      </c>
    </row>
    <row r="232" spans="1:21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13">
        <f t="shared" si="43"/>
        <v>0</v>
      </c>
    </row>
    <row r="233" spans="1:21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13">
        <f t="shared" si="43"/>
        <v>0</v>
      </c>
    </row>
    <row r="234" spans="1:21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13">
        <f t="shared" si="43"/>
        <v>0</v>
      </c>
    </row>
    <row r="235" spans="1:21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U235" si="44">SUM(E225:E234)</f>
        <v>0</v>
      </c>
      <c r="F235" s="13">
        <f t="shared" si="44"/>
        <v>0</v>
      </c>
      <c r="G235" s="13">
        <f t="shared" si="44"/>
        <v>0</v>
      </c>
      <c r="H235" s="13">
        <f t="shared" si="44"/>
        <v>0</v>
      </c>
      <c r="I235" s="13">
        <f t="shared" si="44"/>
        <v>4</v>
      </c>
      <c r="J235" s="13">
        <f t="shared" si="44"/>
        <v>0</v>
      </c>
      <c r="K235" s="13">
        <f t="shared" si="44"/>
        <v>1</v>
      </c>
      <c r="L235" s="13">
        <f t="shared" si="44"/>
        <v>2</v>
      </c>
      <c r="M235" s="13">
        <f t="shared" si="44"/>
        <v>4</v>
      </c>
      <c r="N235" s="13">
        <f t="shared" si="44"/>
        <v>0</v>
      </c>
      <c r="O235" s="13">
        <f t="shared" si="44"/>
        <v>1</v>
      </c>
      <c r="P235" s="13">
        <f t="shared" si="44"/>
        <v>30</v>
      </c>
      <c r="Q235" s="13">
        <f t="shared" si="44"/>
        <v>1</v>
      </c>
      <c r="R235" s="13">
        <f t="shared" si="44"/>
        <v>1</v>
      </c>
      <c r="S235" s="13">
        <f t="shared" si="44"/>
        <v>1</v>
      </c>
      <c r="T235" s="13">
        <f t="shared" si="44"/>
        <v>4</v>
      </c>
      <c r="U235" s="13">
        <f t="shared" si="44"/>
        <v>49</v>
      </c>
    </row>
    <row r="236" spans="1:21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</row>
    <row r="237" spans="1:21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0</v>
      </c>
      <c r="G237" s="16">
        <v>1</v>
      </c>
      <c r="H237" s="16">
        <v>0</v>
      </c>
      <c r="I237" s="16">
        <v>0</v>
      </c>
      <c r="J237" s="16">
        <v>0</v>
      </c>
      <c r="K237" s="16">
        <v>0</v>
      </c>
      <c r="L237" s="16">
        <v>2</v>
      </c>
      <c r="M237" s="16">
        <v>0</v>
      </c>
      <c r="N237" s="16">
        <v>0</v>
      </c>
      <c r="O237" s="16">
        <v>1</v>
      </c>
      <c r="P237" s="16">
        <v>2</v>
      </c>
      <c r="Q237" s="16">
        <v>2</v>
      </c>
      <c r="R237" s="16">
        <v>0</v>
      </c>
      <c r="S237" s="16">
        <v>0</v>
      </c>
      <c r="T237" s="16">
        <v>1</v>
      </c>
      <c r="U237" s="13">
        <f t="shared" ref="U237:U246" si="45">SUM(E237:T237)</f>
        <v>9</v>
      </c>
    </row>
    <row r="238" spans="1:21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1</v>
      </c>
      <c r="G238" s="16">
        <v>0</v>
      </c>
      <c r="H238" s="16">
        <v>0</v>
      </c>
      <c r="I238" s="16">
        <v>0</v>
      </c>
      <c r="J238" s="16">
        <v>0</v>
      </c>
      <c r="K238" s="16">
        <v>0</v>
      </c>
      <c r="L238" s="16">
        <v>3</v>
      </c>
      <c r="M238" s="16">
        <v>0</v>
      </c>
      <c r="N238" s="16">
        <v>0</v>
      </c>
      <c r="O238" s="16">
        <v>2</v>
      </c>
      <c r="P238" s="16">
        <v>0</v>
      </c>
      <c r="Q238" s="16">
        <v>1</v>
      </c>
      <c r="R238" s="16">
        <v>0</v>
      </c>
      <c r="S238" s="16">
        <v>0</v>
      </c>
      <c r="T238" s="16">
        <v>0</v>
      </c>
      <c r="U238" s="13">
        <f t="shared" si="45"/>
        <v>7</v>
      </c>
    </row>
    <row r="239" spans="1:21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1</v>
      </c>
      <c r="G239" s="16">
        <v>0</v>
      </c>
      <c r="H239" s="16">
        <v>0</v>
      </c>
      <c r="I239" s="16">
        <v>2</v>
      </c>
      <c r="J239" s="16">
        <v>0</v>
      </c>
      <c r="K239" s="16">
        <v>0</v>
      </c>
      <c r="L239" s="16">
        <v>1</v>
      </c>
      <c r="M239" s="16">
        <v>2</v>
      </c>
      <c r="N239" s="16">
        <v>0</v>
      </c>
      <c r="O239" s="16">
        <v>0</v>
      </c>
      <c r="P239" s="16">
        <v>0</v>
      </c>
      <c r="Q239" s="16">
        <v>0</v>
      </c>
      <c r="R239" s="16">
        <v>0</v>
      </c>
      <c r="S239" s="16">
        <v>1</v>
      </c>
      <c r="T239" s="16">
        <v>1</v>
      </c>
      <c r="U239" s="13">
        <f t="shared" si="45"/>
        <v>8</v>
      </c>
    </row>
    <row r="240" spans="1:21" ht="12.75" customHeight="1" x14ac:dyDescent="0.4">
      <c r="A240" s="15"/>
      <c r="B240" s="28"/>
      <c r="C240" s="29" t="s">
        <v>150</v>
      </c>
      <c r="D240" s="30"/>
      <c r="E240" s="16">
        <v>1</v>
      </c>
      <c r="F240" s="16">
        <v>0</v>
      </c>
      <c r="G240" s="16">
        <v>0</v>
      </c>
      <c r="H240" s="16">
        <v>0</v>
      </c>
      <c r="I240" s="16">
        <v>0</v>
      </c>
      <c r="J240" s="16">
        <v>0</v>
      </c>
      <c r="K240" s="16">
        <v>0</v>
      </c>
      <c r="L240" s="16">
        <v>0</v>
      </c>
      <c r="M240" s="16">
        <v>4</v>
      </c>
      <c r="N240" s="16">
        <v>2</v>
      </c>
      <c r="O240" s="16">
        <v>1</v>
      </c>
      <c r="P240" s="16">
        <v>0</v>
      </c>
      <c r="Q240" s="16">
        <v>0</v>
      </c>
      <c r="R240" s="16">
        <v>8</v>
      </c>
      <c r="S240" s="16">
        <v>1</v>
      </c>
      <c r="T240" s="16">
        <v>5</v>
      </c>
      <c r="U240" s="13">
        <f t="shared" si="45"/>
        <v>22</v>
      </c>
    </row>
    <row r="241" spans="1:21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6">
        <v>0</v>
      </c>
      <c r="N241" s="16">
        <v>0</v>
      </c>
      <c r="O241" s="16">
        <v>0</v>
      </c>
      <c r="P241" s="16">
        <v>0</v>
      </c>
      <c r="Q241" s="16">
        <v>0</v>
      </c>
      <c r="R241" s="16">
        <v>0</v>
      </c>
      <c r="S241" s="16">
        <v>1</v>
      </c>
      <c r="T241" s="16">
        <v>0</v>
      </c>
      <c r="U241" s="13">
        <f t="shared" si="45"/>
        <v>1</v>
      </c>
    </row>
    <row r="242" spans="1:21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6">
        <v>1</v>
      </c>
      <c r="Q242" s="16">
        <v>0</v>
      </c>
      <c r="R242" s="16">
        <v>0</v>
      </c>
      <c r="S242" s="16">
        <v>0</v>
      </c>
      <c r="T242" s="16">
        <v>0</v>
      </c>
      <c r="U242" s="13">
        <f t="shared" si="45"/>
        <v>1</v>
      </c>
    </row>
    <row r="243" spans="1:21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1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  <c r="R243" s="16">
        <v>1</v>
      </c>
      <c r="S243" s="16">
        <v>0</v>
      </c>
      <c r="T243" s="16">
        <v>0</v>
      </c>
      <c r="U243" s="13">
        <f t="shared" si="45"/>
        <v>2</v>
      </c>
    </row>
    <row r="244" spans="1:21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13">
        <f t="shared" si="45"/>
        <v>0</v>
      </c>
    </row>
    <row r="245" spans="1:21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13">
        <f t="shared" si="45"/>
        <v>0</v>
      </c>
    </row>
    <row r="246" spans="1:21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13">
        <f t="shared" si="45"/>
        <v>0</v>
      </c>
    </row>
    <row r="247" spans="1:21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U247" si="46">SUM(E237:E246)</f>
        <v>1</v>
      </c>
      <c r="F247" s="13">
        <f t="shared" si="46"/>
        <v>2</v>
      </c>
      <c r="G247" s="13">
        <f t="shared" si="46"/>
        <v>1</v>
      </c>
      <c r="H247" s="13">
        <f t="shared" si="46"/>
        <v>0</v>
      </c>
      <c r="I247" s="13">
        <f t="shared" si="46"/>
        <v>2</v>
      </c>
      <c r="J247" s="13">
        <f t="shared" si="46"/>
        <v>0</v>
      </c>
      <c r="K247" s="13">
        <f t="shared" si="46"/>
        <v>0</v>
      </c>
      <c r="L247" s="13">
        <f t="shared" si="46"/>
        <v>7</v>
      </c>
      <c r="M247" s="13">
        <f t="shared" si="46"/>
        <v>6</v>
      </c>
      <c r="N247" s="13">
        <f t="shared" si="46"/>
        <v>2</v>
      </c>
      <c r="O247" s="13">
        <f t="shared" si="46"/>
        <v>4</v>
      </c>
      <c r="P247" s="13">
        <f t="shared" si="46"/>
        <v>3</v>
      </c>
      <c r="Q247" s="13">
        <f t="shared" si="46"/>
        <v>3</v>
      </c>
      <c r="R247" s="13">
        <f t="shared" si="46"/>
        <v>9</v>
      </c>
      <c r="S247" s="13">
        <f t="shared" si="46"/>
        <v>3</v>
      </c>
      <c r="T247" s="13">
        <f t="shared" si="46"/>
        <v>7</v>
      </c>
      <c r="U247" s="13">
        <f t="shared" si="46"/>
        <v>50</v>
      </c>
    </row>
    <row r="248" spans="1:21" ht="12.75" customHeight="1" x14ac:dyDescent="0.4">
      <c r="A248" s="63"/>
      <c r="B248" s="61"/>
      <c r="C248" s="61"/>
      <c r="D248" s="61"/>
      <c r="E248" s="62"/>
    </row>
    <row r="249" spans="1:21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0</v>
      </c>
      <c r="H249" s="16">
        <v>1</v>
      </c>
      <c r="I249" s="16">
        <v>1</v>
      </c>
      <c r="J249" s="16">
        <v>0</v>
      </c>
      <c r="K249" s="16">
        <v>1</v>
      </c>
      <c r="L249" s="16">
        <v>0</v>
      </c>
      <c r="M249" s="16">
        <v>1</v>
      </c>
      <c r="N249" s="16">
        <v>0</v>
      </c>
      <c r="O249" s="16">
        <v>0</v>
      </c>
      <c r="P249" s="16">
        <v>0</v>
      </c>
      <c r="Q249" s="16">
        <v>1</v>
      </c>
      <c r="R249" s="16">
        <v>1</v>
      </c>
      <c r="S249" s="16">
        <v>0</v>
      </c>
      <c r="T249" s="16">
        <v>0</v>
      </c>
      <c r="U249" s="13">
        <f t="shared" ref="U249:U258" si="47">SUM(E249:T249)</f>
        <v>6</v>
      </c>
    </row>
    <row r="250" spans="1:21" ht="12.75" customHeight="1" x14ac:dyDescent="0.4">
      <c r="A250" s="20" t="s">
        <v>38</v>
      </c>
      <c r="B250" s="27"/>
      <c r="C250" s="29" t="s">
        <v>156</v>
      </c>
      <c r="D250" s="40"/>
      <c r="E250" s="16">
        <v>0</v>
      </c>
      <c r="F250" s="16">
        <v>0</v>
      </c>
      <c r="G250" s="16">
        <v>0</v>
      </c>
      <c r="H250" s="16">
        <v>0</v>
      </c>
      <c r="I250" s="16">
        <v>1</v>
      </c>
      <c r="J250" s="16">
        <v>0</v>
      </c>
      <c r="K250" s="16">
        <v>0</v>
      </c>
      <c r="L250" s="16">
        <v>0</v>
      </c>
      <c r="M250" s="16">
        <v>0</v>
      </c>
      <c r="N250" s="16">
        <v>2</v>
      </c>
      <c r="O250" s="16">
        <v>0</v>
      </c>
      <c r="P250" s="16">
        <v>0</v>
      </c>
      <c r="Q250" s="16">
        <v>1</v>
      </c>
      <c r="R250" s="16">
        <v>0</v>
      </c>
      <c r="S250" s="16">
        <v>0</v>
      </c>
      <c r="T250" s="16">
        <v>2</v>
      </c>
      <c r="U250" s="13">
        <f t="shared" si="47"/>
        <v>6</v>
      </c>
    </row>
    <row r="251" spans="1:21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6">
        <v>0</v>
      </c>
      <c r="T251" s="16">
        <v>0</v>
      </c>
      <c r="U251" s="13">
        <f t="shared" si="47"/>
        <v>0</v>
      </c>
    </row>
    <row r="252" spans="1:21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1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6">
        <v>0</v>
      </c>
      <c r="T252" s="16">
        <v>0</v>
      </c>
      <c r="U252" s="13">
        <f t="shared" si="47"/>
        <v>1</v>
      </c>
    </row>
    <row r="253" spans="1:21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0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6">
        <v>0</v>
      </c>
      <c r="U253" s="13">
        <f t="shared" si="47"/>
        <v>0</v>
      </c>
    </row>
    <row r="254" spans="1:21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13">
        <f t="shared" si="47"/>
        <v>0</v>
      </c>
    </row>
    <row r="255" spans="1:21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13">
        <f t="shared" si="47"/>
        <v>0</v>
      </c>
    </row>
    <row r="256" spans="1:21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13">
        <f t="shared" si="47"/>
        <v>0</v>
      </c>
    </row>
    <row r="257" spans="1:21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13">
        <f t="shared" si="47"/>
        <v>0</v>
      </c>
    </row>
    <row r="258" spans="1:21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13">
        <f t="shared" si="47"/>
        <v>0</v>
      </c>
    </row>
    <row r="259" spans="1:21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U259" si="48">SUM(E249:E258)</f>
        <v>0</v>
      </c>
      <c r="F259" s="13">
        <f t="shared" si="48"/>
        <v>1</v>
      </c>
      <c r="G259" s="13">
        <f t="shared" si="48"/>
        <v>0</v>
      </c>
      <c r="H259" s="13">
        <f t="shared" si="48"/>
        <v>1</v>
      </c>
      <c r="I259" s="13">
        <f t="shared" si="48"/>
        <v>2</v>
      </c>
      <c r="J259" s="13">
        <f t="shared" si="48"/>
        <v>0</v>
      </c>
      <c r="K259" s="13">
        <f t="shared" si="48"/>
        <v>1</v>
      </c>
      <c r="L259" s="13">
        <f t="shared" si="48"/>
        <v>0</v>
      </c>
      <c r="M259" s="13">
        <f t="shared" si="48"/>
        <v>1</v>
      </c>
      <c r="N259" s="13">
        <f t="shared" si="48"/>
        <v>2</v>
      </c>
      <c r="O259" s="13">
        <f t="shared" si="48"/>
        <v>0</v>
      </c>
      <c r="P259" s="13">
        <f t="shared" si="48"/>
        <v>0</v>
      </c>
      <c r="Q259" s="13">
        <f t="shared" si="48"/>
        <v>2</v>
      </c>
      <c r="R259" s="13">
        <f t="shared" si="48"/>
        <v>1</v>
      </c>
      <c r="S259" s="13">
        <f t="shared" si="48"/>
        <v>0</v>
      </c>
      <c r="T259" s="13">
        <f t="shared" si="48"/>
        <v>2</v>
      </c>
      <c r="U259" s="13">
        <f t="shared" si="48"/>
        <v>13</v>
      </c>
    </row>
    <row r="260" spans="1:21" ht="12.75" customHeight="1" x14ac:dyDescent="0.4"/>
    <row r="261" spans="1:21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50"/>
      <c r="U261" s="13"/>
    </row>
    <row r="262" spans="1:21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T262" si="49">E55+E67+E79+E91+E103+E115+E127+E139+E151+E163+E175+E187+E199+E211+E223+E235+E247+E259</f>
        <v>217</v>
      </c>
      <c r="F262" s="16">
        <f t="shared" si="49"/>
        <v>153</v>
      </c>
      <c r="G262" s="16">
        <f t="shared" si="49"/>
        <v>143</v>
      </c>
      <c r="H262" s="16">
        <f t="shared" si="49"/>
        <v>216</v>
      </c>
      <c r="I262" s="16">
        <f t="shared" si="49"/>
        <v>213</v>
      </c>
      <c r="J262" s="16">
        <f t="shared" si="49"/>
        <v>202</v>
      </c>
      <c r="K262" s="16">
        <f t="shared" si="49"/>
        <v>155</v>
      </c>
      <c r="L262" s="16">
        <f t="shared" si="49"/>
        <v>198</v>
      </c>
      <c r="M262" s="16">
        <f t="shared" si="49"/>
        <v>222</v>
      </c>
      <c r="N262" s="16">
        <f t="shared" si="49"/>
        <v>166</v>
      </c>
      <c r="O262" s="16">
        <f t="shared" si="49"/>
        <v>201</v>
      </c>
      <c r="P262" s="16">
        <f t="shared" si="49"/>
        <v>186</v>
      </c>
      <c r="Q262" s="16">
        <f t="shared" si="49"/>
        <v>160</v>
      </c>
      <c r="R262" s="16">
        <f t="shared" si="49"/>
        <v>198</v>
      </c>
      <c r="S262" s="16">
        <f t="shared" si="49"/>
        <v>160</v>
      </c>
      <c r="T262" s="16">
        <f t="shared" si="49"/>
        <v>175</v>
      </c>
      <c r="U262" s="13">
        <f t="shared" ref="U262:U264" si="50">SUM(E262:T262)</f>
        <v>2965</v>
      </c>
    </row>
    <row r="263" spans="1:21" ht="12.75" customHeight="1" x14ac:dyDescent="0.4">
      <c r="A263" s="22"/>
      <c r="B263" s="45" t="s">
        <v>164</v>
      </c>
      <c r="C263" s="71" t="s">
        <v>165</v>
      </c>
      <c r="D263" s="62"/>
      <c r="E263" s="16">
        <v>16</v>
      </c>
      <c r="F263" s="16">
        <v>15</v>
      </c>
      <c r="G263" s="16">
        <v>14</v>
      </c>
      <c r="H263" s="16">
        <v>12</v>
      </c>
      <c r="I263" s="16">
        <v>13</v>
      </c>
      <c r="J263" s="16">
        <v>7</v>
      </c>
      <c r="K263" s="16">
        <v>22</v>
      </c>
      <c r="L263" s="16">
        <v>28</v>
      </c>
      <c r="M263" s="16">
        <v>8</v>
      </c>
      <c r="N263" s="16">
        <v>13</v>
      </c>
      <c r="O263" s="16">
        <v>24</v>
      </c>
      <c r="P263" s="16">
        <v>12</v>
      </c>
      <c r="Q263" s="16">
        <v>24</v>
      </c>
      <c r="R263" s="16">
        <v>17</v>
      </c>
      <c r="S263" s="16">
        <v>35</v>
      </c>
      <c r="T263" s="16">
        <v>24</v>
      </c>
      <c r="U263" s="13">
        <f t="shared" si="50"/>
        <v>284</v>
      </c>
    </row>
    <row r="264" spans="1:21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T264" si="51">SUM(E262:E263)</f>
        <v>233</v>
      </c>
      <c r="F264" s="13">
        <f t="shared" si="51"/>
        <v>168</v>
      </c>
      <c r="G264" s="13">
        <f t="shared" si="51"/>
        <v>157</v>
      </c>
      <c r="H264" s="13">
        <f t="shared" si="51"/>
        <v>228</v>
      </c>
      <c r="I264" s="13">
        <f t="shared" si="51"/>
        <v>226</v>
      </c>
      <c r="J264" s="13">
        <f t="shared" si="51"/>
        <v>209</v>
      </c>
      <c r="K264" s="13">
        <f t="shared" si="51"/>
        <v>177</v>
      </c>
      <c r="L264" s="13">
        <f t="shared" si="51"/>
        <v>226</v>
      </c>
      <c r="M264" s="13">
        <f t="shared" si="51"/>
        <v>230</v>
      </c>
      <c r="N264" s="13">
        <f t="shared" si="51"/>
        <v>179</v>
      </c>
      <c r="O264" s="13">
        <f t="shared" si="51"/>
        <v>225</v>
      </c>
      <c r="P264" s="13">
        <f t="shared" si="51"/>
        <v>198</v>
      </c>
      <c r="Q264" s="13">
        <f t="shared" si="51"/>
        <v>184</v>
      </c>
      <c r="R264" s="13">
        <f t="shared" si="51"/>
        <v>215</v>
      </c>
      <c r="S264" s="13">
        <f t="shared" si="51"/>
        <v>195</v>
      </c>
      <c r="T264" s="13">
        <f t="shared" si="51"/>
        <v>199</v>
      </c>
      <c r="U264" s="13">
        <f t="shared" si="50"/>
        <v>3249</v>
      </c>
    </row>
    <row r="265" spans="1:21" ht="12.75" customHeight="1" x14ac:dyDescent="0.4"/>
    <row r="266" spans="1:21" ht="12.75" customHeight="1" x14ac:dyDescent="0.4"/>
    <row r="267" spans="1:21" ht="12.75" customHeight="1" x14ac:dyDescent="0.4"/>
    <row r="268" spans="1:21" ht="12.75" customHeight="1" x14ac:dyDescent="0.4"/>
    <row r="269" spans="1:21" ht="12.75" customHeight="1" x14ac:dyDescent="0.4"/>
    <row r="270" spans="1:21" ht="12.75" customHeight="1" x14ac:dyDescent="0.4"/>
    <row r="271" spans="1:21" ht="12.75" customHeight="1" x14ac:dyDescent="0.4"/>
    <row r="272" spans="1:21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T12"/>
    <mergeCell ref="U12:U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3:T13">
    <cfRule type="expression" dxfId="199" priority="29">
      <formula>E30=E264</formula>
    </cfRule>
  </conditionalFormatting>
  <conditionalFormatting sqref="E14:T15">
    <cfRule type="containsBlanks" dxfId="198" priority="1">
      <formula>LEN(TRIM(E14))=0</formula>
    </cfRule>
  </conditionalFormatting>
  <conditionalFormatting sqref="E19:T20">
    <cfRule type="containsBlanks" dxfId="197" priority="2">
      <formula>LEN(TRIM(E19))=0</formula>
    </cfRule>
  </conditionalFormatting>
  <conditionalFormatting sqref="E22:T23 E25:T26 E33:T33 E35:T35 E39:T40">
    <cfRule type="containsBlanks" dxfId="196" priority="3">
      <formula>LEN(TRIM(E22))=0</formula>
    </cfRule>
  </conditionalFormatting>
  <conditionalFormatting sqref="E30:T30">
    <cfRule type="expression" dxfId="195" priority="4">
      <formula>E30&lt;&gt;E47</formula>
    </cfRule>
    <cfRule type="expression" dxfId="194" priority="5">
      <formula>E30&lt;&gt;E34</formula>
    </cfRule>
  </conditionalFormatting>
  <conditionalFormatting sqref="E34:T34">
    <cfRule type="expression" dxfId="193" priority="6">
      <formula>E30&lt;&gt;E34</formula>
    </cfRule>
    <cfRule type="expression" dxfId="192" priority="7">
      <formula>E30=E34</formula>
    </cfRule>
    <cfRule type="expression" dxfId="191" priority="8">
      <formula>E34&lt;&gt;E30</formula>
    </cfRule>
    <cfRule type="expression" dxfId="190" priority="9">
      <formula>E34&lt;&gt;E64</formula>
    </cfRule>
  </conditionalFormatting>
  <conditionalFormatting sqref="E45:T54">
    <cfRule type="containsBlanks" dxfId="189" priority="10">
      <formula>LEN(TRIM(E45))=0</formula>
    </cfRule>
  </conditionalFormatting>
  <conditionalFormatting sqref="E57:T66">
    <cfRule type="containsBlanks" dxfId="188" priority="11">
      <formula>LEN(TRIM(E57))=0</formula>
    </cfRule>
  </conditionalFormatting>
  <conditionalFormatting sqref="E69:T78">
    <cfRule type="containsBlanks" dxfId="187" priority="12">
      <formula>LEN(TRIM(E69))=0</formula>
    </cfRule>
  </conditionalFormatting>
  <conditionalFormatting sqref="E81:T90">
    <cfRule type="containsBlanks" dxfId="186" priority="13">
      <formula>LEN(TRIM(E81))=0</formula>
    </cfRule>
  </conditionalFormatting>
  <conditionalFormatting sqref="E93:T102">
    <cfRule type="containsBlanks" dxfId="185" priority="14">
      <formula>LEN(TRIM(E93))=0</formula>
    </cfRule>
  </conditionalFormatting>
  <conditionalFormatting sqref="E105:T114">
    <cfRule type="containsBlanks" dxfId="184" priority="15">
      <formula>LEN(TRIM(E105))=0</formula>
    </cfRule>
  </conditionalFormatting>
  <conditionalFormatting sqref="E117:T126">
    <cfRule type="containsBlanks" dxfId="183" priority="16">
      <formula>LEN(TRIM(E117))=0</formula>
    </cfRule>
  </conditionalFormatting>
  <conditionalFormatting sqref="E129:T138">
    <cfRule type="containsBlanks" dxfId="182" priority="17">
      <formula>LEN(TRIM(E129))=0</formula>
    </cfRule>
  </conditionalFormatting>
  <conditionalFormatting sqref="E141:T150">
    <cfRule type="containsBlanks" dxfId="181" priority="18">
      <formula>LEN(TRIM(E141))=0</formula>
    </cfRule>
  </conditionalFormatting>
  <conditionalFormatting sqref="E153:T162">
    <cfRule type="containsBlanks" dxfId="180" priority="19">
      <formula>LEN(TRIM(E153))=0</formula>
    </cfRule>
  </conditionalFormatting>
  <conditionalFormatting sqref="E165:T174">
    <cfRule type="containsBlanks" dxfId="179" priority="20">
      <formula>LEN(TRIM(E165))=0</formula>
    </cfRule>
  </conditionalFormatting>
  <conditionalFormatting sqref="E177:T186">
    <cfRule type="containsBlanks" dxfId="178" priority="21">
      <formula>LEN(TRIM(E177))=0</formula>
    </cfRule>
  </conditionalFormatting>
  <conditionalFormatting sqref="E189:T198">
    <cfRule type="containsBlanks" dxfId="177" priority="22">
      <formula>LEN(TRIM(E189))=0</formula>
    </cfRule>
  </conditionalFormatting>
  <conditionalFormatting sqref="E201:T210">
    <cfRule type="containsBlanks" dxfId="176" priority="23">
      <formula>LEN(TRIM(E201))=0</formula>
    </cfRule>
  </conditionalFormatting>
  <conditionalFormatting sqref="E213:T222">
    <cfRule type="containsBlanks" dxfId="175" priority="24">
      <formula>LEN(TRIM(E213))=0</formula>
    </cfRule>
  </conditionalFormatting>
  <conditionalFormatting sqref="E225:T234">
    <cfRule type="containsBlanks" dxfId="174" priority="25">
      <formula>LEN(TRIM(E225))=0</formula>
    </cfRule>
  </conditionalFormatting>
  <conditionalFormatting sqref="E237:T246">
    <cfRule type="containsBlanks" dxfId="173" priority="26">
      <formula>LEN(TRIM(E237))=0</formula>
    </cfRule>
  </conditionalFormatting>
  <conditionalFormatting sqref="E249:T258">
    <cfRule type="containsBlanks" dxfId="172" priority="27">
      <formula>LEN(TRIM(E249))=0</formula>
    </cfRule>
  </conditionalFormatting>
  <conditionalFormatting sqref="E262:T263">
    <cfRule type="containsBlanks" dxfId="171" priority="28">
      <formula>LEN(TRIM(E262))=0</formula>
    </cfRule>
  </conditionalFormatting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FF00"/>
  </sheetPr>
  <dimension ref="A1:AE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30" width="8.7109375" customWidth="1"/>
    <col min="31" max="31" width="13.28515625" customWidth="1"/>
  </cols>
  <sheetData>
    <row r="1" spans="1:31" ht="12.75" customHeight="1" x14ac:dyDescent="0.4"/>
    <row r="2" spans="1:31" ht="12.75" customHeight="1" x14ac:dyDescent="0.4">
      <c r="C2" s="8" t="s">
        <v>0</v>
      </c>
      <c r="D2" s="8" t="s">
        <v>1</v>
      </c>
    </row>
    <row r="3" spans="1:31" ht="12.75" customHeight="1" x14ac:dyDescent="0.4">
      <c r="C3" s="8" t="s">
        <v>2</v>
      </c>
      <c r="D3" s="8" t="s">
        <v>1</v>
      </c>
    </row>
    <row r="4" spans="1:31" ht="12.75" customHeight="1" x14ac:dyDescent="0.4">
      <c r="C4" s="8" t="s">
        <v>3</v>
      </c>
      <c r="D4" s="8" t="s">
        <v>4</v>
      </c>
    </row>
    <row r="5" spans="1:31" ht="12.75" customHeight="1" x14ac:dyDescent="0.4">
      <c r="C5" s="8"/>
      <c r="D5" s="8"/>
    </row>
    <row r="6" spans="1:31" ht="12.75" customHeight="1" x14ac:dyDescent="0.4">
      <c r="C6" s="8"/>
      <c r="D6" s="8"/>
    </row>
    <row r="7" spans="1:31" ht="12.75" customHeight="1" x14ac:dyDescent="0.4">
      <c r="C7" s="8"/>
      <c r="D7" s="8"/>
    </row>
    <row r="8" spans="1:31" ht="12.75" customHeight="1" x14ac:dyDescent="0.4">
      <c r="C8" s="8"/>
      <c r="D8" s="8"/>
    </row>
    <row r="9" spans="1:31" ht="12.75" customHeight="1" x14ac:dyDescent="0.4">
      <c r="C9" s="8" t="s">
        <v>168</v>
      </c>
      <c r="D9" s="8" t="s">
        <v>212</v>
      </c>
    </row>
    <row r="10" spans="1:31" ht="12.75" customHeight="1" x14ac:dyDescent="0.4"/>
    <row r="11" spans="1:31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  <c r="T11" s="1"/>
      <c r="U11" s="1"/>
      <c r="V11" s="1"/>
      <c r="W11" s="1"/>
      <c r="X11" s="2"/>
    </row>
    <row r="12" spans="1:31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90" t="s">
        <v>7</v>
      </c>
    </row>
    <row r="13" spans="1:31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13" t="s">
        <v>188</v>
      </c>
      <c r="V13" s="13" t="s">
        <v>189</v>
      </c>
      <c r="W13" s="13" t="s">
        <v>190</v>
      </c>
      <c r="X13" s="13" t="s">
        <v>191</v>
      </c>
      <c r="Y13" s="13" t="s">
        <v>192</v>
      </c>
      <c r="Z13" s="13" t="s">
        <v>193</v>
      </c>
      <c r="AA13" s="13" t="s">
        <v>194</v>
      </c>
      <c r="AB13" s="13" t="s">
        <v>195</v>
      </c>
      <c r="AC13" s="13" t="s">
        <v>196</v>
      </c>
      <c r="AD13" s="13" t="s">
        <v>197</v>
      </c>
      <c r="AE13" s="80"/>
    </row>
    <row r="14" spans="1:31" ht="12.75" customHeight="1" x14ac:dyDescent="0.4">
      <c r="A14" s="15"/>
      <c r="B14" s="75" t="s">
        <v>10</v>
      </c>
      <c r="C14" s="66"/>
      <c r="D14" s="16" t="s">
        <v>11</v>
      </c>
      <c r="E14" s="16">
        <v>120</v>
      </c>
      <c r="F14" s="16">
        <v>125</v>
      </c>
      <c r="G14" s="16">
        <v>128</v>
      </c>
      <c r="H14" s="16">
        <v>138</v>
      </c>
      <c r="I14" s="16">
        <v>105</v>
      </c>
      <c r="J14" s="16">
        <v>88</v>
      </c>
      <c r="K14" s="16">
        <v>151</v>
      </c>
      <c r="L14" s="16">
        <v>139</v>
      </c>
      <c r="M14" s="16">
        <v>114</v>
      </c>
      <c r="N14" s="16">
        <v>140</v>
      </c>
      <c r="O14" s="16">
        <v>131</v>
      </c>
      <c r="P14" s="16">
        <v>120</v>
      </c>
      <c r="Q14" s="16">
        <v>128</v>
      </c>
      <c r="R14" s="16">
        <v>137</v>
      </c>
      <c r="S14" s="16">
        <v>141</v>
      </c>
      <c r="T14" s="16">
        <v>121</v>
      </c>
      <c r="U14" s="16">
        <v>118</v>
      </c>
      <c r="V14" s="16">
        <v>125</v>
      </c>
      <c r="W14" s="16">
        <v>101</v>
      </c>
      <c r="X14" s="16">
        <v>128</v>
      </c>
      <c r="Y14" s="16">
        <v>127</v>
      </c>
      <c r="Z14" s="16">
        <v>104</v>
      </c>
      <c r="AA14" s="16">
        <v>110</v>
      </c>
      <c r="AB14" s="16">
        <v>136</v>
      </c>
      <c r="AC14" s="16">
        <v>119</v>
      </c>
      <c r="AD14" s="16">
        <v>129</v>
      </c>
      <c r="AE14" s="13">
        <f t="shared" ref="AE14:AE16" si="0">SUM(E14:AD14)</f>
        <v>3223</v>
      </c>
    </row>
    <row r="15" spans="1:31" ht="12.75" customHeight="1" x14ac:dyDescent="0.4">
      <c r="A15" s="15"/>
      <c r="B15" s="76"/>
      <c r="C15" s="77"/>
      <c r="D15" s="16" t="s">
        <v>12</v>
      </c>
      <c r="E15" s="16">
        <v>152</v>
      </c>
      <c r="F15" s="16">
        <v>148</v>
      </c>
      <c r="G15" s="16">
        <v>130</v>
      </c>
      <c r="H15" s="16">
        <v>154</v>
      </c>
      <c r="I15" s="16">
        <v>117</v>
      </c>
      <c r="J15" s="16">
        <v>100</v>
      </c>
      <c r="K15" s="16">
        <v>137</v>
      </c>
      <c r="L15" s="16">
        <v>154</v>
      </c>
      <c r="M15" s="16">
        <v>142</v>
      </c>
      <c r="N15" s="16">
        <v>151</v>
      </c>
      <c r="O15" s="16">
        <v>144</v>
      </c>
      <c r="P15" s="16">
        <v>111</v>
      </c>
      <c r="Q15" s="16">
        <v>124</v>
      </c>
      <c r="R15" s="16">
        <v>143</v>
      </c>
      <c r="S15" s="16">
        <v>145</v>
      </c>
      <c r="T15" s="16">
        <v>127</v>
      </c>
      <c r="U15" s="16">
        <v>150</v>
      </c>
      <c r="V15" s="16">
        <v>129</v>
      </c>
      <c r="W15" s="16">
        <v>103</v>
      </c>
      <c r="X15" s="16">
        <v>158</v>
      </c>
      <c r="Y15" s="16">
        <v>151</v>
      </c>
      <c r="Z15" s="16">
        <v>126</v>
      </c>
      <c r="AA15" s="16">
        <v>112</v>
      </c>
      <c r="AB15" s="16">
        <v>149</v>
      </c>
      <c r="AC15" s="16">
        <v>138</v>
      </c>
      <c r="AD15" s="16">
        <v>137</v>
      </c>
      <c r="AE15" s="13">
        <f t="shared" si="0"/>
        <v>3532</v>
      </c>
    </row>
    <row r="16" spans="1:31" ht="12.75" customHeight="1" x14ac:dyDescent="0.4">
      <c r="A16" s="18"/>
      <c r="B16" s="73"/>
      <c r="C16" s="69"/>
      <c r="D16" s="13" t="s">
        <v>13</v>
      </c>
      <c r="E16" s="13">
        <f t="shared" ref="E16:AD16" si="1">SUM(E14:E15)</f>
        <v>272</v>
      </c>
      <c r="F16" s="13">
        <f t="shared" si="1"/>
        <v>273</v>
      </c>
      <c r="G16" s="13">
        <f t="shared" si="1"/>
        <v>258</v>
      </c>
      <c r="H16" s="13">
        <f t="shared" si="1"/>
        <v>292</v>
      </c>
      <c r="I16" s="13">
        <f t="shared" si="1"/>
        <v>222</v>
      </c>
      <c r="J16" s="13">
        <f t="shared" si="1"/>
        <v>188</v>
      </c>
      <c r="K16" s="13">
        <f t="shared" si="1"/>
        <v>288</v>
      </c>
      <c r="L16" s="13">
        <f t="shared" si="1"/>
        <v>293</v>
      </c>
      <c r="M16" s="13">
        <f t="shared" si="1"/>
        <v>256</v>
      </c>
      <c r="N16" s="13">
        <f t="shared" si="1"/>
        <v>291</v>
      </c>
      <c r="O16" s="13">
        <f t="shared" si="1"/>
        <v>275</v>
      </c>
      <c r="P16" s="13">
        <f t="shared" si="1"/>
        <v>231</v>
      </c>
      <c r="Q16" s="13">
        <f t="shared" si="1"/>
        <v>252</v>
      </c>
      <c r="R16" s="13">
        <f t="shared" si="1"/>
        <v>280</v>
      </c>
      <c r="S16" s="13">
        <f t="shared" si="1"/>
        <v>286</v>
      </c>
      <c r="T16" s="13">
        <f t="shared" si="1"/>
        <v>248</v>
      </c>
      <c r="U16" s="13">
        <f t="shared" si="1"/>
        <v>268</v>
      </c>
      <c r="V16" s="13">
        <f t="shared" si="1"/>
        <v>254</v>
      </c>
      <c r="W16" s="13">
        <f t="shared" si="1"/>
        <v>204</v>
      </c>
      <c r="X16" s="13">
        <f t="shared" si="1"/>
        <v>286</v>
      </c>
      <c r="Y16" s="13">
        <f t="shared" si="1"/>
        <v>278</v>
      </c>
      <c r="Z16" s="13">
        <f t="shared" si="1"/>
        <v>230</v>
      </c>
      <c r="AA16" s="13">
        <f t="shared" si="1"/>
        <v>222</v>
      </c>
      <c r="AB16" s="13">
        <f t="shared" si="1"/>
        <v>285</v>
      </c>
      <c r="AC16" s="13">
        <f t="shared" si="1"/>
        <v>257</v>
      </c>
      <c r="AD16" s="13">
        <f t="shared" si="1"/>
        <v>266</v>
      </c>
      <c r="AE16" s="13">
        <f t="shared" si="0"/>
        <v>6755</v>
      </c>
    </row>
    <row r="17" spans="1:31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16"/>
      <c r="U17" s="16"/>
      <c r="V17" s="16"/>
      <c r="W17" s="16"/>
      <c r="X17" s="48"/>
      <c r="Y17" s="48"/>
      <c r="Z17" s="48"/>
      <c r="AA17" s="48"/>
      <c r="AB17" s="48"/>
      <c r="AC17" s="48"/>
      <c r="AD17" s="48"/>
      <c r="AE17" s="49"/>
    </row>
    <row r="18" spans="1:31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16"/>
      <c r="U18" s="16"/>
      <c r="V18" s="16"/>
      <c r="W18" s="16"/>
      <c r="X18" s="48"/>
      <c r="Y18" s="48"/>
      <c r="Z18" s="48"/>
      <c r="AA18" s="48"/>
      <c r="AB18" s="48"/>
      <c r="AC18" s="48"/>
      <c r="AD18" s="48"/>
      <c r="AE18" s="49"/>
    </row>
    <row r="19" spans="1:31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78</v>
      </c>
      <c r="F19" s="16">
        <v>83</v>
      </c>
      <c r="G19" s="16">
        <v>96</v>
      </c>
      <c r="H19" s="16">
        <v>94</v>
      </c>
      <c r="I19" s="16">
        <v>77</v>
      </c>
      <c r="J19" s="16">
        <v>62</v>
      </c>
      <c r="K19" s="16">
        <v>117</v>
      </c>
      <c r="L19" s="16">
        <v>91</v>
      </c>
      <c r="M19" s="16">
        <v>78</v>
      </c>
      <c r="N19" s="16">
        <v>100</v>
      </c>
      <c r="O19" s="16">
        <v>91</v>
      </c>
      <c r="P19" s="16">
        <v>86</v>
      </c>
      <c r="Q19" s="16">
        <v>93</v>
      </c>
      <c r="R19" s="16">
        <v>102</v>
      </c>
      <c r="S19" s="16">
        <v>102</v>
      </c>
      <c r="T19" s="16">
        <v>81</v>
      </c>
      <c r="U19" s="16">
        <v>72</v>
      </c>
      <c r="V19" s="16">
        <v>87</v>
      </c>
      <c r="W19" s="16">
        <v>69</v>
      </c>
      <c r="X19" s="16">
        <v>102</v>
      </c>
      <c r="Y19" s="16">
        <v>93</v>
      </c>
      <c r="Z19" s="16">
        <v>83</v>
      </c>
      <c r="AA19" s="16">
        <v>79</v>
      </c>
      <c r="AB19" s="16">
        <v>91</v>
      </c>
      <c r="AC19" s="16">
        <v>83</v>
      </c>
      <c r="AD19" s="16">
        <v>108</v>
      </c>
      <c r="AE19" s="13">
        <f t="shared" ref="AE19:AE30" si="2">SUM(E19:AD19)</f>
        <v>2298</v>
      </c>
    </row>
    <row r="20" spans="1:31" ht="12.75" customHeight="1" x14ac:dyDescent="0.4">
      <c r="A20" s="21"/>
      <c r="B20" s="77"/>
      <c r="C20" s="79"/>
      <c r="D20" s="16" t="s">
        <v>12</v>
      </c>
      <c r="E20" s="16">
        <v>108</v>
      </c>
      <c r="F20" s="16">
        <v>110</v>
      </c>
      <c r="G20" s="16">
        <v>99</v>
      </c>
      <c r="H20" s="16">
        <v>116</v>
      </c>
      <c r="I20" s="16">
        <v>84</v>
      </c>
      <c r="J20" s="16">
        <v>78</v>
      </c>
      <c r="K20" s="16">
        <v>113</v>
      </c>
      <c r="L20" s="16">
        <v>118</v>
      </c>
      <c r="M20" s="16">
        <v>113</v>
      </c>
      <c r="N20" s="16">
        <v>115</v>
      </c>
      <c r="O20" s="16">
        <v>115</v>
      </c>
      <c r="P20" s="16">
        <v>91</v>
      </c>
      <c r="Q20" s="16">
        <v>104</v>
      </c>
      <c r="R20" s="16">
        <v>112</v>
      </c>
      <c r="S20" s="16">
        <v>125</v>
      </c>
      <c r="T20" s="16">
        <v>97</v>
      </c>
      <c r="U20" s="16">
        <v>108</v>
      </c>
      <c r="V20" s="16">
        <v>109</v>
      </c>
      <c r="W20" s="16">
        <v>78</v>
      </c>
      <c r="X20" s="16">
        <v>129</v>
      </c>
      <c r="Y20" s="16">
        <v>120</v>
      </c>
      <c r="Z20" s="16">
        <v>106</v>
      </c>
      <c r="AA20" s="16">
        <v>87</v>
      </c>
      <c r="AB20" s="16">
        <v>116</v>
      </c>
      <c r="AC20" s="16">
        <v>106</v>
      </c>
      <c r="AD20" s="16">
        <v>118</v>
      </c>
      <c r="AE20" s="13">
        <f t="shared" si="2"/>
        <v>2775</v>
      </c>
    </row>
    <row r="21" spans="1:31" ht="12.75" customHeight="1" x14ac:dyDescent="0.4">
      <c r="A21" s="22"/>
      <c r="B21" s="69"/>
      <c r="C21" s="80"/>
      <c r="D21" s="13" t="s">
        <v>13</v>
      </c>
      <c r="E21" s="13">
        <f t="shared" ref="E21:AD21" si="3">SUM(E19:E20)</f>
        <v>186</v>
      </c>
      <c r="F21" s="13">
        <f t="shared" si="3"/>
        <v>193</v>
      </c>
      <c r="G21" s="13">
        <f t="shared" si="3"/>
        <v>195</v>
      </c>
      <c r="H21" s="13">
        <f t="shared" si="3"/>
        <v>210</v>
      </c>
      <c r="I21" s="13">
        <f t="shared" si="3"/>
        <v>161</v>
      </c>
      <c r="J21" s="13">
        <f t="shared" si="3"/>
        <v>140</v>
      </c>
      <c r="K21" s="13">
        <f t="shared" si="3"/>
        <v>230</v>
      </c>
      <c r="L21" s="13">
        <f t="shared" si="3"/>
        <v>209</v>
      </c>
      <c r="M21" s="13">
        <f t="shared" si="3"/>
        <v>191</v>
      </c>
      <c r="N21" s="13">
        <f t="shared" si="3"/>
        <v>215</v>
      </c>
      <c r="O21" s="13">
        <f t="shared" si="3"/>
        <v>206</v>
      </c>
      <c r="P21" s="13">
        <f t="shared" si="3"/>
        <v>177</v>
      </c>
      <c r="Q21" s="13">
        <f t="shared" si="3"/>
        <v>197</v>
      </c>
      <c r="R21" s="13">
        <f t="shared" si="3"/>
        <v>214</v>
      </c>
      <c r="S21" s="13">
        <f t="shared" si="3"/>
        <v>227</v>
      </c>
      <c r="T21" s="13">
        <f t="shared" si="3"/>
        <v>178</v>
      </c>
      <c r="U21" s="13">
        <f t="shared" si="3"/>
        <v>180</v>
      </c>
      <c r="V21" s="13">
        <f t="shared" si="3"/>
        <v>196</v>
      </c>
      <c r="W21" s="13">
        <f t="shared" si="3"/>
        <v>147</v>
      </c>
      <c r="X21" s="13">
        <f t="shared" si="3"/>
        <v>231</v>
      </c>
      <c r="Y21" s="13">
        <f t="shared" si="3"/>
        <v>213</v>
      </c>
      <c r="Z21" s="13">
        <f t="shared" si="3"/>
        <v>189</v>
      </c>
      <c r="AA21" s="13">
        <f t="shared" si="3"/>
        <v>166</v>
      </c>
      <c r="AB21" s="13">
        <f t="shared" si="3"/>
        <v>207</v>
      </c>
      <c r="AC21" s="13">
        <f t="shared" si="3"/>
        <v>189</v>
      </c>
      <c r="AD21" s="13">
        <f t="shared" si="3"/>
        <v>226</v>
      </c>
      <c r="AE21" s="13">
        <f t="shared" si="2"/>
        <v>5073</v>
      </c>
    </row>
    <row r="22" spans="1:31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1</v>
      </c>
      <c r="H22" s="16">
        <v>0</v>
      </c>
      <c r="I22" s="16">
        <v>0</v>
      </c>
      <c r="J22" s="16">
        <v>2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3">
        <f t="shared" si="2"/>
        <v>3</v>
      </c>
    </row>
    <row r="23" spans="1:31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1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3">
        <f t="shared" si="2"/>
        <v>1</v>
      </c>
    </row>
    <row r="24" spans="1:31" ht="12.75" customHeight="1" x14ac:dyDescent="0.4">
      <c r="A24" s="22"/>
      <c r="B24" s="69"/>
      <c r="C24" s="80"/>
      <c r="D24" s="13" t="s">
        <v>13</v>
      </c>
      <c r="E24" s="13">
        <f t="shared" ref="E24:AD24" si="4">SUM(E22:E23)</f>
        <v>0</v>
      </c>
      <c r="F24" s="13">
        <f t="shared" si="4"/>
        <v>0</v>
      </c>
      <c r="G24" s="13">
        <f t="shared" si="4"/>
        <v>1</v>
      </c>
      <c r="H24" s="13">
        <f t="shared" si="4"/>
        <v>0</v>
      </c>
      <c r="I24" s="13">
        <f t="shared" si="4"/>
        <v>0</v>
      </c>
      <c r="J24" s="13">
        <f t="shared" si="4"/>
        <v>3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4"/>
        <v>0</v>
      </c>
      <c r="AA24" s="13">
        <f t="shared" si="4"/>
        <v>0</v>
      </c>
      <c r="AB24" s="13">
        <f t="shared" si="4"/>
        <v>0</v>
      </c>
      <c r="AC24" s="13">
        <f t="shared" si="4"/>
        <v>0</v>
      </c>
      <c r="AD24" s="13">
        <f t="shared" si="4"/>
        <v>0</v>
      </c>
      <c r="AE24" s="13">
        <f t="shared" si="2"/>
        <v>4</v>
      </c>
    </row>
    <row r="25" spans="1:31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4</v>
      </c>
      <c r="F25" s="16">
        <v>0</v>
      </c>
      <c r="G25" s="16">
        <v>0</v>
      </c>
      <c r="H25" s="16">
        <v>4</v>
      </c>
      <c r="I25" s="16">
        <v>2</v>
      </c>
      <c r="J25" s="16">
        <v>1</v>
      </c>
      <c r="K25" s="16">
        <v>5</v>
      </c>
      <c r="L25" s="16">
        <v>3</v>
      </c>
      <c r="M25" s="16">
        <v>0</v>
      </c>
      <c r="N25" s="16">
        <v>2</v>
      </c>
      <c r="O25" s="16">
        <v>0</v>
      </c>
      <c r="P25" s="16">
        <v>0</v>
      </c>
      <c r="Q25" s="16">
        <v>0</v>
      </c>
      <c r="R25" s="16">
        <v>5</v>
      </c>
      <c r="S25" s="16">
        <v>3</v>
      </c>
      <c r="T25" s="16">
        <v>0</v>
      </c>
      <c r="U25" s="16">
        <v>2</v>
      </c>
      <c r="V25" s="16">
        <v>0</v>
      </c>
      <c r="W25" s="16">
        <v>1</v>
      </c>
      <c r="X25" s="16">
        <v>3</v>
      </c>
      <c r="Y25" s="16">
        <v>0</v>
      </c>
      <c r="Z25" s="16">
        <v>2</v>
      </c>
      <c r="AA25" s="16">
        <v>5</v>
      </c>
      <c r="AB25" s="16">
        <v>0</v>
      </c>
      <c r="AC25" s="16">
        <v>1</v>
      </c>
      <c r="AD25" s="16">
        <v>0</v>
      </c>
      <c r="AE25" s="13">
        <f t="shared" si="2"/>
        <v>43</v>
      </c>
    </row>
    <row r="26" spans="1:31" ht="12.75" customHeight="1" x14ac:dyDescent="0.4">
      <c r="A26" s="21"/>
      <c r="B26" s="77"/>
      <c r="C26" s="79"/>
      <c r="D26" s="16" t="s">
        <v>12</v>
      </c>
      <c r="E26" s="16">
        <v>2</v>
      </c>
      <c r="F26" s="16">
        <v>0</v>
      </c>
      <c r="G26" s="16">
        <v>1</v>
      </c>
      <c r="H26" s="16">
        <v>0</v>
      </c>
      <c r="I26" s="16">
        <v>0</v>
      </c>
      <c r="J26" s="16">
        <v>2</v>
      </c>
      <c r="K26" s="16">
        <v>6</v>
      </c>
      <c r="L26" s="16">
        <v>2</v>
      </c>
      <c r="M26" s="16">
        <v>2</v>
      </c>
      <c r="N26" s="16">
        <v>6</v>
      </c>
      <c r="O26" s="16">
        <v>2</v>
      </c>
      <c r="P26" s="16">
        <v>3</v>
      </c>
      <c r="Q26" s="16">
        <v>0</v>
      </c>
      <c r="R26" s="16">
        <v>3</v>
      </c>
      <c r="S26" s="16">
        <v>6</v>
      </c>
      <c r="T26" s="16">
        <v>0</v>
      </c>
      <c r="U26" s="16">
        <v>3</v>
      </c>
      <c r="V26" s="16">
        <v>0</v>
      </c>
      <c r="W26" s="16">
        <v>1</v>
      </c>
      <c r="X26" s="16">
        <v>1</v>
      </c>
      <c r="Y26" s="16">
        <v>2</v>
      </c>
      <c r="Z26" s="16">
        <v>2</v>
      </c>
      <c r="AA26" s="16">
        <v>4</v>
      </c>
      <c r="AB26" s="16">
        <v>0</v>
      </c>
      <c r="AC26" s="16">
        <v>1</v>
      </c>
      <c r="AD26" s="16">
        <v>0</v>
      </c>
      <c r="AE26" s="13">
        <f t="shared" si="2"/>
        <v>49</v>
      </c>
    </row>
    <row r="27" spans="1:31" ht="12.75" customHeight="1" x14ac:dyDescent="0.4">
      <c r="A27" s="22"/>
      <c r="B27" s="69"/>
      <c r="C27" s="80"/>
      <c r="D27" s="13" t="s">
        <v>13</v>
      </c>
      <c r="E27" s="13">
        <f t="shared" ref="E27:AD27" si="5">SUM(E25:E26)</f>
        <v>6</v>
      </c>
      <c r="F27" s="13">
        <f t="shared" si="5"/>
        <v>0</v>
      </c>
      <c r="G27" s="13">
        <f t="shared" si="5"/>
        <v>1</v>
      </c>
      <c r="H27" s="13">
        <f t="shared" si="5"/>
        <v>4</v>
      </c>
      <c r="I27" s="13">
        <f t="shared" si="5"/>
        <v>2</v>
      </c>
      <c r="J27" s="13">
        <f t="shared" si="5"/>
        <v>3</v>
      </c>
      <c r="K27" s="13">
        <f t="shared" si="5"/>
        <v>11</v>
      </c>
      <c r="L27" s="13">
        <f t="shared" si="5"/>
        <v>5</v>
      </c>
      <c r="M27" s="13">
        <f t="shared" si="5"/>
        <v>2</v>
      </c>
      <c r="N27" s="13">
        <f t="shared" si="5"/>
        <v>8</v>
      </c>
      <c r="O27" s="13">
        <f t="shared" si="5"/>
        <v>2</v>
      </c>
      <c r="P27" s="13">
        <f t="shared" si="5"/>
        <v>3</v>
      </c>
      <c r="Q27" s="13">
        <f t="shared" si="5"/>
        <v>0</v>
      </c>
      <c r="R27" s="13">
        <f t="shared" si="5"/>
        <v>8</v>
      </c>
      <c r="S27" s="13">
        <f t="shared" si="5"/>
        <v>9</v>
      </c>
      <c r="T27" s="13">
        <f t="shared" si="5"/>
        <v>0</v>
      </c>
      <c r="U27" s="13">
        <f t="shared" si="5"/>
        <v>5</v>
      </c>
      <c r="V27" s="13">
        <f t="shared" si="5"/>
        <v>0</v>
      </c>
      <c r="W27" s="13">
        <f t="shared" si="5"/>
        <v>2</v>
      </c>
      <c r="X27" s="13">
        <f t="shared" si="5"/>
        <v>4</v>
      </c>
      <c r="Y27" s="13">
        <f t="shared" si="5"/>
        <v>2</v>
      </c>
      <c r="Z27" s="13">
        <f t="shared" si="5"/>
        <v>4</v>
      </c>
      <c r="AA27" s="13">
        <f t="shared" si="5"/>
        <v>9</v>
      </c>
      <c r="AB27" s="13">
        <f t="shared" si="5"/>
        <v>0</v>
      </c>
      <c r="AC27" s="13">
        <f t="shared" si="5"/>
        <v>2</v>
      </c>
      <c r="AD27" s="13">
        <f t="shared" si="5"/>
        <v>0</v>
      </c>
      <c r="AE27" s="13">
        <f t="shared" si="2"/>
        <v>92</v>
      </c>
    </row>
    <row r="28" spans="1:31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AD28" si="6">SUM(E19,E22,E25)</f>
        <v>82</v>
      </c>
      <c r="F28" s="13">
        <f t="shared" si="6"/>
        <v>83</v>
      </c>
      <c r="G28" s="13">
        <f t="shared" si="6"/>
        <v>97</v>
      </c>
      <c r="H28" s="13">
        <f t="shared" si="6"/>
        <v>98</v>
      </c>
      <c r="I28" s="13">
        <f t="shared" si="6"/>
        <v>79</v>
      </c>
      <c r="J28" s="13">
        <f t="shared" si="6"/>
        <v>65</v>
      </c>
      <c r="K28" s="13">
        <f t="shared" si="6"/>
        <v>122</v>
      </c>
      <c r="L28" s="13">
        <f t="shared" si="6"/>
        <v>94</v>
      </c>
      <c r="M28" s="13">
        <f t="shared" si="6"/>
        <v>78</v>
      </c>
      <c r="N28" s="13">
        <f t="shared" si="6"/>
        <v>102</v>
      </c>
      <c r="O28" s="13">
        <f t="shared" si="6"/>
        <v>91</v>
      </c>
      <c r="P28" s="13">
        <f t="shared" si="6"/>
        <v>86</v>
      </c>
      <c r="Q28" s="13">
        <f t="shared" si="6"/>
        <v>93</v>
      </c>
      <c r="R28" s="13">
        <f t="shared" si="6"/>
        <v>107</v>
      </c>
      <c r="S28" s="13">
        <f t="shared" si="6"/>
        <v>105</v>
      </c>
      <c r="T28" s="13">
        <f t="shared" si="6"/>
        <v>81</v>
      </c>
      <c r="U28" s="13">
        <f t="shared" si="6"/>
        <v>74</v>
      </c>
      <c r="V28" s="13">
        <f t="shared" si="6"/>
        <v>87</v>
      </c>
      <c r="W28" s="13">
        <f t="shared" si="6"/>
        <v>70</v>
      </c>
      <c r="X28" s="13">
        <f t="shared" si="6"/>
        <v>105</v>
      </c>
      <c r="Y28" s="13">
        <f t="shared" si="6"/>
        <v>93</v>
      </c>
      <c r="Z28" s="13">
        <f t="shared" si="6"/>
        <v>85</v>
      </c>
      <c r="AA28" s="13">
        <f t="shared" si="6"/>
        <v>84</v>
      </c>
      <c r="AB28" s="13">
        <f t="shared" si="6"/>
        <v>91</v>
      </c>
      <c r="AC28" s="13">
        <f t="shared" si="6"/>
        <v>84</v>
      </c>
      <c r="AD28" s="13">
        <f t="shared" si="6"/>
        <v>108</v>
      </c>
      <c r="AE28" s="13">
        <f t="shared" si="2"/>
        <v>2344</v>
      </c>
    </row>
    <row r="29" spans="1:31" ht="12.75" customHeight="1" x14ac:dyDescent="0.4">
      <c r="A29" s="22"/>
      <c r="B29" s="77"/>
      <c r="C29" s="79"/>
      <c r="D29" s="13" t="s">
        <v>12</v>
      </c>
      <c r="E29" s="13">
        <f t="shared" ref="E29:AD29" si="7">SUM(E20,E23,E26)</f>
        <v>110</v>
      </c>
      <c r="F29" s="13">
        <f t="shared" si="7"/>
        <v>110</v>
      </c>
      <c r="G29" s="13">
        <f t="shared" si="7"/>
        <v>100</v>
      </c>
      <c r="H29" s="13">
        <f t="shared" si="7"/>
        <v>116</v>
      </c>
      <c r="I29" s="13">
        <f t="shared" si="7"/>
        <v>84</v>
      </c>
      <c r="J29" s="13">
        <f t="shared" si="7"/>
        <v>81</v>
      </c>
      <c r="K29" s="13">
        <f t="shared" si="7"/>
        <v>119</v>
      </c>
      <c r="L29" s="13">
        <f t="shared" si="7"/>
        <v>120</v>
      </c>
      <c r="M29" s="13">
        <f t="shared" si="7"/>
        <v>115</v>
      </c>
      <c r="N29" s="13">
        <f t="shared" si="7"/>
        <v>121</v>
      </c>
      <c r="O29" s="13">
        <f t="shared" si="7"/>
        <v>117</v>
      </c>
      <c r="P29" s="13">
        <f t="shared" si="7"/>
        <v>94</v>
      </c>
      <c r="Q29" s="13">
        <f t="shared" si="7"/>
        <v>104</v>
      </c>
      <c r="R29" s="13">
        <f t="shared" si="7"/>
        <v>115</v>
      </c>
      <c r="S29" s="13">
        <f t="shared" si="7"/>
        <v>131</v>
      </c>
      <c r="T29" s="13">
        <f t="shared" si="7"/>
        <v>97</v>
      </c>
      <c r="U29" s="13">
        <f t="shared" si="7"/>
        <v>111</v>
      </c>
      <c r="V29" s="13">
        <f t="shared" si="7"/>
        <v>109</v>
      </c>
      <c r="W29" s="13">
        <f t="shared" si="7"/>
        <v>79</v>
      </c>
      <c r="X29" s="13">
        <f t="shared" si="7"/>
        <v>130</v>
      </c>
      <c r="Y29" s="13">
        <f t="shared" si="7"/>
        <v>122</v>
      </c>
      <c r="Z29" s="13">
        <f t="shared" si="7"/>
        <v>108</v>
      </c>
      <c r="AA29" s="13">
        <f t="shared" si="7"/>
        <v>91</v>
      </c>
      <c r="AB29" s="13">
        <f t="shared" si="7"/>
        <v>116</v>
      </c>
      <c r="AC29" s="13">
        <f t="shared" si="7"/>
        <v>107</v>
      </c>
      <c r="AD29" s="13">
        <f t="shared" si="7"/>
        <v>118</v>
      </c>
      <c r="AE29" s="13">
        <f t="shared" si="2"/>
        <v>2825</v>
      </c>
    </row>
    <row r="30" spans="1:31" ht="12.75" customHeight="1" x14ac:dyDescent="0.4">
      <c r="A30" s="22"/>
      <c r="B30" s="69"/>
      <c r="C30" s="80"/>
      <c r="D30" s="13" t="s">
        <v>13</v>
      </c>
      <c r="E30" s="13">
        <f t="shared" ref="E30:AD30" si="8">SUM(E28:E29)</f>
        <v>192</v>
      </c>
      <c r="F30" s="13">
        <f t="shared" si="8"/>
        <v>193</v>
      </c>
      <c r="G30" s="13">
        <f t="shared" si="8"/>
        <v>197</v>
      </c>
      <c r="H30" s="13">
        <f t="shared" si="8"/>
        <v>214</v>
      </c>
      <c r="I30" s="13">
        <f t="shared" si="8"/>
        <v>163</v>
      </c>
      <c r="J30" s="13">
        <f t="shared" si="8"/>
        <v>146</v>
      </c>
      <c r="K30" s="13">
        <f t="shared" si="8"/>
        <v>241</v>
      </c>
      <c r="L30" s="13">
        <f t="shared" si="8"/>
        <v>214</v>
      </c>
      <c r="M30" s="13">
        <f t="shared" si="8"/>
        <v>193</v>
      </c>
      <c r="N30" s="13">
        <f t="shared" si="8"/>
        <v>223</v>
      </c>
      <c r="O30" s="13">
        <f t="shared" si="8"/>
        <v>208</v>
      </c>
      <c r="P30" s="13">
        <f t="shared" si="8"/>
        <v>180</v>
      </c>
      <c r="Q30" s="13">
        <f t="shared" si="8"/>
        <v>197</v>
      </c>
      <c r="R30" s="13">
        <f t="shared" si="8"/>
        <v>222</v>
      </c>
      <c r="S30" s="13">
        <f t="shared" si="8"/>
        <v>236</v>
      </c>
      <c r="T30" s="13">
        <f t="shared" si="8"/>
        <v>178</v>
      </c>
      <c r="U30" s="13">
        <f t="shared" si="8"/>
        <v>185</v>
      </c>
      <c r="V30" s="13">
        <f t="shared" si="8"/>
        <v>196</v>
      </c>
      <c r="W30" s="13">
        <f t="shared" si="8"/>
        <v>149</v>
      </c>
      <c r="X30" s="13">
        <f t="shared" si="8"/>
        <v>235</v>
      </c>
      <c r="Y30" s="13">
        <f t="shared" si="8"/>
        <v>215</v>
      </c>
      <c r="Z30" s="13">
        <f t="shared" si="8"/>
        <v>193</v>
      </c>
      <c r="AA30" s="13">
        <f t="shared" si="8"/>
        <v>175</v>
      </c>
      <c r="AB30" s="13">
        <f t="shared" si="8"/>
        <v>207</v>
      </c>
      <c r="AC30" s="13">
        <f t="shared" si="8"/>
        <v>191</v>
      </c>
      <c r="AD30" s="13">
        <f t="shared" si="8"/>
        <v>226</v>
      </c>
      <c r="AE30" s="13">
        <f t="shared" si="2"/>
        <v>5169</v>
      </c>
    </row>
    <row r="31" spans="1:31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16"/>
      <c r="U31" s="16"/>
      <c r="V31" s="16"/>
      <c r="W31" s="16"/>
      <c r="X31" s="48"/>
      <c r="Y31" s="48"/>
      <c r="Z31" s="48"/>
      <c r="AA31" s="48"/>
      <c r="AB31" s="48"/>
      <c r="AC31" s="48"/>
      <c r="AD31" s="48"/>
      <c r="AE31" s="49"/>
    </row>
    <row r="32" spans="1:31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13"/>
      <c r="U32" s="13"/>
      <c r="V32" s="13"/>
      <c r="W32" s="13"/>
      <c r="X32" s="50"/>
      <c r="Y32" s="50"/>
      <c r="Z32" s="50"/>
      <c r="AA32" s="50"/>
      <c r="AB32" s="50"/>
      <c r="AC32" s="50"/>
      <c r="AD32" s="50"/>
      <c r="AE32" s="49"/>
    </row>
    <row r="33" spans="1:31" ht="12.75" customHeight="1" x14ac:dyDescent="0.4">
      <c r="A33" s="16">
        <v>1</v>
      </c>
      <c r="B33" s="74" t="s">
        <v>26</v>
      </c>
      <c r="C33" s="61"/>
      <c r="D33" s="62"/>
      <c r="E33" s="16">
        <v>278</v>
      </c>
      <c r="F33" s="16">
        <v>279</v>
      </c>
      <c r="G33" s="16">
        <v>264</v>
      </c>
      <c r="H33" s="16">
        <v>293</v>
      </c>
      <c r="I33" s="16">
        <v>217</v>
      </c>
      <c r="J33" s="16">
        <v>187</v>
      </c>
      <c r="K33" s="16">
        <v>294</v>
      </c>
      <c r="L33" s="16">
        <v>299</v>
      </c>
      <c r="M33" s="16">
        <v>262</v>
      </c>
      <c r="N33" s="16">
        <v>297</v>
      </c>
      <c r="O33" s="16">
        <v>281</v>
      </c>
      <c r="P33" s="16">
        <v>236</v>
      </c>
      <c r="Q33" s="16">
        <v>258</v>
      </c>
      <c r="R33" s="16">
        <v>282</v>
      </c>
      <c r="S33" s="16">
        <v>288</v>
      </c>
      <c r="T33" s="16">
        <v>253</v>
      </c>
      <c r="U33" s="16">
        <v>275</v>
      </c>
      <c r="V33" s="16">
        <v>260</v>
      </c>
      <c r="W33" s="16">
        <v>209</v>
      </c>
      <c r="X33" s="16">
        <v>287</v>
      </c>
      <c r="Y33" s="16">
        <v>284</v>
      </c>
      <c r="Z33" s="16">
        <v>235</v>
      </c>
      <c r="AA33" s="16">
        <v>222</v>
      </c>
      <c r="AB33" s="16">
        <v>287</v>
      </c>
      <c r="AC33" s="16">
        <v>258</v>
      </c>
      <c r="AD33" s="16">
        <v>272</v>
      </c>
      <c r="AE33" s="13">
        <f t="shared" ref="AE33:AE36" si="9">SUM(E33:AD33)</f>
        <v>6857</v>
      </c>
    </row>
    <row r="34" spans="1:31" ht="12.75" customHeight="1" x14ac:dyDescent="0.4">
      <c r="A34" s="16">
        <v>2</v>
      </c>
      <c r="B34" s="74" t="s">
        <v>27</v>
      </c>
      <c r="C34" s="61"/>
      <c r="D34" s="62"/>
      <c r="E34" s="13">
        <v>192</v>
      </c>
      <c r="F34" s="13">
        <v>193</v>
      </c>
      <c r="G34" s="13">
        <v>197</v>
      </c>
      <c r="H34" s="13">
        <v>214</v>
      </c>
      <c r="I34" s="13">
        <v>163</v>
      </c>
      <c r="J34" s="13">
        <v>146</v>
      </c>
      <c r="K34" s="13">
        <v>241</v>
      </c>
      <c r="L34" s="13">
        <v>214</v>
      </c>
      <c r="M34" s="13">
        <v>193</v>
      </c>
      <c r="N34" s="13">
        <v>223</v>
      </c>
      <c r="O34" s="13">
        <v>208</v>
      </c>
      <c r="P34" s="13">
        <v>180</v>
      </c>
      <c r="Q34" s="13">
        <v>197</v>
      </c>
      <c r="R34" s="13">
        <v>222</v>
      </c>
      <c r="S34" s="13">
        <v>236</v>
      </c>
      <c r="T34" s="13">
        <v>178</v>
      </c>
      <c r="U34" s="13">
        <v>185</v>
      </c>
      <c r="V34" s="13">
        <v>196</v>
      </c>
      <c r="W34" s="13">
        <v>149</v>
      </c>
      <c r="X34" s="13">
        <v>235</v>
      </c>
      <c r="Y34" s="13">
        <v>215</v>
      </c>
      <c r="Z34" s="13">
        <v>193</v>
      </c>
      <c r="AA34" s="13">
        <v>175</v>
      </c>
      <c r="AB34" s="13">
        <v>207</v>
      </c>
      <c r="AC34" s="13">
        <v>191</v>
      </c>
      <c r="AD34" s="13">
        <v>226</v>
      </c>
      <c r="AE34" s="13">
        <f t="shared" si="9"/>
        <v>5169</v>
      </c>
    </row>
    <row r="35" spans="1:31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0</v>
      </c>
      <c r="G35" s="16">
        <v>1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12</v>
      </c>
      <c r="X35" s="16">
        <v>0</v>
      </c>
      <c r="Y35" s="16">
        <v>0</v>
      </c>
      <c r="Z35" s="16">
        <v>1</v>
      </c>
      <c r="AA35" s="16">
        <v>1</v>
      </c>
      <c r="AB35" s="16">
        <v>1</v>
      </c>
      <c r="AC35" s="16">
        <v>0</v>
      </c>
      <c r="AD35" s="16"/>
      <c r="AE35" s="13">
        <f t="shared" si="9"/>
        <v>16</v>
      </c>
    </row>
    <row r="36" spans="1:31" ht="12.75" customHeight="1" x14ac:dyDescent="0.4">
      <c r="A36" s="16">
        <v>4</v>
      </c>
      <c r="B36" s="74" t="s">
        <v>29</v>
      </c>
      <c r="C36" s="61"/>
      <c r="D36" s="62"/>
      <c r="E36" s="13">
        <f t="shared" ref="E36:AD36" si="10">E33-(E34+E35)</f>
        <v>86</v>
      </c>
      <c r="F36" s="13">
        <f t="shared" si="10"/>
        <v>86</v>
      </c>
      <c r="G36" s="13">
        <f t="shared" si="10"/>
        <v>66</v>
      </c>
      <c r="H36" s="13">
        <f t="shared" si="10"/>
        <v>79</v>
      </c>
      <c r="I36" s="13">
        <f t="shared" si="10"/>
        <v>54</v>
      </c>
      <c r="J36" s="13">
        <f t="shared" si="10"/>
        <v>41</v>
      </c>
      <c r="K36" s="13">
        <f t="shared" si="10"/>
        <v>53</v>
      </c>
      <c r="L36" s="13">
        <f t="shared" si="10"/>
        <v>85</v>
      </c>
      <c r="M36" s="13">
        <f t="shared" si="10"/>
        <v>69</v>
      </c>
      <c r="N36" s="13">
        <f t="shared" si="10"/>
        <v>74</v>
      </c>
      <c r="O36" s="13">
        <f t="shared" si="10"/>
        <v>73</v>
      </c>
      <c r="P36" s="13">
        <f t="shared" si="10"/>
        <v>56</v>
      </c>
      <c r="Q36" s="13">
        <f t="shared" si="10"/>
        <v>61</v>
      </c>
      <c r="R36" s="13">
        <f t="shared" si="10"/>
        <v>60</v>
      </c>
      <c r="S36" s="13">
        <f t="shared" si="10"/>
        <v>52</v>
      </c>
      <c r="T36" s="13">
        <f t="shared" si="10"/>
        <v>75</v>
      </c>
      <c r="U36" s="13">
        <f t="shared" si="10"/>
        <v>90</v>
      </c>
      <c r="V36" s="13">
        <f t="shared" si="10"/>
        <v>64</v>
      </c>
      <c r="W36" s="13">
        <f t="shared" si="10"/>
        <v>48</v>
      </c>
      <c r="X36" s="13">
        <f t="shared" si="10"/>
        <v>52</v>
      </c>
      <c r="Y36" s="13">
        <f t="shared" si="10"/>
        <v>69</v>
      </c>
      <c r="Z36" s="13">
        <f t="shared" si="10"/>
        <v>41</v>
      </c>
      <c r="AA36" s="13">
        <f t="shared" si="10"/>
        <v>46</v>
      </c>
      <c r="AB36" s="13">
        <f t="shared" si="10"/>
        <v>79</v>
      </c>
      <c r="AC36" s="13">
        <f t="shared" si="10"/>
        <v>67</v>
      </c>
      <c r="AD36" s="13">
        <f t="shared" si="10"/>
        <v>46</v>
      </c>
      <c r="AE36" s="13">
        <f t="shared" si="9"/>
        <v>1672</v>
      </c>
    </row>
    <row r="37" spans="1:31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16"/>
      <c r="U37" s="16"/>
      <c r="V37" s="16"/>
      <c r="W37" s="16"/>
      <c r="X37" s="48"/>
      <c r="Y37" s="51"/>
      <c r="Z37" s="51"/>
      <c r="AA37" s="51"/>
      <c r="AB37" s="51"/>
      <c r="AC37" s="51"/>
      <c r="AD37" s="51"/>
      <c r="AE37" s="49"/>
    </row>
    <row r="38" spans="1:31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13"/>
      <c r="U38" s="13"/>
      <c r="V38" s="13"/>
      <c r="W38" s="13"/>
      <c r="X38" s="50"/>
      <c r="Y38" s="50"/>
      <c r="Z38" s="50"/>
      <c r="AA38" s="50"/>
      <c r="AB38" s="50"/>
      <c r="AC38" s="50"/>
      <c r="AD38" s="50"/>
      <c r="AE38" s="49"/>
    </row>
    <row r="39" spans="1:31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1</v>
      </c>
      <c r="P39" s="16">
        <v>0</v>
      </c>
      <c r="Q39" s="16">
        <v>0</v>
      </c>
      <c r="R39" s="16">
        <v>0</v>
      </c>
      <c r="S39" s="16">
        <v>2</v>
      </c>
      <c r="T39" s="16">
        <v>0</v>
      </c>
      <c r="U39" s="16">
        <v>0</v>
      </c>
      <c r="V39" s="16">
        <v>0</v>
      </c>
      <c r="W39" s="16">
        <v>1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1</v>
      </c>
      <c r="AD39" s="16">
        <v>0</v>
      </c>
      <c r="AE39" s="13">
        <f t="shared" ref="AE39:AE41" si="11">SUM(E39:AD39)</f>
        <v>5</v>
      </c>
    </row>
    <row r="40" spans="1:31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4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1</v>
      </c>
      <c r="AD40" s="16">
        <v>0</v>
      </c>
      <c r="AE40" s="13">
        <f t="shared" si="11"/>
        <v>5</v>
      </c>
    </row>
    <row r="41" spans="1:31" ht="12.75" customHeight="1" x14ac:dyDescent="0.4">
      <c r="A41" s="25"/>
      <c r="B41" s="68"/>
      <c r="C41" s="69"/>
      <c r="D41" s="13" t="s">
        <v>13</v>
      </c>
      <c r="E41" s="13">
        <f t="shared" ref="E41:AD41" si="12">SUM(E39:E40)</f>
        <v>0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1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2"/>
        <v>6</v>
      </c>
      <c r="T41" s="13">
        <f t="shared" si="12"/>
        <v>0</v>
      </c>
      <c r="U41" s="13">
        <f t="shared" si="12"/>
        <v>0</v>
      </c>
      <c r="V41" s="13">
        <f t="shared" si="12"/>
        <v>0</v>
      </c>
      <c r="W41" s="13">
        <f t="shared" si="12"/>
        <v>1</v>
      </c>
      <c r="X41" s="13">
        <f t="shared" si="12"/>
        <v>0</v>
      </c>
      <c r="Y41" s="13">
        <f t="shared" si="12"/>
        <v>0</v>
      </c>
      <c r="Z41" s="13">
        <f t="shared" si="12"/>
        <v>0</v>
      </c>
      <c r="AA41" s="13">
        <f t="shared" si="12"/>
        <v>0</v>
      </c>
      <c r="AB41" s="13">
        <f t="shared" si="12"/>
        <v>0</v>
      </c>
      <c r="AC41" s="13">
        <f t="shared" si="12"/>
        <v>2</v>
      </c>
      <c r="AD41" s="13">
        <f t="shared" si="12"/>
        <v>0</v>
      </c>
      <c r="AE41" s="13">
        <f t="shared" si="11"/>
        <v>10</v>
      </c>
    </row>
    <row r="42" spans="1:31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16"/>
      <c r="U42" s="16"/>
      <c r="V42" s="16"/>
      <c r="W42" s="16"/>
      <c r="X42" s="48"/>
      <c r="Y42" s="16"/>
      <c r="Z42" s="48"/>
      <c r="AA42" s="16"/>
      <c r="AB42" s="48"/>
      <c r="AC42" s="16"/>
      <c r="AD42" s="48"/>
      <c r="AE42" s="13"/>
    </row>
    <row r="43" spans="1:31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13"/>
      <c r="U43" s="13"/>
      <c r="V43" s="13"/>
      <c r="W43" s="13"/>
      <c r="X43" s="50"/>
      <c r="Y43" s="13"/>
      <c r="Z43" s="50"/>
      <c r="AA43" s="13"/>
      <c r="AB43" s="50"/>
      <c r="AC43" s="13"/>
      <c r="AD43" s="50"/>
      <c r="AE43" s="13"/>
    </row>
    <row r="44" spans="1:31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16"/>
      <c r="U44" s="16"/>
      <c r="V44" s="16"/>
      <c r="W44" s="16"/>
      <c r="X44" s="48"/>
      <c r="Y44" s="16"/>
      <c r="Z44" s="48"/>
      <c r="AA44" s="16"/>
      <c r="AB44" s="48"/>
      <c r="AC44" s="16"/>
      <c r="AD44" s="48"/>
      <c r="AE44" s="13"/>
    </row>
    <row r="45" spans="1:31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7</v>
      </c>
      <c r="F45" s="16">
        <v>6</v>
      </c>
      <c r="G45" s="16">
        <v>7</v>
      </c>
      <c r="H45" s="16">
        <v>11</v>
      </c>
      <c r="I45" s="16">
        <v>6</v>
      </c>
      <c r="J45" s="16">
        <v>1</v>
      </c>
      <c r="K45" s="16">
        <v>10</v>
      </c>
      <c r="L45" s="16">
        <v>6</v>
      </c>
      <c r="M45" s="16">
        <v>4</v>
      </c>
      <c r="N45" s="16">
        <v>11</v>
      </c>
      <c r="O45" s="16">
        <v>5</v>
      </c>
      <c r="P45" s="16">
        <v>12</v>
      </c>
      <c r="Q45" s="16">
        <v>9</v>
      </c>
      <c r="R45" s="16">
        <v>7</v>
      </c>
      <c r="S45" s="16">
        <v>14</v>
      </c>
      <c r="T45" s="16">
        <v>6</v>
      </c>
      <c r="U45" s="16">
        <v>7</v>
      </c>
      <c r="V45" s="16">
        <v>12</v>
      </c>
      <c r="W45" s="16">
        <v>0</v>
      </c>
      <c r="X45" s="16">
        <v>4</v>
      </c>
      <c r="Y45" s="16">
        <v>3</v>
      </c>
      <c r="Z45" s="16">
        <v>4</v>
      </c>
      <c r="AA45" s="16">
        <v>0</v>
      </c>
      <c r="AB45" s="16">
        <v>6</v>
      </c>
      <c r="AC45" s="16">
        <v>9</v>
      </c>
      <c r="AD45" s="16">
        <v>7</v>
      </c>
      <c r="AE45" s="13">
        <f t="shared" ref="AE45:AE54" si="13">SUM(E45:AD45)</f>
        <v>174</v>
      </c>
    </row>
    <row r="46" spans="1:31" ht="12.75" customHeight="1" x14ac:dyDescent="0.4">
      <c r="A46" s="20" t="s">
        <v>38</v>
      </c>
      <c r="B46" s="28"/>
      <c r="C46" s="29" t="s">
        <v>39</v>
      </c>
      <c r="D46" s="30"/>
      <c r="E46" s="16">
        <v>1</v>
      </c>
      <c r="F46" s="16">
        <v>5</v>
      </c>
      <c r="G46" s="16">
        <v>5</v>
      </c>
      <c r="H46" s="16">
        <v>5</v>
      </c>
      <c r="I46" s="16">
        <v>1</v>
      </c>
      <c r="J46" s="16">
        <v>0</v>
      </c>
      <c r="K46" s="16">
        <v>4</v>
      </c>
      <c r="L46" s="16">
        <v>2</v>
      </c>
      <c r="M46" s="16">
        <v>1</v>
      </c>
      <c r="N46" s="16">
        <v>4</v>
      </c>
      <c r="O46" s="16">
        <v>16</v>
      </c>
      <c r="P46" s="16">
        <v>22</v>
      </c>
      <c r="Q46" s="16">
        <v>17</v>
      </c>
      <c r="R46" s="16">
        <v>5</v>
      </c>
      <c r="S46" s="16">
        <v>10</v>
      </c>
      <c r="T46" s="16">
        <v>1</v>
      </c>
      <c r="U46" s="16">
        <v>8</v>
      </c>
      <c r="V46" s="16">
        <v>15</v>
      </c>
      <c r="W46" s="16">
        <v>8</v>
      </c>
      <c r="X46" s="16">
        <v>1</v>
      </c>
      <c r="Y46" s="16">
        <v>5</v>
      </c>
      <c r="Z46" s="16">
        <v>4</v>
      </c>
      <c r="AA46" s="16">
        <v>1</v>
      </c>
      <c r="AB46" s="16">
        <v>6</v>
      </c>
      <c r="AC46" s="16">
        <v>31</v>
      </c>
      <c r="AD46" s="16">
        <v>32</v>
      </c>
      <c r="AE46" s="13">
        <f t="shared" si="13"/>
        <v>210</v>
      </c>
    </row>
    <row r="47" spans="1:31" ht="12.75" customHeight="1" x14ac:dyDescent="0.4">
      <c r="A47" s="15"/>
      <c r="B47" s="28"/>
      <c r="C47" s="29" t="s">
        <v>40</v>
      </c>
      <c r="D47" s="30"/>
      <c r="E47" s="16">
        <v>2</v>
      </c>
      <c r="F47" s="16">
        <v>4</v>
      </c>
      <c r="G47" s="16">
        <v>7</v>
      </c>
      <c r="H47" s="16">
        <v>20</v>
      </c>
      <c r="I47" s="16">
        <v>3</v>
      </c>
      <c r="J47" s="16">
        <v>5</v>
      </c>
      <c r="K47" s="16">
        <v>9</v>
      </c>
      <c r="L47" s="16">
        <v>9</v>
      </c>
      <c r="M47" s="16">
        <v>2</v>
      </c>
      <c r="N47" s="16">
        <v>3</v>
      </c>
      <c r="O47" s="16">
        <v>4</v>
      </c>
      <c r="P47" s="16">
        <v>6</v>
      </c>
      <c r="Q47" s="16">
        <v>8</v>
      </c>
      <c r="R47" s="16">
        <v>2</v>
      </c>
      <c r="S47" s="16">
        <v>5</v>
      </c>
      <c r="T47" s="16">
        <v>1</v>
      </c>
      <c r="U47" s="16">
        <v>2</v>
      </c>
      <c r="V47" s="16">
        <v>0</v>
      </c>
      <c r="W47" s="16">
        <v>3</v>
      </c>
      <c r="X47" s="16">
        <v>1</v>
      </c>
      <c r="Y47" s="16">
        <v>0</v>
      </c>
      <c r="Z47" s="16">
        <v>5</v>
      </c>
      <c r="AA47" s="16">
        <v>0</v>
      </c>
      <c r="AB47" s="16">
        <v>2</v>
      </c>
      <c r="AC47" s="16">
        <v>4</v>
      </c>
      <c r="AD47" s="16">
        <v>1</v>
      </c>
      <c r="AE47" s="13">
        <f t="shared" si="13"/>
        <v>108</v>
      </c>
    </row>
    <row r="48" spans="1:31" ht="12.75" customHeight="1" x14ac:dyDescent="0.4">
      <c r="A48" s="15"/>
      <c r="B48" s="28"/>
      <c r="C48" s="29" t="s">
        <v>41</v>
      </c>
      <c r="D48" s="30"/>
      <c r="E48" s="16">
        <v>0</v>
      </c>
      <c r="F48" s="16">
        <v>1</v>
      </c>
      <c r="G48" s="16">
        <v>1</v>
      </c>
      <c r="H48" s="16">
        <v>1</v>
      </c>
      <c r="I48" s="16">
        <v>0</v>
      </c>
      <c r="J48" s="16">
        <v>0</v>
      </c>
      <c r="K48" s="16">
        <v>2</v>
      </c>
      <c r="L48" s="16">
        <v>0</v>
      </c>
      <c r="M48" s="16">
        <v>0</v>
      </c>
      <c r="N48" s="16">
        <v>1</v>
      </c>
      <c r="O48" s="16">
        <v>0</v>
      </c>
      <c r="P48" s="16">
        <v>0</v>
      </c>
      <c r="Q48" s="16">
        <v>0</v>
      </c>
      <c r="R48" s="16">
        <v>0</v>
      </c>
      <c r="S48" s="16">
        <v>1</v>
      </c>
      <c r="T48" s="16">
        <v>0</v>
      </c>
      <c r="U48" s="16">
        <v>0</v>
      </c>
      <c r="V48" s="16">
        <v>0</v>
      </c>
      <c r="W48" s="16">
        <v>1</v>
      </c>
      <c r="X48" s="16">
        <v>0</v>
      </c>
      <c r="Y48" s="16">
        <v>0</v>
      </c>
      <c r="Z48" s="16">
        <v>0</v>
      </c>
      <c r="AA48" s="16">
        <v>0</v>
      </c>
      <c r="AB48" s="16">
        <v>0</v>
      </c>
      <c r="AC48" s="16">
        <v>1</v>
      </c>
      <c r="AD48" s="16">
        <v>0</v>
      </c>
      <c r="AE48" s="13">
        <f t="shared" si="13"/>
        <v>9</v>
      </c>
    </row>
    <row r="49" spans="1:31" ht="12.75" customHeight="1" x14ac:dyDescent="0.4">
      <c r="A49" s="15"/>
      <c r="B49" s="28"/>
      <c r="C49" s="29" t="s">
        <v>42</v>
      </c>
      <c r="D49" s="30"/>
      <c r="E49" s="16">
        <v>1</v>
      </c>
      <c r="F49" s="16">
        <v>0</v>
      </c>
      <c r="G49" s="16">
        <v>0</v>
      </c>
      <c r="H49" s="16">
        <v>1</v>
      </c>
      <c r="I49" s="16">
        <v>0</v>
      </c>
      <c r="J49" s="16">
        <v>0</v>
      </c>
      <c r="K49" s="16">
        <v>0</v>
      </c>
      <c r="L49" s="16">
        <v>1</v>
      </c>
      <c r="M49" s="16">
        <v>0</v>
      </c>
      <c r="N49" s="16">
        <v>0</v>
      </c>
      <c r="O49" s="16">
        <v>0</v>
      </c>
      <c r="P49" s="16">
        <v>1</v>
      </c>
      <c r="Q49" s="16">
        <v>0</v>
      </c>
      <c r="R49" s="16">
        <v>0</v>
      </c>
      <c r="S49" s="16">
        <v>0</v>
      </c>
      <c r="T49" s="16">
        <v>0</v>
      </c>
      <c r="U49" s="16">
        <v>1</v>
      </c>
      <c r="V49" s="16">
        <v>0</v>
      </c>
      <c r="W49" s="16">
        <v>0</v>
      </c>
      <c r="X49" s="16">
        <v>2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3">
        <f t="shared" si="13"/>
        <v>7</v>
      </c>
    </row>
    <row r="50" spans="1:31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1</v>
      </c>
      <c r="K50" s="16">
        <v>1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1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3">
        <f t="shared" si="13"/>
        <v>3</v>
      </c>
    </row>
    <row r="51" spans="1:31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2</v>
      </c>
      <c r="G51" s="16">
        <v>3</v>
      </c>
      <c r="H51" s="16">
        <v>9</v>
      </c>
      <c r="I51" s="16">
        <v>1</v>
      </c>
      <c r="J51" s="16">
        <v>0</v>
      </c>
      <c r="K51" s="16">
        <v>2</v>
      </c>
      <c r="L51" s="16">
        <v>0</v>
      </c>
      <c r="M51" s="16">
        <v>0</v>
      </c>
      <c r="N51" s="16">
        <v>0</v>
      </c>
      <c r="O51" s="16">
        <v>1</v>
      </c>
      <c r="P51" s="16">
        <v>2</v>
      </c>
      <c r="Q51" s="16">
        <v>0</v>
      </c>
      <c r="R51" s="16">
        <v>0</v>
      </c>
      <c r="S51" s="16">
        <v>1</v>
      </c>
      <c r="T51" s="16">
        <v>0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6">
        <v>0</v>
      </c>
      <c r="AB51" s="16">
        <v>0</v>
      </c>
      <c r="AC51" s="16">
        <v>0</v>
      </c>
      <c r="AD51" s="16">
        <v>0</v>
      </c>
      <c r="AE51" s="13">
        <f t="shared" si="13"/>
        <v>21</v>
      </c>
    </row>
    <row r="52" spans="1:31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13">
        <f t="shared" si="13"/>
        <v>0</v>
      </c>
    </row>
    <row r="53" spans="1:31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13">
        <f t="shared" si="13"/>
        <v>0</v>
      </c>
    </row>
    <row r="54" spans="1:31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13">
        <f t="shared" si="13"/>
        <v>0</v>
      </c>
    </row>
    <row r="55" spans="1:31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AE55" si="14">SUM(E45:E54)</f>
        <v>11</v>
      </c>
      <c r="F55" s="13">
        <f t="shared" si="14"/>
        <v>18</v>
      </c>
      <c r="G55" s="13">
        <f t="shared" si="14"/>
        <v>23</v>
      </c>
      <c r="H55" s="13">
        <f t="shared" si="14"/>
        <v>47</v>
      </c>
      <c r="I55" s="13">
        <f t="shared" si="14"/>
        <v>11</v>
      </c>
      <c r="J55" s="13">
        <f t="shared" si="14"/>
        <v>7</v>
      </c>
      <c r="K55" s="13">
        <f t="shared" si="14"/>
        <v>28</v>
      </c>
      <c r="L55" s="13">
        <f t="shared" si="14"/>
        <v>18</v>
      </c>
      <c r="M55" s="13">
        <f t="shared" si="14"/>
        <v>7</v>
      </c>
      <c r="N55" s="13">
        <f t="shared" si="14"/>
        <v>19</v>
      </c>
      <c r="O55" s="13">
        <f t="shared" si="14"/>
        <v>26</v>
      </c>
      <c r="P55" s="13">
        <f t="shared" si="14"/>
        <v>43</v>
      </c>
      <c r="Q55" s="13">
        <f t="shared" si="14"/>
        <v>35</v>
      </c>
      <c r="R55" s="13">
        <f t="shared" si="14"/>
        <v>14</v>
      </c>
      <c r="S55" s="13">
        <f t="shared" si="14"/>
        <v>31</v>
      </c>
      <c r="T55" s="13">
        <f t="shared" si="14"/>
        <v>8</v>
      </c>
      <c r="U55" s="13">
        <f t="shared" si="14"/>
        <v>18</v>
      </c>
      <c r="V55" s="13">
        <f t="shared" si="14"/>
        <v>27</v>
      </c>
      <c r="W55" s="13">
        <f t="shared" si="14"/>
        <v>12</v>
      </c>
      <c r="X55" s="13">
        <f t="shared" si="14"/>
        <v>8</v>
      </c>
      <c r="Y55" s="13">
        <f t="shared" si="14"/>
        <v>8</v>
      </c>
      <c r="Z55" s="13">
        <f t="shared" si="14"/>
        <v>13</v>
      </c>
      <c r="AA55" s="13">
        <f t="shared" si="14"/>
        <v>1</v>
      </c>
      <c r="AB55" s="13">
        <f t="shared" si="14"/>
        <v>14</v>
      </c>
      <c r="AC55" s="13">
        <f t="shared" si="14"/>
        <v>45</v>
      </c>
      <c r="AD55" s="13">
        <f t="shared" si="14"/>
        <v>40</v>
      </c>
      <c r="AE55" s="13">
        <f t="shared" si="14"/>
        <v>532</v>
      </c>
    </row>
    <row r="56" spans="1:31" ht="12.75" customHeight="1" x14ac:dyDescent="0.4">
      <c r="A56" s="86"/>
      <c r="B56" s="68"/>
      <c r="C56" s="68"/>
      <c r="D56" s="68"/>
      <c r="E56" s="68"/>
      <c r="AE56" s="13"/>
    </row>
    <row r="57" spans="1:31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7</v>
      </c>
      <c r="F57" s="16">
        <v>10</v>
      </c>
      <c r="G57" s="16">
        <v>2</v>
      </c>
      <c r="H57" s="16">
        <v>5</v>
      </c>
      <c r="I57" s="16">
        <v>4</v>
      </c>
      <c r="J57" s="16">
        <v>2</v>
      </c>
      <c r="K57" s="16">
        <v>7</v>
      </c>
      <c r="L57" s="16">
        <v>13</v>
      </c>
      <c r="M57" s="16">
        <v>6</v>
      </c>
      <c r="N57" s="16">
        <v>9</v>
      </c>
      <c r="O57" s="16">
        <v>13</v>
      </c>
      <c r="P57" s="16">
        <v>5</v>
      </c>
      <c r="Q57" s="16">
        <v>12</v>
      </c>
      <c r="R57" s="16">
        <v>8</v>
      </c>
      <c r="S57" s="16">
        <v>10</v>
      </c>
      <c r="T57" s="16">
        <v>7</v>
      </c>
      <c r="U57" s="16">
        <v>5</v>
      </c>
      <c r="V57" s="16">
        <v>7</v>
      </c>
      <c r="W57" s="16">
        <v>9</v>
      </c>
      <c r="X57" s="16">
        <v>3</v>
      </c>
      <c r="Y57" s="16">
        <v>11</v>
      </c>
      <c r="Z57" s="16">
        <v>4</v>
      </c>
      <c r="AA57" s="16">
        <v>1</v>
      </c>
      <c r="AB57" s="16">
        <v>8</v>
      </c>
      <c r="AC57" s="16">
        <v>11</v>
      </c>
      <c r="AD57" s="16">
        <v>11</v>
      </c>
      <c r="AE57" s="13">
        <f t="shared" ref="AE57:AE66" si="15">SUM(E57:AD57)</f>
        <v>190</v>
      </c>
    </row>
    <row r="58" spans="1:31" ht="12.75" customHeight="1" x14ac:dyDescent="0.4">
      <c r="A58" s="20" t="s">
        <v>38</v>
      </c>
      <c r="B58" s="28"/>
      <c r="C58" s="29" t="s">
        <v>47</v>
      </c>
      <c r="D58" s="30"/>
      <c r="E58" s="16">
        <v>2</v>
      </c>
      <c r="F58" s="16">
        <v>2</v>
      </c>
      <c r="G58" s="16">
        <v>5</v>
      </c>
      <c r="H58" s="16">
        <v>4</v>
      </c>
      <c r="I58" s="16">
        <v>4</v>
      </c>
      <c r="J58" s="16">
        <v>2</v>
      </c>
      <c r="K58" s="16">
        <v>1</v>
      </c>
      <c r="L58" s="16">
        <v>4</v>
      </c>
      <c r="M58" s="16">
        <v>4</v>
      </c>
      <c r="N58" s="16">
        <v>3</v>
      </c>
      <c r="O58" s="16">
        <v>3</v>
      </c>
      <c r="P58" s="16">
        <v>5</v>
      </c>
      <c r="Q58" s="16">
        <v>9</v>
      </c>
      <c r="R58" s="16">
        <v>0</v>
      </c>
      <c r="S58" s="16">
        <v>5</v>
      </c>
      <c r="T58" s="16">
        <v>1</v>
      </c>
      <c r="U58" s="16">
        <v>4</v>
      </c>
      <c r="V58" s="16">
        <v>2</v>
      </c>
      <c r="W58" s="16">
        <v>8</v>
      </c>
      <c r="X58" s="16">
        <v>4</v>
      </c>
      <c r="Y58" s="16">
        <v>2</v>
      </c>
      <c r="Z58" s="16">
        <v>3</v>
      </c>
      <c r="AA58" s="16">
        <v>2</v>
      </c>
      <c r="AB58" s="16">
        <v>12</v>
      </c>
      <c r="AC58" s="16">
        <v>4</v>
      </c>
      <c r="AD58" s="16">
        <v>2</v>
      </c>
      <c r="AE58" s="13">
        <f t="shared" si="15"/>
        <v>97</v>
      </c>
    </row>
    <row r="59" spans="1:31" ht="12.75" customHeight="1" x14ac:dyDescent="0.4">
      <c r="A59" s="15"/>
      <c r="B59" s="28"/>
      <c r="C59" s="29" t="s">
        <v>48</v>
      </c>
      <c r="D59" s="30"/>
      <c r="E59" s="16">
        <v>1</v>
      </c>
      <c r="F59" s="16">
        <v>2</v>
      </c>
      <c r="G59" s="16">
        <v>3</v>
      </c>
      <c r="H59" s="16">
        <v>2</v>
      </c>
      <c r="I59" s="16">
        <v>2</v>
      </c>
      <c r="J59" s="16">
        <v>1</v>
      </c>
      <c r="K59" s="16">
        <v>3</v>
      </c>
      <c r="L59" s="16">
        <v>1</v>
      </c>
      <c r="M59" s="16">
        <v>2</v>
      </c>
      <c r="N59" s="16">
        <v>1</v>
      </c>
      <c r="O59" s="16">
        <v>2</v>
      </c>
      <c r="P59" s="16">
        <v>2</v>
      </c>
      <c r="Q59" s="16">
        <v>0</v>
      </c>
      <c r="R59" s="16">
        <v>1</v>
      </c>
      <c r="S59" s="16">
        <v>6</v>
      </c>
      <c r="T59" s="16">
        <v>1</v>
      </c>
      <c r="U59" s="16">
        <v>1</v>
      </c>
      <c r="V59" s="16">
        <v>1</v>
      </c>
      <c r="W59" s="16">
        <v>1</v>
      </c>
      <c r="X59" s="16">
        <v>2</v>
      </c>
      <c r="Y59" s="16">
        <v>2</v>
      </c>
      <c r="Z59" s="16">
        <v>0</v>
      </c>
      <c r="AA59" s="16">
        <v>0</v>
      </c>
      <c r="AB59" s="16">
        <v>1</v>
      </c>
      <c r="AC59" s="16">
        <v>3</v>
      </c>
      <c r="AD59" s="16">
        <v>0</v>
      </c>
      <c r="AE59" s="13">
        <f t="shared" si="15"/>
        <v>41</v>
      </c>
    </row>
    <row r="60" spans="1:31" ht="12.75" customHeight="1" x14ac:dyDescent="0.4">
      <c r="A60" s="15"/>
      <c r="B60" s="28"/>
      <c r="C60" s="29" t="s">
        <v>49</v>
      </c>
      <c r="D60" s="30"/>
      <c r="E60" s="16">
        <v>1</v>
      </c>
      <c r="F60" s="16">
        <v>0</v>
      </c>
      <c r="G60" s="16">
        <v>1</v>
      </c>
      <c r="H60" s="16">
        <v>1</v>
      </c>
      <c r="I60" s="16">
        <v>1</v>
      </c>
      <c r="J60" s="16">
        <v>0</v>
      </c>
      <c r="K60" s="16">
        <v>1</v>
      </c>
      <c r="L60" s="16">
        <v>2</v>
      </c>
      <c r="M60" s="16">
        <v>3</v>
      </c>
      <c r="N60" s="16">
        <v>1</v>
      </c>
      <c r="O60" s="16">
        <v>2</v>
      </c>
      <c r="P60" s="16">
        <v>2</v>
      </c>
      <c r="Q60" s="16">
        <v>3</v>
      </c>
      <c r="R60" s="16">
        <v>4</v>
      </c>
      <c r="S60" s="16">
        <v>0</v>
      </c>
      <c r="T60" s="16">
        <v>0</v>
      </c>
      <c r="U60" s="16">
        <v>0</v>
      </c>
      <c r="V60" s="16">
        <v>1</v>
      </c>
      <c r="W60" s="16">
        <v>0</v>
      </c>
      <c r="X60" s="16">
        <v>3</v>
      </c>
      <c r="Y60" s="16">
        <v>1</v>
      </c>
      <c r="Z60" s="16">
        <v>0</v>
      </c>
      <c r="AA60" s="16">
        <v>0</v>
      </c>
      <c r="AB60" s="16">
        <v>5</v>
      </c>
      <c r="AC60" s="16">
        <v>3</v>
      </c>
      <c r="AD60" s="16">
        <v>2</v>
      </c>
      <c r="AE60" s="13">
        <f t="shared" si="15"/>
        <v>37</v>
      </c>
    </row>
    <row r="61" spans="1:31" ht="12.75" customHeight="1" x14ac:dyDescent="0.4">
      <c r="A61" s="15"/>
      <c r="B61" s="28"/>
      <c r="C61" s="29" t="s">
        <v>50</v>
      </c>
      <c r="D61" s="30"/>
      <c r="E61" s="16">
        <v>1</v>
      </c>
      <c r="F61" s="16">
        <v>4</v>
      </c>
      <c r="G61" s="16">
        <v>0</v>
      </c>
      <c r="H61" s="16">
        <v>4</v>
      </c>
      <c r="I61" s="16">
        <v>1</v>
      </c>
      <c r="J61" s="16">
        <v>0</v>
      </c>
      <c r="K61" s="16">
        <v>0</v>
      </c>
      <c r="L61" s="16">
        <v>0</v>
      </c>
      <c r="M61" s="16">
        <v>1</v>
      </c>
      <c r="N61" s="16">
        <v>2</v>
      </c>
      <c r="O61" s="16">
        <v>0</v>
      </c>
      <c r="P61" s="16">
        <v>0</v>
      </c>
      <c r="Q61" s="16">
        <v>0</v>
      </c>
      <c r="R61" s="16">
        <v>0</v>
      </c>
      <c r="S61" s="16">
        <v>2</v>
      </c>
      <c r="T61" s="16">
        <v>0</v>
      </c>
      <c r="U61" s="16">
        <v>1</v>
      </c>
      <c r="V61" s="16">
        <v>0</v>
      </c>
      <c r="W61" s="16">
        <v>0</v>
      </c>
      <c r="X61" s="16">
        <v>1</v>
      </c>
      <c r="Y61" s="16">
        <v>2</v>
      </c>
      <c r="Z61" s="16">
        <v>1</v>
      </c>
      <c r="AA61" s="16">
        <v>1</v>
      </c>
      <c r="AB61" s="16">
        <v>1</v>
      </c>
      <c r="AC61" s="16">
        <v>0</v>
      </c>
      <c r="AD61" s="16">
        <v>0</v>
      </c>
      <c r="AE61" s="13">
        <f t="shared" si="15"/>
        <v>22</v>
      </c>
    </row>
    <row r="62" spans="1:31" ht="12.75" customHeight="1" x14ac:dyDescent="0.4">
      <c r="A62" s="15"/>
      <c r="B62" s="28"/>
      <c r="C62" s="29" t="s">
        <v>51</v>
      </c>
      <c r="D62" s="30"/>
      <c r="E62" s="16">
        <v>0</v>
      </c>
      <c r="F62" s="16">
        <v>1</v>
      </c>
      <c r="G62" s="16">
        <v>2</v>
      </c>
      <c r="H62" s="16">
        <v>0</v>
      </c>
      <c r="I62" s="16">
        <v>1</v>
      </c>
      <c r="J62" s="16">
        <v>1</v>
      </c>
      <c r="K62" s="16">
        <v>0</v>
      </c>
      <c r="L62" s="16">
        <v>1</v>
      </c>
      <c r="M62" s="16">
        <v>0</v>
      </c>
      <c r="N62" s="16">
        <v>0</v>
      </c>
      <c r="O62" s="16">
        <v>0</v>
      </c>
      <c r="P62" s="16">
        <v>1</v>
      </c>
      <c r="Q62" s="16">
        <v>1</v>
      </c>
      <c r="R62" s="16">
        <v>0</v>
      </c>
      <c r="S62" s="16">
        <v>0</v>
      </c>
      <c r="T62" s="16">
        <v>2</v>
      </c>
      <c r="U62" s="16">
        <v>2</v>
      </c>
      <c r="V62" s="16">
        <v>1</v>
      </c>
      <c r="W62" s="16">
        <v>0</v>
      </c>
      <c r="X62" s="16">
        <v>2</v>
      </c>
      <c r="Y62" s="16">
        <v>1</v>
      </c>
      <c r="Z62" s="16">
        <v>0</v>
      </c>
      <c r="AA62" s="16">
        <v>1</v>
      </c>
      <c r="AB62" s="16">
        <v>1</v>
      </c>
      <c r="AC62" s="16">
        <v>0</v>
      </c>
      <c r="AD62" s="16">
        <v>0</v>
      </c>
      <c r="AE62" s="13">
        <f t="shared" si="15"/>
        <v>18</v>
      </c>
    </row>
    <row r="63" spans="1:31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1</v>
      </c>
      <c r="G63" s="16">
        <v>1</v>
      </c>
      <c r="H63" s="16">
        <v>0</v>
      </c>
      <c r="I63" s="16">
        <v>1</v>
      </c>
      <c r="J63" s="16">
        <v>1</v>
      </c>
      <c r="K63" s="16">
        <v>0</v>
      </c>
      <c r="L63" s="16">
        <v>0</v>
      </c>
      <c r="M63" s="16">
        <v>0</v>
      </c>
      <c r="N63" s="16">
        <v>0</v>
      </c>
      <c r="O63" s="16">
        <v>1</v>
      </c>
      <c r="P63" s="16">
        <v>0</v>
      </c>
      <c r="Q63" s="16">
        <v>0</v>
      </c>
      <c r="R63" s="16">
        <v>1</v>
      </c>
      <c r="S63" s="16">
        <v>0</v>
      </c>
      <c r="T63" s="16">
        <v>1</v>
      </c>
      <c r="U63" s="16">
        <v>0</v>
      </c>
      <c r="V63" s="16">
        <v>1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3">
        <f t="shared" si="15"/>
        <v>8</v>
      </c>
    </row>
    <row r="64" spans="1:31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13">
        <f t="shared" si="15"/>
        <v>0</v>
      </c>
    </row>
    <row r="65" spans="1:31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13">
        <f t="shared" si="15"/>
        <v>0</v>
      </c>
    </row>
    <row r="66" spans="1:31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13">
        <f t="shared" si="15"/>
        <v>0</v>
      </c>
    </row>
    <row r="67" spans="1:31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AE67" si="16">SUM(E57:E66)</f>
        <v>12</v>
      </c>
      <c r="F67" s="13">
        <f t="shared" si="16"/>
        <v>20</v>
      </c>
      <c r="G67" s="13">
        <f t="shared" si="16"/>
        <v>14</v>
      </c>
      <c r="H67" s="13">
        <f t="shared" si="16"/>
        <v>16</v>
      </c>
      <c r="I67" s="13">
        <f t="shared" si="16"/>
        <v>14</v>
      </c>
      <c r="J67" s="13">
        <f t="shared" si="16"/>
        <v>7</v>
      </c>
      <c r="K67" s="13">
        <f t="shared" si="16"/>
        <v>12</v>
      </c>
      <c r="L67" s="13">
        <f t="shared" si="16"/>
        <v>21</v>
      </c>
      <c r="M67" s="13">
        <f t="shared" si="16"/>
        <v>16</v>
      </c>
      <c r="N67" s="13">
        <f t="shared" si="16"/>
        <v>16</v>
      </c>
      <c r="O67" s="13">
        <f t="shared" si="16"/>
        <v>21</v>
      </c>
      <c r="P67" s="13">
        <f t="shared" si="16"/>
        <v>15</v>
      </c>
      <c r="Q67" s="13">
        <f t="shared" si="16"/>
        <v>25</v>
      </c>
      <c r="R67" s="13">
        <f t="shared" si="16"/>
        <v>14</v>
      </c>
      <c r="S67" s="13">
        <f t="shared" si="16"/>
        <v>23</v>
      </c>
      <c r="T67" s="13">
        <f t="shared" si="16"/>
        <v>12</v>
      </c>
      <c r="U67" s="13">
        <f t="shared" si="16"/>
        <v>13</v>
      </c>
      <c r="V67" s="13">
        <f t="shared" si="16"/>
        <v>13</v>
      </c>
      <c r="W67" s="13">
        <f t="shared" si="16"/>
        <v>18</v>
      </c>
      <c r="X67" s="13">
        <f t="shared" si="16"/>
        <v>15</v>
      </c>
      <c r="Y67" s="13">
        <f t="shared" si="16"/>
        <v>19</v>
      </c>
      <c r="Z67" s="13">
        <f t="shared" si="16"/>
        <v>8</v>
      </c>
      <c r="AA67" s="13">
        <f t="shared" si="16"/>
        <v>5</v>
      </c>
      <c r="AB67" s="13">
        <f t="shared" si="16"/>
        <v>28</v>
      </c>
      <c r="AC67" s="13">
        <f t="shared" si="16"/>
        <v>21</v>
      </c>
      <c r="AD67" s="13">
        <f t="shared" si="16"/>
        <v>15</v>
      </c>
      <c r="AE67" s="13">
        <f t="shared" si="16"/>
        <v>413</v>
      </c>
    </row>
    <row r="68" spans="1:31" ht="12.75" customHeight="1" x14ac:dyDescent="0.4">
      <c r="A68" s="86"/>
      <c r="B68" s="68"/>
      <c r="C68" s="68"/>
      <c r="D68" s="68"/>
      <c r="E68" s="68"/>
    </row>
    <row r="69" spans="1:31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5</v>
      </c>
      <c r="F69" s="16">
        <v>5</v>
      </c>
      <c r="G69" s="16">
        <v>13</v>
      </c>
      <c r="H69" s="16">
        <v>3</v>
      </c>
      <c r="I69" s="16">
        <v>15</v>
      </c>
      <c r="J69" s="16">
        <v>4</v>
      </c>
      <c r="K69" s="16">
        <v>5</v>
      </c>
      <c r="L69" s="16">
        <v>4</v>
      </c>
      <c r="M69" s="16">
        <v>4</v>
      </c>
      <c r="N69" s="16">
        <v>8</v>
      </c>
      <c r="O69" s="16">
        <v>5</v>
      </c>
      <c r="P69" s="16">
        <v>1</v>
      </c>
      <c r="Q69" s="16">
        <v>9</v>
      </c>
      <c r="R69" s="16">
        <v>8</v>
      </c>
      <c r="S69" s="16">
        <v>16</v>
      </c>
      <c r="T69" s="16">
        <v>1</v>
      </c>
      <c r="U69" s="16">
        <v>9</v>
      </c>
      <c r="V69" s="16">
        <v>13</v>
      </c>
      <c r="W69" s="16">
        <v>5</v>
      </c>
      <c r="X69" s="16">
        <v>15</v>
      </c>
      <c r="Y69" s="16">
        <v>4</v>
      </c>
      <c r="Z69" s="16">
        <v>10</v>
      </c>
      <c r="AA69" s="16">
        <v>7</v>
      </c>
      <c r="AB69" s="16">
        <v>8</v>
      </c>
      <c r="AC69" s="16">
        <v>5</v>
      </c>
      <c r="AD69" s="16">
        <v>4</v>
      </c>
      <c r="AE69" s="13">
        <f t="shared" ref="AE69:AE78" si="17">SUM(E69:AD69)</f>
        <v>186</v>
      </c>
    </row>
    <row r="70" spans="1:31" ht="12.75" customHeight="1" x14ac:dyDescent="0.4">
      <c r="A70" s="20" t="s">
        <v>38</v>
      </c>
      <c r="B70" s="28"/>
      <c r="C70" s="29" t="s">
        <v>54</v>
      </c>
      <c r="D70" s="30"/>
      <c r="E70" s="16">
        <v>8</v>
      </c>
      <c r="F70" s="16">
        <v>4</v>
      </c>
      <c r="G70" s="16">
        <v>10</v>
      </c>
      <c r="H70" s="16">
        <v>4</v>
      </c>
      <c r="I70" s="16">
        <v>1</v>
      </c>
      <c r="J70" s="16">
        <v>1</v>
      </c>
      <c r="K70" s="16">
        <v>1</v>
      </c>
      <c r="L70" s="16">
        <v>6</v>
      </c>
      <c r="M70" s="16">
        <v>3</v>
      </c>
      <c r="N70" s="16">
        <v>4</v>
      </c>
      <c r="O70" s="16">
        <v>5</v>
      </c>
      <c r="P70" s="16">
        <v>4</v>
      </c>
      <c r="Q70" s="16">
        <v>1</v>
      </c>
      <c r="R70" s="16">
        <v>6</v>
      </c>
      <c r="S70" s="16">
        <v>8</v>
      </c>
      <c r="T70" s="16">
        <v>3</v>
      </c>
      <c r="U70" s="16">
        <v>3</v>
      </c>
      <c r="V70" s="16">
        <v>4</v>
      </c>
      <c r="W70" s="16">
        <v>0</v>
      </c>
      <c r="X70" s="16">
        <v>8</v>
      </c>
      <c r="Y70" s="16">
        <v>5</v>
      </c>
      <c r="Z70" s="16">
        <v>45</v>
      </c>
      <c r="AA70" s="16">
        <v>30</v>
      </c>
      <c r="AB70" s="16">
        <v>21</v>
      </c>
      <c r="AC70" s="16">
        <v>3</v>
      </c>
      <c r="AD70" s="16">
        <v>6</v>
      </c>
      <c r="AE70" s="13">
        <f t="shared" si="17"/>
        <v>194</v>
      </c>
    </row>
    <row r="71" spans="1:31" ht="12.75" customHeight="1" x14ac:dyDescent="0.4">
      <c r="A71" s="15"/>
      <c r="B71" s="28"/>
      <c r="C71" s="29" t="s">
        <v>55</v>
      </c>
      <c r="D71" s="30"/>
      <c r="E71" s="16">
        <v>2</v>
      </c>
      <c r="F71" s="16">
        <v>8</v>
      </c>
      <c r="G71" s="16">
        <v>10</v>
      </c>
      <c r="H71" s="16">
        <v>4</v>
      </c>
      <c r="I71" s="16">
        <v>1</v>
      </c>
      <c r="J71" s="16">
        <v>0</v>
      </c>
      <c r="K71" s="16">
        <v>11</v>
      </c>
      <c r="L71" s="16">
        <v>6</v>
      </c>
      <c r="M71" s="16">
        <v>7</v>
      </c>
      <c r="N71" s="16">
        <v>5</v>
      </c>
      <c r="O71" s="16">
        <v>1</v>
      </c>
      <c r="P71" s="16">
        <v>14</v>
      </c>
      <c r="Q71" s="16">
        <v>7</v>
      </c>
      <c r="R71" s="16">
        <v>3</v>
      </c>
      <c r="S71" s="16">
        <v>7</v>
      </c>
      <c r="T71" s="16">
        <v>6</v>
      </c>
      <c r="U71" s="16">
        <v>4</v>
      </c>
      <c r="V71" s="16">
        <v>11</v>
      </c>
      <c r="W71" s="16">
        <v>25</v>
      </c>
      <c r="X71" s="16">
        <v>63</v>
      </c>
      <c r="Y71" s="16">
        <v>9</v>
      </c>
      <c r="Z71" s="16">
        <v>6</v>
      </c>
      <c r="AA71" s="16">
        <v>4</v>
      </c>
      <c r="AB71" s="16">
        <v>5</v>
      </c>
      <c r="AC71" s="16">
        <v>11</v>
      </c>
      <c r="AD71" s="16">
        <v>3</v>
      </c>
      <c r="AE71" s="13">
        <f t="shared" si="17"/>
        <v>233</v>
      </c>
    </row>
    <row r="72" spans="1:31" ht="12.75" customHeight="1" x14ac:dyDescent="0.4">
      <c r="A72" s="15"/>
      <c r="B72" s="28"/>
      <c r="C72" s="29" t="s">
        <v>56</v>
      </c>
      <c r="D72" s="30"/>
      <c r="E72" s="16">
        <v>9</v>
      </c>
      <c r="F72" s="16">
        <v>6</v>
      </c>
      <c r="G72" s="16">
        <v>19</v>
      </c>
      <c r="H72" s="16">
        <v>9</v>
      </c>
      <c r="I72" s="16">
        <v>7</v>
      </c>
      <c r="J72" s="16">
        <v>3</v>
      </c>
      <c r="K72" s="16">
        <v>3</v>
      </c>
      <c r="L72" s="16">
        <v>2</v>
      </c>
      <c r="M72" s="16">
        <v>3</v>
      </c>
      <c r="N72" s="16">
        <v>6</v>
      </c>
      <c r="O72" s="16">
        <v>10</v>
      </c>
      <c r="P72" s="16">
        <v>3</v>
      </c>
      <c r="Q72" s="16">
        <v>1</v>
      </c>
      <c r="R72" s="16">
        <v>2</v>
      </c>
      <c r="S72" s="16">
        <v>7</v>
      </c>
      <c r="T72" s="16">
        <v>3</v>
      </c>
      <c r="U72" s="16">
        <v>2</v>
      </c>
      <c r="V72" s="16">
        <v>11</v>
      </c>
      <c r="W72" s="16">
        <v>1</v>
      </c>
      <c r="X72" s="16">
        <v>26</v>
      </c>
      <c r="Y72" s="16">
        <v>9</v>
      </c>
      <c r="Z72" s="16">
        <v>18</v>
      </c>
      <c r="AA72" s="16">
        <v>56</v>
      </c>
      <c r="AB72" s="16">
        <v>5</v>
      </c>
      <c r="AC72" s="16">
        <v>4</v>
      </c>
      <c r="AD72" s="16">
        <v>3</v>
      </c>
      <c r="AE72" s="13">
        <f t="shared" si="17"/>
        <v>228</v>
      </c>
    </row>
    <row r="73" spans="1:31" ht="12.75" customHeight="1" x14ac:dyDescent="0.4">
      <c r="A73" s="15"/>
      <c r="B73" s="28"/>
      <c r="C73" s="29" t="s">
        <v>57</v>
      </c>
      <c r="D73" s="30"/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1</v>
      </c>
      <c r="K73" s="16">
        <v>3</v>
      </c>
      <c r="L73" s="16">
        <v>1</v>
      </c>
      <c r="M73" s="16">
        <v>1</v>
      </c>
      <c r="N73" s="16">
        <v>1</v>
      </c>
      <c r="O73" s="16">
        <v>1</v>
      </c>
      <c r="P73" s="16">
        <v>1</v>
      </c>
      <c r="Q73" s="16">
        <v>0</v>
      </c>
      <c r="R73" s="16">
        <v>3</v>
      </c>
      <c r="S73" s="16">
        <v>4</v>
      </c>
      <c r="T73" s="16">
        <v>0</v>
      </c>
      <c r="U73" s="16">
        <v>0</v>
      </c>
      <c r="V73" s="16">
        <v>0</v>
      </c>
      <c r="W73" s="16">
        <v>3</v>
      </c>
      <c r="X73" s="16">
        <v>0</v>
      </c>
      <c r="Y73" s="16">
        <v>0</v>
      </c>
      <c r="Z73" s="16">
        <v>0</v>
      </c>
      <c r="AA73" s="16">
        <v>0</v>
      </c>
      <c r="AB73" s="16">
        <v>0</v>
      </c>
      <c r="AC73" s="16">
        <v>0</v>
      </c>
      <c r="AD73" s="16">
        <v>0</v>
      </c>
      <c r="AE73" s="13">
        <f t="shared" si="17"/>
        <v>21</v>
      </c>
    </row>
    <row r="74" spans="1:31" ht="12.75" customHeight="1" x14ac:dyDescent="0.4">
      <c r="A74" s="15"/>
      <c r="B74" s="28"/>
      <c r="C74" s="29" t="s">
        <v>58</v>
      </c>
      <c r="D74" s="30"/>
      <c r="E74" s="16">
        <v>3</v>
      </c>
      <c r="F74" s="16">
        <v>2</v>
      </c>
      <c r="G74" s="16">
        <v>0</v>
      </c>
      <c r="H74" s="16">
        <v>1</v>
      </c>
      <c r="I74" s="16">
        <v>2</v>
      </c>
      <c r="J74" s="16">
        <v>0</v>
      </c>
      <c r="K74" s="16">
        <v>7</v>
      </c>
      <c r="L74" s="16">
        <v>4</v>
      </c>
      <c r="M74" s="16">
        <v>1</v>
      </c>
      <c r="N74" s="16">
        <v>4</v>
      </c>
      <c r="O74" s="16">
        <v>2</v>
      </c>
      <c r="P74" s="16">
        <v>2</v>
      </c>
      <c r="Q74" s="16">
        <v>2</v>
      </c>
      <c r="R74" s="16">
        <v>0</v>
      </c>
      <c r="S74" s="16">
        <v>4</v>
      </c>
      <c r="T74" s="16">
        <v>2</v>
      </c>
      <c r="U74" s="16">
        <v>4</v>
      </c>
      <c r="V74" s="16">
        <v>3</v>
      </c>
      <c r="W74" s="16">
        <v>1</v>
      </c>
      <c r="X74" s="16">
        <v>6</v>
      </c>
      <c r="Y74" s="16">
        <v>2</v>
      </c>
      <c r="Z74" s="16">
        <v>1</v>
      </c>
      <c r="AA74" s="16">
        <v>5</v>
      </c>
      <c r="AB74" s="16">
        <v>3</v>
      </c>
      <c r="AC74" s="16">
        <v>14</v>
      </c>
      <c r="AD74" s="16">
        <v>21</v>
      </c>
      <c r="AE74" s="13">
        <f t="shared" si="17"/>
        <v>96</v>
      </c>
    </row>
    <row r="75" spans="1:31" ht="12.75" customHeight="1" x14ac:dyDescent="0.4">
      <c r="A75" s="15"/>
      <c r="B75" s="28"/>
      <c r="C75" s="29" t="s">
        <v>59</v>
      </c>
      <c r="D75" s="30"/>
      <c r="E75" s="16">
        <v>7</v>
      </c>
      <c r="F75" s="16">
        <v>1</v>
      </c>
      <c r="G75" s="16">
        <v>2</v>
      </c>
      <c r="H75" s="16">
        <v>4</v>
      </c>
      <c r="I75" s="16">
        <v>2</v>
      </c>
      <c r="J75" s="16">
        <v>3</v>
      </c>
      <c r="K75" s="16">
        <v>4</v>
      </c>
      <c r="L75" s="16">
        <v>3</v>
      </c>
      <c r="M75" s="16">
        <v>2</v>
      </c>
      <c r="N75" s="16">
        <v>3</v>
      </c>
      <c r="O75" s="16">
        <v>1</v>
      </c>
      <c r="P75" s="16">
        <v>1</v>
      </c>
      <c r="Q75" s="16">
        <v>5</v>
      </c>
      <c r="R75" s="16">
        <v>0</v>
      </c>
      <c r="S75" s="16">
        <v>0</v>
      </c>
      <c r="T75" s="16">
        <v>0</v>
      </c>
      <c r="U75" s="16">
        <v>0</v>
      </c>
      <c r="V75" s="16">
        <v>1</v>
      </c>
      <c r="W75" s="16">
        <v>2</v>
      </c>
      <c r="X75" s="16">
        <v>1</v>
      </c>
      <c r="Y75" s="16">
        <v>1</v>
      </c>
      <c r="Z75" s="16">
        <v>1</v>
      </c>
      <c r="AA75" s="16">
        <v>1</v>
      </c>
      <c r="AB75" s="16">
        <v>1</v>
      </c>
      <c r="AC75" s="16">
        <v>7</v>
      </c>
      <c r="AD75" s="16">
        <v>2</v>
      </c>
      <c r="AE75" s="13">
        <f t="shared" si="17"/>
        <v>55</v>
      </c>
    </row>
    <row r="76" spans="1:31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13">
        <f t="shared" si="17"/>
        <v>0</v>
      </c>
    </row>
    <row r="77" spans="1:31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13">
        <f t="shared" si="17"/>
        <v>0</v>
      </c>
    </row>
    <row r="78" spans="1:31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13">
        <f t="shared" si="17"/>
        <v>0</v>
      </c>
    </row>
    <row r="79" spans="1:31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AE79" si="18">SUM(E69:E78)</f>
        <v>34</v>
      </c>
      <c r="F79" s="13">
        <f t="shared" si="18"/>
        <v>26</v>
      </c>
      <c r="G79" s="13">
        <f t="shared" si="18"/>
        <v>55</v>
      </c>
      <c r="H79" s="13">
        <f t="shared" si="18"/>
        <v>25</v>
      </c>
      <c r="I79" s="13">
        <f t="shared" si="18"/>
        <v>29</v>
      </c>
      <c r="J79" s="13">
        <f t="shared" si="18"/>
        <v>12</v>
      </c>
      <c r="K79" s="13">
        <f t="shared" si="18"/>
        <v>34</v>
      </c>
      <c r="L79" s="13">
        <f t="shared" si="18"/>
        <v>26</v>
      </c>
      <c r="M79" s="13">
        <f t="shared" si="18"/>
        <v>21</v>
      </c>
      <c r="N79" s="13">
        <f t="shared" si="18"/>
        <v>31</v>
      </c>
      <c r="O79" s="13">
        <f t="shared" si="18"/>
        <v>25</v>
      </c>
      <c r="P79" s="13">
        <f t="shared" si="18"/>
        <v>26</v>
      </c>
      <c r="Q79" s="13">
        <f t="shared" si="18"/>
        <v>25</v>
      </c>
      <c r="R79" s="13">
        <f t="shared" si="18"/>
        <v>22</v>
      </c>
      <c r="S79" s="13">
        <f t="shared" si="18"/>
        <v>46</v>
      </c>
      <c r="T79" s="13">
        <f t="shared" si="18"/>
        <v>15</v>
      </c>
      <c r="U79" s="13">
        <f t="shared" si="18"/>
        <v>22</v>
      </c>
      <c r="V79" s="13">
        <f t="shared" si="18"/>
        <v>43</v>
      </c>
      <c r="W79" s="13">
        <f t="shared" si="18"/>
        <v>37</v>
      </c>
      <c r="X79" s="13">
        <f t="shared" si="18"/>
        <v>119</v>
      </c>
      <c r="Y79" s="13">
        <f t="shared" si="18"/>
        <v>30</v>
      </c>
      <c r="Z79" s="13">
        <f t="shared" si="18"/>
        <v>81</v>
      </c>
      <c r="AA79" s="13">
        <f t="shared" si="18"/>
        <v>103</v>
      </c>
      <c r="AB79" s="13">
        <f t="shared" si="18"/>
        <v>43</v>
      </c>
      <c r="AC79" s="13">
        <f t="shared" si="18"/>
        <v>44</v>
      </c>
      <c r="AD79" s="13">
        <f t="shared" si="18"/>
        <v>39</v>
      </c>
      <c r="AE79" s="13">
        <f t="shared" si="18"/>
        <v>1013</v>
      </c>
    </row>
    <row r="80" spans="1:31" ht="12.75" customHeight="1" x14ac:dyDescent="0.4">
      <c r="A80" s="86"/>
      <c r="B80" s="68"/>
      <c r="C80" s="68"/>
      <c r="D80" s="68"/>
      <c r="E80" s="68"/>
    </row>
    <row r="81" spans="1:31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0</v>
      </c>
      <c r="F81" s="16">
        <v>3</v>
      </c>
      <c r="G81" s="16">
        <v>1</v>
      </c>
      <c r="H81" s="16">
        <v>2</v>
      </c>
      <c r="I81" s="16">
        <v>5</v>
      </c>
      <c r="J81" s="16">
        <v>3</v>
      </c>
      <c r="K81" s="16">
        <v>3</v>
      </c>
      <c r="L81" s="16">
        <v>4</v>
      </c>
      <c r="M81" s="16">
        <v>4</v>
      </c>
      <c r="N81" s="16">
        <v>1</v>
      </c>
      <c r="O81" s="16">
        <v>0</v>
      </c>
      <c r="P81" s="16">
        <v>0</v>
      </c>
      <c r="Q81" s="16">
        <v>3</v>
      </c>
      <c r="R81" s="16">
        <v>4</v>
      </c>
      <c r="S81" s="16">
        <v>4</v>
      </c>
      <c r="T81" s="16">
        <v>0</v>
      </c>
      <c r="U81" s="16">
        <v>0</v>
      </c>
      <c r="V81" s="16">
        <v>0</v>
      </c>
      <c r="W81" s="16">
        <v>0</v>
      </c>
      <c r="X81" s="16">
        <v>0</v>
      </c>
      <c r="Y81" s="16">
        <v>2</v>
      </c>
      <c r="Z81" s="16">
        <v>3</v>
      </c>
      <c r="AA81" s="16">
        <v>1</v>
      </c>
      <c r="AB81" s="16">
        <v>5</v>
      </c>
      <c r="AC81" s="16">
        <v>2</v>
      </c>
      <c r="AD81" s="16">
        <v>0</v>
      </c>
      <c r="AE81" s="13">
        <f t="shared" ref="AE81:AE90" si="19">SUM(E81:AD81)</f>
        <v>50</v>
      </c>
    </row>
    <row r="82" spans="1:31" ht="12.75" customHeight="1" x14ac:dyDescent="0.4">
      <c r="A82" s="20" t="s">
        <v>38</v>
      </c>
      <c r="B82" s="28"/>
      <c r="C82" s="29" t="s">
        <v>61</v>
      </c>
      <c r="D82" s="30"/>
      <c r="E82" s="16">
        <v>5</v>
      </c>
      <c r="F82" s="16">
        <v>4</v>
      </c>
      <c r="G82" s="16">
        <v>8</v>
      </c>
      <c r="H82" s="16">
        <v>8</v>
      </c>
      <c r="I82" s="16">
        <v>1</v>
      </c>
      <c r="J82" s="16">
        <v>4</v>
      </c>
      <c r="K82" s="16">
        <v>12</v>
      </c>
      <c r="L82" s="16">
        <v>15</v>
      </c>
      <c r="M82" s="16">
        <v>11</v>
      </c>
      <c r="N82" s="16">
        <v>3</v>
      </c>
      <c r="O82" s="16">
        <v>6</v>
      </c>
      <c r="P82" s="16">
        <v>8</v>
      </c>
      <c r="Q82" s="16">
        <v>12</v>
      </c>
      <c r="R82" s="16">
        <v>2</v>
      </c>
      <c r="S82" s="16">
        <v>11</v>
      </c>
      <c r="T82" s="16">
        <v>1</v>
      </c>
      <c r="U82" s="16">
        <v>5</v>
      </c>
      <c r="V82" s="16">
        <v>3</v>
      </c>
      <c r="W82" s="16">
        <v>0</v>
      </c>
      <c r="X82" s="16">
        <v>2</v>
      </c>
      <c r="Y82" s="16">
        <v>0</v>
      </c>
      <c r="Z82" s="16">
        <v>3</v>
      </c>
      <c r="AA82" s="16">
        <v>2</v>
      </c>
      <c r="AB82" s="16">
        <v>5</v>
      </c>
      <c r="AC82" s="16">
        <v>7</v>
      </c>
      <c r="AD82" s="16">
        <v>4</v>
      </c>
      <c r="AE82" s="13">
        <f t="shared" si="19"/>
        <v>142</v>
      </c>
    </row>
    <row r="83" spans="1:31" ht="12.75" customHeight="1" x14ac:dyDescent="0.4">
      <c r="A83" s="15"/>
      <c r="B83" s="28"/>
      <c r="C83" s="29" t="s">
        <v>62</v>
      </c>
      <c r="D83" s="30"/>
      <c r="E83" s="16">
        <v>0</v>
      </c>
      <c r="F83" s="16">
        <v>2</v>
      </c>
      <c r="G83" s="16">
        <v>1</v>
      </c>
      <c r="H83" s="16">
        <v>0</v>
      </c>
      <c r="I83" s="16">
        <v>0</v>
      </c>
      <c r="J83" s="16">
        <v>1</v>
      </c>
      <c r="K83" s="16">
        <v>0</v>
      </c>
      <c r="L83" s="16">
        <v>1</v>
      </c>
      <c r="M83" s="16">
        <v>1</v>
      </c>
      <c r="N83" s="16">
        <v>0</v>
      </c>
      <c r="O83" s="16">
        <v>1</v>
      </c>
      <c r="P83" s="16">
        <v>1</v>
      </c>
      <c r="Q83" s="16">
        <v>2</v>
      </c>
      <c r="R83" s="16">
        <v>0</v>
      </c>
      <c r="S83" s="16">
        <v>2</v>
      </c>
      <c r="T83" s="16">
        <v>0</v>
      </c>
      <c r="U83" s="16">
        <v>1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1</v>
      </c>
      <c r="AC83" s="16">
        <v>4</v>
      </c>
      <c r="AD83" s="16">
        <v>1</v>
      </c>
      <c r="AE83" s="13">
        <f t="shared" si="19"/>
        <v>19</v>
      </c>
    </row>
    <row r="84" spans="1:31" ht="12.75" customHeight="1" x14ac:dyDescent="0.4">
      <c r="A84" s="15"/>
      <c r="B84" s="28"/>
      <c r="C84" s="29" t="s">
        <v>63</v>
      </c>
      <c r="D84" s="30"/>
      <c r="E84" s="16">
        <v>0</v>
      </c>
      <c r="F84" s="16">
        <v>0</v>
      </c>
      <c r="G84" s="16">
        <v>0</v>
      </c>
      <c r="H84" s="16">
        <v>2</v>
      </c>
      <c r="I84" s="16">
        <v>0</v>
      </c>
      <c r="J84" s="16">
        <v>1</v>
      </c>
      <c r="K84" s="16">
        <v>0</v>
      </c>
      <c r="L84" s="16">
        <v>1</v>
      </c>
      <c r="M84" s="16">
        <v>0</v>
      </c>
      <c r="N84" s="16">
        <v>0</v>
      </c>
      <c r="O84" s="16">
        <v>1</v>
      </c>
      <c r="P84" s="16">
        <v>1</v>
      </c>
      <c r="Q84" s="16">
        <v>0</v>
      </c>
      <c r="R84" s="16">
        <v>1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1</v>
      </c>
      <c r="Y84" s="16">
        <v>0</v>
      </c>
      <c r="Z84" s="16">
        <v>1</v>
      </c>
      <c r="AA84" s="16">
        <v>0</v>
      </c>
      <c r="AB84" s="16">
        <v>1</v>
      </c>
      <c r="AC84" s="16">
        <v>0</v>
      </c>
      <c r="AD84" s="16">
        <v>0</v>
      </c>
      <c r="AE84" s="13">
        <f t="shared" si="19"/>
        <v>10</v>
      </c>
    </row>
    <row r="85" spans="1:31" ht="12.75" customHeight="1" x14ac:dyDescent="0.4">
      <c r="A85" s="15"/>
      <c r="B85" s="28"/>
      <c r="C85" s="29" t="s">
        <v>64</v>
      </c>
      <c r="D85" s="30"/>
      <c r="E85" s="16">
        <v>4</v>
      </c>
      <c r="F85" s="16">
        <v>19</v>
      </c>
      <c r="G85" s="16">
        <v>2</v>
      </c>
      <c r="H85" s="16">
        <v>20</v>
      </c>
      <c r="I85" s="16">
        <v>2</v>
      </c>
      <c r="J85" s="16">
        <v>2</v>
      </c>
      <c r="K85" s="16">
        <v>9</v>
      </c>
      <c r="L85" s="16">
        <v>17</v>
      </c>
      <c r="M85" s="16">
        <v>8</v>
      </c>
      <c r="N85" s="16">
        <v>0</v>
      </c>
      <c r="O85" s="16">
        <v>0</v>
      </c>
      <c r="P85" s="16">
        <v>2</v>
      </c>
      <c r="Q85" s="16">
        <v>0</v>
      </c>
      <c r="R85" s="16">
        <v>2</v>
      </c>
      <c r="S85" s="16">
        <v>9</v>
      </c>
      <c r="T85" s="16">
        <v>0</v>
      </c>
      <c r="U85" s="16">
        <v>1</v>
      </c>
      <c r="V85" s="16">
        <v>3</v>
      </c>
      <c r="W85" s="16">
        <v>0</v>
      </c>
      <c r="X85" s="16">
        <v>5</v>
      </c>
      <c r="Y85" s="16">
        <v>0</v>
      </c>
      <c r="Z85" s="16">
        <v>3</v>
      </c>
      <c r="AA85" s="16">
        <v>0</v>
      </c>
      <c r="AB85" s="16">
        <v>1</v>
      </c>
      <c r="AC85" s="16">
        <v>1</v>
      </c>
      <c r="AD85" s="16">
        <v>1</v>
      </c>
      <c r="AE85" s="13">
        <f t="shared" si="19"/>
        <v>111</v>
      </c>
    </row>
    <row r="86" spans="1:31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1</v>
      </c>
      <c r="H86" s="16">
        <v>0</v>
      </c>
      <c r="I86" s="16">
        <v>0</v>
      </c>
      <c r="J86" s="16">
        <v>0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6">
        <v>0</v>
      </c>
      <c r="AD86" s="16">
        <v>0</v>
      </c>
      <c r="AE86" s="13">
        <f t="shared" si="19"/>
        <v>1</v>
      </c>
    </row>
    <row r="87" spans="1:31" ht="12.75" customHeight="1" x14ac:dyDescent="0.4">
      <c r="A87" s="15"/>
      <c r="B87" s="28"/>
      <c r="C87" s="29" t="s">
        <v>66</v>
      </c>
      <c r="D87" s="30"/>
      <c r="E87" s="16">
        <v>0</v>
      </c>
      <c r="F87" s="16">
        <v>0</v>
      </c>
      <c r="G87" s="16">
        <v>3</v>
      </c>
      <c r="H87" s="16">
        <v>0</v>
      </c>
      <c r="I87" s="16">
        <v>0</v>
      </c>
      <c r="J87" s="16">
        <v>0</v>
      </c>
      <c r="K87" s="16">
        <v>0</v>
      </c>
      <c r="L87" s="16">
        <v>0</v>
      </c>
      <c r="M87" s="16">
        <v>2</v>
      </c>
      <c r="N87" s="16">
        <v>0</v>
      </c>
      <c r="O87" s="16">
        <v>1</v>
      </c>
      <c r="P87" s="16">
        <v>0</v>
      </c>
      <c r="Q87" s="16">
        <v>0</v>
      </c>
      <c r="R87" s="16">
        <v>4</v>
      </c>
      <c r="S87" s="16">
        <v>1</v>
      </c>
      <c r="T87" s="16">
        <v>1</v>
      </c>
      <c r="U87" s="16">
        <v>1</v>
      </c>
      <c r="V87" s="16">
        <v>3</v>
      </c>
      <c r="W87" s="16">
        <v>3</v>
      </c>
      <c r="X87" s="16">
        <v>1</v>
      </c>
      <c r="Y87" s="16">
        <v>0</v>
      </c>
      <c r="Z87" s="16">
        <v>2</v>
      </c>
      <c r="AA87" s="16">
        <v>5</v>
      </c>
      <c r="AB87" s="16">
        <v>0</v>
      </c>
      <c r="AC87" s="16">
        <v>0</v>
      </c>
      <c r="AD87" s="16">
        <v>9</v>
      </c>
      <c r="AE87" s="13">
        <f t="shared" si="19"/>
        <v>36</v>
      </c>
    </row>
    <row r="88" spans="1:31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13">
        <f t="shared" si="19"/>
        <v>0</v>
      </c>
    </row>
    <row r="89" spans="1:31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13">
        <f t="shared" si="19"/>
        <v>0</v>
      </c>
    </row>
    <row r="90" spans="1:31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13">
        <f t="shared" si="19"/>
        <v>0</v>
      </c>
    </row>
    <row r="91" spans="1:31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AE91" si="20">SUM(E81:E90)</f>
        <v>9</v>
      </c>
      <c r="F91" s="13">
        <f t="shared" si="20"/>
        <v>28</v>
      </c>
      <c r="G91" s="13">
        <f t="shared" si="20"/>
        <v>16</v>
      </c>
      <c r="H91" s="13">
        <f t="shared" si="20"/>
        <v>32</v>
      </c>
      <c r="I91" s="13">
        <f t="shared" si="20"/>
        <v>8</v>
      </c>
      <c r="J91" s="13">
        <f t="shared" si="20"/>
        <v>11</v>
      </c>
      <c r="K91" s="13">
        <f t="shared" si="20"/>
        <v>24</v>
      </c>
      <c r="L91" s="13">
        <f t="shared" si="20"/>
        <v>38</v>
      </c>
      <c r="M91" s="13">
        <f t="shared" si="20"/>
        <v>26</v>
      </c>
      <c r="N91" s="13">
        <f t="shared" si="20"/>
        <v>4</v>
      </c>
      <c r="O91" s="13">
        <f t="shared" si="20"/>
        <v>9</v>
      </c>
      <c r="P91" s="13">
        <f t="shared" si="20"/>
        <v>12</v>
      </c>
      <c r="Q91" s="13">
        <f t="shared" si="20"/>
        <v>17</v>
      </c>
      <c r="R91" s="13">
        <f t="shared" si="20"/>
        <v>13</v>
      </c>
      <c r="S91" s="13">
        <f t="shared" si="20"/>
        <v>27</v>
      </c>
      <c r="T91" s="13">
        <f t="shared" si="20"/>
        <v>2</v>
      </c>
      <c r="U91" s="13">
        <f t="shared" si="20"/>
        <v>8</v>
      </c>
      <c r="V91" s="13">
        <f t="shared" si="20"/>
        <v>9</v>
      </c>
      <c r="W91" s="13">
        <f t="shared" si="20"/>
        <v>3</v>
      </c>
      <c r="X91" s="13">
        <f t="shared" si="20"/>
        <v>9</v>
      </c>
      <c r="Y91" s="13">
        <f t="shared" si="20"/>
        <v>2</v>
      </c>
      <c r="Z91" s="13">
        <f t="shared" si="20"/>
        <v>12</v>
      </c>
      <c r="AA91" s="13">
        <f t="shared" si="20"/>
        <v>8</v>
      </c>
      <c r="AB91" s="13">
        <f t="shared" si="20"/>
        <v>13</v>
      </c>
      <c r="AC91" s="13">
        <f t="shared" si="20"/>
        <v>14</v>
      </c>
      <c r="AD91" s="13">
        <f t="shared" si="20"/>
        <v>15</v>
      </c>
      <c r="AE91" s="13">
        <f t="shared" si="20"/>
        <v>369</v>
      </c>
    </row>
    <row r="92" spans="1:31" ht="12.75" customHeight="1" x14ac:dyDescent="0.4">
      <c r="A92" s="86"/>
      <c r="B92" s="68"/>
      <c r="C92" s="68"/>
      <c r="D92" s="68"/>
      <c r="E92" s="68"/>
    </row>
    <row r="93" spans="1:31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0</v>
      </c>
      <c r="F93" s="16">
        <v>0</v>
      </c>
      <c r="G93" s="16">
        <v>0</v>
      </c>
      <c r="H93" s="16">
        <v>1</v>
      </c>
      <c r="I93" s="16">
        <v>2</v>
      </c>
      <c r="J93" s="16">
        <v>4</v>
      </c>
      <c r="K93" s="16">
        <v>5</v>
      </c>
      <c r="L93" s="16">
        <v>0</v>
      </c>
      <c r="M93" s="16">
        <v>1</v>
      </c>
      <c r="N93" s="16">
        <v>3</v>
      </c>
      <c r="O93" s="16">
        <v>2</v>
      </c>
      <c r="P93" s="16">
        <v>1</v>
      </c>
      <c r="Q93" s="16">
        <v>1</v>
      </c>
      <c r="R93" s="16">
        <v>0</v>
      </c>
      <c r="S93" s="16">
        <v>1</v>
      </c>
      <c r="T93" s="16">
        <v>0</v>
      </c>
      <c r="U93" s="16">
        <v>1</v>
      </c>
      <c r="V93" s="16">
        <v>3</v>
      </c>
      <c r="W93" s="16">
        <v>0</v>
      </c>
      <c r="X93" s="16">
        <v>0</v>
      </c>
      <c r="Y93" s="16">
        <v>0</v>
      </c>
      <c r="Z93" s="16">
        <v>0</v>
      </c>
      <c r="AA93" s="16">
        <v>1</v>
      </c>
      <c r="AB93" s="16">
        <v>1</v>
      </c>
      <c r="AC93" s="16">
        <v>3</v>
      </c>
      <c r="AD93" s="16">
        <v>0</v>
      </c>
      <c r="AE93" s="13">
        <f t="shared" ref="AE93:AE102" si="21">SUM(E93:AD93)</f>
        <v>30</v>
      </c>
    </row>
    <row r="94" spans="1:31" ht="12.75" customHeight="1" x14ac:dyDescent="0.4">
      <c r="A94" s="20" t="s">
        <v>38</v>
      </c>
      <c r="B94" s="28"/>
      <c r="C94" s="29" t="s">
        <v>69</v>
      </c>
      <c r="D94" s="30"/>
      <c r="E94" s="16">
        <v>1</v>
      </c>
      <c r="F94" s="16">
        <v>3</v>
      </c>
      <c r="G94" s="16">
        <v>0</v>
      </c>
      <c r="H94" s="16">
        <v>1</v>
      </c>
      <c r="I94" s="16">
        <v>0</v>
      </c>
      <c r="J94" s="16">
        <v>31</v>
      </c>
      <c r="K94" s="16">
        <v>14</v>
      </c>
      <c r="L94" s="16">
        <v>1</v>
      </c>
      <c r="M94" s="16">
        <v>0</v>
      </c>
      <c r="N94" s="16">
        <v>0</v>
      </c>
      <c r="O94" s="16">
        <v>3</v>
      </c>
      <c r="P94" s="16">
        <v>2</v>
      </c>
      <c r="Q94" s="16">
        <v>2</v>
      </c>
      <c r="R94" s="16">
        <v>0</v>
      </c>
      <c r="S94" s="16">
        <v>1</v>
      </c>
      <c r="T94" s="16">
        <v>1</v>
      </c>
      <c r="U94" s="16">
        <v>1</v>
      </c>
      <c r="V94" s="16">
        <v>3</v>
      </c>
      <c r="W94" s="16">
        <v>0</v>
      </c>
      <c r="X94" s="16">
        <v>4</v>
      </c>
      <c r="Y94" s="16">
        <v>0</v>
      </c>
      <c r="Z94" s="16">
        <v>2</v>
      </c>
      <c r="AA94" s="16">
        <v>3</v>
      </c>
      <c r="AB94" s="16">
        <v>0</v>
      </c>
      <c r="AC94" s="16">
        <v>1</v>
      </c>
      <c r="AD94" s="16">
        <v>0</v>
      </c>
      <c r="AE94" s="13">
        <f t="shared" si="21"/>
        <v>74</v>
      </c>
    </row>
    <row r="95" spans="1:31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0</v>
      </c>
      <c r="G95" s="16">
        <v>0</v>
      </c>
      <c r="H95" s="16">
        <v>0</v>
      </c>
      <c r="I95" s="16">
        <v>1</v>
      </c>
      <c r="J95" s="16">
        <v>3</v>
      </c>
      <c r="K95" s="16">
        <v>0</v>
      </c>
      <c r="L95" s="16">
        <v>0</v>
      </c>
      <c r="M95" s="16">
        <v>0</v>
      </c>
      <c r="N95" s="16">
        <v>0</v>
      </c>
      <c r="O95" s="16">
        <v>0</v>
      </c>
      <c r="P95" s="16">
        <v>0</v>
      </c>
      <c r="Q95" s="16">
        <v>0</v>
      </c>
      <c r="R95" s="16">
        <v>1</v>
      </c>
      <c r="S95" s="16">
        <v>0</v>
      </c>
      <c r="T95" s="16">
        <v>0</v>
      </c>
      <c r="U95" s="16">
        <v>1</v>
      </c>
      <c r="V95" s="16">
        <v>2</v>
      </c>
      <c r="W95" s="16">
        <v>0</v>
      </c>
      <c r="X95" s="16">
        <v>0</v>
      </c>
      <c r="Y95" s="16">
        <v>0</v>
      </c>
      <c r="Z95" s="16">
        <v>1</v>
      </c>
      <c r="AA95" s="16">
        <v>0</v>
      </c>
      <c r="AB95" s="16">
        <v>0</v>
      </c>
      <c r="AC95" s="16">
        <v>1</v>
      </c>
      <c r="AD95" s="16">
        <v>0</v>
      </c>
      <c r="AE95" s="13">
        <f t="shared" si="21"/>
        <v>10</v>
      </c>
    </row>
    <row r="96" spans="1:31" ht="12.75" customHeight="1" x14ac:dyDescent="0.4">
      <c r="A96" s="15"/>
      <c r="B96" s="28"/>
      <c r="C96" s="29" t="s">
        <v>71</v>
      </c>
      <c r="D96" s="30"/>
      <c r="E96" s="16">
        <v>0</v>
      </c>
      <c r="F96" s="16">
        <v>1</v>
      </c>
      <c r="G96" s="16">
        <v>0</v>
      </c>
      <c r="H96" s="16">
        <v>0</v>
      </c>
      <c r="I96" s="16">
        <v>0</v>
      </c>
      <c r="J96" s="16">
        <v>1</v>
      </c>
      <c r="K96" s="16">
        <v>0</v>
      </c>
      <c r="L96" s="16">
        <v>0</v>
      </c>
      <c r="M96" s="16">
        <v>0</v>
      </c>
      <c r="N96" s="16">
        <v>0</v>
      </c>
      <c r="O96" s="16">
        <v>0</v>
      </c>
      <c r="P96" s="16">
        <v>1</v>
      </c>
      <c r="Q96" s="16">
        <v>0</v>
      </c>
      <c r="R96" s="16">
        <v>3</v>
      </c>
      <c r="S96" s="16">
        <v>0</v>
      </c>
      <c r="T96" s="16">
        <v>1</v>
      </c>
      <c r="U96" s="16">
        <v>0</v>
      </c>
      <c r="V96" s="16">
        <v>0</v>
      </c>
      <c r="W96" s="16">
        <v>0</v>
      </c>
      <c r="X96" s="16">
        <v>3</v>
      </c>
      <c r="Y96" s="16">
        <v>1</v>
      </c>
      <c r="Z96" s="16">
        <v>1</v>
      </c>
      <c r="AA96" s="16">
        <v>1</v>
      </c>
      <c r="AB96" s="16">
        <v>2</v>
      </c>
      <c r="AC96" s="16">
        <v>1</v>
      </c>
      <c r="AD96" s="16">
        <v>0</v>
      </c>
      <c r="AE96" s="13">
        <f t="shared" si="21"/>
        <v>16</v>
      </c>
    </row>
    <row r="97" spans="1:31" ht="12.75" customHeight="1" x14ac:dyDescent="0.4">
      <c r="A97" s="15"/>
      <c r="B97" s="28"/>
      <c r="C97" s="29" t="s">
        <v>72</v>
      </c>
      <c r="D97" s="30"/>
      <c r="E97" s="16">
        <v>4</v>
      </c>
      <c r="F97" s="16">
        <v>2</v>
      </c>
      <c r="G97" s="16">
        <v>0</v>
      </c>
      <c r="H97" s="16">
        <v>1</v>
      </c>
      <c r="I97" s="16">
        <v>0</v>
      </c>
      <c r="J97" s="16">
        <v>0</v>
      </c>
      <c r="K97" s="16">
        <v>0</v>
      </c>
      <c r="L97" s="16">
        <v>1</v>
      </c>
      <c r="M97" s="16">
        <v>0</v>
      </c>
      <c r="N97" s="16">
        <v>0</v>
      </c>
      <c r="O97" s="16">
        <v>0</v>
      </c>
      <c r="P97" s="16">
        <v>1</v>
      </c>
      <c r="Q97" s="16">
        <v>3</v>
      </c>
      <c r="R97" s="16">
        <v>0</v>
      </c>
      <c r="S97" s="16">
        <v>1</v>
      </c>
      <c r="T97" s="16">
        <v>1</v>
      </c>
      <c r="U97" s="16">
        <v>0</v>
      </c>
      <c r="V97" s="16">
        <v>0</v>
      </c>
      <c r="W97" s="16">
        <v>0</v>
      </c>
      <c r="X97" s="16">
        <v>2</v>
      </c>
      <c r="Y97" s="16">
        <v>1</v>
      </c>
      <c r="Z97" s="16">
        <v>1</v>
      </c>
      <c r="AA97" s="16">
        <v>1</v>
      </c>
      <c r="AB97" s="16">
        <v>0</v>
      </c>
      <c r="AC97" s="16">
        <v>4</v>
      </c>
      <c r="AD97" s="16">
        <v>1</v>
      </c>
      <c r="AE97" s="13">
        <f t="shared" si="21"/>
        <v>24</v>
      </c>
    </row>
    <row r="98" spans="1:31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1</v>
      </c>
      <c r="G98" s="16">
        <v>1</v>
      </c>
      <c r="H98" s="16">
        <v>1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1</v>
      </c>
      <c r="O98" s="16">
        <v>0</v>
      </c>
      <c r="P98" s="16">
        <v>0</v>
      </c>
      <c r="Q98" s="16">
        <v>0</v>
      </c>
      <c r="R98" s="16">
        <v>1</v>
      </c>
      <c r="S98" s="16">
        <v>1</v>
      </c>
      <c r="T98" s="16">
        <v>2</v>
      </c>
      <c r="U98" s="16">
        <v>0</v>
      </c>
      <c r="V98" s="16">
        <v>1</v>
      </c>
      <c r="W98" s="16">
        <v>2</v>
      </c>
      <c r="X98" s="16">
        <v>2</v>
      </c>
      <c r="Y98" s="16">
        <v>0</v>
      </c>
      <c r="Z98" s="16">
        <v>0</v>
      </c>
      <c r="AA98" s="16">
        <v>0</v>
      </c>
      <c r="AB98" s="16">
        <v>6</v>
      </c>
      <c r="AC98" s="16">
        <v>3</v>
      </c>
      <c r="AD98" s="16">
        <v>0</v>
      </c>
      <c r="AE98" s="13">
        <f t="shared" si="21"/>
        <v>22</v>
      </c>
    </row>
    <row r="99" spans="1:31" ht="12.75" customHeight="1" x14ac:dyDescent="0.4">
      <c r="A99" s="15"/>
      <c r="B99" s="28"/>
      <c r="C99" s="29" t="s">
        <v>74</v>
      </c>
      <c r="D99" s="30"/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1</v>
      </c>
      <c r="M99" s="16">
        <v>0</v>
      </c>
      <c r="N99" s="16">
        <v>0</v>
      </c>
      <c r="O99" s="16">
        <v>0</v>
      </c>
      <c r="P99" s="16">
        <v>1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1</v>
      </c>
      <c r="Y99" s="16">
        <v>0</v>
      </c>
      <c r="Z99" s="16">
        <v>1</v>
      </c>
      <c r="AA99" s="16">
        <v>2</v>
      </c>
      <c r="AB99" s="16">
        <v>0</v>
      </c>
      <c r="AC99" s="16">
        <v>0</v>
      </c>
      <c r="AD99" s="16">
        <v>1</v>
      </c>
      <c r="AE99" s="13">
        <f t="shared" si="21"/>
        <v>7</v>
      </c>
    </row>
    <row r="100" spans="1:31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13">
        <f t="shared" si="21"/>
        <v>0</v>
      </c>
    </row>
    <row r="101" spans="1:31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13">
        <f t="shared" si="21"/>
        <v>0</v>
      </c>
    </row>
    <row r="102" spans="1:31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13">
        <f t="shared" si="21"/>
        <v>0</v>
      </c>
    </row>
    <row r="103" spans="1:31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AE103" si="22">SUM(E93:E102)</f>
        <v>5</v>
      </c>
      <c r="F103" s="13">
        <f t="shared" si="22"/>
        <v>7</v>
      </c>
      <c r="G103" s="13">
        <f t="shared" si="22"/>
        <v>1</v>
      </c>
      <c r="H103" s="13">
        <f t="shared" si="22"/>
        <v>4</v>
      </c>
      <c r="I103" s="13">
        <f t="shared" si="22"/>
        <v>3</v>
      </c>
      <c r="J103" s="13">
        <f t="shared" si="22"/>
        <v>39</v>
      </c>
      <c r="K103" s="13">
        <f t="shared" si="22"/>
        <v>19</v>
      </c>
      <c r="L103" s="13">
        <f t="shared" si="22"/>
        <v>3</v>
      </c>
      <c r="M103" s="13">
        <f t="shared" si="22"/>
        <v>1</v>
      </c>
      <c r="N103" s="13">
        <f t="shared" si="22"/>
        <v>4</v>
      </c>
      <c r="O103" s="13">
        <f t="shared" si="22"/>
        <v>5</v>
      </c>
      <c r="P103" s="13">
        <f t="shared" si="22"/>
        <v>6</v>
      </c>
      <c r="Q103" s="13">
        <f t="shared" si="22"/>
        <v>6</v>
      </c>
      <c r="R103" s="13">
        <f t="shared" si="22"/>
        <v>5</v>
      </c>
      <c r="S103" s="13">
        <f t="shared" si="22"/>
        <v>4</v>
      </c>
      <c r="T103" s="13">
        <f t="shared" si="22"/>
        <v>5</v>
      </c>
      <c r="U103" s="13">
        <f t="shared" si="22"/>
        <v>3</v>
      </c>
      <c r="V103" s="13">
        <f t="shared" si="22"/>
        <v>9</v>
      </c>
      <c r="W103" s="13">
        <f t="shared" si="22"/>
        <v>2</v>
      </c>
      <c r="X103" s="13">
        <f t="shared" si="22"/>
        <v>12</v>
      </c>
      <c r="Y103" s="13">
        <f t="shared" si="22"/>
        <v>2</v>
      </c>
      <c r="Z103" s="13">
        <f t="shared" si="22"/>
        <v>6</v>
      </c>
      <c r="AA103" s="13">
        <f t="shared" si="22"/>
        <v>8</v>
      </c>
      <c r="AB103" s="13">
        <f t="shared" si="22"/>
        <v>9</v>
      </c>
      <c r="AC103" s="13">
        <f t="shared" si="22"/>
        <v>13</v>
      </c>
      <c r="AD103" s="13">
        <f t="shared" si="22"/>
        <v>2</v>
      </c>
      <c r="AE103" s="13">
        <f t="shared" si="22"/>
        <v>183</v>
      </c>
    </row>
    <row r="104" spans="1:31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</row>
    <row r="105" spans="1:31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0</v>
      </c>
      <c r="H105" s="16">
        <v>1</v>
      </c>
      <c r="I105" s="16">
        <v>0</v>
      </c>
      <c r="J105" s="16">
        <v>0</v>
      </c>
      <c r="K105" s="16">
        <v>0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1</v>
      </c>
      <c r="U105" s="16">
        <v>0</v>
      </c>
      <c r="V105" s="16">
        <v>1</v>
      </c>
      <c r="W105" s="16">
        <v>1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6">
        <v>1</v>
      </c>
      <c r="AD105" s="16">
        <v>0</v>
      </c>
      <c r="AE105" s="13">
        <f t="shared" ref="AE105:AE114" si="23">SUM(E105:AD105)</f>
        <v>5</v>
      </c>
    </row>
    <row r="106" spans="1:31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1</v>
      </c>
      <c r="G106" s="16">
        <v>0</v>
      </c>
      <c r="H106" s="16">
        <v>0</v>
      </c>
      <c r="I106" s="16">
        <v>0</v>
      </c>
      <c r="J106" s="16">
        <v>0</v>
      </c>
      <c r="K106" s="16">
        <v>0</v>
      </c>
      <c r="L106" s="16">
        <v>0</v>
      </c>
      <c r="M106" s="16">
        <v>0</v>
      </c>
      <c r="N106" s="16">
        <v>1</v>
      </c>
      <c r="O106" s="16">
        <v>1</v>
      </c>
      <c r="P106" s="16">
        <v>0</v>
      </c>
      <c r="Q106" s="16">
        <v>2</v>
      </c>
      <c r="R106" s="16">
        <v>0</v>
      </c>
      <c r="S106" s="16">
        <v>1</v>
      </c>
      <c r="T106" s="16">
        <v>0</v>
      </c>
      <c r="U106" s="16">
        <v>1</v>
      </c>
      <c r="V106" s="16">
        <v>1</v>
      </c>
      <c r="W106" s="16">
        <v>0</v>
      </c>
      <c r="X106" s="16">
        <v>0</v>
      </c>
      <c r="Y106" s="16">
        <v>0</v>
      </c>
      <c r="Z106" s="16">
        <v>0</v>
      </c>
      <c r="AA106" s="16">
        <v>0</v>
      </c>
      <c r="AB106" s="16">
        <v>0</v>
      </c>
      <c r="AC106" s="16">
        <v>0</v>
      </c>
      <c r="AD106" s="16">
        <v>0</v>
      </c>
      <c r="AE106" s="13">
        <f t="shared" si="23"/>
        <v>8</v>
      </c>
    </row>
    <row r="107" spans="1:31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13">
        <f t="shared" si="23"/>
        <v>0</v>
      </c>
    </row>
    <row r="108" spans="1:31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13">
        <f t="shared" si="23"/>
        <v>0</v>
      </c>
    </row>
    <row r="109" spans="1:31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13">
        <f t="shared" si="23"/>
        <v>0</v>
      </c>
    </row>
    <row r="110" spans="1:31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13">
        <f t="shared" si="23"/>
        <v>0</v>
      </c>
    </row>
    <row r="111" spans="1:31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13">
        <f t="shared" si="23"/>
        <v>0</v>
      </c>
    </row>
    <row r="112" spans="1:31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13">
        <f t="shared" si="23"/>
        <v>0</v>
      </c>
    </row>
    <row r="113" spans="1:31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13">
        <f t="shared" si="23"/>
        <v>0</v>
      </c>
    </row>
    <row r="114" spans="1:31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13">
        <f t="shared" si="23"/>
        <v>0</v>
      </c>
    </row>
    <row r="115" spans="1:31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AE115" si="24">SUM(E105:E114)</f>
        <v>0</v>
      </c>
      <c r="F115" s="13">
        <f t="shared" si="24"/>
        <v>1</v>
      </c>
      <c r="G115" s="13">
        <f t="shared" si="24"/>
        <v>0</v>
      </c>
      <c r="H115" s="13">
        <f t="shared" si="24"/>
        <v>1</v>
      </c>
      <c r="I115" s="13">
        <f t="shared" si="24"/>
        <v>0</v>
      </c>
      <c r="J115" s="13">
        <f t="shared" si="24"/>
        <v>0</v>
      </c>
      <c r="K115" s="13">
        <f t="shared" si="24"/>
        <v>0</v>
      </c>
      <c r="L115" s="13">
        <f t="shared" si="24"/>
        <v>0</v>
      </c>
      <c r="M115" s="13">
        <f t="shared" si="24"/>
        <v>0</v>
      </c>
      <c r="N115" s="13">
        <f t="shared" si="24"/>
        <v>1</v>
      </c>
      <c r="O115" s="13">
        <f t="shared" si="24"/>
        <v>1</v>
      </c>
      <c r="P115" s="13">
        <f t="shared" si="24"/>
        <v>0</v>
      </c>
      <c r="Q115" s="13">
        <f t="shared" si="24"/>
        <v>2</v>
      </c>
      <c r="R115" s="13">
        <f t="shared" si="24"/>
        <v>0</v>
      </c>
      <c r="S115" s="13">
        <f t="shared" si="24"/>
        <v>1</v>
      </c>
      <c r="T115" s="13">
        <f t="shared" si="24"/>
        <v>1</v>
      </c>
      <c r="U115" s="13">
        <f t="shared" si="24"/>
        <v>1</v>
      </c>
      <c r="V115" s="13">
        <f t="shared" si="24"/>
        <v>2</v>
      </c>
      <c r="W115" s="13">
        <f t="shared" si="24"/>
        <v>1</v>
      </c>
      <c r="X115" s="13">
        <f t="shared" si="24"/>
        <v>0</v>
      </c>
      <c r="Y115" s="13">
        <f t="shared" si="24"/>
        <v>0</v>
      </c>
      <c r="Z115" s="13">
        <f t="shared" si="24"/>
        <v>0</v>
      </c>
      <c r="AA115" s="13">
        <f t="shared" si="24"/>
        <v>0</v>
      </c>
      <c r="AB115" s="13">
        <f t="shared" si="24"/>
        <v>0</v>
      </c>
      <c r="AC115" s="13">
        <f t="shared" si="24"/>
        <v>1</v>
      </c>
      <c r="AD115" s="13">
        <f t="shared" si="24"/>
        <v>0</v>
      </c>
      <c r="AE115" s="13">
        <f t="shared" si="24"/>
        <v>13</v>
      </c>
    </row>
    <row r="116" spans="1:31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13"/>
    </row>
    <row r="117" spans="1:31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0</v>
      </c>
      <c r="F117" s="16">
        <v>0</v>
      </c>
      <c r="G117" s="16">
        <v>1</v>
      </c>
      <c r="H117" s="16">
        <v>0</v>
      </c>
      <c r="I117" s="16">
        <v>0</v>
      </c>
      <c r="J117" s="16">
        <v>0</v>
      </c>
      <c r="K117" s="16">
        <v>1</v>
      </c>
      <c r="L117" s="16">
        <v>1</v>
      </c>
      <c r="M117" s="16">
        <v>1</v>
      </c>
      <c r="N117" s="16">
        <v>0</v>
      </c>
      <c r="O117" s="16">
        <v>1</v>
      </c>
      <c r="P117" s="16">
        <v>1</v>
      </c>
      <c r="Q117" s="16">
        <v>0</v>
      </c>
      <c r="R117" s="16">
        <v>0</v>
      </c>
      <c r="S117" s="16">
        <v>2</v>
      </c>
      <c r="T117" s="16">
        <v>1</v>
      </c>
      <c r="U117" s="16">
        <v>0</v>
      </c>
      <c r="V117" s="16">
        <v>2</v>
      </c>
      <c r="W117" s="16">
        <v>0</v>
      </c>
      <c r="X117" s="16">
        <v>0</v>
      </c>
      <c r="Y117" s="16">
        <v>0</v>
      </c>
      <c r="Z117" s="16">
        <v>0</v>
      </c>
      <c r="AA117" s="16">
        <v>0</v>
      </c>
      <c r="AB117" s="16">
        <v>1</v>
      </c>
      <c r="AC117" s="16">
        <v>1</v>
      </c>
      <c r="AD117" s="16">
        <v>0</v>
      </c>
      <c r="AE117" s="13">
        <f t="shared" ref="AE117:AE126" si="25">SUM(E117:AD117)</f>
        <v>13</v>
      </c>
    </row>
    <row r="118" spans="1:31" ht="12.75" customHeight="1" x14ac:dyDescent="0.4">
      <c r="A118" s="20" t="s">
        <v>38</v>
      </c>
      <c r="B118" s="28"/>
      <c r="C118" s="29" t="s">
        <v>80</v>
      </c>
      <c r="D118" s="30"/>
      <c r="E118" s="16">
        <v>3</v>
      </c>
      <c r="F118" s="16">
        <v>7</v>
      </c>
      <c r="G118" s="16">
        <v>1</v>
      </c>
      <c r="H118" s="16">
        <v>6</v>
      </c>
      <c r="I118" s="16">
        <v>0</v>
      </c>
      <c r="J118" s="16">
        <v>3</v>
      </c>
      <c r="K118" s="16">
        <v>3</v>
      </c>
      <c r="L118" s="16">
        <v>17</v>
      </c>
      <c r="M118" s="16">
        <v>9</v>
      </c>
      <c r="N118" s="16">
        <v>0</v>
      </c>
      <c r="O118" s="16">
        <v>0</v>
      </c>
      <c r="P118" s="16">
        <v>3</v>
      </c>
      <c r="Q118" s="16">
        <v>7</v>
      </c>
      <c r="R118" s="16">
        <v>3</v>
      </c>
      <c r="S118" s="16">
        <v>7</v>
      </c>
      <c r="T118" s="16">
        <v>2</v>
      </c>
      <c r="U118" s="16">
        <v>1</v>
      </c>
      <c r="V118" s="16">
        <v>1</v>
      </c>
      <c r="W118" s="16">
        <v>0</v>
      </c>
      <c r="X118" s="16">
        <v>0</v>
      </c>
      <c r="Y118" s="16">
        <v>1</v>
      </c>
      <c r="Z118" s="16">
        <v>0</v>
      </c>
      <c r="AA118" s="16">
        <v>4</v>
      </c>
      <c r="AB118" s="16">
        <v>2</v>
      </c>
      <c r="AC118" s="16">
        <v>0</v>
      </c>
      <c r="AD118" s="16">
        <v>1</v>
      </c>
      <c r="AE118" s="13">
        <f t="shared" si="25"/>
        <v>81</v>
      </c>
    </row>
    <row r="119" spans="1:31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2</v>
      </c>
      <c r="H119" s="16">
        <v>0</v>
      </c>
      <c r="I119" s="16">
        <v>1</v>
      </c>
      <c r="J119" s="16">
        <v>0</v>
      </c>
      <c r="K119" s="16">
        <v>2</v>
      </c>
      <c r="L119" s="16">
        <v>0</v>
      </c>
      <c r="M119" s="16">
        <v>0</v>
      </c>
      <c r="N119" s="16">
        <v>1</v>
      </c>
      <c r="O119" s="16">
        <v>0</v>
      </c>
      <c r="P119" s="16">
        <v>0</v>
      </c>
      <c r="Q119" s="16">
        <v>3</v>
      </c>
      <c r="R119" s="16">
        <v>0</v>
      </c>
      <c r="S119" s="16">
        <v>1</v>
      </c>
      <c r="T119" s="16">
        <v>0</v>
      </c>
      <c r="U119" s="16">
        <v>1</v>
      </c>
      <c r="V119" s="16">
        <v>0</v>
      </c>
      <c r="W119" s="16">
        <v>0</v>
      </c>
      <c r="X119" s="16">
        <v>1</v>
      </c>
      <c r="Y119" s="16">
        <v>0</v>
      </c>
      <c r="Z119" s="16">
        <v>0</v>
      </c>
      <c r="AA119" s="16">
        <v>2</v>
      </c>
      <c r="AB119" s="16">
        <v>0</v>
      </c>
      <c r="AC119" s="16">
        <v>0</v>
      </c>
      <c r="AD119" s="16">
        <v>0</v>
      </c>
      <c r="AE119" s="13">
        <f t="shared" si="25"/>
        <v>14</v>
      </c>
    </row>
    <row r="120" spans="1:31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3">
        <f t="shared" si="25"/>
        <v>0</v>
      </c>
    </row>
    <row r="121" spans="1:31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1</v>
      </c>
      <c r="T121" s="53">
        <v>0</v>
      </c>
      <c r="U121" s="53">
        <v>0</v>
      </c>
      <c r="V121" s="53">
        <v>0</v>
      </c>
      <c r="W121" s="53">
        <v>0</v>
      </c>
      <c r="X121" s="53">
        <v>0</v>
      </c>
      <c r="Y121" s="53">
        <v>0</v>
      </c>
      <c r="Z121" s="53">
        <v>0</v>
      </c>
      <c r="AA121" s="53">
        <v>0</v>
      </c>
      <c r="AB121" s="53">
        <v>0</v>
      </c>
      <c r="AC121" s="53">
        <v>0</v>
      </c>
      <c r="AD121" s="53">
        <v>0</v>
      </c>
      <c r="AE121" s="13">
        <f t="shared" si="25"/>
        <v>1</v>
      </c>
    </row>
    <row r="122" spans="1:31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1</v>
      </c>
      <c r="G122" s="53">
        <v>1</v>
      </c>
      <c r="H122" s="53">
        <v>0</v>
      </c>
      <c r="I122" s="53">
        <v>1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1</v>
      </c>
      <c r="P122" s="16">
        <v>0</v>
      </c>
      <c r="Q122" s="53">
        <v>0</v>
      </c>
      <c r="R122" s="53">
        <v>1</v>
      </c>
      <c r="S122" s="53">
        <v>2</v>
      </c>
      <c r="T122" s="53">
        <v>0</v>
      </c>
      <c r="U122" s="53">
        <v>0</v>
      </c>
      <c r="V122" s="53">
        <v>0</v>
      </c>
      <c r="W122" s="53">
        <v>0</v>
      </c>
      <c r="X122" s="53">
        <v>1</v>
      </c>
      <c r="Y122" s="53">
        <v>1</v>
      </c>
      <c r="Z122" s="53">
        <v>1</v>
      </c>
      <c r="AA122" s="53">
        <v>0</v>
      </c>
      <c r="AB122" s="53">
        <v>3</v>
      </c>
      <c r="AC122" s="53">
        <v>0</v>
      </c>
      <c r="AD122" s="53">
        <v>0</v>
      </c>
      <c r="AE122" s="13">
        <f t="shared" si="25"/>
        <v>13</v>
      </c>
    </row>
    <row r="123" spans="1:31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1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41">
        <v>0</v>
      </c>
      <c r="S123" s="41">
        <v>0</v>
      </c>
      <c r="T123" s="41">
        <v>0</v>
      </c>
      <c r="U123" s="41">
        <v>0</v>
      </c>
      <c r="V123" s="41">
        <v>0</v>
      </c>
      <c r="W123" s="41">
        <v>0</v>
      </c>
      <c r="X123" s="41">
        <v>0</v>
      </c>
      <c r="Y123" s="41">
        <v>0</v>
      </c>
      <c r="Z123" s="41">
        <v>0</v>
      </c>
      <c r="AA123" s="41">
        <v>0</v>
      </c>
      <c r="AB123" s="41">
        <v>0</v>
      </c>
      <c r="AC123" s="41">
        <v>0</v>
      </c>
      <c r="AD123" s="41">
        <v>0</v>
      </c>
      <c r="AE123" s="13">
        <f t="shared" si="25"/>
        <v>1</v>
      </c>
    </row>
    <row r="124" spans="1:31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13">
        <f t="shared" si="25"/>
        <v>0</v>
      </c>
    </row>
    <row r="125" spans="1:31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13">
        <f t="shared" si="25"/>
        <v>0</v>
      </c>
    </row>
    <row r="126" spans="1:31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13">
        <f t="shared" si="25"/>
        <v>0</v>
      </c>
    </row>
    <row r="127" spans="1:31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AE127" si="26">SUM(E117:E126)</f>
        <v>3</v>
      </c>
      <c r="F127" s="13">
        <f t="shared" si="26"/>
        <v>9</v>
      </c>
      <c r="G127" s="13">
        <f t="shared" si="26"/>
        <v>5</v>
      </c>
      <c r="H127" s="13">
        <f t="shared" si="26"/>
        <v>6</v>
      </c>
      <c r="I127" s="13">
        <f t="shared" si="26"/>
        <v>2</v>
      </c>
      <c r="J127" s="13">
        <f t="shared" si="26"/>
        <v>3</v>
      </c>
      <c r="K127" s="13">
        <f t="shared" si="26"/>
        <v>6</v>
      </c>
      <c r="L127" s="13">
        <f t="shared" si="26"/>
        <v>18</v>
      </c>
      <c r="M127" s="13">
        <f t="shared" si="26"/>
        <v>10</v>
      </c>
      <c r="N127" s="13">
        <f t="shared" si="26"/>
        <v>1</v>
      </c>
      <c r="O127" s="13">
        <f t="shared" si="26"/>
        <v>2</v>
      </c>
      <c r="P127" s="13">
        <f t="shared" si="26"/>
        <v>4</v>
      </c>
      <c r="Q127" s="13">
        <f t="shared" si="26"/>
        <v>10</v>
      </c>
      <c r="R127" s="13">
        <f t="shared" si="26"/>
        <v>4</v>
      </c>
      <c r="S127" s="13">
        <f t="shared" si="26"/>
        <v>13</v>
      </c>
      <c r="T127" s="13">
        <f t="shared" si="26"/>
        <v>3</v>
      </c>
      <c r="U127" s="13">
        <f t="shared" si="26"/>
        <v>2</v>
      </c>
      <c r="V127" s="13">
        <f t="shared" si="26"/>
        <v>3</v>
      </c>
      <c r="W127" s="13">
        <f t="shared" si="26"/>
        <v>0</v>
      </c>
      <c r="X127" s="13">
        <f t="shared" si="26"/>
        <v>2</v>
      </c>
      <c r="Y127" s="13">
        <f t="shared" si="26"/>
        <v>2</v>
      </c>
      <c r="Z127" s="13">
        <f t="shared" si="26"/>
        <v>1</v>
      </c>
      <c r="AA127" s="13">
        <f t="shared" si="26"/>
        <v>6</v>
      </c>
      <c r="AB127" s="13">
        <f t="shared" si="26"/>
        <v>6</v>
      </c>
      <c r="AC127" s="13">
        <f t="shared" si="26"/>
        <v>1</v>
      </c>
      <c r="AD127" s="13">
        <f t="shared" si="26"/>
        <v>1</v>
      </c>
      <c r="AE127" s="13">
        <f t="shared" si="26"/>
        <v>123</v>
      </c>
    </row>
    <row r="128" spans="1:31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</row>
    <row r="129" spans="1:31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1</v>
      </c>
      <c r="F129" s="16">
        <v>0</v>
      </c>
      <c r="G129" s="16">
        <v>0</v>
      </c>
      <c r="H129" s="16">
        <v>1</v>
      </c>
      <c r="I129" s="16">
        <v>12</v>
      </c>
      <c r="J129" s="16">
        <v>11</v>
      </c>
      <c r="K129" s="16">
        <v>4</v>
      </c>
      <c r="L129" s="16">
        <v>2</v>
      </c>
      <c r="M129" s="16">
        <v>7</v>
      </c>
      <c r="N129" s="16">
        <v>15</v>
      </c>
      <c r="O129" s="16">
        <v>4</v>
      </c>
      <c r="P129" s="16">
        <v>1</v>
      </c>
      <c r="Q129" s="16">
        <v>2</v>
      </c>
      <c r="R129" s="16">
        <v>11</v>
      </c>
      <c r="S129" s="16">
        <v>2</v>
      </c>
      <c r="T129" s="16">
        <v>3</v>
      </c>
      <c r="U129" s="16">
        <v>1</v>
      </c>
      <c r="V129" s="16">
        <v>2</v>
      </c>
      <c r="W129" s="16">
        <v>0</v>
      </c>
      <c r="X129" s="16">
        <v>1</v>
      </c>
      <c r="Y129" s="16">
        <v>2</v>
      </c>
      <c r="Z129" s="16">
        <v>8</v>
      </c>
      <c r="AA129" s="16">
        <v>0</v>
      </c>
      <c r="AB129" s="16">
        <v>5</v>
      </c>
      <c r="AC129" s="16">
        <v>4</v>
      </c>
      <c r="AD129" s="16">
        <v>3</v>
      </c>
      <c r="AE129" s="13">
        <f t="shared" ref="AE129:AE138" si="27">SUM(E129:AD129)</f>
        <v>102</v>
      </c>
    </row>
    <row r="130" spans="1:31" ht="12.75" customHeight="1" x14ac:dyDescent="0.4">
      <c r="A130" s="20" t="s">
        <v>38</v>
      </c>
      <c r="B130" s="28"/>
      <c r="C130" s="29" t="s">
        <v>88</v>
      </c>
      <c r="D130" s="30"/>
      <c r="E130" s="16">
        <v>1</v>
      </c>
      <c r="F130" s="16">
        <v>5</v>
      </c>
      <c r="G130" s="16">
        <v>5</v>
      </c>
      <c r="H130" s="16">
        <v>4</v>
      </c>
      <c r="I130" s="16">
        <v>1</v>
      </c>
      <c r="J130" s="16">
        <v>6</v>
      </c>
      <c r="K130" s="16">
        <v>1</v>
      </c>
      <c r="L130" s="16">
        <v>1</v>
      </c>
      <c r="M130" s="16">
        <v>12</v>
      </c>
      <c r="N130" s="16">
        <v>9</v>
      </c>
      <c r="O130" s="16">
        <v>38</v>
      </c>
      <c r="P130" s="16">
        <v>4</v>
      </c>
      <c r="Q130" s="16">
        <v>1</v>
      </c>
      <c r="R130" s="16">
        <v>81</v>
      </c>
      <c r="S130" s="16">
        <v>12</v>
      </c>
      <c r="T130" s="16">
        <v>16</v>
      </c>
      <c r="U130" s="16">
        <v>16</v>
      </c>
      <c r="V130" s="16">
        <v>3</v>
      </c>
      <c r="W130" s="16">
        <v>0</v>
      </c>
      <c r="X130" s="16">
        <v>3</v>
      </c>
      <c r="Y130" s="16">
        <v>1</v>
      </c>
      <c r="Z130" s="16">
        <v>1</v>
      </c>
      <c r="AA130" s="16">
        <v>1</v>
      </c>
      <c r="AB130" s="16">
        <v>10</v>
      </c>
      <c r="AC130" s="16">
        <v>0</v>
      </c>
      <c r="AD130" s="16">
        <v>1</v>
      </c>
      <c r="AE130" s="13">
        <f t="shared" si="27"/>
        <v>233</v>
      </c>
    </row>
    <row r="131" spans="1:31" ht="12.75" customHeight="1" x14ac:dyDescent="0.4">
      <c r="A131" s="15"/>
      <c r="B131" s="28"/>
      <c r="C131" s="29" t="s">
        <v>89</v>
      </c>
      <c r="D131" s="30"/>
      <c r="E131" s="16">
        <v>2</v>
      </c>
      <c r="F131" s="16">
        <v>1</v>
      </c>
      <c r="G131" s="16">
        <v>1</v>
      </c>
      <c r="H131" s="16">
        <v>2</v>
      </c>
      <c r="I131" s="16">
        <v>14</v>
      </c>
      <c r="J131" s="16">
        <v>6</v>
      </c>
      <c r="K131" s="16">
        <v>2</v>
      </c>
      <c r="L131" s="16">
        <v>1</v>
      </c>
      <c r="M131" s="16">
        <v>0</v>
      </c>
      <c r="N131" s="16">
        <v>2</v>
      </c>
      <c r="O131" s="16">
        <v>3</v>
      </c>
      <c r="P131" s="16">
        <v>6</v>
      </c>
      <c r="Q131" s="16">
        <v>1</v>
      </c>
      <c r="R131" s="16">
        <v>3</v>
      </c>
      <c r="S131" s="16">
        <v>1</v>
      </c>
      <c r="T131" s="16">
        <v>2</v>
      </c>
      <c r="U131" s="16">
        <v>2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6">
        <v>0</v>
      </c>
      <c r="AD131" s="16">
        <v>0</v>
      </c>
      <c r="AE131" s="13">
        <f t="shared" si="27"/>
        <v>49</v>
      </c>
    </row>
    <row r="132" spans="1:31" ht="12.75" customHeight="1" x14ac:dyDescent="0.4">
      <c r="A132" s="15"/>
      <c r="B132" s="28"/>
      <c r="C132" s="29" t="s">
        <v>90</v>
      </c>
      <c r="D132" s="30"/>
      <c r="E132" s="16">
        <v>1</v>
      </c>
      <c r="F132" s="16">
        <v>0</v>
      </c>
      <c r="G132" s="16">
        <v>0</v>
      </c>
      <c r="H132" s="16">
        <v>0</v>
      </c>
      <c r="I132" s="16">
        <v>1</v>
      </c>
      <c r="J132" s="16">
        <v>0</v>
      </c>
      <c r="K132" s="16">
        <v>2</v>
      </c>
      <c r="L132" s="16">
        <v>0</v>
      </c>
      <c r="M132" s="16">
        <v>0</v>
      </c>
      <c r="N132" s="16">
        <v>1</v>
      </c>
      <c r="O132" s="16">
        <v>0</v>
      </c>
      <c r="P132" s="16">
        <v>0</v>
      </c>
      <c r="Q132" s="16">
        <v>0</v>
      </c>
      <c r="R132" s="16">
        <v>2</v>
      </c>
      <c r="S132" s="16">
        <v>0</v>
      </c>
      <c r="T132" s="16">
        <v>0</v>
      </c>
      <c r="U132" s="16">
        <v>0</v>
      </c>
      <c r="V132" s="16">
        <v>0</v>
      </c>
      <c r="W132" s="16">
        <v>1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6">
        <v>1</v>
      </c>
      <c r="AD132" s="16">
        <v>0</v>
      </c>
      <c r="AE132" s="13">
        <f t="shared" si="27"/>
        <v>9</v>
      </c>
    </row>
    <row r="133" spans="1:31" ht="12.75" customHeight="1" x14ac:dyDescent="0.4">
      <c r="A133" s="15"/>
      <c r="B133" s="28"/>
      <c r="C133" s="29" t="s">
        <v>91</v>
      </c>
      <c r="D133" s="30"/>
      <c r="E133" s="16">
        <v>1</v>
      </c>
      <c r="F133" s="16">
        <v>2</v>
      </c>
      <c r="G133" s="16">
        <v>1</v>
      </c>
      <c r="H133" s="16">
        <v>2</v>
      </c>
      <c r="I133" s="16">
        <v>7</v>
      </c>
      <c r="J133" s="16">
        <v>0</v>
      </c>
      <c r="K133" s="16">
        <v>1</v>
      </c>
      <c r="L133" s="16">
        <v>1</v>
      </c>
      <c r="M133" s="16">
        <v>1</v>
      </c>
      <c r="N133" s="16">
        <v>4</v>
      </c>
      <c r="O133" s="16">
        <v>2</v>
      </c>
      <c r="P133" s="16">
        <v>0</v>
      </c>
      <c r="Q133" s="16">
        <v>0</v>
      </c>
      <c r="R133" s="16">
        <v>1</v>
      </c>
      <c r="S133" s="16">
        <v>0</v>
      </c>
      <c r="T133" s="16">
        <v>2</v>
      </c>
      <c r="U133" s="16">
        <v>0</v>
      </c>
      <c r="V133" s="16">
        <v>1</v>
      </c>
      <c r="W133" s="16">
        <v>0</v>
      </c>
      <c r="X133" s="16">
        <v>0</v>
      </c>
      <c r="Y133" s="16">
        <v>2</v>
      </c>
      <c r="Z133" s="16">
        <v>1</v>
      </c>
      <c r="AA133" s="16">
        <v>1</v>
      </c>
      <c r="AB133" s="16">
        <v>3</v>
      </c>
      <c r="AC133" s="16">
        <v>1</v>
      </c>
      <c r="AD133" s="16">
        <v>0</v>
      </c>
      <c r="AE133" s="13">
        <f t="shared" si="27"/>
        <v>34</v>
      </c>
    </row>
    <row r="134" spans="1:31" ht="12.75" customHeight="1" x14ac:dyDescent="0.4">
      <c r="A134" s="15"/>
      <c r="B134" s="28"/>
      <c r="C134" s="29" t="s">
        <v>92</v>
      </c>
      <c r="D134" s="30"/>
      <c r="E134" s="16">
        <v>10</v>
      </c>
      <c r="F134" s="16">
        <v>0</v>
      </c>
      <c r="G134" s="16">
        <v>1</v>
      </c>
      <c r="H134" s="16">
        <v>3</v>
      </c>
      <c r="I134" s="16">
        <v>13</v>
      </c>
      <c r="J134" s="16">
        <v>6</v>
      </c>
      <c r="K134" s="16">
        <v>3</v>
      </c>
      <c r="L134" s="16">
        <v>0</v>
      </c>
      <c r="M134" s="16">
        <v>3</v>
      </c>
      <c r="N134" s="16">
        <v>17</v>
      </c>
      <c r="O134" s="16">
        <v>13</v>
      </c>
      <c r="P134" s="16">
        <v>5</v>
      </c>
      <c r="Q134" s="16">
        <v>0</v>
      </c>
      <c r="R134" s="16">
        <v>3</v>
      </c>
      <c r="S134" s="16">
        <v>0</v>
      </c>
      <c r="T134" s="16">
        <v>4</v>
      </c>
      <c r="U134" s="16">
        <v>2</v>
      </c>
      <c r="V134" s="16">
        <v>7</v>
      </c>
      <c r="W134" s="16">
        <v>0</v>
      </c>
      <c r="X134" s="16">
        <v>2</v>
      </c>
      <c r="Y134" s="16">
        <v>1</v>
      </c>
      <c r="Z134" s="16">
        <v>12</v>
      </c>
      <c r="AA134" s="16">
        <v>10</v>
      </c>
      <c r="AB134" s="16">
        <v>6</v>
      </c>
      <c r="AC134" s="16">
        <v>8</v>
      </c>
      <c r="AD134" s="16">
        <v>0</v>
      </c>
      <c r="AE134" s="13">
        <f t="shared" si="27"/>
        <v>129</v>
      </c>
    </row>
    <row r="135" spans="1:31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1</v>
      </c>
      <c r="I135" s="16">
        <v>0</v>
      </c>
      <c r="J135" s="16">
        <v>0</v>
      </c>
      <c r="K135" s="16">
        <v>1</v>
      </c>
      <c r="L135" s="16">
        <v>0</v>
      </c>
      <c r="M135" s="16">
        <v>2</v>
      </c>
      <c r="N135" s="16">
        <v>3</v>
      </c>
      <c r="O135" s="16">
        <v>3</v>
      </c>
      <c r="P135" s="16">
        <v>3</v>
      </c>
      <c r="Q135" s="16">
        <v>0</v>
      </c>
      <c r="R135" s="16">
        <v>4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1</v>
      </c>
      <c r="Y135" s="16">
        <v>0</v>
      </c>
      <c r="Z135" s="16">
        <v>0</v>
      </c>
      <c r="AA135" s="16">
        <v>0</v>
      </c>
      <c r="AB135" s="16">
        <v>0</v>
      </c>
      <c r="AC135" s="16">
        <v>0</v>
      </c>
      <c r="AD135" s="16">
        <v>0</v>
      </c>
      <c r="AE135" s="13">
        <f t="shared" si="27"/>
        <v>18</v>
      </c>
    </row>
    <row r="136" spans="1:31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13">
        <f t="shared" si="27"/>
        <v>0</v>
      </c>
    </row>
    <row r="137" spans="1:31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13">
        <f t="shared" si="27"/>
        <v>0</v>
      </c>
    </row>
    <row r="138" spans="1:31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13">
        <f t="shared" si="27"/>
        <v>0</v>
      </c>
    </row>
    <row r="139" spans="1:31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AE139" si="28">SUM(E129:E138)</f>
        <v>16</v>
      </c>
      <c r="F139" s="13">
        <f t="shared" si="28"/>
        <v>8</v>
      </c>
      <c r="G139" s="13">
        <f t="shared" si="28"/>
        <v>8</v>
      </c>
      <c r="H139" s="13">
        <f t="shared" si="28"/>
        <v>13</v>
      </c>
      <c r="I139" s="13">
        <f t="shared" si="28"/>
        <v>48</v>
      </c>
      <c r="J139" s="13">
        <f t="shared" si="28"/>
        <v>29</v>
      </c>
      <c r="K139" s="13">
        <f t="shared" si="28"/>
        <v>14</v>
      </c>
      <c r="L139" s="13">
        <f t="shared" si="28"/>
        <v>5</v>
      </c>
      <c r="M139" s="13">
        <f t="shared" si="28"/>
        <v>25</v>
      </c>
      <c r="N139" s="13">
        <f t="shared" si="28"/>
        <v>51</v>
      </c>
      <c r="O139" s="13">
        <f t="shared" si="28"/>
        <v>63</v>
      </c>
      <c r="P139" s="13">
        <f t="shared" si="28"/>
        <v>19</v>
      </c>
      <c r="Q139" s="13">
        <f t="shared" si="28"/>
        <v>4</v>
      </c>
      <c r="R139" s="13">
        <f t="shared" si="28"/>
        <v>105</v>
      </c>
      <c r="S139" s="13">
        <f t="shared" si="28"/>
        <v>15</v>
      </c>
      <c r="T139" s="13">
        <f t="shared" si="28"/>
        <v>27</v>
      </c>
      <c r="U139" s="13">
        <f t="shared" si="28"/>
        <v>21</v>
      </c>
      <c r="V139" s="13">
        <f t="shared" si="28"/>
        <v>13</v>
      </c>
      <c r="W139" s="13">
        <f t="shared" si="28"/>
        <v>1</v>
      </c>
      <c r="X139" s="13">
        <f t="shared" si="28"/>
        <v>7</v>
      </c>
      <c r="Y139" s="13">
        <f t="shared" si="28"/>
        <v>6</v>
      </c>
      <c r="Z139" s="13">
        <f t="shared" si="28"/>
        <v>22</v>
      </c>
      <c r="AA139" s="13">
        <f t="shared" si="28"/>
        <v>12</v>
      </c>
      <c r="AB139" s="13">
        <f t="shared" si="28"/>
        <v>24</v>
      </c>
      <c r="AC139" s="13">
        <f t="shared" si="28"/>
        <v>14</v>
      </c>
      <c r="AD139" s="13">
        <f t="shared" si="28"/>
        <v>4</v>
      </c>
      <c r="AE139" s="13">
        <f t="shared" si="28"/>
        <v>574</v>
      </c>
    </row>
    <row r="140" spans="1:31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</row>
    <row r="141" spans="1:31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1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3">
        <f t="shared" ref="AE141:AE150" si="29">SUM(E141:AD141)</f>
        <v>1</v>
      </c>
    </row>
    <row r="142" spans="1:31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1</v>
      </c>
      <c r="Q142" s="16">
        <v>0</v>
      </c>
      <c r="R142" s="16">
        <v>0</v>
      </c>
      <c r="S142" s="16">
        <v>0</v>
      </c>
      <c r="T142" s="16">
        <v>0</v>
      </c>
      <c r="U142" s="16">
        <v>0</v>
      </c>
      <c r="V142" s="16">
        <v>1</v>
      </c>
      <c r="W142" s="16">
        <v>0</v>
      </c>
      <c r="X142" s="16">
        <v>0</v>
      </c>
      <c r="Y142" s="16">
        <v>0</v>
      </c>
      <c r="Z142" s="16">
        <v>0</v>
      </c>
      <c r="AA142" s="16">
        <v>0</v>
      </c>
      <c r="AB142" s="16">
        <v>0</v>
      </c>
      <c r="AC142" s="16">
        <v>0</v>
      </c>
      <c r="AD142" s="16">
        <v>0</v>
      </c>
      <c r="AE142" s="13">
        <f t="shared" si="29"/>
        <v>2</v>
      </c>
    </row>
    <row r="143" spans="1:31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13">
        <f t="shared" si="29"/>
        <v>0</v>
      </c>
    </row>
    <row r="144" spans="1:31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13">
        <f t="shared" si="29"/>
        <v>0</v>
      </c>
    </row>
    <row r="145" spans="1:31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13">
        <f t="shared" si="29"/>
        <v>0</v>
      </c>
    </row>
    <row r="146" spans="1:31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13">
        <f t="shared" si="29"/>
        <v>0</v>
      </c>
    </row>
    <row r="147" spans="1:31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13">
        <f t="shared" si="29"/>
        <v>0</v>
      </c>
    </row>
    <row r="148" spans="1:31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13">
        <f t="shared" si="29"/>
        <v>0</v>
      </c>
    </row>
    <row r="149" spans="1:31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13">
        <f t="shared" si="29"/>
        <v>0</v>
      </c>
    </row>
    <row r="150" spans="1:31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13">
        <f t="shared" si="29"/>
        <v>0</v>
      </c>
    </row>
    <row r="151" spans="1:31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AE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1</v>
      </c>
      <c r="K151" s="13">
        <f t="shared" si="30"/>
        <v>0</v>
      </c>
      <c r="L151" s="13">
        <f t="shared" si="30"/>
        <v>0</v>
      </c>
      <c r="M151" s="13">
        <f t="shared" si="30"/>
        <v>0</v>
      </c>
      <c r="N151" s="13">
        <f t="shared" si="30"/>
        <v>0</v>
      </c>
      <c r="O151" s="13">
        <f t="shared" si="30"/>
        <v>0</v>
      </c>
      <c r="P151" s="13">
        <f t="shared" si="30"/>
        <v>1</v>
      </c>
      <c r="Q151" s="13">
        <f t="shared" si="30"/>
        <v>0</v>
      </c>
      <c r="R151" s="13">
        <f t="shared" si="30"/>
        <v>0</v>
      </c>
      <c r="S151" s="13">
        <f t="shared" si="30"/>
        <v>0</v>
      </c>
      <c r="T151" s="13">
        <f t="shared" si="30"/>
        <v>0</v>
      </c>
      <c r="U151" s="13">
        <f t="shared" si="30"/>
        <v>0</v>
      </c>
      <c r="V151" s="13">
        <f t="shared" si="30"/>
        <v>1</v>
      </c>
      <c r="W151" s="13">
        <f t="shared" si="30"/>
        <v>0</v>
      </c>
      <c r="X151" s="13">
        <f t="shared" si="30"/>
        <v>0</v>
      </c>
      <c r="Y151" s="13">
        <f t="shared" si="30"/>
        <v>0</v>
      </c>
      <c r="Z151" s="13">
        <f t="shared" si="30"/>
        <v>0</v>
      </c>
      <c r="AA151" s="13">
        <f t="shared" si="30"/>
        <v>0</v>
      </c>
      <c r="AB151" s="13">
        <f t="shared" si="30"/>
        <v>0</v>
      </c>
      <c r="AC151" s="13">
        <f t="shared" si="30"/>
        <v>0</v>
      </c>
      <c r="AD151" s="13">
        <f t="shared" si="30"/>
        <v>0</v>
      </c>
      <c r="AE151" s="13">
        <f t="shared" si="30"/>
        <v>3</v>
      </c>
    </row>
    <row r="152" spans="1:31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13"/>
    </row>
    <row r="153" spans="1:31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0</v>
      </c>
      <c r="H153" s="16">
        <v>1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3</v>
      </c>
      <c r="O153" s="16">
        <v>0</v>
      </c>
      <c r="P153" s="16">
        <v>0</v>
      </c>
      <c r="Q153" s="16">
        <v>0</v>
      </c>
      <c r="R153" s="16">
        <v>0</v>
      </c>
      <c r="S153" s="16">
        <v>0</v>
      </c>
      <c r="T153" s="16">
        <v>1</v>
      </c>
      <c r="U153" s="16">
        <v>1</v>
      </c>
      <c r="V153" s="16">
        <v>0</v>
      </c>
      <c r="W153" s="16">
        <v>1</v>
      </c>
      <c r="X153" s="16">
        <v>0</v>
      </c>
      <c r="Y153" s="16">
        <v>0</v>
      </c>
      <c r="Z153" s="16">
        <v>1</v>
      </c>
      <c r="AA153" s="16">
        <v>0</v>
      </c>
      <c r="AB153" s="16">
        <v>0</v>
      </c>
      <c r="AC153" s="16">
        <v>0</v>
      </c>
      <c r="AD153" s="16">
        <v>2</v>
      </c>
      <c r="AE153" s="13">
        <f t="shared" ref="AE153:AE162" si="31">SUM(E153:AD153)</f>
        <v>10</v>
      </c>
    </row>
    <row r="154" spans="1:31" ht="12.75" customHeight="1" x14ac:dyDescent="0.4">
      <c r="A154" s="42" t="s">
        <v>38</v>
      </c>
      <c r="B154" s="28"/>
      <c r="C154" s="29" t="s">
        <v>99</v>
      </c>
      <c r="D154" s="30"/>
      <c r="E154" s="55">
        <v>3</v>
      </c>
      <c r="F154" s="16">
        <v>1</v>
      </c>
      <c r="G154" s="16">
        <v>1</v>
      </c>
      <c r="H154" s="16">
        <v>2</v>
      </c>
      <c r="I154" s="16">
        <v>1</v>
      </c>
      <c r="J154" s="16">
        <v>0</v>
      </c>
      <c r="K154" s="16">
        <v>1</v>
      </c>
      <c r="L154" s="16">
        <v>1</v>
      </c>
      <c r="M154" s="16">
        <v>0</v>
      </c>
      <c r="N154" s="16">
        <v>23</v>
      </c>
      <c r="O154" s="16">
        <v>1</v>
      </c>
      <c r="P154" s="16">
        <v>4</v>
      </c>
      <c r="Q154" s="16">
        <v>1</v>
      </c>
      <c r="R154" s="16">
        <v>0</v>
      </c>
      <c r="S154" s="16">
        <v>0</v>
      </c>
      <c r="T154" s="16">
        <v>15</v>
      </c>
      <c r="U154" s="16">
        <v>24</v>
      </c>
      <c r="V154" s="16">
        <v>1</v>
      </c>
      <c r="W154" s="16">
        <v>8</v>
      </c>
      <c r="X154" s="16">
        <v>1</v>
      </c>
      <c r="Y154" s="16">
        <v>1</v>
      </c>
      <c r="Z154" s="16">
        <v>1</v>
      </c>
      <c r="AA154" s="16">
        <v>1</v>
      </c>
      <c r="AB154" s="16">
        <v>1</v>
      </c>
      <c r="AC154" s="16">
        <v>2</v>
      </c>
      <c r="AD154" s="16">
        <v>7</v>
      </c>
      <c r="AE154" s="13">
        <f t="shared" si="31"/>
        <v>101</v>
      </c>
    </row>
    <row r="155" spans="1:31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1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1</v>
      </c>
      <c r="P155" s="16">
        <v>0</v>
      </c>
      <c r="Q155" s="16">
        <v>0</v>
      </c>
      <c r="R155" s="16">
        <v>0</v>
      </c>
      <c r="S155" s="16">
        <v>0</v>
      </c>
      <c r="T155" s="16">
        <v>1</v>
      </c>
      <c r="U155" s="16">
        <v>0</v>
      </c>
      <c r="V155" s="16">
        <v>0</v>
      </c>
      <c r="W155" s="16">
        <v>0</v>
      </c>
      <c r="X155" s="16">
        <v>0</v>
      </c>
      <c r="Y155" s="16">
        <v>0</v>
      </c>
      <c r="Z155" s="16">
        <v>0</v>
      </c>
      <c r="AA155" s="16">
        <v>0</v>
      </c>
      <c r="AB155" s="16">
        <v>0</v>
      </c>
      <c r="AC155" s="16">
        <v>0</v>
      </c>
      <c r="AD155" s="16">
        <v>0</v>
      </c>
      <c r="AE155" s="13">
        <f t="shared" si="31"/>
        <v>3</v>
      </c>
    </row>
    <row r="156" spans="1:31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1</v>
      </c>
      <c r="H156" s="16">
        <v>0</v>
      </c>
      <c r="I156" s="16">
        <v>0</v>
      </c>
      <c r="J156" s="16">
        <v>0</v>
      </c>
      <c r="K156" s="16">
        <v>2</v>
      </c>
      <c r="L156" s="16">
        <v>0</v>
      </c>
      <c r="M156" s="16">
        <v>0</v>
      </c>
      <c r="N156" s="16">
        <v>2</v>
      </c>
      <c r="O156" s="16">
        <v>0</v>
      </c>
      <c r="P156" s="16">
        <v>0</v>
      </c>
      <c r="Q156" s="16">
        <v>0</v>
      </c>
      <c r="R156" s="16">
        <v>0</v>
      </c>
      <c r="S156" s="16">
        <v>0</v>
      </c>
      <c r="T156" s="16">
        <v>0</v>
      </c>
      <c r="U156" s="16">
        <v>0</v>
      </c>
      <c r="V156" s="16">
        <v>2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6">
        <v>0</v>
      </c>
      <c r="AD156" s="16">
        <v>0</v>
      </c>
      <c r="AE156" s="13">
        <f t="shared" si="31"/>
        <v>7</v>
      </c>
    </row>
    <row r="157" spans="1:31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1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0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0</v>
      </c>
      <c r="AA157" s="16">
        <v>0</v>
      </c>
      <c r="AB157" s="16">
        <v>0</v>
      </c>
      <c r="AC157" s="16">
        <v>0</v>
      </c>
      <c r="AD157" s="16">
        <v>0</v>
      </c>
      <c r="AE157" s="13">
        <f t="shared" si="31"/>
        <v>1</v>
      </c>
    </row>
    <row r="158" spans="1:31" ht="12.75" customHeight="1" x14ac:dyDescent="0.4">
      <c r="A158" s="52"/>
      <c r="B158" s="28"/>
      <c r="C158" s="29" t="s">
        <v>103</v>
      </c>
      <c r="D158" s="30"/>
      <c r="E158" s="56">
        <v>0</v>
      </c>
      <c r="F158" s="53">
        <v>1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0</v>
      </c>
      <c r="M158" s="53">
        <v>0</v>
      </c>
      <c r="N158" s="53">
        <v>0</v>
      </c>
      <c r="O158" s="53">
        <v>0</v>
      </c>
      <c r="P158" s="16">
        <v>0</v>
      </c>
      <c r="Q158" s="53">
        <v>0</v>
      </c>
      <c r="R158" s="53">
        <v>0</v>
      </c>
      <c r="S158" s="53">
        <v>0</v>
      </c>
      <c r="T158" s="53">
        <v>0</v>
      </c>
      <c r="U158" s="53">
        <v>0</v>
      </c>
      <c r="V158" s="53">
        <v>0</v>
      </c>
      <c r="W158" s="53">
        <v>0</v>
      </c>
      <c r="X158" s="53">
        <v>0</v>
      </c>
      <c r="Y158" s="53">
        <v>0</v>
      </c>
      <c r="Z158" s="53">
        <v>0</v>
      </c>
      <c r="AA158" s="53">
        <v>0</v>
      </c>
      <c r="AB158" s="53">
        <v>0</v>
      </c>
      <c r="AC158" s="53">
        <v>0</v>
      </c>
      <c r="AD158" s="53">
        <v>1</v>
      </c>
      <c r="AE158" s="13">
        <f t="shared" si="31"/>
        <v>2</v>
      </c>
    </row>
    <row r="159" spans="1:31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2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1</v>
      </c>
      <c r="Y159" s="53">
        <v>0</v>
      </c>
      <c r="Z159" s="53">
        <v>0</v>
      </c>
      <c r="AA159" s="53">
        <v>0</v>
      </c>
      <c r="AB159" s="53">
        <v>1</v>
      </c>
      <c r="AC159" s="53">
        <v>0</v>
      </c>
      <c r="AD159" s="53">
        <v>0</v>
      </c>
      <c r="AE159" s="13">
        <f t="shared" si="31"/>
        <v>4</v>
      </c>
    </row>
    <row r="160" spans="1:31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13">
        <f t="shared" si="31"/>
        <v>0</v>
      </c>
    </row>
    <row r="161" spans="1:31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13">
        <f t="shared" si="31"/>
        <v>0</v>
      </c>
    </row>
    <row r="162" spans="1:31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13">
        <f t="shared" si="31"/>
        <v>0</v>
      </c>
    </row>
    <row r="163" spans="1:31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AE163" si="32">SUM(E153:E162)</f>
        <v>3</v>
      </c>
      <c r="F163" s="13">
        <f t="shared" si="32"/>
        <v>2</v>
      </c>
      <c r="G163" s="13">
        <f t="shared" si="32"/>
        <v>3</v>
      </c>
      <c r="H163" s="13">
        <f t="shared" si="32"/>
        <v>3</v>
      </c>
      <c r="I163" s="13">
        <f t="shared" si="32"/>
        <v>1</v>
      </c>
      <c r="J163" s="13">
        <f t="shared" si="32"/>
        <v>2</v>
      </c>
      <c r="K163" s="13">
        <f t="shared" si="32"/>
        <v>3</v>
      </c>
      <c r="L163" s="13">
        <f t="shared" si="32"/>
        <v>1</v>
      </c>
      <c r="M163" s="13">
        <f t="shared" si="32"/>
        <v>1</v>
      </c>
      <c r="N163" s="13">
        <f t="shared" si="32"/>
        <v>28</v>
      </c>
      <c r="O163" s="13">
        <f t="shared" si="32"/>
        <v>2</v>
      </c>
      <c r="P163" s="13">
        <f t="shared" si="32"/>
        <v>4</v>
      </c>
      <c r="Q163" s="13">
        <f t="shared" si="32"/>
        <v>1</v>
      </c>
      <c r="R163" s="13">
        <f t="shared" si="32"/>
        <v>0</v>
      </c>
      <c r="S163" s="13">
        <f t="shared" si="32"/>
        <v>0</v>
      </c>
      <c r="T163" s="13">
        <f t="shared" si="32"/>
        <v>17</v>
      </c>
      <c r="U163" s="13">
        <f t="shared" si="32"/>
        <v>25</v>
      </c>
      <c r="V163" s="13">
        <f t="shared" si="32"/>
        <v>3</v>
      </c>
      <c r="W163" s="13">
        <f t="shared" si="32"/>
        <v>9</v>
      </c>
      <c r="X163" s="13">
        <f t="shared" si="32"/>
        <v>2</v>
      </c>
      <c r="Y163" s="13">
        <f t="shared" si="32"/>
        <v>1</v>
      </c>
      <c r="Z163" s="13">
        <f t="shared" si="32"/>
        <v>2</v>
      </c>
      <c r="AA163" s="13">
        <f t="shared" si="32"/>
        <v>1</v>
      </c>
      <c r="AB163" s="13">
        <f t="shared" si="32"/>
        <v>2</v>
      </c>
      <c r="AC163" s="13">
        <f t="shared" si="32"/>
        <v>2</v>
      </c>
      <c r="AD163" s="13">
        <f t="shared" si="32"/>
        <v>10</v>
      </c>
      <c r="AE163" s="13">
        <f t="shared" si="32"/>
        <v>128</v>
      </c>
    </row>
    <row r="164" spans="1:31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</row>
    <row r="165" spans="1:31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0</v>
      </c>
      <c r="G165" s="16">
        <v>1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1</v>
      </c>
      <c r="N165" s="16">
        <v>1</v>
      </c>
      <c r="O165" s="16">
        <v>0</v>
      </c>
      <c r="P165" s="16">
        <v>0</v>
      </c>
      <c r="Q165" s="16">
        <v>1</v>
      </c>
      <c r="R165" s="16">
        <v>1</v>
      </c>
      <c r="S165" s="16">
        <v>1</v>
      </c>
      <c r="T165" s="16">
        <v>0</v>
      </c>
      <c r="U165" s="16">
        <v>0</v>
      </c>
      <c r="V165" s="16">
        <v>0</v>
      </c>
      <c r="W165" s="16">
        <v>1</v>
      </c>
      <c r="X165" s="16">
        <v>0</v>
      </c>
      <c r="Y165" s="16">
        <v>0</v>
      </c>
      <c r="Z165" s="16">
        <v>2</v>
      </c>
      <c r="AA165" s="16">
        <v>0</v>
      </c>
      <c r="AB165" s="16">
        <v>1</v>
      </c>
      <c r="AC165" s="16">
        <v>0</v>
      </c>
      <c r="AD165" s="16">
        <v>0</v>
      </c>
      <c r="AE165" s="13">
        <f t="shared" ref="AE165:AE174" si="33">SUM(E165:AD165)</f>
        <v>10</v>
      </c>
    </row>
    <row r="166" spans="1:31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13">
        <f t="shared" si="33"/>
        <v>0</v>
      </c>
    </row>
    <row r="167" spans="1:31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13">
        <f t="shared" si="33"/>
        <v>0</v>
      </c>
    </row>
    <row r="168" spans="1:31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13">
        <f t="shared" si="33"/>
        <v>0</v>
      </c>
    </row>
    <row r="169" spans="1:31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13">
        <f t="shared" si="33"/>
        <v>0</v>
      </c>
    </row>
    <row r="170" spans="1:31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13">
        <f t="shared" si="33"/>
        <v>0</v>
      </c>
    </row>
    <row r="171" spans="1:31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13">
        <f t="shared" si="33"/>
        <v>0</v>
      </c>
    </row>
    <row r="172" spans="1:31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13">
        <f t="shared" si="33"/>
        <v>0</v>
      </c>
    </row>
    <row r="173" spans="1:31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13">
        <f t="shared" si="33"/>
        <v>0</v>
      </c>
    </row>
    <row r="174" spans="1:31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13">
        <f t="shared" si="33"/>
        <v>0</v>
      </c>
    </row>
    <row r="175" spans="1:31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AE175" si="34">SUM(E165:E174)</f>
        <v>0</v>
      </c>
      <c r="F175" s="13">
        <f t="shared" si="34"/>
        <v>0</v>
      </c>
      <c r="G175" s="13">
        <f t="shared" si="34"/>
        <v>1</v>
      </c>
      <c r="H175" s="13">
        <f t="shared" si="34"/>
        <v>0</v>
      </c>
      <c r="I175" s="13">
        <f t="shared" si="34"/>
        <v>0</v>
      </c>
      <c r="J175" s="13">
        <f t="shared" si="34"/>
        <v>0</v>
      </c>
      <c r="K175" s="13">
        <f t="shared" si="34"/>
        <v>0</v>
      </c>
      <c r="L175" s="13">
        <f t="shared" si="34"/>
        <v>0</v>
      </c>
      <c r="M175" s="13">
        <f t="shared" si="34"/>
        <v>1</v>
      </c>
      <c r="N175" s="13">
        <f t="shared" si="34"/>
        <v>1</v>
      </c>
      <c r="O175" s="13">
        <f t="shared" si="34"/>
        <v>0</v>
      </c>
      <c r="P175" s="13">
        <f t="shared" si="34"/>
        <v>0</v>
      </c>
      <c r="Q175" s="13">
        <f t="shared" si="34"/>
        <v>1</v>
      </c>
      <c r="R175" s="13">
        <f t="shared" si="34"/>
        <v>1</v>
      </c>
      <c r="S175" s="13">
        <f t="shared" si="34"/>
        <v>1</v>
      </c>
      <c r="T175" s="13">
        <f t="shared" si="34"/>
        <v>0</v>
      </c>
      <c r="U175" s="13">
        <f t="shared" si="34"/>
        <v>0</v>
      </c>
      <c r="V175" s="13">
        <f t="shared" si="34"/>
        <v>0</v>
      </c>
      <c r="W175" s="13">
        <f t="shared" si="34"/>
        <v>1</v>
      </c>
      <c r="X175" s="13">
        <f t="shared" si="34"/>
        <v>0</v>
      </c>
      <c r="Y175" s="13">
        <f t="shared" si="34"/>
        <v>0</v>
      </c>
      <c r="Z175" s="13">
        <f t="shared" si="34"/>
        <v>2</v>
      </c>
      <c r="AA175" s="13">
        <f t="shared" si="34"/>
        <v>0</v>
      </c>
      <c r="AB175" s="13">
        <f t="shared" si="34"/>
        <v>1</v>
      </c>
      <c r="AC175" s="13">
        <f t="shared" si="34"/>
        <v>0</v>
      </c>
      <c r="AD175" s="13">
        <f t="shared" si="34"/>
        <v>0</v>
      </c>
      <c r="AE175" s="13">
        <f t="shared" si="34"/>
        <v>10</v>
      </c>
    </row>
    <row r="176" spans="1:31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</row>
    <row r="177" spans="1:31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0</v>
      </c>
      <c r="F177" s="16">
        <v>3</v>
      </c>
      <c r="G177" s="16">
        <v>4</v>
      </c>
      <c r="H177" s="16">
        <v>0</v>
      </c>
      <c r="I177" s="16">
        <v>0</v>
      </c>
      <c r="J177" s="16">
        <v>0</v>
      </c>
      <c r="K177" s="16">
        <v>2</v>
      </c>
      <c r="L177" s="16">
        <v>3</v>
      </c>
      <c r="M177" s="16">
        <v>1</v>
      </c>
      <c r="N177" s="16">
        <v>1</v>
      </c>
      <c r="O177" s="16">
        <v>0</v>
      </c>
      <c r="P177" s="16">
        <v>2</v>
      </c>
      <c r="Q177" s="16">
        <v>2</v>
      </c>
      <c r="R177" s="16">
        <v>0</v>
      </c>
      <c r="S177" s="16">
        <v>2</v>
      </c>
      <c r="T177" s="16">
        <v>0</v>
      </c>
      <c r="U177" s="16">
        <v>0</v>
      </c>
      <c r="V177" s="16">
        <v>3</v>
      </c>
      <c r="W177" s="16">
        <v>0</v>
      </c>
      <c r="X177" s="16">
        <v>1</v>
      </c>
      <c r="Y177" s="16">
        <v>1</v>
      </c>
      <c r="Z177" s="16">
        <v>1</v>
      </c>
      <c r="AA177" s="16">
        <v>0</v>
      </c>
      <c r="AB177" s="16">
        <v>1</v>
      </c>
      <c r="AC177" s="16">
        <v>2</v>
      </c>
      <c r="AD177" s="16">
        <v>3</v>
      </c>
      <c r="AE177" s="13">
        <f t="shared" ref="AE177:AE186" si="35">SUM(E177:AD177)</f>
        <v>32</v>
      </c>
    </row>
    <row r="178" spans="1:31" ht="12.75" customHeight="1" x14ac:dyDescent="0.4">
      <c r="A178" s="20" t="s">
        <v>38</v>
      </c>
      <c r="B178" s="28"/>
      <c r="C178" s="29" t="s">
        <v>109</v>
      </c>
      <c r="D178" s="30"/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1</v>
      </c>
      <c r="N178" s="16">
        <v>0</v>
      </c>
      <c r="O178" s="16">
        <v>0</v>
      </c>
      <c r="P178" s="16">
        <v>0</v>
      </c>
      <c r="Q178" s="16">
        <v>1</v>
      </c>
      <c r="R178" s="16">
        <v>0</v>
      </c>
      <c r="S178" s="16">
        <v>9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1</v>
      </c>
      <c r="Z178" s="16">
        <v>0</v>
      </c>
      <c r="AA178" s="16">
        <v>0</v>
      </c>
      <c r="AB178" s="16">
        <v>1</v>
      </c>
      <c r="AC178" s="16">
        <v>0</v>
      </c>
      <c r="AD178" s="16">
        <v>19</v>
      </c>
      <c r="AE178" s="13">
        <f t="shared" si="35"/>
        <v>32</v>
      </c>
    </row>
    <row r="179" spans="1:31" ht="12.75" customHeight="1" x14ac:dyDescent="0.4">
      <c r="A179" s="15"/>
      <c r="B179" s="28"/>
      <c r="C179" s="29" t="s">
        <v>110</v>
      </c>
      <c r="D179" s="30"/>
      <c r="E179" s="16">
        <v>1</v>
      </c>
      <c r="F179" s="16">
        <v>1</v>
      </c>
      <c r="G179" s="16">
        <v>4</v>
      </c>
      <c r="H179" s="16">
        <v>3</v>
      </c>
      <c r="I179" s="16">
        <v>0</v>
      </c>
      <c r="J179" s="16">
        <v>1</v>
      </c>
      <c r="K179" s="16">
        <v>0</v>
      </c>
      <c r="L179" s="16">
        <v>1</v>
      </c>
      <c r="M179" s="16">
        <v>3</v>
      </c>
      <c r="N179" s="16">
        <v>2</v>
      </c>
      <c r="O179" s="16">
        <v>0</v>
      </c>
      <c r="P179" s="16">
        <v>3</v>
      </c>
      <c r="Q179" s="16">
        <v>3</v>
      </c>
      <c r="R179" s="16">
        <v>1</v>
      </c>
      <c r="S179" s="16">
        <v>1</v>
      </c>
      <c r="T179" s="16">
        <v>3</v>
      </c>
      <c r="U179" s="16">
        <v>1</v>
      </c>
      <c r="V179" s="16">
        <v>18</v>
      </c>
      <c r="W179" s="16">
        <v>0</v>
      </c>
      <c r="X179" s="16">
        <v>2</v>
      </c>
      <c r="Y179" s="16">
        <v>0</v>
      </c>
      <c r="Z179" s="16">
        <v>1</v>
      </c>
      <c r="AA179" s="16">
        <v>0</v>
      </c>
      <c r="AB179" s="16">
        <v>2</v>
      </c>
      <c r="AC179" s="16">
        <v>0</v>
      </c>
      <c r="AD179" s="16">
        <v>0</v>
      </c>
      <c r="AE179" s="13">
        <f t="shared" si="35"/>
        <v>51</v>
      </c>
    </row>
    <row r="180" spans="1:31" ht="12.75" customHeight="1" x14ac:dyDescent="0.4">
      <c r="A180" s="15"/>
      <c r="B180" s="28"/>
      <c r="C180" s="29" t="s">
        <v>111</v>
      </c>
      <c r="D180" s="30"/>
      <c r="E180" s="16">
        <v>3</v>
      </c>
      <c r="F180" s="16">
        <v>0</v>
      </c>
      <c r="G180" s="16">
        <v>1</v>
      </c>
      <c r="H180" s="16">
        <v>1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1</v>
      </c>
      <c r="Q180" s="16">
        <v>0</v>
      </c>
      <c r="R180" s="16">
        <v>0</v>
      </c>
      <c r="S180" s="16">
        <v>1</v>
      </c>
      <c r="T180" s="16">
        <v>0</v>
      </c>
      <c r="U180" s="16">
        <v>0</v>
      </c>
      <c r="V180" s="16">
        <v>1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0</v>
      </c>
      <c r="AC180" s="16">
        <v>0</v>
      </c>
      <c r="AD180" s="16">
        <v>0</v>
      </c>
      <c r="AE180" s="13">
        <f t="shared" si="35"/>
        <v>8</v>
      </c>
    </row>
    <row r="181" spans="1:31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1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1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0</v>
      </c>
      <c r="AC181" s="16">
        <v>0</v>
      </c>
      <c r="AD181" s="16">
        <v>0</v>
      </c>
      <c r="AE181" s="13">
        <f t="shared" si="35"/>
        <v>2</v>
      </c>
    </row>
    <row r="182" spans="1:31" ht="12.75" customHeight="1" x14ac:dyDescent="0.4">
      <c r="A182" s="15"/>
      <c r="B182" s="28"/>
      <c r="C182" s="29" t="s">
        <v>113</v>
      </c>
      <c r="D182" s="30"/>
      <c r="E182" s="16">
        <v>3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1</v>
      </c>
      <c r="W182" s="16">
        <v>1</v>
      </c>
      <c r="X182" s="16">
        <v>0</v>
      </c>
      <c r="Y182" s="16">
        <v>0</v>
      </c>
      <c r="Z182" s="16">
        <v>0</v>
      </c>
      <c r="AA182" s="16">
        <v>0</v>
      </c>
      <c r="AB182" s="16">
        <v>0</v>
      </c>
      <c r="AC182" s="16">
        <v>0</v>
      </c>
      <c r="AD182" s="16">
        <v>1</v>
      </c>
      <c r="AE182" s="13">
        <f t="shared" si="35"/>
        <v>6</v>
      </c>
    </row>
    <row r="183" spans="1:31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0</v>
      </c>
      <c r="AC183" s="16">
        <v>0</v>
      </c>
      <c r="AD183" s="16">
        <v>0</v>
      </c>
      <c r="AE183" s="13">
        <f t="shared" si="35"/>
        <v>0</v>
      </c>
    </row>
    <row r="184" spans="1:31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13">
        <f t="shared" si="35"/>
        <v>0</v>
      </c>
    </row>
    <row r="185" spans="1:31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13">
        <f t="shared" si="35"/>
        <v>0</v>
      </c>
    </row>
    <row r="186" spans="1:31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13">
        <f t="shared" si="35"/>
        <v>0</v>
      </c>
    </row>
    <row r="187" spans="1:31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AE187" si="36">SUM(E177:E186)</f>
        <v>7</v>
      </c>
      <c r="F187" s="13">
        <f t="shared" si="36"/>
        <v>4</v>
      </c>
      <c r="G187" s="13">
        <f t="shared" si="36"/>
        <v>10</v>
      </c>
      <c r="H187" s="13">
        <f t="shared" si="36"/>
        <v>4</v>
      </c>
      <c r="I187" s="13">
        <f t="shared" si="36"/>
        <v>0</v>
      </c>
      <c r="J187" s="13">
        <f t="shared" si="36"/>
        <v>1</v>
      </c>
      <c r="K187" s="13">
        <f t="shared" si="36"/>
        <v>2</v>
      </c>
      <c r="L187" s="13">
        <f t="shared" si="36"/>
        <v>4</v>
      </c>
      <c r="M187" s="13">
        <f t="shared" si="36"/>
        <v>5</v>
      </c>
      <c r="N187" s="13">
        <f t="shared" si="36"/>
        <v>3</v>
      </c>
      <c r="O187" s="13">
        <f t="shared" si="36"/>
        <v>0</v>
      </c>
      <c r="P187" s="13">
        <f t="shared" si="36"/>
        <v>6</v>
      </c>
      <c r="Q187" s="13">
        <f t="shared" si="36"/>
        <v>6</v>
      </c>
      <c r="R187" s="13">
        <f t="shared" si="36"/>
        <v>1</v>
      </c>
      <c r="S187" s="13">
        <f t="shared" si="36"/>
        <v>13</v>
      </c>
      <c r="T187" s="13">
        <f t="shared" si="36"/>
        <v>4</v>
      </c>
      <c r="U187" s="13">
        <f t="shared" si="36"/>
        <v>1</v>
      </c>
      <c r="V187" s="13">
        <f t="shared" si="36"/>
        <v>23</v>
      </c>
      <c r="W187" s="13">
        <f t="shared" si="36"/>
        <v>1</v>
      </c>
      <c r="X187" s="13">
        <f t="shared" si="36"/>
        <v>3</v>
      </c>
      <c r="Y187" s="13">
        <f t="shared" si="36"/>
        <v>2</v>
      </c>
      <c r="Z187" s="13">
        <f t="shared" si="36"/>
        <v>2</v>
      </c>
      <c r="AA187" s="13">
        <f t="shared" si="36"/>
        <v>0</v>
      </c>
      <c r="AB187" s="13">
        <f t="shared" si="36"/>
        <v>4</v>
      </c>
      <c r="AC187" s="13">
        <f t="shared" si="36"/>
        <v>2</v>
      </c>
      <c r="AD187" s="13">
        <f t="shared" si="36"/>
        <v>23</v>
      </c>
      <c r="AE187" s="13">
        <f t="shared" si="36"/>
        <v>131</v>
      </c>
    </row>
    <row r="188" spans="1:31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T188" s="54"/>
      <c r="U188" s="54"/>
      <c r="V188" s="54"/>
      <c r="W188" s="54"/>
      <c r="X188" s="54"/>
      <c r="AE188" s="13"/>
    </row>
    <row r="189" spans="1:31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1</v>
      </c>
      <c r="F189" s="16">
        <v>0</v>
      </c>
      <c r="G189" s="16">
        <v>0</v>
      </c>
      <c r="H189" s="16">
        <v>0</v>
      </c>
      <c r="I189" s="16">
        <v>0</v>
      </c>
      <c r="J189" s="16">
        <v>2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1</v>
      </c>
      <c r="R189" s="16">
        <v>0</v>
      </c>
      <c r="S189" s="16">
        <v>0</v>
      </c>
      <c r="T189" s="16">
        <v>0</v>
      </c>
      <c r="U189" s="16">
        <v>1</v>
      </c>
      <c r="V189" s="16">
        <v>0</v>
      </c>
      <c r="W189" s="16">
        <v>0</v>
      </c>
      <c r="X189" s="16">
        <v>0</v>
      </c>
      <c r="Y189" s="16">
        <v>1</v>
      </c>
      <c r="Z189" s="16">
        <v>0</v>
      </c>
      <c r="AA189" s="16">
        <v>0</v>
      </c>
      <c r="AB189" s="16">
        <v>0</v>
      </c>
      <c r="AC189" s="16">
        <v>0</v>
      </c>
      <c r="AD189" s="16">
        <v>0</v>
      </c>
      <c r="AE189" s="13">
        <f t="shared" ref="AE189:AE198" si="37">SUM(E189:AD189)</f>
        <v>6</v>
      </c>
    </row>
    <row r="190" spans="1:31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6">
        <v>0</v>
      </c>
      <c r="AE190" s="13">
        <f t="shared" si="37"/>
        <v>0</v>
      </c>
    </row>
    <row r="191" spans="1:31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1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2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1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6">
        <v>0</v>
      </c>
      <c r="AE191" s="13">
        <f t="shared" si="37"/>
        <v>4</v>
      </c>
    </row>
    <row r="192" spans="1:31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1</v>
      </c>
      <c r="G192" s="16">
        <v>1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2</v>
      </c>
      <c r="R192" s="16">
        <v>1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6">
        <v>1</v>
      </c>
      <c r="AD192" s="16">
        <v>0</v>
      </c>
      <c r="AE192" s="13">
        <f t="shared" si="37"/>
        <v>6</v>
      </c>
    </row>
    <row r="193" spans="1:31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3">
        <f t="shared" si="37"/>
        <v>0</v>
      </c>
    </row>
    <row r="194" spans="1:31" ht="12.75" customHeight="1" x14ac:dyDescent="0.4">
      <c r="A194" s="15"/>
      <c r="B194" s="28"/>
      <c r="C194" s="29" t="s">
        <v>121</v>
      </c>
      <c r="D194" s="30"/>
      <c r="E194" s="16">
        <v>1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5</v>
      </c>
      <c r="N194" s="16">
        <v>4</v>
      </c>
      <c r="O194" s="16">
        <v>3</v>
      </c>
      <c r="P194" s="16">
        <v>1</v>
      </c>
      <c r="Q194" s="16">
        <v>3</v>
      </c>
      <c r="R194" s="16">
        <v>2</v>
      </c>
      <c r="S194" s="16">
        <v>1</v>
      </c>
      <c r="T194" s="16">
        <v>0</v>
      </c>
      <c r="U194" s="16">
        <v>0</v>
      </c>
      <c r="V194" s="16">
        <v>0</v>
      </c>
      <c r="W194" s="16">
        <v>1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3">
        <f t="shared" si="37"/>
        <v>21</v>
      </c>
    </row>
    <row r="195" spans="1:31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1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1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0</v>
      </c>
      <c r="AC195" s="16">
        <v>0</v>
      </c>
      <c r="AD195" s="16">
        <v>0</v>
      </c>
      <c r="AE195" s="13">
        <f t="shared" si="37"/>
        <v>2</v>
      </c>
    </row>
    <row r="196" spans="1:31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13">
        <f t="shared" si="37"/>
        <v>0</v>
      </c>
    </row>
    <row r="197" spans="1:31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13">
        <f t="shared" si="37"/>
        <v>0</v>
      </c>
    </row>
    <row r="198" spans="1:31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13">
        <f t="shared" si="37"/>
        <v>0</v>
      </c>
    </row>
    <row r="199" spans="1:31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AE199" si="38">SUM(E189:E198)</f>
        <v>2</v>
      </c>
      <c r="F199" s="13">
        <f t="shared" si="38"/>
        <v>2</v>
      </c>
      <c r="G199" s="13">
        <f t="shared" si="38"/>
        <v>1</v>
      </c>
      <c r="H199" s="13">
        <f t="shared" si="38"/>
        <v>0</v>
      </c>
      <c r="I199" s="13">
        <f t="shared" si="38"/>
        <v>0</v>
      </c>
      <c r="J199" s="13">
        <f t="shared" si="38"/>
        <v>2</v>
      </c>
      <c r="K199" s="13">
        <f t="shared" si="38"/>
        <v>0</v>
      </c>
      <c r="L199" s="13">
        <f t="shared" si="38"/>
        <v>0</v>
      </c>
      <c r="M199" s="13">
        <f t="shared" si="38"/>
        <v>5</v>
      </c>
      <c r="N199" s="13">
        <f t="shared" si="38"/>
        <v>7</v>
      </c>
      <c r="O199" s="13">
        <f t="shared" si="38"/>
        <v>3</v>
      </c>
      <c r="P199" s="13">
        <f t="shared" si="38"/>
        <v>1</v>
      </c>
      <c r="Q199" s="13">
        <f t="shared" si="38"/>
        <v>6</v>
      </c>
      <c r="R199" s="13">
        <f t="shared" si="38"/>
        <v>3</v>
      </c>
      <c r="S199" s="13">
        <f t="shared" si="38"/>
        <v>1</v>
      </c>
      <c r="T199" s="13">
        <f t="shared" si="38"/>
        <v>1</v>
      </c>
      <c r="U199" s="13">
        <f t="shared" si="38"/>
        <v>1</v>
      </c>
      <c r="V199" s="13">
        <f t="shared" si="38"/>
        <v>0</v>
      </c>
      <c r="W199" s="13">
        <f t="shared" si="38"/>
        <v>1</v>
      </c>
      <c r="X199" s="13">
        <f t="shared" si="38"/>
        <v>1</v>
      </c>
      <c r="Y199" s="13">
        <f t="shared" si="38"/>
        <v>1</v>
      </c>
      <c r="Z199" s="13">
        <f t="shared" si="38"/>
        <v>0</v>
      </c>
      <c r="AA199" s="13">
        <f t="shared" si="38"/>
        <v>0</v>
      </c>
      <c r="AB199" s="13">
        <f t="shared" si="38"/>
        <v>0</v>
      </c>
      <c r="AC199" s="13">
        <f t="shared" si="38"/>
        <v>1</v>
      </c>
      <c r="AD199" s="13">
        <f t="shared" si="38"/>
        <v>0</v>
      </c>
      <c r="AE199" s="13">
        <f t="shared" si="38"/>
        <v>39</v>
      </c>
    </row>
    <row r="200" spans="1:31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</row>
    <row r="201" spans="1:31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6</v>
      </c>
      <c r="F201" s="16">
        <v>6</v>
      </c>
      <c r="G201" s="16">
        <v>0</v>
      </c>
      <c r="H201" s="16">
        <v>1</v>
      </c>
      <c r="I201" s="16">
        <v>3</v>
      </c>
      <c r="J201" s="16">
        <v>3</v>
      </c>
      <c r="K201" s="16">
        <v>8</v>
      </c>
      <c r="L201" s="16">
        <v>5</v>
      </c>
      <c r="M201" s="16">
        <v>6</v>
      </c>
      <c r="N201" s="16">
        <v>1</v>
      </c>
      <c r="O201" s="16">
        <v>4</v>
      </c>
      <c r="P201" s="16">
        <v>3</v>
      </c>
      <c r="Q201" s="16">
        <v>2</v>
      </c>
      <c r="R201" s="16">
        <v>2</v>
      </c>
      <c r="S201" s="16">
        <v>2</v>
      </c>
      <c r="T201" s="16">
        <v>7</v>
      </c>
      <c r="U201" s="16">
        <v>0</v>
      </c>
      <c r="V201" s="16">
        <v>2</v>
      </c>
      <c r="W201" s="16">
        <v>5</v>
      </c>
      <c r="X201" s="16">
        <v>2</v>
      </c>
      <c r="Y201" s="16">
        <v>9</v>
      </c>
      <c r="Z201" s="16">
        <v>2</v>
      </c>
      <c r="AA201" s="16">
        <v>4</v>
      </c>
      <c r="AB201" s="16">
        <v>4</v>
      </c>
      <c r="AC201" s="16">
        <v>3</v>
      </c>
      <c r="AD201" s="16">
        <v>4</v>
      </c>
      <c r="AE201" s="13">
        <f t="shared" ref="AE201:AE210" si="39">SUM(E201:AD201)</f>
        <v>94</v>
      </c>
    </row>
    <row r="202" spans="1:31" ht="12.75" customHeight="1" x14ac:dyDescent="0.4">
      <c r="A202" s="20" t="s">
        <v>38</v>
      </c>
      <c r="B202" s="28"/>
      <c r="C202" s="29" t="s">
        <v>125</v>
      </c>
      <c r="D202" s="30"/>
      <c r="E202" s="16">
        <v>16</v>
      </c>
      <c r="F202" s="16">
        <v>6</v>
      </c>
      <c r="G202" s="16">
        <v>9</v>
      </c>
      <c r="H202" s="16">
        <v>7</v>
      </c>
      <c r="I202" s="16">
        <v>0</v>
      </c>
      <c r="J202" s="16">
        <v>0</v>
      </c>
      <c r="K202" s="16">
        <v>18</v>
      </c>
      <c r="L202" s="16">
        <v>4</v>
      </c>
      <c r="M202" s="16">
        <v>23</v>
      </c>
      <c r="N202" s="16">
        <v>4</v>
      </c>
      <c r="O202" s="16">
        <v>2</v>
      </c>
      <c r="P202" s="16">
        <v>2</v>
      </c>
      <c r="Q202" s="16">
        <v>4</v>
      </c>
      <c r="R202" s="16">
        <v>7</v>
      </c>
      <c r="S202" s="16">
        <v>1</v>
      </c>
      <c r="T202" s="16">
        <v>0</v>
      </c>
      <c r="U202" s="16">
        <v>0</v>
      </c>
      <c r="V202" s="16">
        <v>4</v>
      </c>
      <c r="W202" s="16">
        <v>1</v>
      </c>
      <c r="X202" s="16">
        <v>4</v>
      </c>
      <c r="Y202" s="16">
        <v>2</v>
      </c>
      <c r="Z202" s="16">
        <v>9</v>
      </c>
      <c r="AA202" s="16">
        <v>2</v>
      </c>
      <c r="AB202" s="16">
        <v>0</v>
      </c>
      <c r="AC202" s="16">
        <v>4</v>
      </c>
      <c r="AD202" s="16">
        <v>5</v>
      </c>
      <c r="AE202" s="13">
        <f t="shared" si="39"/>
        <v>134</v>
      </c>
    </row>
    <row r="203" spans="1:31" ht="12.75" customHeight="1" x14ac:dyDescent="0.4">
      <c r="A203" s="15"/>
      <c r="B203" s="28"/>
      <c r="C203" s="29" t="s">
        <v>126</v>
      </c>
      <c r="D203" s="30"/>
      <c r="E203" s="16">
        <v>1</v>
      </c>
      <c r="F203" s="16">
        <v>2</v>
      </c>
      <c r="G203" s="16">
        <v>11</v>
      </c>
      <c r="H203" s="16">
        <v>1</v>
      </c>
      <c r="I203" s="16">
        <v>2</v>
      </c>
      <c r="J203" s="16">
        <v>0</v>
      </c>
      <c r="K203" s="16">
        <v>2</v>
      </c>
      <c r="L203" s="16">
        <v>5</v>
      </c>
      <c r="M203" s="16">
        <v>0</v>
      </c>
      <c r="N203" s="16">
        <v>4</v>
      </c>
      <c r="O203" s="16">
        <v>3</v>
      </c>
      <c r="P203" s="16">
        <v>12</v>
      </c>
      <c r="Q203" s="16">
        <v>13</v>
      </c>
      <c r="R203" s="16">
        <v>5</v>
      </c>
      <c r="S203" s="16">
        <v>11</v>
      </c>
      <c r="T203" s="16">
        <v>39</v>
      </c>
      <c r="U203" s="16">
        <v>6</v>
      </c>
      <c r="V203" s="16">
        <v>17</v>
      </c>
      <c r="W203" s="16">
        <v>37</v>
      </c>
      <c r="X203" s="16">
        <v>26</v>
      </c>
      <c r="Y203" s="16">
        <v>104</v>
      </c>
      <c r="Z203" s="16">
        <v>8</v>
      </c>
      <c r="AA203" s="16">
        <v>4</v>
      </c>
      <c r="AB203" s="16">
        <v>9</v>
      </c>
      <c r="AC203" s="16">
        <v>8</v>
      </c>
      <c r="AD203" s="16">
        <v>7</v>
      </c>
      <c r="AE203" s="13">
        <f t="shared" si="39"/>
        <v>337</v>
      </c>
    </row>
    <row r="204" spans="1:31" ht="12.75" customHeight="1" x14ac:dyDescent="0.4">
      <c r="A204" s="15"/>
      <c r="B204" s="28"/>
      <c r="C204" s="29" t="s">
        <v>127</v>
      </c>
      <c r="D204" s="30"/>
      <c r="E204" s="16">
        <v>7</v>
      </c>
      <c r="F204" s="16">
        <v>10</v>
      </c>
      <c r="G204" s="16">
        <v>10</v>
      </c>
      <c r="H204" s="16">
        <v>25</v>
      </c>
      <c r="I204" s="16">
        <v>11</v>
      </c>
      <c r="J204" s="16">
        <v>2</v>
      </c>
      <c r="K204" s="16">
        <v>16</v>
      </c>
      <c r="L204" s="16">
        <v>39</v>
      </c>
      <c r="M204" s="16">
        <v>13</v>
      </c>
      <c r="N204" s="16">
        <v>2</v>
      </c>
      <c r="O204" s="16">
        <v>2</v>
      </c>
      <c r="P204" s="16">
        <v>5</v>
      </c>
      <c r="Q204" s="16">
        <v>3</v>
      </c>
      <c r="R204" s="16">
        <v>3</v>
      </c>
      <c r="S204" s="16">
        <v>4</v>
      </c>
      <c r="T204" s="16">
        <v>12</v>
      </c>
      <c r="U204" s="16">
        <v>3</v>
      </c>
      <c r="V204" s="16">
        <v>3</v>
      </c>
      <c r="W204" s="16">
        <v>2</v>
      </c>
      <c r="X204" s="16">
        <v>3</v>
      </c>
      <c r="Y204" s="16">
        <v>0</v>
      </c>
      <c r="Z204" s="16">
        <v>0</v>
      </c>
      <c r="AA204" s="16">
        <v>1</v>
      </c>
      <c r="AB204" s="16">
        <v>5</v>
      </c>
      <c r="AC204" s="16">
        <v>0</v>
      </c>
      <c r="AD204" s="16">
        <v>1</v>
      </c>
      <c r="AE204" s="13">
        <f t="shared" si="39"/>
        <v>182</v>
      </c>
    </row>
    <row r="205" spans="1:31" ht="12.75" customHeight="1" x14ac:dyDescent="0.4">
      <c r="A205" s="15"/>
      <c r="B205" s="28"/>
      <c r="C205" s="29" t="s">
        <v>128</v>
      </c>
      <c r="D205" s="30"/>
      <c r="E205" s="16">
        <v>1</v>
      </c>
      <c r="F205" s="16">
        <v>1</v>
      </c>
      <c r="G205" s="16">
        <v>0</v>
      </c>
      <c r="H205" s="16">
        <v>0</v>
      </c>
      <c r="I205" s="16">
        <v>0</v>
      </c>
      <c r="J205" s="16">
        <v>1</v>
      </c>
      <c r="K205" s="16">
        <v>0</v>
      </c>
      <c r="L205" s="16">
        <v>0</v>
      </c>
      <c r="M205" s="16">
        <v>0</v>
      </c>
      <c r="N205" s="16">
        <v>1</v>
      </c>
      <c r="O205" s="16">
        <v>0</v>
      </c>
      <c r="P205" s="16">
        <v>0</v>
      </c>
      <c r="Q205" s="16">
        <v>0</v>
      </c>
      <c r="R205" s="16">
        <v>1</v>
      </c>
      <c r="S205" s="16">
        <v>0</v>
      </c>
      <c r="T205" s="16">
        <v>1</v>
      </c>
      <c r="U205" s="16">
        <v>0</v>
      </c>
      <c r="V205" s="16">
        <v>0</v>
      </c>
      <c r="W205" s="16">
        <v>1</v>
      </c>
      <c r="X205" s="16">
        <v>0</v>
      </c>
      <c r="Y205" s="16">
        <v>2</v>
      </c>
      <c r="Z205" s="16">
        <v>0</v>
      </c>
      <c r="AA205" s="16">
        <v>0</v>
      </c>
      <c r="AB205" s="16">
        <v>1</v>
      </c>
      <c r="AC205" s="16">
        <v>0</v>
      </c>
      <c r="AD205" s="16">
        <v>0</v>
      </c>
      <c r="AE205" s="13">
        <f t="shared" si="39"/>
        <v>10</v>
      </c>
    </row>
    <row r="206" spans="1:31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0</v>
      </c>
      <c r="H206" s="16">
        <v>0</v>
      </c>
      <c r="I206" s="16">
        <v>1</v>
      </c>
      <c r="J206" s="16">
        <v>0</v>
      </c>
      <c r="K206" s="16">
        <v>0</v>
      </c>
      <c r="L206" s="16">
        <v>0</v>
      </c>
      <c r="M206" s="16">
        <v>0</v>
      </c>
      <c r="N206" s="16">
        <v>0</v>
      </c>
      <c r="O206" s="16">
        <v>0</v>
      </c>
      <c r="P206" s="16">
        <v>0</v>
      </c>
      <c r="Q206" s="16">
        <v>0</v>
      </c>
      <c r="R206" s="16">
        <v>1</v>
      </c>
      <c r="S206" s="16">
        <v>0</v>
      </c>
      <c r="T206" s="16">
        <v>0</v>
      </c>
      <c r="U206" s="16">
        <v>0</v>
      </c>
      <c r="V206" s="16">
        <v>0</v>
      </c>
      <c r="W206" s="16">
        <v>0</v>
      </c>
      <c r="X206" s="16">
        <v>0</v>
      </c>
      <c r="Y206" s="16">
        <v>1</v>
      </c>
      <c r="Z206" s="16">
        <v>1</v>
      </c>
      <c r="AA206" s="16">
        <v>0</v>
      </c>
      <c r="AB206" s="16">
        <v>1</v>
      </c>
      <c r="AC206" s="16">
        <v>0</v>
      </c>
      <c r="AD206" s="16">
        <v>0</v>
      </c>
      <c r="AE206" s="13">
        <f t="shared" si="39"/>
        <v>5</v>
      </c>
    </row>
    <row r="207" spans="1:31" ht="12.75" customHeight="1" x14ac:dyDescent="0.4">
      <c r="A207" s="15"/>
      <c r="B207" s="28"/>
      <c r="C207" s="29" t="s">
        <v>130</v>
      </c>
      <c r="D207" s="30"/>
      <c r="E207" s="16">
        <v>40</v>
      </c>
      <c r="F207" s="16">
        <v>6</v>
      </c>
      <c r="G207" s="16">
        <v>1</v>
      </c>
      <c r="H207" s="16">
        <v>8</v>
      </c>
      <c r="I207" s="16">
        <v>0</v>
      </c>
      <c r="J207" s="16">
        <v>0</v>
      </c>
      <c r="K207" s="16">
        <v>7</v>
      </c>
      <c r="L207" s="16">
        <v>5</v>
      </c>
      <c r="M207" s="16">
        <v>5</v>
      </c>
      <c r="N207" s="16">
        <v>4</v>
      </c>
      <c r="O207" s="16">
        <v>8</v>
      </c>
      <c r="P207" s="16">
        <v>8</v>
      </c>
      <c r="Q207" s="16">
        <v>7</v>
      </c>
      <c r="R207" s="16">
        <v>5</v>
      </c>
      <c r="S207" s="16">
        <v>4</v>
      </c>
      <c r="T207" s="16">
        <v>1</v>
      </c>
      <c r="U207" s="16">
        <v>0</v>
      </c>
      <c r="V207" s="16">
        <v>0</v>
      </c>
      <c r="W207" s="16">
        <v>2</v>
      </c>
      <c r="X207" s="16">
        <v>1</v>
      </c>
      <c r="Y207" s="16">
        <v>2</v>
      </c>
      <c r="Z207" s="16">
        <v>1</v>
      </c>
      <c r="AA207" s="16">
        <v>2</v>
      </c>
      <c r="AB207" s="16">
        <v>3</v>
      </c>
      <c r="AC207" s="16">
        <v>0</v>
      </c>
      <c r="AD207" s="16">
        <v>1</v>
      </c>
      <c r="AE207" s="13">
        <f t="shared" si="39"/>
        <v>121</v>
      </c>
    </row>
    <row r="208" spans="1:31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13">
        <f t="shared" si="39"/>
        <v>0</v>
      </c>
    </row>
    <row r="209" spans="1:31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13">
        <f t="shared" si="39"/>
        <v>0</v>
      </c>
    </row>
    <row r="210" spans="1:31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13">
        <f t="shared" si="39"/>
        <v>0</v>
      </c>
    </row>
    <row r="211" spans="1:31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AE211" si="40">SUM(E201:E210)</f>
        <v>71</v>
      </c>
      <c r="F211" s="13">
        <f t="shared" si="40"/>
        <v>31</v>
      </c>
      <c r="G211" s="13">
        <f t="shared" si="40"/>
        <v>31</v>
      </c>
      <c r="H211" s="13">
        <f t="shared" si="40"/>
        <v>42</v>
      </c>
      <c r="I211" s="13">
        <f t="shared" si="40"/>
        <v>17</v>
      </c>
      <c r="J211" s="13">
        <f t="shared" si="40"/>
        <v>6</v>
      </c>
      <c r="K211" s="13">
        <f t="shared" si="40"/>
        <v>51</v>
      </c>
      <c r="L211" s="13">
        <f t="shared" si="40"/>
        <v>58</v>
      </c>
      <c r="M211" s="13">
        <f t="shared" si="40"/>
        <v>47</v>
      </c>
      <c r="N211" s="13">
        <f t="shared" si="40"/>
        <v>16</v>
      </c>
      <c r="O211" s="13">
        <f t="shared" si="40"/>
        <v>19</v>
      </c>
      <c r="P211" s="13">
        <f t="shared" si="40"/>
        <v>30</v>
      </c>
      <c r="Q211" s="13">
        <f t="shared" si="40"/>
        <v>29</v>
      </c>
      <c r="R211" s="13">
        <f t="shared" si="40"/>
        <v>24</v>
      </c>
      <c r="S211" s="13">
        <f t="shared" si="40"/>
        <v>22</v>
      </c>
      <c r="T211" s="13">
        <f t="shared" si="40"/>
        <v>60</v>
      </c>
      <c r="U211" s="13">
        <f t="shared" si="40"/>
        <v>9</v>
      </c>
      <c r="V211" s="13">
        <f t="shared" si="40"/>
        <v>26</v>
      </c>
      <c r="W211" s="13">
        <f t="shared" si="40"/>
        <v>48</v>
      </c>
      <c r="X211" s="13">
        <f t="shared" si="40"/>
        <v>36</v>
      </c>
      <c r="Y211" s="13">
        <f t="shared" si="40"/>
        <v>120</v>
      </c>
      <c r="Z211" s="13">
        <f t="shared" si="40"/>
        <v>21</v>
      </c>
      <c r="AA211" s="13">
        <f t="shared" si="40"/>
        <v>13</v>
      </c>
      <c r="AB211" s="13">
        <f t="shared" si="40"/>
        <v>23</v>
      </c>
      <c r="AC211" s="13">
        <f t="shared" si="40"/>
        <v>15</v>
      </c>
      <c r="AD211" s="13">
        <f t="shared" si="40"/>
        <v>18</v>
      </c>
      <c r="AE211" s="13">
        <f t="shared" si="40"/>
        <v>883</v>
      </c>
    </row>
    <row r="212" spans="1:31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</row>
    <row r="213" spans="1:31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2</v>
      </c>
      <c r="F213" s="16">
        <v>2</v>
      </c>
      <c r="G213" s="16">
        <v>2</v>
      </c>
      <c r="H213" s="16">
        <v>3</v>
      </c>
      <c r="I213" s="16">
        <v>1</v>
      </c>
      <c r="J213" s="16">
        <v>0</v>
      </c>
      <c r="K213" s="16">
        <v>3</v>
      </c>
      <c r="L213" s="16">
        <v>0</v>
      </c>
      <c r="M213" s="16">
        <v>1</v>
      </c>
      <c r="N213" s="16">
        <v>0</v>
      </c>
      <c r="O213" s="16">
        <v>5</v>
      </c>
      <c r="P213" s="16">
        <v>0</v>
      </c>
      <c r="Q213" s="16">
        <v>1</v>
      </c>
      <c r="R213" s="16">
        <v>1</v>
      </c>
      <c r="S213" s="16">
        <v>3</v>
      </c>
      <c r="T213" s="16">
        <v>2</v>
      </c>
      <c r="U213" s="16">
        <v>4</v>
      </c>
      <c r="V213" s="16">
        <v>3</v>
      </c>
      <c r="W213" s="16">
        <v>0</v>
      </c>
      <c r="X213" s="16">
        <v>0</v>
      </c>
      <c r="Y213" s="16">
        <v>2</v>
      </c>
      <c r="Z213" s="16">
        <v>2</v>
      </c>
      <c r="AA213" s="16">
        <v>2</v>
      </c>
      <c r="AB213" s="16">
        <v>4</v>
      </c>
      <c r="AC213" s="16">
        <v>1</v>
      </c>
      <c r="AD213" s="16">
        <v>3</v>
      </c>
      <c r="AE213" s="13">
        <f t="shared" ref="AE213:AE222" si="41">SUM(E213:AD213)</f>
        <v>47</v>
      </c>
    </row>
    <row r="214" spans="1:31" ht="12.75" customHeight="1" x14ac:dyDescent="0.4">
      <c r="A214" s="20" t="s">
        <v>38</v>
      </c>
      <c r="B214" s="27"/>
      <c r="C214" s="29" t="s">
        <v>133</v>
      </c>
      <c r="D214" s="40"/>
      <c r="E214" s="16">
        <v>0</v>
      </c>
      <c r="F214" s="16">
        <v>0</v>
      </c>
      <c r="G214" s="16">
        <v>1</v>
      </c>
      <c r="H214" s="16">
        <v>0</v>
      </c>
      <c r="I214" s="16">
        <v>0</v>
      </c>
      <c r="J214" s="16">
        <v>0</v>
      </c>
      <c r="K214" s="16">
        <v>3</v>
      </c>
      <c r="L214" s="16">
        <v>0</v>
      </c>
      <c r="M214" s="16">
        <v>0</v>
      </c>
      <c r="N214" s="16">
        <v>1</v>
      </c>
      <c r="O214" s="16">
        <v>0</v>
      </c>
      <c r="P214" s="16">
        <v>2</v>
      </c>
      <c r="Q214" s="16">
        <v>2</v>
      </c>
      <c r="R214" s="16">
        <v>0</v>
      </c>
      <c r="S214" s="16">
        <v>3</v>
      </c>
      <c r="T214" s="16">
        <v>0</v>
      </c>
      <c r="U214" s="16">
        <v>0</v>
      </c>
      <c r="V214" s="16">
        <v>0</v>
      </c>
      <c r="W214" s="16">
        <v>1</v>
      </c>
      <c r="X214" s="16">
        <v>1</v>
      </c>
      <c r="Y214" s="16">
        <v>1</v>
      </c>
      <c r="Z214" s="16">
        <v>0</v>
      </c>
      <c r="AA214" s="16">
        <v>2</v>
      </c>
      <c r="AB214" s="16">
        <v>9</v>
      </c>
      <c r="AC214" s="16">
        <v>1</v>
      </c>
      <c r="AD214" s="16">
        <v>0</v>
      </c>
      <c r="AE214" s="13">
        <f t="shared" si="41"/>
        <v>27</v>
      </c>
    </row>
    <row r="215" spans="1:31" ht="12.75" customHeight="1" x14ac:dyDescent="0.4">
      <c r="A215" s="15"/>
      <c r="B215" s="27"/>
      <c r="C215" s="29" t="s">
        <v>134</v>
      </c>
      <c r="D215" s="40"/>
      <c r="E215" s="16">
        <v>0</v>
      </c>
      <c r="F215" s="16">
        <v>1</v>
      </c>
      <c r="G215" s="16">
        <v>2</v>
      </c>
      <c r="H215" s="16">
        <v>0</v>
      </c>
      <c r="I215" s="16">
        <v>1</v>
      </c>
      <c r="J215" s="16">
        <v>0</v>
      </c>
      <c r="K215" s="16">
        <v>0</v>
      </c>
      <c r="L215" s="16">
        <v>2</v>
      </c>
      <c r="M215" s="16">
        <v>0</v>
      </c>
      <c r="N215" s="16">
        <v>0</v>
      </c>
      <c r="O215" s="16">
        <v>0</v>
      </c>
      <c r="P215" s="16">
        <v>0</v>
      </c>
      <c r="Q215" s="16">
        <v>1</v>
      </c>
      <c r="R215" s="16">
        <v>0</v>
      </c>
      <c r="S215" s="16">
        <v>1</v>
      </c>
      <c r="T215" s="16">
        <v>0</v>
      </c>
      <c r="U215" s="16">
        <v>2</v>
      </c>
      <c r="V215" s="16">
        <v>1</v>
      </c>
      <c r="W215" s="16">
        <v>0</v>
      </c>
      <c r="X215" s="16">
        <v>1</v>
      </c>
      <c r="Y215" s="16">
        <v>0</v>
      </c>
      <c r="Z215" s="16">
        <v>0</v>
      </c>
      <c r="AA215" s="16">
        <v>1</v>
      </c>
      <c r="AB215" s="16">
        <v>4</v>
      </c>
      <c r="AC215" s="16">
        <v>0</v>
      </c>
      <c r="AD215" s="16">
        <v>1</v>
      </c>
      <c r="AE215" s="13">
        <f t="shared" si="41"/>
        <v>18</v>
      </c>
    </row>
    <row r="216" spans="1:31" ht="12.75" customHeight="1" x14ac:dyDescent="0.4">
      <c r="A216" s="15"/>
      <c r="B216" s="27"/>
      <c r="C216" s="29" t="s">
        <v>135</v>
      </c>
      <c r="D216" s="40"/>
      <c r="E216" s="16">
        <v>1</v>
      </c>
      <c r="F216" s="16">
        <v>0</v>
      </c>
      <c r="G216" s="16">
        <v>1</v>
      </c>
      <c r="H216" s="16">
        <v>0</v>
      </c>
      <c r="I216" s="16">
        <v>0</v>
      </c>
      <c r="J216" s="16">
        <v>0</v>
      </c>
      <c r="K216" s="16">
        <v>1</v>
      </c>
      <c r="L216" s="16">
        <v>0</v>
      </c>
      <c r="M216" s="16">
        <v>0</v>
      </c>
      <c r="N216" s="16">
        <v>2</v>
      </c>
      <c r="O216" s="16">
        <v>0</v>
      </c>
      <c r="P216" s="16">
        <v>0</v>
      </c>
      <c r="Q216" s="16">
        <v>0</v>
      </c>
      <c r="R216" s="16">
        <v>0</v>
      </c>
      <c r="S216" s="16">
        <v>0</v>
      </c>
      <c r="T216" s="16">
        <v>0</v>
      </c>
      <c r="U216" s="16">
        <v>0</v>
      </c>
      <c r="V216" s="16">
        <v>0</v>
      </c>
      <c r="W216" s="16">
        <v>0</v>
      </c>
      <c r="X216" s="16">
        <v>0</v>
      </c>
      <c r="Y216" s="16">
        <v>0</v>
      </c>
      <c r="Z216" s="16">
        <v>2</v>
      </c>
      <c r="AA216" s="16">
        <v>0</v>
      </c>
      <c r="AB216" s="16">
        <v>0</v>
      </c>
      <c r="AC216" s="16">
        <v>1</v>
      </c>
      <c r="AD216" s="16">
        <v>0</v>
      </c>
      <c r="AE216" s="13">
        <f t="shared" si="41"/>
        <v>8</v>
      </c>
    </row>
    <row r="217" spans="1:31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0</v>
      </c>
      <c r="L217" s="16">
        <v>0</v>
      </c>
      <c r="M217" s="16">
        <v>0</v>
      </c>
      <c r="N217" s="16">
        <v>0</v>
      </c>
      <c r="O217" s="16">
        <v>0</v>
      </c>
      <c r="P217" s="16">
        <v>0</v>
      </c>
      <c r="Q217" s="16">
        <v>0</v>
      </c>
      <c r="R217" s="16">
        <v>1</v>
      </c>
      <c r="S217" s="16">
        <v>0</v>
      </c>
      <c r="T217" s="16">
        <v>0</v>
      </c>
      <c r="U217" s="16">
        <v>1</v>
      </c>
      <c r="V217" s="16">
        <v>1</v>
      </c>
      <c r="W217" s="16">
        <v>0</v>
      </c>
      <c r="X217" s="16">
        <v>0</v>
      </c>
      <c r="Y217" s="16">
        <v>0</v>
      </c>
      <c r="Z217" s="16">
        <v>0</v>
      </c>
      <c r="AA217" s="16">
        <v>1</v>
      </c>
      <c r="AB217" s="16">
        <v>1</v>
      </c>
      <c r="AC217" s="16">
        <v>0</v>
      </c>
      <c r="AD217" s="16">
        <v>1</v>
      </c>
      <c r="AE217" s="13">
        <f t="shared" si="41"/>
        <v>6</v>
      </c>
    </row>
    <row r="218" spans="1:31" ht="12.75" customHeight="1" x14ac:dyDescent="0.4">
      <c r="A218" s="15"/>
      <c r="B218" s="28"/>
      <c r="C218" s="29" t="s">
        <v>137</v>
      </c>
      <c r="D218" s="30"/>
      <c r="E218" s="16">
        <v>1</v>
      </c>
      <c r="F218" s="16">
        <v>2</v>
      </c>
      <c r="G218" s="16">
        <v>0</v>
      </c>
      <c r="H218" s="16">
        <v>0</v>
      </c>
      <c r="I218" s="16">
        <v>0</v>
      </c>
      <c r="J218" s="16">
        <v>0</v>
      </c>
      <c r="K218" s="16">
        <v>1</v>
      </c>
      <c r="L218" s="16">
        <v>0</v>
      </c>
      <c r="M218" s="16">
        <v>0</v>
      </c>
      <c r="N218" s="16">
        <v>2</v>
      </c>
      <c r="O218" s="16">
        <v>0</v>
      </c>
      <c r="P218" s="16">
        <v>0</v>
      </c>
      <c r="Q218" s="16">
        <v>0</v>
      </c>
      <c r="R218" s="16">
        <v>0</v>
      </c>
      <c r="S218" s="16">
        <v>0</v>
      </c>
      <c r="T218" s="16">
        <v>0</v>
      </c>
      <c r="U218" s="16">
        <v>0</v>
      </c>
      <c r="V218" s="16">
        <v>1</v>
      </c>
      <c r="W218" s="16">
        <v>0</v>
      </c>
      <c r="X218" s="16">
        <v>0</v>
      </c>
      <c r="Y218" s="16">
        <v>0</v>
      </c>
      <c r="Z218" s="16">
        <v>0</v>
      </c>
      <c r="AA218" s="16">
        <v>0</v>
      </c>
      <c r="AB218" s="16">
        <v>0</v>
      </c>
      <c r="AC218" s="16">
        <v>0</v>
      </c>
      <c r="AD218" s="16">
        <v>0</v>
      </c>
      <c r="AE218" s="13">
        <f t="shared" si="41"/>
        <v>7</v>
      </c>
    </row>
    <row r="219" spans="1:31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13">
        <f t="shared" si="41"/>
        <v>0</v>
      </c>
    </row>
    <row r="220" spans="1:31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13">
        <f t="shared" si="41"/>
        <v>0</v>
      </c>
    </row>
    <row r="221" spans="1:31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13">
        <f t="shared" si="41"/>
        <v>0</v>
      </c>
    </row>
    <row r="222" spans="1:31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13">
        <f t="shared" si="41"/>
        <v>0</v>
      </c>
    </row>
    <row r="223" spans="1:31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AE223" si="42">SUM(E213:E222)</f>
        <v>4</v>
      </c>
      <c r="F223" s="13">
        <f t="shared" si="42"/>
        <v>5</v>
      </c>
      <c r="G223" s="13">
        <f t="shared" si="42"/>
        <v>6</v>
      </c>
      <c r="H223" s="13">
        <f t="shared" si="42"/>
        <v>3</v>
      </c>
      <c r="I223" s="13">
        <f t="shared" si="42"/>
        <v>2</v>
      </c>
      <c r="J223" s="13">
        <f t="shared" si="42"/>
        <v>0</v>
      </c>
      <c r="K223" s="13">
        <f t="shared" si="42"/>
        <v>8</v>
      </c>
      <c r="L223" s="13">
        <f t="shared" si="42"/>
        <v>2</v>
      </c>
      <c r="M223" s="13">
        <f t="shared" si="42"/>
        <v>1</v>
      </c>
      <c r="N223" s="13">
        <f t="shared" si="42"/>
        <v>5</v>
      </c>
      <c r="O223" s="13">
        <f t="shared" si="42"/>
        <v>5</v>
      </c>
      <c r="P223" s="13">
        <f t="shared" si="42"/>
        <v>2</v>
      </c>
      <c r="Q223" s="13">
        <f t="shared" si="42"/>
        <v>4</v>
      </c>
      <c r="R223" s="13">
        <f t="shared" si="42"/>
        <v>2</v>
      </c>
      <c r="S223" s="13">
        <f t="shared" si="42"/>
        <v>7</v>
      </c>
      <c r="T223" s="13">
        <f t="shared" si="42"/>
        <v>2</v>
      </c>
      <c r="U223" s="13">
        <f t="shared" si="42"/>
        <v>7</v>
      </c>
      <c r="V223" s="13">
        <f t="shared" si="42"/>
        <v>6</v>
      </c>
      <c r="W223" s="13">
        <f t="shared" si="42"/>
        <v>1</v>
      </c>
      <c r="X223" s="13">
        <f t="shared" si="42"/>
        <v>2</v>
      </c>
      <c r="Y223" s="13">
        <f t="shared" si="42"/>
        <v>3</v>
      </c>
      <c r="Z223" s="13">
        <f t="shared" si="42"/>
        <v>4</v>
      </c>
      <c r="AA223" s="13">
        <f t="shared" si="42"/>
        <v>6</v>
      </c>
      <c r="AB223" s="13">
        <f t="shared" si="42"/>
        <v>18</v>
      </c>
      <c r="AC223" s="13">
        <f t="shared" si="42"/>
        <v>3</v>
      </c>
      <c r="AD223" s="13">
        <f t="shared" si="42"/>
        <v>5</v>
      </c>
      <c r="AE223" s="13">
        <f t="shared" si="42"/>
        <v>113</v>
      </c>
    </row>
    <row r="224" spans="1:31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</row>
    <row r="225" spans="1:31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0</v>
      </c>
      <c r="H225" s="16">
        <v>0</v>
      </c>
      <c r="I225" s="16">
        <v>0</v>
      </c>
      <c r="J225" s="16">
        <v>0</v>
      </c>
      <c r="K225" s="16">
        <v>1</v>
      </c>
      <c r="L225" s="16">
        <v>1</v>
      </c>
      <c r="M225" s="16">
        <v>1</v>
      </c>
      <c r="N225" s="16">
        <v>0</v>
      </c>
      <c r="O225" s="16">
        <v>0</v>
      </c>
      <c r="P225" s="16">
        <v>0</v>
      </c>
      <c r="Q225" s="16">
        <v>0</v>
      </c>
      <c r="R225" s="16">
        <v>0</v>
      </c>
      <c r="S225" s="16">
        <v>0</v>
      </c>
      <c r="T225" s="16">
        <v>1</v>
      </c>
      <c r="U225" s="16">
        <v>0</v>
      </c>
      <c r="V225" s="16">
        <v>0</v>
      </c>
      <c r="W225" s="16">
        <v>0</v>
      </c>
      <c r="X225" s="16">
        <v>0</v>
      </c>
      <c r="Y225" s="16">
        <v>0</v>
      </c>
      <c r="Z225" s="16">
        <v>0</v>
      </c>
      <c r="AA225" s="16">
        <v>0</v>
      </c>
      <c r="AB225" s="16">
        <v>0</v>
      </c>
      <c r="AC225" s="16">
        <v>0</v>
      </c>
      <c r="AD225" s="16">
        <v>0</v>
      </c>
      <c r="AE225" s="13">
        <f t="shared" ref="AE225:AE234" si="43">SUM(E225:AD225)</f>
        <v>4</v>
      </c>
    </row>
    <row r="226" spans="1:31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0</v>
      </c>
      <c r="L226" s="16">
        <v>0</v>
      </c>
      <c r="M226" s="16">
        <v>0</v>
      </c>
      <c r="N226" s="16">
        <v>0</v>
      </c>
      <c r="O226" s="16">
        <v>0</v>
      </c>
      <c r="P226" s="16">
        <v>0</v>
      </c>
      <c r="Q226" s="16">
        <v>1</v>
      </c>
      <c r="R226" s="16">
        <v>0</v>
      </c>
      <c r="S226" s="16">
        <v>0</v>
      </c>
      <c r="T226" s="16">
        <v>0</v>
      </c>
      <c r="U226" s="16">
        <v>0</v>
      </c>
      <c r="V226" s="16">
        <v>0</v>
      </c>
      <c r="W226" s="16">
        <v>0</v>
      </c>
      <c r="X226" s="16">
        <v>0</v>
      </c>
      <c r="Y226" s="16">
        <v>0</v>
      </c>
      <c r="Z226" s="16">
        <v>0</v>
      </c>
      <c r="AA226" s="16">
        <v>0</v>
      </c>
      <c r="AB226" s="16">
        <v>0</v>
      </c>
      <c r="AC226" s="16">
        <v>1</v>
      </c>
      <c r="AD226" s="16">
        <v>1</v>
      </c>
      <c r="AE226" s="13">
        <f t="shared" si="43"/>
        <v>3</v>
      </c>
    </row>
    <row r="227" spans="1:31" ht="12.75" customHeight="1" x14ac:dyDescent="0.4">
      <c r="A227" s="15"/>
      <c r="B227" s="27"/>
      <c r="C227" s="29" t="s">
        <v>141</v>
      </c>
      <c r="D227" s="40"/>
      <c r="E227" s="16">
        <v>0</v>
      </c>
      <c r="F227" s="16">
        <v>0</v>
      </c>
      <c r="G227" s="16">
        <v>0</v>
      </c>
      <c r="H227" s="16">
        <v>0</v>
      </c>
      <c r="I227" s="16">
        <v>2</v>
      </c>
      <c r="J227" s="16">
        <v>0</v>
      </c>
      <c r="K227" s="16">
        <v>0</v>
      </c>
      <c r="L227" s="16">
        <v>0</v>
      </c>
      <c r="M227" s="16">
        <v>0</v>
      </c>
      <c r="N227" s="16">
        <v>0</v>
      </c>
      <c r="O227" s="16">
        <v>0</v>
      </c>
      <c r="P227" s="16">
        <v>0</v>
      </c>
      <c r="Q227" s="16">
        <v>0</v>
      </c>
      <c r="R227" s="16">
        <v>0</v>
      </c>
      <c r="S227" s="16">
        <v>0</v>
      </c>
      <c r="T227" s="16">
        <v>0</v>
      </c>
      <c r="U227" s="16">
        <v>0</v>
      </c>
      <c r="V227" s="16">
        <v>0</v>
      </c>
      <c r="W227" s="16">
        <v>0</v>
      </c>
      <c r="X227" s="16">
        <v>0</v>
      </c>
      <c r="Y227" s="16">
        <v>0</v>
      </c>
      <c r="Z227" s="16">
        <v>0</v>
      </c>
      <c r="AA227" s="16">
        <v>0</v>
      </c>
      <c r="AB227" s="16">
        <v>1</v>
      </c>
      <c r="AC227" s="16">
        <v>0</v>
      </c>
      <c r="AD227" s="16">
        <v>0</v>
      </c>
      <c r="AE227" s="13">
        <f t="shared" si="43"/>
        <v>3</v>
      </c>
    </row>
    <row r="228" spans="1:31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1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6">
        <v>0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6">
        <v>0</v>
      </c>
      <c r="AA228" s="16">
        <v>0</v>
      </c>
      <c r="AB228" s="16">
        <v>0</v>
      </c>
      <c r="AC228" s="16">
        <v>0</v>
      </c>
      <c r="AD228" s="16">
        <v>0</v>
      </c>
      <c r="AE228" s="13">
        <f t="shared" si="43"/>
        <v>1</v>
      </c>
    </row>
    <row r="229" spans="1:31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1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0</v>
      </c>
      <c r="T229" s="16">
        <v>0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6">
        <v>0</v>
      </c>
      <c r="AA229" s="16">
        <v>0</v>
      </c>
      <c r="AB229" s="16">
        <v>0</v>
      </c>
      <c r="AC229" s="16">
        <v>0</v>
      </c>
      <c r="AD229" s="16">
        <v>0</v>
      </c>
      <c r="AE229" s="13">
        <f t="shared" si="43"/>
        <v>1</v>
      </c>
    </row>
    <row r="230" spans="1:31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2</v>
      </c>
      <c r="G230" s="16">
        <v>1</v>
      </c>
      <c r="H230" s="16">
        <v>0</v>
      </c>
      <c r="I230" s="16">
        <v>2</v>
      </c>
      <c r="J230" s="16">
        <v>3</v>
      </c>
      <c r="K230" s="16">
        <v>0</v>
      </c>
      <c r="L230" s="16">
        <v>0</v>
      </c>
      <c r="M230" s="16">
        <v>0</v>
      </c>
      <c r="N230" s="16">
        <v>6</v>
      </c>
      <c r="O230" s="16">
        <v>5</v>
      </c>
      <c r="P230" s="16">
        <v>0</v>
      </c>
      <c r="Q230" s="16">
        <v>1</v>
      </c>
      <c r="R230" s="16">
        <v>0</v>
      </c>
      <c r="S230" s="16">
        <v>0</v>
      </c>
      <c r="T230" s="16">
        <v>0</v>
      </c>
      <c r="U230" s="16">
        <v>0</v>
      </c>
      <c r="V230" s="16">
        <v>0</v>
      </c>
      <c r="W230" s="16">
        <v>0</v>
      </c>
      <c r="X230" s="16">
        <v>0</v>
      </c>
      <c r="Y230" s="16">
        <v>0</v>
      </c>
      <c r="Z230" s="16">
        <v>0</v>
      </c>
      <c r="AA230" s="16">
        <v>0</v>
      </c>
      <c r="AB230" s="16">
        <v>0</v>
      </c>
      <c r="AC230" s="16">
        <v>0</v>
      </c>
      <c r="AD230" s="16">
        <v>0</v>
      </c>
      <c r="AE230" s="13">
        <f t="shared" si="43"/>
        <v>20</v>
      </c>
    </row>
    <row r="231" spans="1:31" ht="12.75" customHeight="1" x14ac:dyDescent="0.4">
      <c r="A231" s="15"/>
      <c r="B231" s="28"/>
      <c r="C231" s="29" t="s">
        <v>145</v>
      </c>
      <c r="D231" s="30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>
        <v>5</v>
      </c>
      <c r="U231" s="16">
        <v>31</v>
      </c>
      <c r="V231" s="16">
        <v>3</v>
      </c>
      <c r="W231" s="16">
        <v>0</v>
      </c>
      <c r="X231" s="16">
        <v>0</v>
      </c>
      <c r="Y231" s="16">
        <v>0</v>
      </c>
      <c r="Z231" s="16">
        <v>0</v>
      </c>
      <c r="AA231" s="16">
        <v>2</v>
      </c>
      <c r="AB231" s="16">
        <v>0</v>
      </c>
      <c r="AC231" s="16">
        <v>0</v>
      </c>
      <c r="AD231" s="16">
        <v>0</v>
      </c>
      <c r="AE231" s="13">
        <f t="shared" si="43"/>
        <v>41</v>
      </c>
    </row>
    <row r="232" spans="1:31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13">
        <f t="shared" si="43"/>
        <v>0</v>
      </c>
    </row>
    <row r="233" spans="1:31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13">
        <f t="shared" si="43"/>
        <v>0</v>
      </c>
    </row>
    <row r="234" spans="1:31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13">
        <f t="shared" si="43"/>
        <v>0</v>
      </c>
    </row>
    <row r="235" spans="1:31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AE235" si="44">SUM(E225:E234)</f>
        <v>0</v>
      </c>
      <c r="F235" s="13">
        <f t="shared" si="44"/>
        <v>4</v>
      </c>
      <c r="G235" s="13">
        <f t="shared" si="44"/>
        <v>1</v>
      </c>
      <c r="H235" s="13">
        <f t="shared" si="44"/>
        <v>0</v>
      </c>
      <c r="I235" s="13">
        <f t="shared" si="44"/>
        <v>4</v>
      </c>
      <c r="J235" s="13">
        <f t="shared" si="44"/>
        <v>3</v>
      </c>
      <c r="K235" s="13">
        <f t="shared" si="44"/>
        <v>1</v>
      </c>
      <c r="L235" s="13">
        <f t="shared" si="44"/>
        <v>1</v>
      </c>
      <c r="M235" s="13">
        <f t="shared" si="44"/>
        <v>1</v>
      </c>
      <c r="N235" s="13">
        <f t="shared" si="44"/>
        <v>6</v>
      </c>
      <c r="O235" s="13">
        <f t="shared" si="44"/>
        <v>5</v>
      </c>
      <c r="P235" s="13">
        <f t="shared" si="44"/>
        <v>0</v>
      </c>
      <c r="Q235" s="13">
        <f t="shared" si="44"/>
        <v>2</v>
      </c>
      <c r="R235" s="13">
        <f t="shared" si="44"/>
        <v>0</v>
      </c>
      <c r="S235" s="13">
        <f t="shared" si="44"/>
        <v>0</v>
      </c>
      <c r="T235" s="13">
        <f t="shared" si="44"/>
        <v>6</v>
      </c>
      <c r="U235" s="13">
        <f t="shared" si="44"/>
        <v>31</v>
      </c>
      <c r="V235" s="13">
        <f t="shared" si="44"/>
        <v>3</v>
      </c>
      <c r="W235" s="13">
        <f t="shared" si="44"/>
        <v>0</v>
      </c>
      <c r="X235" s="13">
        <f t="shared" si="44"/>
        <v>0</v>
      </c>
      <c r="Y235" s="13">
        <f t="shared" si="44"/>
        <v>0</v>
      </c>
      <c r="Z235" s="13">
        <f t="shared" si="44"/>
        <v>0</v>
      </c>
      <c r="AA235" s="13">
        <f t="shared" si="44"/>
        <v>2</v>
      </c>
      <c r="AB235" s="13">
        <f t="shared" si="44"/>
        <v>1</v>
      </c>
      <c r="AC235" s="13">
        <f t="shared" si="44"/>
        <v>1</v>
      </c>
      <c r="AD235" s="13">
        <f t="shared" si="44"/>
        <v>1</v>
      </c>
      <c r="AE235" s="13">
        <f t="shared" si="44"/>
        <v>73</v>
      </c>
    </row>
    <row r="236" spans="1:31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</row>
    <row r="237" spans="1:31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1</v>
      </c>
      <c r="G237" s="16">
        <v>0</v>
      </c>
      <c r="H237" s="16">
        <v>0</v>
      </c>
      <c r="I237" s="16">
        <v>0</v>
      </c>
      <c r="J237" s="16">
        <v>0</v>
      </c>
      <c r="K237" s="16">
        <v>0</v>
      </c>
      <c r="L237" s="16">
        <v>0</v>
      </c>
      <c r="M237" s="16">
        <v>0</v>
      </c>
      <c r="N237" s="16">
        <v>0</v>
      </c>
      <c r="O237" s="16">
        <v>0</v>
      </c>
      <c r="P237" s="16">
        <v>0</v>
      </c>
      <c r="Q237" s="16">
        <v>1</v>
      </c>
      <c r="R237" s="16">
        <v>0</v>
      </c>
      <c r="S237" s="16">
        <v>0</v>
      </c>
      <c r="T237" s="16">
        <v>1</v>
      </c>
      <c r="U237" s="16">
        <v>1</v>
      </c>
      <c r="V237" s="16">
        <v>0</v>
      </c>
      <c r="W237" s="16">
        <v>1</v>
      </c>
      <c r="X237" s="16">
        <v>0</v>
      </c>
      <c r="Y237" s="16">
        <v>1</v>
      </c>
      <c r="Z237" s="16">
        <v>0</v>
      </c>
      <c r="AA237" s="16">
        <v>0</v>
      </c>
      <c r="AB237" s="16">
        <v>1</v>
      </c>
      <c r="AC237" s="16">
        <v>1</v>
      </c>
      <c r="AD237" s="16">
        <v>1</v>
      </c>
      <c r="AE237" s="13">
        <f t="shared" ref="AE237:AE246" si="45">SUM(E237:AD237)</f>
        <v>9</v>
      </c>
    </row>
    <row r="238" spans="1:31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1</v>
      </c>
      <c r="G238" s="16">
        <v>0</v>
      </c>
      <c r="H238" s="16">
        <v>1</v>
      </c>
      <c r="I238" s="16">
        <v>0</v>
      </c>
      <c r="J238" s="16">
        <v>0</v>
      </c>
      <c r="K238" s="16">
        <v>0</v>
      </c>
      <c r="L238" s="16">
        <v>0</v>
      </c>
      <c r="M238" s="16">
        <v>2</v>
      </c>
      <c r="N238" s="16">
        <v>0</v>
      </c>
      <c r="O238" s="16">
        <v>0</v>
      </c>
      <c r="P238" s="16">
        <v>0</v>
      </c>
      <c r="Q238" s="16">
        <v>0</v>
      </c>
      <c r="R238" s="16">
        <v>0</v>
      </c>
      <c r="S238" s="16">
        <v>0</v>
      </c>
      <c r="T238" s="16">
        <v>0</v>
      </c>
      <c r="U238" s="16">
        <v>0</v>
      </c>
      <c r="V238" s="16">
        <v>1</v>
      </c>
      <c r="W238" s="16">
        <v>0</v>
      </c>
      <c r="X238" s="16">
        <v>2</v>
      </c>
      <c r="Y238" s="16">
        <v>0</v>
      </c>
      <c r="Z238" s="16">
        <v>1</v>
      </c>
      <c r="AA238" s="16">
        <v>0</v>
      </c>
      <c r="AB238" s="16">
        <v>0</v>
      </c>
      <c r="AC238" s="16">
        <v>0</v>
      </c>
      <c r="AD238" s="16">
        <v>0</v>
      </c>
      <c r="AE238" s="13">
        <f t="shared" si="45"/>
        <v>8</v>
      </c>
    </row>
    <row r="239" spans="1:31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0</v>
      </c>
      <c r="G239" s="16">
        <v>1</v>
      </c>
      <c r="H239" s="16">
        <v>0</v>
      </c>
      <c r="I239" s="16">
        <v>19</v>
      </c>
      <c r="J239" s="16">
        <v>16</v>
      </c>
      <c r="K239" s="16">
        <v>1</v>
      </c>
      <c r="L239" s="16">
        <v>1</v>
      </c>
      <c r="M239" s="16">
        <v>1</v>
      </c>
      <c r="N239" s="16">
        <v>3</v>
      </c>
      <c r="O239" s="16">
        <v>0</v>
      </c>
      <c r="P239" s="16">
        <v>0</v>
      </c>
      <c r="Q239" s="16">
        <v>0</v>
      </c>
      <c r="R239" s="16">
        <v>0</v>
      </c>
      <c r="S239" s="16">
        <v>0</v>
      </c>
      <c r="T239" s="16">
        <v>0</v>
      </c>
      <c r="U239" s="16">
        <v>0</v>
      </c>
      <c r="V239" s="16">
        <v>0</v>
      </c>
      <c r="W239" s="16">
        <v>0</v>
      </c>
      <c r="X239" s="16">
        <v>0</v>
      </c>
      <c r="Y239" s="16">
        <v>0</v>
      </c>
      <c r="Z239" s="16">
        <v>0</v>
      </c>
      <c r="AA239" s="16">
        <v>0</v>
      </c>
      <c r="AB239" s="16">
        <v>0</v>
      </c>
      <c r="AC239" s="16">
        <v>1</v>
      </c>
      <c r="AD239" s="16">
        <v>0</v>
      </c>
      <c r="AE239" s="13">
        <f t="shared" si="45"/>
        <v>43</v>
      </c>
    </row>
    <row r="240" spans="1:31" ht="12.75" customHeight="1" x14ac:dyDescent="0.4">
      <c r="A240" s="15"/>
      <c r="B240" s="28"/>
      <c r="C240" s="29" t="s">
        <v>150</v>
      </c>
      <c r="D240" s="30"/>
      <c r="E240" s="16">
        <v>0</v>
      </c>
      <c r="F240" s="16">
        <v>1</v>
      </c>
      <c r="G240" s="16">
        <v>1</v>
      </c>
      <c r="H240" s="16">
        <v>0</v>
      </c>
      <c r="I240" s="16">
        <v>1</v>
      </c>
      <c r="J240" s="16">
        <v>0</v>
      </c>
      <c r="K240" s="16">
        <v>2</v>
      </c>
      <c r="L240" s="16">
        <v>1</v>
      </c>
      <c r="M240" s="16">
        <v>0</v>
      </c>
      <c r="N240" s="16">
        <v>0</v>
      </c>
      <c r="O240" s="16">
        <v>0</v>
      </c>
      <c r="P240" s="16">
        <v>2</v>
      </c>
      <c r="Q240" s="16">
        <v>2</v>
      </c>
      <c r="R240" s="16">
        <v>3</v>
      </c>
      <c r="S240" s="16">
        <v>2</v>
      </c>
      <c r="T240" s="16">
        <v>0</v>
      </c>
      <c r="U240" s="16">
        <v>6</v>
      </c>
      <c r="V240" s="16">
        <v>0</v>
      </c>
      <c r="W240" s="16">
        <v>1</v>
      </c>
      <c r="X240" s="16">
        <v>1</v>
      </c>
      <c r="Y240" s="16">
        <v>0</v>
      </c>
      <c r="Z240" s="16">
        <v>0</v>
      </c>
      <c r="AA240" s="16">
        <v>0</v>
      </c>
      <c r="AB240" s="16">
        <v>3</v>
      </c>
      <c r="AC240" s="16">
        <v>0</v>
      </c>
      <c r="AD240" s="16">
        <v>0</v>
      </c>
      <c r="AE240" s="13">
        <f t="shared" si="45"/>
        <v>26</v>
      </c>
    </row>
    <row r="241" spans="1:31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1</v>
      </c>
      <c r="L241" s="16">
        <v>0</v>
      </c>
      <c r="M241" s="16">
        <v>1</v>
      </c>
      <c r="N241" s="16">
        <v>1</v>
      </c>
      <c r="O241" s="16">
        <v>0</v>
      </c>
      <c r="P241" s="16">
        <v>0</v>
      </c>
      <c r="Q241" s="16">
        <v>0</v>
      </c>
      <c r="R241" s="16">
        <v>0</v>
      </c>
      <c r="S241" s="16">
        <v>0</v>
      </c>
      <c r="T241" s="16">
        <v>0</v>
      </c>
      <c r="U241" s="16">
        <v>0</v>
      </c>
      <c r="V241" s="16">
        <v>0</v>
      </c>
      <c r="W241" s="16">
        <v>0</v>
      </c>
      <c r="X241" s="16">
        <v>0</v>
      </c>
      <c r="Y241" s="16">
        <v>0</v>
      </c>
      <c r="Z241" s="16">
        <v>0</v>
      </c>
      <c r="AA241" s="16">
        <v>1</v>
      </c>
      <c r="AB241" s="16">
        <v>0</v>
      </c>
      <c r="AC241" s="16">
        <v>0</v>
      </c>
      <c r="AD241" s="16">
        <v>1</v>
      </c>
      <c r="AE241" s="13">
        <f t="shared" si="45"/>
        <v>5</v>
      </c>
    </row>
    <row r="242" spans="1:31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6">
        <v>0</v>
      </c>
      <c r="Q242" s="16">
        <v>0</v>
      </c>
      <c r="R242" s="16">
        <v>0</v>
      </c>
      <c r="S242" s="16">
        <v>1</v>
      </c>
      <c r="T242" s="16">
        <v>0</v>
      </c>
      <c r="U242" s="16">
        <v>0</v>
      </c>
      <c r="V242" s="16">
        <v>0</v>
      </c>
      <c r="W242" s="16">
        <v>0</v>
      </c>
      <c r="X242" s="16">
        <v>0</v>
      </c>
      <c r="Y242" s="16">
        <v>0</v>
      </c>
      <c r="Z242" s="16">
        <v>0</v>
      </c>
      <c r="AA242" s="16">
        <v>0</v>
      </c>
      <c r="AB242" s="16">
        <v>0</v>
      </c>
      <c r="AC242" s="16">
        <v>0</v>
      </c>
      <c r="AD242" s="16">
        <v>0</v>
      </c>
      <c r="AE242" s="13">
        <f t="shared" si="45"/>
        <v>1</v>
      </c>
    </row>
    <row r="243" spans="1:31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  <c r="R243" s="16">
        <v>1</v>
      </c>
      <c r="S243" s="16">
        <v>0</v>
      </c>
      <c r="T243" s="16">
        <v>1</v>
      </c>
      <c r="U243" s="16">
        <v>0</v>
      </c>
      <c r="V243" s="16">
        <v>0</v>
      </c>
      <c r="W243" s="16">
        <v>0</v>
      </c>
      <c r="X243" s="16">
        <v>0</v>
      </c>
      <c r="Y243" s="16">
        <v>0</v>
      </c>
      <c r="Z243" s="16">
        <v>0</v>
      </c>
      <c r="AA243" s="16">
        <v>0</v>
      </c>
      <c r="AB243" s="16">
        <v>0</v>
      </c>
      <c r="AC243" s="16">
        <v>0</v>
      </c>
      <c r="AD243" s="16">
        <v>0</v>
      </c>
      <c r="AE243" s="13">
        <f t="shared" si="45"/>
        <v>2</v>
      </c>
    </row>
    <row r="244" spans="1:31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13">
        <f t="shared" si="45"/>
        <v>0</v>
      </c>
    </row>
    <row r="245" spans="1:31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13">
        <f t="shared" si="45"/>
        <v>0</v>
      </c>
    </row>
    <row r="246" spans="1:31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13">
        <f t="shared" si="45"/>
        <v>0</v>
      </c>
    </row>
    <row r="247" spans="1:31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AE247" si="46">SUM(E237:E246)</f>
        <v>0</v>
      </c>
      <c r="F247" s="13">
        <f t="shared" si="46"/>
        <v>3</v>
      </c>
      <c r="G247" s="13">
        <f t="shared" si="46"/>
        <v>2</v>
      </c>
      <c r="H247" s="13">
        <f t="shared" si="46"/>
        <v>1</v>
      </c>
      <c r="I247" s="13">
        <f t="shared" si="46"/>
        <v>20</v>
      </c>
      <c r="J247" s="13">
        <f t="shared" si="46"/>
        <v>16</v>
      </c>
      <c r="K247" s="13">
        <f t="shared" si="46"/>
        <v>4</v>
      </c>
      <c r="L247" s="13">
        <f t="shared" si="46"/>
        <v>2</v>
      </c>
      <c r="M247" s="13">
        <f t="shared" si="46"/>
        <v>4</v>
      </c>
      <c r="N247" s="13">
        <f t="shared" si="46"/>
        <v>4</v>
      </c>
      <c r="O247" s="13">
        <f t="shared" si="46"/>
        <v>0</v>
      </c>
      <c r="P247" s="13">
        <f t="shared" si="46"/>
        <v>2</v>
      </c>
      <c r="Q247" s="13">
        <f t="shared" si="46"/>
        <v>3</v>
      </c>
      <c r="R247" s="13">
        <f t="shared" si="46"/>
        <v>4</v>
      </c>
      <c r="S247" s="13">
        <f t="shared" si="46"/>
        <v>3</v>
      </c>
      <c r="T247" s="13">
        <f t="shared" si="46"/>
        <v>2</v>
      </c>
      <c r="U247" s="13">
        <f t="shared" si="46"/>
        <v>7</v>
      </c>
      <c r="V247" s="13">
        <f t="shared" si="46"/>
        <v>1</v>
      </c>
      <c r="W247" s="13">
        <f t="shared" si="46"/>
        <v>2</v>
      </c>
      <c r="X247" s="13">
        <f t="shared" si="46"/>
        <v>3</v>
      </c>
      <c r="Y247" s="13">
        <f t="shared" si="46"/>
        <v>1</v>
      </c>
      <c r="Z247" s="13">
        <f t="shared" si="46"/>
        <v>1</v>
      </c>
      <c r="AA247" s="13">
        <f t="shared" si="46"/>
        <v>1</v>
      </c>
      <c r="AB247" s="13">
        <f t="shared" si="46"/>
        <v>4</v>
      </c>
      <c r="AC247" s="13">
        <f t="shared" si="46"/>
        <v>2</v>
      </c>
      <c r="AD247" s="13">
        <f t="shared" si="46"/>
        <v>2</v>
      </c>
      <c r="AE247" s="13">
        <f t="shared" si="46"/>
        <v>94</v>
      </c>
    </row>
    <row r="248" spans="1:31" ht="12.75" customHeight="1" x14ac:dyDescent="0.4">
      <c r="A248" s="63"/>
      <c r="B248" s="61"/>
      <c r="C248" s="61"/>
      <c r="D248" s="61"/>
      <c r="E248" s="62"/>
    </row>
    <row r="249" spans="1:31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1</v>
      </c>
      <c r="G249" s="16">
        <v>0</v>
      </c>
      <c r="H249" s="16">
        <v>0</v>
      </c>
      <c r="I249" s="16">
        <v>0</v>
      </c>
      <c r="J249" s="16">
        <v>0</v>
      </c>
      <c r="K249" s="16">
        <v>0</v>
      </c>
      <c r="L249" s="16">
        <v>1</v>
      </c>
      <c r="M249" s="16">
        <v>1</v>
      </c>
      <c r="N249" s="16">
        <v>0</v>
      </c>
      <c r="O249" s="16">
        <v>1</v>
      </c>
      <c r="P249" s="16">
        <v>0</v>
      </c>
      <c r="Q249" s="16">
        <v>0</v>
      </c>
      <c r="R249" s="16">
        <v>0</v>
      </c>
      <c r="S249" s="16">
        <v>0</v>
      </c>
      <c r="T249" s="16">
        <v>0</v>
      </c>
      <c r="U249" s="16">
        <v>0</v>
      </c>
      <c r="V249" s="16">
        <v>0</v>
      </c>
      <c r="W249" s="16">
        <v>0</v>
      </c>
      <c r="X249" s="16">
        <v>0</v>
      </c>
      <c r="Y249" s="16">
        <v>0</v>
      </c>
      <c r="Z249" s="16">
        <v>0</v>
      </c>
      <c r="AA249" s="16">
        <v>0</v>
      </c>
      <c r="AB249" s="16">
        <v>2</v>
      </c>
      <c r="AC249" s="16">
        <v>0</v>
      </c>
      <c r="AD249" s="16">
        <v>0</v>
      </c>
      <c r="AE249" s="13">
        <f t="shared" ref="AE249:AE258" si="47">SUM(E249:AD249)</f>
        <v>6</v>
      </c>
    </row>
    <row r="250" spans="1:31" ht="12.75" customHeight="1" x14ac:dyDescent="0.4">
      <c r="A250" s="20" t="s">
        <v>38</v>
      </c>
      <c r="B250" s="27"/>
      <c r="C250" s="29" t="s">
        <v>156</v>
      </c>
      <c r="D250" s="40"/>
      <c r="E250" s="16">
        <v>3</v>
      </c>
      <c r="F250" s="16">
        <v>0</v>
      </c>
      <c r="G250" s="16">
        <v>0</v>
      </c>
      <c r="H250" s="16">
        <v>0</v>
      </c>
      <c r="I250" s="16">
        <v>1</v>
      </c>
      <c r="J250" s="16">
        <v>3</v>
      </c>
      <c r="K250" s="16">
        <v>1</v>
      </c>
      <c r="L250" s="16">
        <v>0</v>
      </c>
      <c r="M250" s="16">
        <v>4</v>
      </c>
      <c r="N250" s="16">
        <v>1</v>
      </c>
      <c r="O250" s="16">
        <v>2</v>
      </c>
      <c r="P250" s="16">
        <v>0</v>
      </c>
      <c r="Q250" s="16">
        <v>0</v>
      </c>
      <c r="R250" s="16">
        <v>1</v>
      </c>
      <c r="S250" s="16">
        <v>2</v>
      </c>
      <c r="T250" s="16">
        <v>0</v>
      </c>
      <c r="U250" s="16">
        <v>1</v>
      </c>
      <c r="V250" s="16">
        <v>2</v>
      </c>
      <c r="W250" s="16">
        <v>0</v>
      </c>
      <c r="X250" s="16">
        <v>1</v>
      </c>
      <c r="Y250" s="16">
        <v>0</v>
      </c>
      <c r="Z250" s="16">
        <v>0</v>
      </c>
      <c r="AA250" s="16">
        <v>0</v>
      </c>
      <c r="AB250" s="16">
        <v>1</v>
      </c>
      <c r="AC250" s="16">
        <v>0</v>
      </c>
      <c r="AD250" s="16">
        <v>3</v>
      </c>
      <c r="AE250" s="13">
        <f t="shared" si="47"/>
        <v>26</v>
      </c>
    </row>
    <row r="251" spans="1:31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1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6">
        <v>0</v>
      </c>
      <c r="T251" s="16">
        <v>0</v>
      </c>
      <c r="U251" s="16">
        <v>0</v>
      </c>
      <c r="V251" s="16">
        <v>1</v>
      </c>
      <c r="W251" s="16">
        <v>0</v>
      </c>
      <c r="X251" s="16">
        <v>0</v>
      </c>
      <c r="Y251" s="16">
        <v>0</v>
      </c>
      <c r="Z251" s="16">
        <v>0</v>
      </c>
      <c r="AA251" s="16">
        <v>0</v>
      </c>
      <c r="AB251" s="16">
        <v>0</v>
      </c>
      <c r="AC251" s="16">
        <v>0</v>
      </c>
      <c r="AD251" s="16">
        <v>0</v>
      </c>
      <c r="AE251" s="13">
        <f t="shared" si="47"/>
        <v>2</v>
      </c>
    </row>
    <row r="252" spans="1:31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6">
        <v>0</v>
      </c>
      <c r="T252" s="16">
        <v>0</v>
      </c>
      <c r="U252" s="16">
        <v>0</v>
      </c>
      <c r="V252" s="16">
        <v>0</v>
      </c>
      <c r="W252" s="16">
        <v>0</v>
      </c>
      <c r="X252" s="16">
        <v>0</v>
      </c>
      <c r="Y252" s="16">
        <v>0</v>
      </c>
      <c r="Z252" s="16">
        <v>0</v>
      </c>
      <c r="AA252" s="16">
        <v>0</v>
      </c>
      <c r="AB252" s="16">
        <v>1</v>
      </c>
      <c r="AC252" s="16">
        <v>0</v>
      </c>
      <c r="AD252" s="16">
        <v>0</v>
      </c>
      <c r="AE252" s="13">
        <f t="shared" si="47"/>
        <v>1</v>
      </c>
    </row>
    <row r="253" spans="1:31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2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1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6">
        <v>0</v>
      </c>
      <c r="U253" s="16">
        <v>0</v>
      </c>
      <c r="V253" s="16">
        <v>0</v>
      </c>
      <c r="W253" s="16">
        <v>0</v>
      </c>
      <c r="X253" s="16">
        <v>0</v>
      </c>
      <c r="Y253" s="16">
        <v>0</v>
      </c>
      <c r="Z253" s="16">
        <v>0</v>
      </c>
      <c r="AA253" s="16">
        <v>0</v>
      </c>
      <c r="AB253" s="16">
        <v>0</v>
      </c>
      <c r="AC253" s="16">
        <v>0</v>
      </c>
      <c r="AD253" s="16">
        <v>1</v>
      </c>
      <c r="AE253" s="13">
        <f t="shared" si="47"/>
        <v>4</v>
      </c>
    </row>
    <row r="254" spans="1:31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13">
        <f t="shared" si="47"/>
        <v>0</v>
      </c>
    </row>
    <row r="255" spans="1:31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13">
        <f t="shared" si="47"/>
        <v>0</v>
      </c>
    </row>
    <row r="256" spans="1:31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13">
        <f t="shared" si="47"/>
        <v>0</v>
      </c>
    </row>
    <row r="257" spans="1:31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13">
        <f t="shared" si="47"/>
        <v>0</v>
      </c>
    </row>
    <row r="258" spans="1:31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13">
        <f t="shared" si="47"/>
        <v>0</v>
      </c>
    </row>
    <row r="259" spans="1:31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AE259" si="48">SUM(E249:E258)</f>
        <v>3</v>
      </c>
      <c r="F259" s="13">
        <f t="shared" si="48"/>
        <v>3</v>
      </c>
      <c r="G259" s="13">
        <f t="shared" si="48"/>
        <v>1</v>
      </c>
      <c r="H259" s="13">
        <f t="shared" si="48"/>
        <v>0</v>
      </c>
      <c r="I259" s="13">
        <f t="shared" si="48"/>
        <v>1</v>
      </c>
      <c r="J259" s="13">
        <f t="shared" si="48"/>
        <v>3</v>
      </c>
      <c r="K259" s="13">
        <f t="shared" si="48"/>
        <v>1</v>
      </c>
      <c r="L259" s="13">
        <f t="shared" si="48"/>
        <v>1</v>
      </c>
      <c r="M259" s="13">
        <f t="shared" si="48"/>
        <v>6</v>
      </c>
      <c r="N259" s="13">
        <f t="shared" si="48"/>
        <v>1</v>
      </c>
      <c r="O259" s="13">
        <f t="shared" si="48"/>
        <v>3</v>
      </c>
      <c r="P259" s="13">
        <f t="shared" si="48"/>
        <v>0</v>
      </c>
      <c r="Q259" s="13">
        <f t="shared" si="48"/>
        <v>0</v>
      </c>
      <c r="R259" s="13">
        <f t="shared" si="48"/>
        <v>1</v>
      </c>
      <c r="S259" s="13">
        <f t="shared" si="48"/>
        <v>2</v>
      </c>
      <c r="T259" s="13">
        <f t="shared" si="48"/>
        <v>0</v>
      </c>
      <c r="U259" s="13">
        <f t="shared" si="48"/>
        <v>1</v>
      </c>
      <c r="V259" s="13">
        <f t="shared" si="48"/>
        <v>3</v>
      </c>
      <c r="W259" s="13">
        <f t="shared" si="48"/>
        <v>0</v>
      </c>
      <c r="X259" s="13">
        <f t="shared" si="48"/>
        <v>1</v>
      </c>
      <c r="Y259" s="13">
        <f t="shared" si="48"/>
        <v>0</v>
      </c>
      <c r="Z259" s="13">
        <f t="shared" si="48"/>
        <v>0</v>
      </c>
      <c r="AA259" s="13">
        <f t="shared" si="48"/>
        <v>0</v>
      </c>
      <c r="AB259" s="13">
        <f t="shared" si="48"/>
        <v>4</v>
      </c>
      <c r="AC259" s="13">
        <f t="shared" si="48"/>
        <v>0</v>
      </c>
      <c r="AD259" s="13">
        <f t="shared" si="48"/>
        <v>4</v>
      </c>
      <c r="AE259" s="13">
        <f t="shared" si="48"/>
        <v>39</v>
      </c>
    </row>
    <row r="260" spans="1:31" ht="12.75" customHeight="1" x14ac:dyDescent="0.4"/>
    <row r="261" spans="1:31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13"/>
      <c r="U261" s="13"/>
      <c r="V261" s="13"/>
      <c r="W261" s="13"/>
      <c r="X261" s="50"/>
      <c r="Y261" s="50"/>
      <c r="Z261" s="50"/>
      <c r="AA261" s="50"/>
      <c r="AB261" s="50"/>
      <c r="AC261" s="50"/>
      <c r="AD261" s="50"/>
      <c r="AE261" s="13"/>
    </row>
    <row r="262" spans="1:31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AD262" si="49">E55+E67+E79+E91+E103+E115+E127+E139+E151+E163+E175+E187+E199+E211+E223+E235+E247+E259</f>
        <v>180</v>
      </c>
      <c r="F262" s="16">
        <f t="shared" si="49"/>
        <v>171</v>
      </c>
      <c r="G262" s="16">
        <f t="shared" si="49"/>
        <v>178</v>
      </c>
      <c r="H262" s="16">
        <f t="shared" si="49"/>
        <v>197</v>
      </c>
      <c r="I262" s="16">
        <f t="shared" si="49"/>
        <v>160</v>
      </c>
      <c r="J262" s="16">
        <f t="shared" si="49"/>
        <v>142</v>
      </c>
      <c r="K262" s="16">
        <f t="shared" si="49"/>
        <v>207</v>
      </c>
      <c r="L262" s="16">
        <f t="shared" si="49"/>
        <v>198</v>
      </c>
      <c r="M262" s="16">
        <f t="shared" si="49"/>
        <v>177</v>
      </c>
      <c r="N262" s="16">
        <f t="shared" si="49"/>
        <v>198</v>
      </c>
      <c r="O262" s="16">
        <f t="shared" si="49"/>
        <v>189</v>
      </c>
      <c r="P262" s="16">
        <f t="shared" si="49"/>
        <v>171</v>
      </c>
      <c r="Q262" s="16">
        <f t="shared" si="49"/>
        <v>176</v>
      </c>
      <c r="R262" s="16">
        <f t="shared" si="49"/>
        <v>213</v>
      </c>
      <c r="S262" s="16">
        <f t="shared" si="49"/>
        <v>209</v>
      </c>
      <c r="T262" s="16">
        <f t="shared" si="49"/>
        <v>165</v>
      </c>
      <c r="U262" s="16">
        <f t="shared" si="49"/>
        <v>170</v>
      </c>
      <c r="V262" s="16">
        <f t="shared" si="49"/>
        <v>185</v>
      </c>
      <c r="W262" s="16">
        <f t="shared" si="49"/>
        <v>137</v>
      </c>
      <c r="X262" s="16">
        <f t="shared" si="49"/>
        <v>220</v>
      </c>
      <c r="Y262" s="16">
        <f t="shared" si="49"/>
        <v>197</v>
      </c>
      <c r="Z262" s="16">
        <f t="shared" si="49"/>
        <v>175</v>
      </c>
      <c r="AA262" s="16">
        <f t="shared" si="49"/>
        <v>166</v>
      </c>
      <c r="AB262" s="16">
        <f t="shared" si="49"/>
        <v>194</v>
      </c>
      <c r="AC262" s="16">
        <f t="shared" si="49"/>
        <v>179</v>
      </c>
      <c r="AD262" s="16">
        <f t="shared" si="49"/>
        <v>179</v>
      </c>
      <c r="AE262" s="13">
        <f t="shared" ref="AE262:AE264" si="50">SUM(E262:AD262)</f>
        <v>4733</v>
      </c>
    </row>
    <row r="263" spans="1:31" ht="12.75" customHeight="1" x14ac:dyDescent="0.4">
      <c r="A263" s="22"/>
      <c r="B263" s="45" t="s">
        <v>164</v>
      </c>
      <c r="C263" s="71" t="s">
        <v>165</v>
      </c>
      <c r="D263" s="62"/>
      <c r="E263" s="16">
        <v>12</v>
      </c>
      <c r="F263" s="16">
        <v>22</v>
      </c>
      <c r="G263" s="16">
        <v>19</v>
      </c>
      <c r="H263" s="16">
        <v>17</v>
      </c>
      <c r="I263" s="16">
        <v>3</v>
      </c>
      <c r="J263" s="16">
        <v>4</v>
      </c>
      <c r="K263" s="16">
        <v>34</v>
      </c>
      <c r="L263" s="16">
        <v>16</v>
      </c>
      <c r="M263" s="16">
        <v>16</v>
      </c>
      <c r="N263" s="16">
        <v>25</v>
      </c>
      <c r="O263" s="16">
        <v>19</v>
      </c>
      <c r="P263" s="16">
        <v>9</v>
      </c>
      <c r="Q263" s="16">
        <v>21</v>
      </c>
      <c r="R263" s="16">
        <v>9</v>
      </c>
      <c r="S263" s="16">
        <v>27</v>
      </c>
      <c r="T263" s="16">
        <v>13</v>
      </c>
      <c r="U263" s="16">
        <v>15</v>
      </c>
      <c r="V263" s="16">
        <v>11</v>
      </c>
      <c r="W263" s="16">
        <v>12</v>
      </c>
      <c r="X263" s="16">
        <v>15</v>
      </c>
      <c r="Y263" s="16">
        <v>18</v>
      </c>
      <c r="Z263" s="16">
        <v>18</v>
      </c>
      <c r="AA263" s="16">
        <v>9</v>
      </c>
      <c r="AB263" s="16">
        <v>13</v>
      </c>
      <c r="AC263" s="16">
        <v>12</v>
      </c>
      <c r="AD263" s="16">
        <v>47</v>
      </c>
      <c r="AE263" s="13">
        <f t="shared" si="50"/>
        <v>436</v>
      </c>
    </row>
    <row r="264" spans="1:31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AD264" si="51">SUM(E262:E263)</f>
        <v>192</v>
      </c>
      <c r="F264" s="13">
        <f t="shared" si="51"/>
        <v>193</v>
      </c>
      <c r="G264" s="13">
        <f t="shared" si="51"/>
        <v>197</v>
      </c>
      <c r="H264" s="13">
        <f t="shared" si="51"/>
        <v>214</v>
      </c>
      <c r="I264" s="13">
        <f t="shared" si="51"/>
        <v>163</v>
      </c>
      <c r="J264" s="13">
        <f t="shared" si="51"/>
        <v>146</v>
      </c>
      <c r="K264" s="13">
        <f t="shared" si="51"/>
        <v>241</v>
      </c>
      <c r="L264" s="13">
        <f t="shared" si="51"/>
        <v>214</v>
      </c>
      <c r="M264" s="13">
        <f t="shared" si="51"/>
        <v>193</v>
      </c>
      <c r="N264" s="13">
        <f t="shared" si="51"/>
        <v>223</v>
      </c>
      <c r="O264" s="13">
        <f t="shared" si="51"/>
        <v>208</v>
      </c>
      <c r="P264" s="13">
        <f t="shared" si="51"/>
        <v>180</v>
      </c>
      <c r="Q264" s="13">
        <f t="shared" si="51"/>
        <v>197</v>
      </c>
      <c r="R264" s="13">
        <f t="shared" si="51"/>
        <v>222</v>
      </c>
      <c r="S264" s="13">
        <f t="shared" si="51"/>
        <v>236</v>
      </c>
      <c r="T264" s="13">
        <f t="shared" si="51"/>
        <v>178</v>
      </c>
      <c r="U264" s="13">
        <f t="shared" si="51"/>
        <v>185</v>
      </c>
      <c r="V264" s="13">
        <f t="shared" si="51"/>
        <v>196</v>
      </c>
      <c r="W264" s="13">
        <f t="shared" si="51"/>
        <v>149</v>
      </c>
      <c r="X264" s="13">
        <f t="shared" si="51"/>
        <v>235</v>
      </c>
      <c r="Y264" s="13">
        <f t="shared" si="51"/>
        <v>215</v>
      </c>
      <c r="Z264" s="13">
        <f t="shared" si="51"/>
        <v>193</v>
      </c>
      <c r="AA264" s="13">
        <f t="shared" si="51"/>
        <v>175</v>
      </c>
      <c r="AB264" s="13">
        <f t="shared" si="51"/>
        <v>207</v>
      </c>
      <c r="AC264" s="13">
        <f t="shared" si="51"/>
        <v>191</v>
      </c>
      <c r="AD264" s="13">
        <f t="shared" si="51"/>
        <v>226</v>
      </c>
      <c r="AE264" s="13">
        <f t="shared" si="50"/>
        <v>5169</v>
      </c>
    </row>
    <row r="265" spans="1:31" ht="12.75" customHeight="1" x14ac:dyDescent="0.4"/>
    <row r="266" spans="1:31" ht="12.75" customHeight="1" x14ac:dyDescent="0.4"/>
    <row r="267" spans="1:31" ht="12.75" customHeight="1" x14ac:dyDescent="0.4"/>
    <row r="268" spans="1:31" ht="12.75" customHeight="1" x14ac:dyDescent="0.4"/>
    <row r="269" spans="1:31" ht="12.75" customHeight="1" x14ac:dyDescent="0.4"/>
    <row r="270" spans="1:31" ht="12.75" customHeight="1" x14ac:dyDescent="0.4"/>
    <row r="271" spans="1:31" ht="12.75" customHeight="1" x14ac:dyDescent="0.4"/>
    <row r="272" spans="1:31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AD12"/>
    <mergeCell ref="AE12:AE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4:AD15">
    <cfRule type="containsBlanks" dxfId="170" priority="1">
      <formula>LEN(TRIM(E14))=0</formula>
    </cfRule>
  </conditionalFormatting>
  <conditionalFormatting sqref="E19:AD20">
    <cfRule type="containsBlanks" dxfId="169" priority="2">
      <formula>LEN(TRIM(E19))=0</formula>
    </cfRule>
  </conditionalFormatting>
  <conditionalFormatting sqref="E22:AD23 E25:AD26 E33:AD33 E35:AD35 E39:AD40">
    <cfRule type="containsBlanks" dxfId="168" priority="3">
      <formula>LEN(TRIM(E22))=0</formula>
    </cfRule>
  </conditionalFormatting>
  <conditionalFormatting sqref="E30:AD30">
    <cfRule type="expression" dxfId="167" priority="4">
      <formula>E30&lt;&gt;E47</formula>
    </cfRule>
    <cfRule type="expression" dxfId="166" priority="5">
      <formula>E30&lt;&gt;E34</formula>
    </cfRule>
  </conditionalFormatting>
  <conditionalFormatting sqref="E34:AD34">
    <cfRule type="expression" dxfId="165" priority="6">
      <formula>E30&lt;&gt;E34</formula>
    </cfRule>
    <cfRule type="expression" dxfId="164" priority="7">
      <formula>E30=E34</formula>
    </cfRule>
    <cfRule type="expression" dxfId="163" priority="8">
      <formula>E34&lt;&gt;E30</formula>
    </cfRule>
    <cfRule type="expression" dxfId="162" priority="9">
      <formula>E34&lt;&gt;E64</formula>
    </cfRule>
  </conditionalFormatting>
  <conditionalFormatting sqref="E45:AD54">
    <cfRule type="containsBlanks" dxfId="161" priority="10">
      <formula>LEN(TRIM(E45))=0</formula>
    </cfRule>
  </conditionalFormatting>
  <conditionalFormatting sqref="E57:AD66">
    <cfRule type="containsBlanks" dxfId="160" priority="11">
      <formula>LEN(TRIM(E57))=0</formula>
    </cfRule>
  </conditionalFormatting>
  <conditionalFormatting sqref="E69:AD78">
    <cfRule type="containsBlanks" dxfId="159" priority="12">
      <formula>LEN(TRIM(E69))=0</formula>
    </cfRule>
  </conditionalFormatting>
  <conditionalFormatting sqref="E81:AD90">
    <cfRule type="containsBlanks" dxfId="158" priority="13">
      <formula>LEN(TRIM(E81))=0</formula>
    </cfRule>
  </conditionalFormatting>
  <conditionalFormatting sqref="E93:AD102">
    <cfRule type="containsBlanks" dxfId="157" priority="14">
      <formula>LEN(TRIM(E93))=0</formula>
    </cfRule>
  </conditionalFormatting>
  <conditionalFormatting sqref="E105:AD114">
    <cfRule type="containsBlanks" dxfId="156" priority="15">
      <formula>LEN(TRIM(E105))=0</formula>
    </cfRule>
  </conditionalFormatting>
  <conditionalFormatting sqref="E117:AD126">
    <cfRule type="containsBlanks" dxfId="155" priority="16">
      <formula>LEN(TRIM(E117))=0</formula>
    </cfRule>
  </conditionalFormatting>
  <conditionalFormatting sqref="E129:AD138">
    <cfRule type="containsBlanks" dxfId="154" priority="17">
      <formula>LEN(TRIM(E129))=0</formula>
    </cfRule>
  </conditionalFormatting>
  <conditionalFormatting sqref="E141:AD150">
    <cfRule type="containsBlanks" dxfId="153" priority="18">
      <formula>LEN(TRIM(E141))=0</formula>
    </cfRule>
  </conditionalFormatting>
  <conditionalFormatting sqref="E153:AD162">
    <cfRule type="containsBlanks" dxfId="152" priority="19">
      <formula>LEN(TRIM(E153))=0</formula>
    </cfRule>
  </conditionalFormatting>
  <conditionalFormatting sqref="E165:AD174">
    <cfRule type="containsBlanks" dxfId="151" priority="20">
      <formula>LEN(TRIM(E165))=0</formula>
    </cfRule>
  </conditionalFormatting>
  <conditionalFormatting sqref="E177:AD186">
    <cfRule type="containsBlanks" dxfId="150" priority="21">
      <formula>LEN(TRIM(E177))=0</formula>
    </cfRule>
  </conditionalFormatting>
  <conditionalFormatting sqref="E189:AD198">
    <cfRule type="containsBlanks" dxfId="149" priority="22">
      <formula>LEN(TRIM(E189))=0</formula>
    </cfRule>
  </conditionalFormatting>
  <conditionalFormatting sqref="E201:AD210">
    <cfRule type="containsBlanks" dxfId="148" priority="23">
      <formula>LEN(TRIM(E201))=0</formula>
    </cfRule>
  </conditionalFormatting>
  <conditionalFormatting sqref="E213:AD222">
    <cfRule type="containsBlanks" dxfId="147" priority="24">
      <formula>LEN(TRIM(E213))=0</formula>
    </cfRule>
  </conditionalFormatting>
  <conditionalFormatting sqref="E225:AD234">
    <cfRule type="containsBlanks" dxfId="146" priority="25">
      <formula>LEN(TRIM(E225))=0</formula>
    </cfRule>
  </conditionalFormatting>
  <conditionalFormatting sqref="E237:AD246">
    <cfRule type="containsBlanks" dxfId="145" priority="26">
      <formula>LEN(TRIM(E237))=0</formula>
    </cfRule>
  </conditionalFormatting>
  <conditionalFormatting sqref="E249:AD258">
    <cfRule type="containsBlanks" dxfId="144" priority="27">
      <formula>LEN(TRIM(E249))=0</formula>
    </cfRule>
  </conditionalFormatting>
  <conditionalFormatting sqref="E262:AD263">
    <cfRule type="containsBlanks" dxfId="143" priority="28">
      <formula>LEN(TRIM(E262))=0</formula>
    </cfRule>
  </conditionalFormatting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</sheetPr>
  <dimension ref="A1:AB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27" width="8.7109375" customWidth="1"/>
    <col min="28" max="28" width="13.28515625" customWidth="1"/>
  </cols>
  <sheetData>
    <row r="1" spans="1:28" ht="12.75" customHeight="1" x14ac:dyDescent="0.4"/>
    <row r="2" spans="1:28" ht="12.75" customHeight="1" x14ac:dyDescent="0.4">
      <c r="C2" s="8" t="s">
        <v>0</v>
      </c>
      <c r="D2" s="8" t="s">
        <v>1</v>
      </c>
    </row>
    <row r="3" spans="1:28" ht="12.75" customHeight="1" x14ac:dyDescent="0.4">
      <c r="C3" s="8" t="s">
        <v>2</v>
      </c>
      <c r="D3" s="8" t="s">
        <v>1</v>
      </c>
    </row>
    <row r="4" spans="1:28" ht="12.75" customHeight="1" x14ac:dyDescent="0.4">
      <c r="C4" s="8" t="s">
        <v>3</v>
      </c>
      <c r="D4" s="8" t="s">
        <v>4</v>
      </c>
    </row>
    <row r="5" spans="1:28" ht="12.75" customHeight="1" x14ac:dyDescent="0.4">
      <c r="C5" s="8"/>
      <c r="D5" s="8"/>
    </row>
    <row r="6" spans="1:28" ht="12.75" customHeight="1" x14ac:dyDescent="0.4">
      <c r="C6" s="8"/>
      <c r="D6" s="8"/>
    </row>
    <row r="7" spans="1:28" ht="12.75" customHeight="1" x14ac:dyDescent="0.4">
      <c r="C7" s="8"/>
      <c r="D7" s="8"/>
    </row>
    <row r="8" spans="1:28" ht="12.75" customHeight="1" x14ac:dyDescent="0.4">
      <c r="C8" s="8"/>
      <c r="D8" s="8"/>
    </row>
    <row r="9" spans="1:28" ht="12.75" customHeight="1" x14ac:dyDescent="0.4">
      <c r="C9" s="8" t="s">
        <v>168</v>
      </c>
      <c r="D9" s="8" t="s">
        <v>213</v>
      </c>
    </row>
    <row r="10" spans="1:28" ht="12.75" customHeight="1" x14ac:dyDescent="0.4"/>
    <row r="11" spans="1:28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  <c r="T11" s="1"/>
      <c r="U11" s="1"/>
      <c r="V11" s="1"/>
      <c r="W11" s="1"/>
      <c r="X11" s="2"/>
    </row>
    <row r="12" spans="1:28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90" t="s">
        <v>7</v>
      </c>
    </row>
    <row r="13" spans="1:28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13" t="s">
        <v>188</v>
      </c>
      <c r="V13" s="13" t="s">
        <v>189</v>
      </c>
      <c r="W13" s="13" t="s">
        <v>190</v>
      </c>
      <c r="X13" s="13" t="s">
        <v>191</v>
      </c>
      <c r="Y13" s="13" t="s">
        <v>192</v>
      </c>
      <c r="Z13" s="13" t="s">
        <v>193</v>
      </c>
      <c r="AA13" s="13" t="s">
        <v>194</v>
      </c>
      <c r="AB13" s="80"/>
    </row>
    <row r="14" spans="1:28" ht="12.75" customHeight="1" x14ac:dyDescent="0.4">
      <c r="A14" s="15"/>
      <c r="B14" s="75" t="s">
        <v>10</v>
      </c>
      <c r="C14" s="66"/>
      <c r="D14" s="16" t="s">
        <v>11</v>
      </c>
      <c r="E14" s="16">
        <v>144</v>
      </c>
      <c r="F14" s="16">
        <v>127</v>
      </c>
      <c r="G14" s="16">
        <v>126</v>
      </c>
      <c r="H14" s="16">
        <v>136</v>
      </c>
      <c r="I14" s="16">
        <v>127</v>
      </c>
      <c r="J14" s="16">
        <v>137</v>
      </c>
      <c r="K14" s="16">
        <v>143</v>
      </c>
      <c r="L14" s="16">
        <v>135</v>
      </c>
      <c r="M14" s="16">
        <v>139</v>
      </c>
      <c r="N14" s="16">
        <v>141</v>
      </c>
      <c r="O14" s="16">
        <v>125</v>
      </c>
      <c r="P14" s="16">
        <v>134</v>
      </c>
      <c r="Q14" s="16">
        <v>148</v>
      </c>
      <c r="R14" s="16">
        <v>127</v>
      </c>
      <c r="S14" s="16">
        <v>138</v>
      </c>
      <c r="T14" s="16">
        <v>131</v>
      </c>
      <c r="U14" s="16">
        <v>123</v>
      </c>
      <c r="V14" s="16">
        <v>132</v>
      </c>
      <c r="W14" s="16">
        <v>142</v>
      </c>
      <c r="X14" s="16">
        <v>140</v>
      </c>
      <c r="Y14" s="16">
        <v>142</v>
      </c>
      <c r="Z14" s="16">
        <v>142</v>
      </c>
      <c r="AA14" s="16">
        <v>131</v>
      </c>
      <c r="AB14" s="13">
        <f t="shared" ref="AB14:AB16" si="0">SUM(E14:AA14)</f>
        <v>3110</v>
      </c>
    </row>
    <row r="15" spans="1:28" ht="12.75" customHeight="1" x14ac:dyDescent="0.4">
      <c r="A15" s="15"/>
      <c r="B15" s="76"/>
      <c r="C15" s="77"/>
      <c r="D15" s="16" t="s">
        <v>12</v>
      </c>
      <c r="E15" s="16">
        <v>146</v>
      </c>
      <c r="F15" s="16">
        <v>159</v>
      </c>
      <c r="G15" s="16">
        <v>162</v>
      </c>
      <c r="H15" s="16">
        <v>147</v>
      </c>
      <c r="I15" s="16">
        <v>147</v>
      </c>
      <c r="J15" s="16">
        <v>145</v>
      </c>
      <c r="K15" s="16">
        <v>142</v>
      </c>
      <c r="L15" s="16">
        <v>146</v>
      </c>
      <c r="M15" s="16">
        <v>156</v>
      </c>
      <c r="N15" s="16">
        <v>149</v>
      </c>
      <c r="O15" s="16">
        <v>162</v>
      </c>
      <c r="P15" s="16">
        <v>164</v>
      </c>
      <c r="Q15" s="16">
        <v>142</v>
      </c>
      <c r="R15" s="16">
        <v>147</v>
      </c>
      <c r="S15" s="16">
        <v>156</v>
      </c>
      <c r="T15" s="16">
        <v>147</v>
      </c>
      <c r="U15" s="16">
        <v>155</v>
      </c>
      <c r="V15" s="16">
        <v>149</v>
      </c>
      <c r="W15" s="16">
        <v>147</v>
      </c>
      <c r="X15" s="16">
        <v>147</v>
      </c>
      <c r="Y15" s="16">
        <v>144</v>
      </c>
      <c r="Z15" s="16">
        <v>152</v>
      </c>
      <c r="AA15" s="16">
        <v>152</v>
      </c>
      <c r="AB15" s="13">
        <f t="shared" si="0"/>
        <v>3463</v>
      </c>
    </row>
    <row r="16" spans="1:28" ht="12.75" customHeight="1" x14ac:dyDescent="0.4">
      <c r="A16" s="18"/>
      <c r="B16" s="73"/>
      <c r="C16" s="69"/>
      <c r="D16" s="13" t="s">
        <v>13</v>
      </c>
      <c r="E16" s="13">
        <f t="shared" ref="E16:AA16" si="1">SUM(E14:E15)</f>
        <v>290</v>
      </c>
      <c r="F16" s="13">
        <f t="shared" si="1"/>
        <v>286</v>
      </c>
      <c r="G16" s="13">
        <f t="shared" si="1"/>
        <v>288</v>
      </c>
      <c r="H16" s="13">
        <f t="shared" si="1"/>
        <v>283</v>
      </c>
      <c r="I16" s="13">
        <f t="shared" si="1"/>
        <v>274</v>
      </c>
      <c r="J16" s="13">
        <f t="shared" si="1"/>
        <v>282</v>
      </c>
      <c r="K16" s="13">
        <f t="shared" si="1"/>
        <v>285</v>
      </c>
      <c r="L16" s="13">
        <f t="shared" si="1"/>
        <v>281</v>
      </c>
      <c r="M16" s="13">
        <f t="shared" si="1"/>
        <v>295</v>
      </c>
      <c r="N16" s="13">
        <f t="shared" si="1"/>
        <v>290</v>
      </c>
      <c r="O16" s="13">
        <f t="shared" si="1"/>
        <v>287</v>
      </c>
      <c r="P16" s="13">
        <f t="shared" si="1"/>
        <v>298</v>
      </c>
      <c r="Q16" s="13">
        <f t="shared" si="1"/>
        <v>290</v>
      </c>
      <c r="R16" s="13">
        <f t="shared" si="1"/>
        <v>274</v>
      </c>
      <c r="S16" s="13">
        <f t="shared" si="1"/>
        <v>294</v>
      </c>
      <c r="T16" s="13">
        <f t="shared" si="1"/>
        <v>278</v>
      </c>
      <c r="U16" s="13">
        <f t="shared" si="1"/>
        <v>278</v>
      </c>
      <c r="V16" s="13">
        <f t="shared" si="1"/>
        <v>281</v>
      </c>
      <c r="W16" s="13">
        <f t="shared" si="1"/>
        <v>289</v>
      </c>
      <c r="X16" s="13">
        <f t="shared" si="1"/>
        <v>287</v>
      </c>
      <c r="Y16" s="13">
        <f t="shared" si="1"/>
        <v>286</v>
      </c>
      <c r="Z16" s="13">
        <f t="shared" si="1"/>
        <v>294</v>
      </c>
      <c r="AA16" s="13">
        <f t="shared" si="1"/>
        <v>283</v>
      </c>
      <c r="AB16" s="13">
        <f t="shared" si="0"/>
        <v>6573</v>
      </c>
    </row>
    <row r="17" spans="1:28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16"/>
      <c r="U17" s="16"/>
      <c r="V17" s="16"/>
      <c r="W17" s="16"/>
      <c r="X17" s="48"/>
      <c r="Y17" s="48"/>
      <c r="Z17" s="48"/>
      <c r="AA17" s="48"/>
      <c r="AB17" s="49"/>
    </row>
    <row r="18" spans="1:28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16"/>
      <c r="U18" s="16"/>
      <c r="V18" s="16"/>
      <c r="W18" s="16"/>
      <c r="X18" s="48"/>
      <c r="Y18" s="48"/>
      <c r="Z18" s="48"/>
      <c r="AA18" s="48"/>
      <c r="AB18" s="49"/>
    </row>
    <row r="19" spans="1:28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102</v>
      </c>
      <c r="F19" s="16">
        <v>93</v>
      </c>
      <c r="G19" s="16">
        <v>89</v>
      </c>
      <c r="H19" s="16">
        <v>85</v>
      </c>
      <c r="I19" s="16">
        <v>87</v>
      </c>
      <c r="J19" s="16">
        <v>102</v>
      </c>
      <c r="K19" s="16">
        <v>109</v>
      </c>
      <c r="L19" s="16">
        <v>108</v>
      </c>
      <c r="M19" s="16">
        <v>97</v>
      </c>
      <c r="N19" s="16">
        <v>100</v>
      </c>
      <c r="O19" s="16">
        <v>90</v>
      </c>
      <c r="P19" s="16">
        <v>104</v>
      </c>
      <c r="Q19" s="16">
        <v>116</v>
      </c>
      <c r="R19" s="16">
        <v>95</v>
      </c>
      <c r="S19" s="16">
        <v>95</v>
      </c>
      <c r="T19" s="16">
        <v>84</v>
      </c>
      <c r="U19" s="16">
        <v>99</v>
      </c>
      <c r="V19" s="16">
        <v>91</v>
      </c>
      <c r="W19" s="16">
        <v>104</v>
      </c>
      <c r="X19" s="16">
        <v>101</v>
      </c>
      <c r="Y19" s="16">
        <v>91</v>
      </c>
      <c r="Z19" s="16">
        <v>95</v>
      </c>
      <c r="AA19" s="16">
        <v>87</v>
      </c>
      <c r="AB19" s="13">
        <f t="shared" ref="AB19:AB30" si="2">SUM(E19:AA19)</f>
        <v>2224</v>
      </c>
    </row>
    <row r="20" spans="1:28" ht="12.75" customHeight="1" x14ac:dyDescent="0.4">
      <c r="A20" s="21"/>
      <c r="B20" s="77"/>
      <c r="C20" s="79"/>
      <c r="D20" s="16" t="s">
        <v>12</v>
      </c>
      <c r="E20" s="16">
        <v>104</v>
      </c>
      <c r="F20" s="16">
        <v>132</v>
      </c>
      <c r="G20" s="16">
        <v>117</v>
      </c>
      <c r="H20" s="16">
        <v>104</v>
      </c>
      <c r="I20" s="16">
        <v>100</v>
      </c>
      <c r="J20" s="16">
        <v>117</v>
      </c>
      <c r="K20" s="16">
        <v>105</v>
      </c>
      <c r="L20" s="16">
        <v>121</v>
      </c>
      <c r="M20" s="16">
        <v>129</v>
      </c>
      <c r="N20" s="16">
        <v>118</v>
      </c>
      <c r="O20" s="16">
        <v>129</v>
      </c>
      <c r="P20" s="16">
        <v>119</v>
      </c>
      <c r="Q20" s="16">
        <v>110</v>
      </c>
      <c r="R20" s="16">
        <v>115</v>
      </c>
      <c r="S20" s="16">
        <v>123</v>
      </c>
      <c r="T20" s="16">
        <v>112</v>
      </c>
      <c r="U20" s="16">
        <v>129</v>
      </c>
      <c r="V20" s="16">
        <v>120</v>
      </c>
      <c r="W20" s="16">
        <v>128</v>
      </c>
      <c r="X20" s="16">
        <v>122</v>
      </c>
      <c r="Y20" s="16">
        <v>107</v>
      </c>
      <c r="Z20" s="16">
        <v>123</v>
      </c>
      <c r="AA20" s="16">
        <v>124</v>
      </c>
      <c r="AB20" s="13">
        <f t="shared" si="2"/>
        <v>2708</v>
      </c>
    </row>
    <row r="21" spans="1:28" ht="12.75" customHeight="1" x14ac:dyDescent="0.4">
      <c r="A21" s="22"/>
      <c r="B21" s="69"/>
      <c r="C21" s="80"/>
      <c r="D21" s="13" t="s">
        <v>13</v>
      </c>
      <c r="E21" s="13">
        <f t="shared" ref="E21:AA21" si="3">SUM(E19:E20)</f>
        <v>206</v>
      </c>
      <c r="F21" s="13">
        <f t="shared" si="3"/>
        <v>225</v>
      </c>
      <c r="G21" s="13">
        <f t="shared" si="3"/>
        <v>206</v>
      </c>
      <c r="H21" s="13">
        <f t="shared" si="3"/>
        <v>189</v>
      </c>
      <c r="I21" s="13">
        <f t="shared" si="3"/>
        <v>187</v>
      </c>
      <c r="J21" s="13">
        <f t="shared" si="3"/>
        <v>219</v>
      </c>
      <c r="K21" s="13">
        <f t="shared" si="3"/>
        <v>214</v>
      </c>
      <c r="L21" s="13">
        <f t="shared" si="3"/>
        <v>229</v>
      </c>
      <c r="M21" s="13">
        <f t="shared" si="3"/>
        <v>226</v>
      </c>
      <c r="N21" s="13">
        <f t="shared" si="3"/>
        <v>218</v>
      </c>
      <c r="O21" s="13">
        <f t="shared" si="3"/>
        <v>219</v>
      </c>
      <c r="P21" s="13">
        <f t="shared" si="3"/>
        <v>223</v>
      </c>
      <c r="Q21" s="13">
        <f t="shared" si="3"/>
        <v>226</v>
      </c>
      <c r="R21" s="13">
        <f t="shared" si="3"/>
        <v>210</v>
      </c>
      <c r="S21" s="13">
        <f t="shared" si="3"/>
        <v>218</v>
      </c>
      <c r="T21" s="13">
        <f t="shared" si="3"/>
        <v>196</v>
      </c>
      <c r="U21" s="13">
        <f t="shared" si="3"/>
        <v>228</v>
      </c>
      <c r="V21" s="13">
        <f t="shared" si="3"/>
        <v>211</v>
      </c>
      <c r="W21" s="13">
        <f t="shared" si="3"/>
        <v>232</v>
      </c>
      <c r="X21" s="13">
        <f t="shared" si="3"/>
        <v>223</v>
      </c>
      <c r="Y21" s="13">
        <f t="shared" si="3"/>
        <v>198</v>
      </c>
      <c r="Z21" s="13">
        <f t="shared" si="3"/>
        <v>218</v>
      </c>
      <c r="AA21" s="13">
        <f t="shared" si="3"/>
        <v>211</v>
      </c>
      <c r="AB21" s="13">
        <f t="shared" si="2"/>
        <v>4932</v>
      </c>
    </row>
    <row r="22" spans="1:28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1</v>
      </c>
      <c r="M22" s="16">
        <v>0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1</v>
      </c>
      <c r="Z22" s="16">
        <v>0</v>
      </c>
      <c r="AA22" s="16">
        <v>0</v>
      </c>
      <c r="AB22" s="13">
        <f t="shared" si="2"/>
        <v>3</v>
      </c>
    </row>
    <row r="23" spans="1:28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2</v>
      </c>
      <c r="M23" s="16">
        <v>0</v>
      </c>
      <c r="N23" s="16">
        <v>0</v>
      </c>
      <c r="O23" s="16">
        <v>0</v>
      </c>
      <c r="P23" s="16">
        <v>0</v>
      </c>
      <c r="Q23" s="16">
        <v>1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1</v>
      </c>
      <c r="Z23" s="16">
        <v>0</v>
      </c>
      <c r="AA23" s="16">
        <v>0</v>
      </c>
      <c r="AB23" s="13">
        <f t="shared" si="2"/>
        <v>4</v>
      </c>
    </row>
    <row r="24" spans="1:28" ht="12.75" customHeight="1" x14ac:dyDescent="0.4">
      <c r="A24" s="22"/>
      <c r="B24" s="69"/>
      <c r="C24" s="80"/>
      <c r="D24" s="13" t="s">
        <v>13</v>
      </c>
      <c r="E24" s="13">
        <f t="shared" ref="E24:AA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3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2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2</v>
      </c>
      <c r="Z24" s="13">
        <f t="shared" si="4"/>
        <v>0</v>
      </c>
      <c r="AA24" s="13">
        <f t="shared" si="4"/>
        <v>0</v>
      </c>
      <c r="AB24" s="13">
        <f t="shared" si="2"/>
        <v>7</v>
      </c>
    </row>
    <row r="25" spans="1:28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1</v>
      </c>
      <c r="K25" s="16">
        <v>1</v>
      </c>
      <c r="L25" s="16">
        <v>0</v>
      </c>
      <c r="M25" s="16">
        <v>0</v>
      </c>
      <c r="N25" s="16">
        <v>3</v>
      </c>
      <c r="O25" s="16">
        <v>2</v>
      </c>
      <c r="P25" s="16">
        <v>2</v>
      </c>
      <c r="Q25" s="16">
        <v>5</v>
      </c>
      <c r="R25" s="16">
        <v>1</v>
      </c>
      <c r="S25" s="16">
        <v>1</v>
      </c>
      <c r="T25" s="16">
        <v>2</v>
      </c>
      <c r="U25" s="16">
        <v>0</v>
      </c>
      <c r="V25" s="16">
        <v>3</v>
      </c>
      <c r="W25" s="16">
        <v>1</v>
      </c>
      <c r="X25" s="16">
        <v>1</v>
      </c>
      <c r="Y25" s="16">
        <v>2</v>
      </c>
      <c r="Z25" s="16">
        <v>1</v>
      </c>
      <c r="AA25" s="16">
        <v>2</v>
      </c>
      <c r="AB25" s="13">
        <f t="shared" si="2"/>
        <v>28</v>
      </c>
    </row>
    <row r="26" spans="1:28" ht="12.75" customHeight="1" x14ac:dyDescent="0.4">
      <c r="A26" s="21"/>
      <c r="B26" s="77"/>
      <c r="C26" s="79"/>
      <c r="D26" s="16" t="s">
        <v>12</v>
      </c>
      <c r="E26" s="16">
        <v>1</v>
      </c>
      <c r="F26" s="16">
        <v>3</v>
      </c>
      <c r="G26" s="16">
        <v>0</v>
      </c>
      <c r="H26" s="16">
        <v>1</v>
      </c>
      <c r="I26" s="16">
        <v>1</v>
      </c>
      <c r="J26" s="16">
        <v>2</v>
      </c>
      <c r="K26" s="16">
        <v>0</v>
      </c>
      <c r="L26" s="16">
        <v>0</v>
      </c>
      <c r="M26" s="16">
        <v>0</v>
      </c>
      <c r="N26" s="16">
        <v>4</v>
      </c>
      <c r="O26" s="16">
        <v>0</v>
      </c>
      <c r="P26" s="16">
        <v>2</v>
      </c>
      <c r="Q26" s="16">
        <v>9</v>
      </c>
      <c r="R26" s="16">
        <v>0</v>
      </c>
      <c r="S26" s="16">
        <v>5</v>
      </c>
      <c r="T26" s="16">
        <v>2</v>
      </c>
      <c r="U26" s="16">
        <v>1</v>
      </c>
      <c r="V26" s="16">
        <v>3</v>
      </c>
      <c r="W26" s="16">
        <v>0</v>
      </c>
      <c r="X26" s="16">
        <v>0</v>
      </c>
      <c r="Y26" s="16">
        <v>2</v>
      </c>
      <c r="Z26" s="16">
        <v>0</v>
      </c>
      <c r="AA26" s="16">
        <v>0</v>
      </c>
      <c r="AB26" s="13">
        <f t="shared" si="2"/>
        <v>36</v>
      </c>
    </row>
    <row r="27" spans="1:28" ht="12.75" customHeight="1" x14ac:dyDescent="0.4">
      <c r="A27" s="22"/>
      <c r="B27" s="69"/>
      <c r="C27" s="80"/>
      <c r="D27" s="13" t="s">
        <v>13</v>
      </c>
      <c r="E27" s="13">
        <f t="shared" ref="E27:AA27" si="5">SUM(E25:E26)</f>
        <v>1</v>
      </c>
      <c r="F27" s="13">
        <f t="shared" si="5"/>
        <v>3</v>
      </c>
      <c r="G27" s="13">
        <f t="shared" si="5"/>
        <v>0</v>
      </c>
      <c r="H27" s="13">
        <f t="shared" si="5"/>
        <v>1</v>
      </c>
      <c r="I27" s="13">
        <f t="shared" si="5"/>
        <v>1</v>
      </c>
      <c r="J27" s="13">
        <f t="shared" si="5"/>
        <v>3</v>
      </c>
      <c r="K27" s="13">
        <f t="shared" si="5"/>
        <v>1</v>
      </c>
      <c r="L27" s="13">
        <f t="shared" si="5"/>
        <v>0</v>
      </c>
      <c r="M27" s="13">
        <f t="shared" si="5"/>
        <v>0</v>
      </c>
      <c r="N27" s="13">
        <f t="shared" si="5"/>
        <v>7</v>
      </c>
      <c r="O27" s="13">
        <f t="shared" si="5"/>
        <v>2</v>
      </c>
      <c r="P27" s="13">
        <f t="shared" si="5"/>
        <v>4</v>
      </c>
      <c r="Q27" s="13">
        <f t="shared" si="5"/>
        <v>14</v>
      </c>
      <c r="R27" s="13">
        <f t="shared" si="5"/>
        <v>1</v>
      </c>
      <c r="S27" s="13">
        <f t="shared" si="5"/>
        <v>6</v>
      </c>
      <c r="T27" s="13">
        <f t="shared" si="5"/>
        <v>4</v>
      </c>
      <c r="U27" s="13">
        <f t="shared" si="5"/>
        <v>1</v>
      </c>
      <c r="V27" s="13">
        <f t="shared" si="5"/>
        <v>6</v>
      </c>
      <c r="W27" s="13">
        <f t="shared" si="5"/>
        <v>1</v>
      </c>
      <c r="X27" s="13">
        <f t="shared" si="5"/>
        <v>1</v>
      </c>
      <c r="Y27" s="13">
        <f t="shared" si="5"/>
        <v>4</v>
      </c>
      <c r="Z27" s="13">
        <f t="shared" si="5"/>
        <v>1</v>
      </c>
      <c r="AA27" s="13">
        <f t="shared" si="5"/>
        <v>2</v>
      </c>
      <c r="AB27" s="13">
        <f t="shared" si="2"/>
        <v>64</v>
      </c>
    </row>
    <row r="28" spans="1:28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AA28" si="6">SUM(E19,E22,E25)</f>
        <v>102</v>
      </c>
      <c r="F28" s="13">
        <f t="shared" si="6"/>
        <v>93</v>
      </c>
      <c r="G28" s="13">
        <f t="shared" si="6"/>
        <v>89</v>
      </c>
      <c r="H28" s="13">
        <f t="shared" si="6"/>
        <v>85</v>
      </c>
      <c r="I28" s="13">
        <f t="shared" si="6"/>
        <v>87</v>
      </c>
      <c r="J28" s="13">
        <f t="shared" si="6"/>
        <v>103</v>
      </c>
      <c r="K28" s="13">
        <f t="shared" si="6"/>
        <v>110</v>
      </c>
      <c r="L28" s="13">
        <f t="shared" si="6"/>
        <v>109</v>
      </c>
      <c r="M28" s="13">
        <f t="shared" si="6"/>
        <v>97</v>
      </c>
      <c r="N28" s="13">
        <f t="shared" si="6"/>
        <v>103</v>
      </c>
      <c r="O28" s="13">
        <f t="shared" si="6"/>
        <v>92</v>
      </c>
      <c r="P28" s="13">
        <f t="shared" si="6"/>
        <v>106</v>
      </c>
      <c r="Q28" s="13">
        <f t="shared" si="6"/>
        <v>122</v>
      </c>
      <c r="R28" s="13">
        <f t="shared" si="6"/>
        <v>96</v>
      </c>
      <c r="S28" s="13">
        <f t="shared" si="6"/>
        <v>96</v>
      </c>
      <c r="T28" s="13">
        <f t="shared" si="6"/>
        <v>86</v>
      </c>
      <c r="U28" s="13">
        <f t="shared" si="6"/>
        <v>99</v>
      </c>
      <c r="V28" s="13">
        <f t="shared" si="6"/>
        <v>94</v>
      </c>
      <c r="W28" s="13">
        <f t="shared" si="6"/>
        <v>105</v>
      </c>
      <c r="X28" s="13">
        <f t="shared" si="6"/>
        <v>102</v>
      </c>
      <c r="Y28" s="13">
        <f t="shared" si="6"/>
        <v>94</v>
      </c>
      <c r="Z28" s="13">
        <f t="shared" si="6"/>
        <v>96</v>
      </c>
      <c r="AA28" s="13">
        <f t="shared" si="6"/>
        <v>89</v>
      </c>
      <c r="AB28" s="13">
        <f t="shared" si="2"/>
        <v>2255</v>
      </c>
    </row>
    <row r="29" spans="1:28" ht="12.75" customHeight="1" x14ac:dyDescent="0.4">
      <c r="A29" s="22"/>
      <c r="B29" s="77"/>
      <c r="C29" s="79"/>
      <c r="D29" s="13" t="s">
        <v>12</v>
      </c>
      <c r="E29" s="13">
        <f t="shared" ref="E29:AA29" si="7">SUM(E20,E23,E26)</f>
        <v>105</v>
      </c>
      <c r="F29" s="13">
        <f t="shared" si="7"/>
        <v>135</v>
      </c>
      <c r="G29" s="13">
        <f t="shared" si="7"/>
        <v>117</v>
      </c>
      <c r="H29" s="13">
        <f t="shared" si="7"/>
        <v>105</v>
      </c>
      <c r="I29" s="13">
        <f t="shared" si="7"/>
        <v>101</v>
      </c>
      <c r="J29" s="13">
        <f t="shared" si="7"/>
        <v>119</v>
      </c>
      <c r="K29" s="13">
        <f t="shared" si="7"/>
        <v>105</v>
      </c>
      <c r="L29" s="13">
        <f t="shared" si="7"/>
        <v>123</v>
      </c>
      <c r="M29" s="13">
        <f t="shared" si="7"/>
        <v>129</v>
      </c>
      <c r="N29" s="13">
        <f t="shared" si="7"/>
        <v>122</v>
      </c>
      <c r="O29" s="13">
        <f t="shared" si="7"/>
        <v>129</v>
      </c>
      <c r="P29" s="13">
        <f t="shared" si="7"/>
        <v>121</v>
      </c>
      <c r="Q29" s="13">
        <f t="shared" si="7"/>
        <v>120</v>
      </c>
      <c r="R29" s="13">
        <f t="shared" si="7"/>
        <v>115</v>
      </c>
      <c r="S29" s="13">
        <f t="shared" si="7"/>
        <v>128</v>
      </c>
      <c r="T29" s="13">
        <f t="shared" si="7"/>
        <v>114</v>
      </c>
      <c r="U29" s="13">
        <f t="shared" si="7"/>
        <v>130</v>
      </c>
      <c r="V29" s="13">
        <f t="shared" si="7"/>
        <v>123</v>
      </c>
      <c r="W29" s="13">
        <f t="shared" si="7"/>
        <v>128</v>
      </c>
      <c r="X29" s="13">
        <f t="shared" si="7"/>
        <v>122</v>
      </c>
      <c r="Y29" s="13">
        <f t="shared" si="7"/>
        <v>110</v>
      </c>
      <c r="Z29" s="13">
        <f t="shared" si="7"/>
        <v>123</v>
      </c>
      <c r="AA29" s="13">
        <f t="shared" si="7"/>
        <v>124</v>
      </c>
      <c r="AB29" s="13">
        <f t="shared" si="2"/>
        <v>2748</v>
      </c>
    </row>
    <row r="30" spans="1:28" ht="12.75" customHeight="1" x14ac:dyDescent="0.4">
      <c r="A30" s="22"/>
      <c r="B30" s="69"/>
      <c r="C30" s="80"/>
      <c r="D30" s="13" t="s">
        <v>13</v>
      </c>
      <c r="E30" s="13">
        <f t="shared" ref="E30:AA30" si="8">SUM(E28:E29)</f>
        <v>207</v>
      </c>
      <c r="F30" s="13">
        <f t="shared" si="8"/>
        <v>228</v>
      </c>
      <c r="G30" s="13">
        <f t="shared" si="8"/>
        <v>206</v>
      </c>
      <c r="H30" s="13">
        <f t="shared" si="8"/>
        <v>190</v>
      </c>
      <c r="I30" s="13">
        <f t="shared" si="8"/>
        <v>188</v>
      </c>
      <c r="J30" s="13">
        <f t="shared" si="8"/>
        <v>222</v>
      </c>
      <c r="K30" s="13">
        <f t="shared" si="8"/>
        <v>215</v>
      </c>
      <c r="L30" s="13">
        <f t="shared" si="8"/>
        <v>232</v>
      </c>
      <c r="M30" s="13">
        <f t="shared" si="8"/>
        <v>226</v>
      </c>
      <c r="N30" s="13">
        <f t="shared" si="8"/>
        <v>225</v>
      </c>
      <c r="O30" s="13">
        <f t="shared" si="8"/>
        <v>221</v>
      </c>
      <c r="P30" s="13">
        <f t="shared" si="8"/>
        <v>227</v>
      </c>
      <c r="Q30" s="13">
        <f t="shared" si="8"/>
        <v>242</v>
      </c>
      <c r="R30" s="13">
        <f t="shared" si="8"/>
        <v>211</v>
      </c>
      <c r="S30" s="13">
        <f t="shared" si="8"/>
        <v>224</v>
      </c>
      <c r="T30" s="13">
        <f t="shared" si="8"/>
        <v>200</v>
      </c>
      <c r="U30" s="13">
        <f t="shared" si="8"/>
        <v>229</v>
      </c>
      <c r="V30" s="13">
        <f t="shared" si="8"/>
        <v>217</v>
      </c>
      <c r="W30" s="13">
        <f t="shared" si="8"/>
        <v>233</v>
      </c>
      <c r="X30" s="13">
        <f t="shared" si="8"/>
        <v>224</v>
      </c>
      <c r="Y30" s="13">
        <f t="shared" si="8"/>
        <v>204</v>
      </c>
      <c r="Z30" s="13">
        <f t="shared" si="8"/>
        <v>219</v>
      </c>
      <c r="AA30" s="13">
        <f t="shared" si="8"/>
        <v>213</v>
      </c>
      <c r="AB30" s="13">
        <f t="shared" si="2"/>
        <v>5003</v>
      </c>
    </row>
    <row r="31" spans="1:28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16"/>
      <c r="U31" s="16"/>
      <c r="V31" s="16"/>
      <c r="W31" s="16"/>
      <c r="X31" s="48"/>
      <c r="Y31" s="48"/>
      <c r="Z31" s="48"/>
      <c r="AA31" s="48"/>
      <c r="AB31" s="49"/>
    </row>
    <row r="32" spans="1:28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13"/>
      <c r="U32" s="13"/>
      <c r="V32" s="13"/>
      <c r="W32" s="13"/>
      <c r="X32" s="50"/>
      <c r="Y32" s="50"/>
      <c r="Z32" s="50"/>
      <c r="AA32" s="50"/>
      <c r="AB32" s="49"/>
    </row>
    <row r="33" spans="1:28" ht="12.75" customHeight="1" x14ac:dyDescent="0.4">
      <c r="A33" s="16">
        <v>1</v>
      </c>
      <c r="B33" s="74" t="s">
        <v>26</v>
      </c>
      <c r="C33" s="61"/>
      <c r="D33" s="62"/>
      <c r="E33" s="16">
        <v>296</v>
      </c>
      <c r="F33" s="16">
        <v>291</v>
      </c>
      <c r="G33" s="16">
        <v>294</v>
      </c>
      <c r="H33" s="16">
        <v>289</v>
      </c>
      <c r="I33" s="16">
        <v>279</v>
      </c>
      <c r="J33" s="16">
        <v>288</v>
      </c>
      <c r="K33" s="16">
        <v>291</v>
      </c>
      <c r="L33" s="16">
        <v>287</v>
      </c>
      <c r="M33" s="16">
        <v>301</v>
      </c>
      <c r="N33" s="16">
        <v>296</v>
      </c>
      <c r="O33" s="16">
        <v>293</v>
      </c>
      <c r="P33" s="16">
        <v>304</v>
      </c>
      <c r="Q33" s="16">
        <v>296</v>
      </c>
      <c r="R33" s="16">
        <v>280</v>
      </c>
      <c r="S33" s="16">
        <v>300</v>
      </c>
      <c r="T33" s="16">
        <v>269</v>
      </c>
      <c r="U33" s="16">
        <v>275</v>
      </c>
      <c r="V33" s="16">
        <v>287</v>
      </c>
      <c r="W33" s="16">
        <v>296</v>
      </c>
      <c r="X33" s="16">
        <v>283</v>
      </c>
      <c r="Y33" s="16">
        <v>292</v>
      </c>
      <c r="Z33" s="16">
        <v>300</v>
      </c>
      <c r="AA33" s="16">
        <v>289</v>
      </c>
      <c r="AB33" s="13">
        <f t="shared" ref="AB33:AB36" si="9">SUM(E33:AA33)</f>
        <v>6676</v>
      </c>
    </row>
    <row r="34" spans="1:28" ht="12.75" customHeight="1" x14ac:dyDescent="0.4">
      <c r="A34" s="16">
        <v>2</v>
      </c>
      <c r="B34" s="74" t="s">
        <v>27</v>
      </c>
      <c r="C34" s="61"/>
      <c r="D34" s="62"/>
      <c r="E34" s="13">
        <v>207</v>
      </c>
      <c r="F34" s="13">
        <v>228</v>
      </c>
      <c r="G34" s="13">
        <v>206</v>
      </c>
      <c r="H34" s="13">
        <v>190</v>
      </c>
      <c r="I34" s="13">
        <v>188</v>
      </c>
      <c r="J34" s="13">
        <v>222</v>
      </c>
      <c r="K34" s="13">
        <v>215</v>
      </c>
      <c r="L34" s="13">
        <v>232</v>
      </c>
      <c r="M34" s="13">
        <v>226</v>
      </c>
      <c r="N34" s="13">
        <v>225</v>
      </c>
      <c r="O34" s="13">
        <v>221</v>
      </c>
      <c r="P34" s="13">
        <v>227</v>
      </c>
      <c r="Q34" s="13">
        <v>242</v>
      </c>
      <c r="R34" s="13">
        <v>211</v>
      </c>
      <c r="S34" s="13">
        <v>224</v>
      </c>
      <c r="T34" s="13">
        <v>200</v>
      </c>
      <c r="U34" s="13">
        <v>229</v>
      </c>
      <c r="V34" s="13">
        <v>217</v>
      </c>
      <c r="W34" s="13">
        <v>233</v>
      </c>
      <c r="X34" s="13">
        <v>224</v>
      </c>
      <c r="Y34" s="13">
        <v>204</v>
      </c>
      <c r="Z34" s="13">
        <v>219</v>
      </c>
      <c r="AA34" s="13">
        <v>213</v>
      </c>
      <c r="AB34" s="13">
        <f t="shared" si="9"/>
        <v>5003</v>
      </c>
    </row>
    <row r="35" spans="1:28" ht="12.75" customHeight="1" x14ac:dyDescent="0.4">
      <c r="A35" s="16">
        <v>3</v>
      </c>
      <c r="B35" s="74" t="s">
        <v>28</v>
      </c>
      <c r="C35" s="61"/>
      <c r="D35" s="62"/>
      <c r="E35" s="16">
        <v>1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2</v>
      </c>
      <c r="T35" s="16">
        <v>0</v>
      </c>
      <c r="U35" s="16">
        <v>0</v>
      </c>
      <c r="V35" s="16">
        <v>1</v>
      </c>
      <c r="W35" s="16">
        <v>0</v>
      </c>
      <c r="X35" s="16">
        <v>5</v>
      </c>
      <c r="Y35" s="16">
        <v>0</v>
      </c>
      <c r="Z35" s="16">
        <v>0</v>
      </c>
      <c r="AA35" s="16">
        <v>0</v>
      </c>
      <c r="AB35" s="13">
        <f t="shared" si="9"/>
        <v>9</v>
      </c>
    </row>
    <row r="36" spans="1:28" ht="12.75" customHeight="1" x14ac:dyDescent="0.4">
      <c r="A36" s="16">
        <v>4</v>
      </c>
      <c r="B36" s="74" t="s">
        <v>29</v>
      </c>
      <c r="C36" s="61"/>
      <c r="D36" s="62"/>
      <c r="E36" s="13">
        <f t="shared" ref="E36:AA36" si="10">E33-(E34+E35)</f>
        <v>88</v>
      </c>
      <c r="F36" s="13">
        <f t="shared" si="10"/>
        <v>63</v>
      </c>
      <c r="G36" s="13">
        <f t="shared" si="10"/>
        <v>88</v>
      </c>
      <c r="H36" s="13">
        <f t="shared" si="10"/>
        <v>99</v>
      </c>
      <c r="I36" s="13">
        <f t="shared" si="10"/>
        <v>91</v>
      </c>
      <c r="J36" s="13">
        <f t="shared" si="10"/>
        <v>66</v>
      </c>
      <c r="K36" s="13">
        <f t="shared" si="10"/>
        <v>76</v>
      </c>
      <c r="L36" s="13">
        <f t="shared" si="10"/>
        <v>55</v>
      </c>
      <c r="M36" s="13">
        <f t="shared" si="10"/>
        <v>75</v>
      </c>
      <c r="N36" s="13">
        <f t="shared" si="10"/>
        <v>71</v>
      </c>
      <c r="O36" s="13">
        <f t="shared" si="10"/>
        <v>72</v>
      </c>
      <c r="P36" s="13">
        <f t="shared" si="10"/>
        <v>77</v>
      </c>
      <c r="Q36" s="13">
        <f t="shared" si="10"/>
        <v>54</v>
      </c>
      <c r="R36" s="13">
        <f t="shared" si="10"/>
        <v>69</v>
      </c>
      <c r="S36" s="13">
        <f t="shared" si="10"/>
        <v>74</v>
      </c>
      <c r="T36" s="13">
        <f t="shared" si="10"/>
        <v>69</v>
      </c>
      <c r="U36" s="13">
        <f t="shared" si="10"/>
        <v>46</v>
      </c>
      <c r="V36" s="13">
        <f t="shared" si="10"/>
        <v>69</v>
      </c>
      <c r="W36" s="13">
        <f t="shared" si="10"/>
        <v>63</v>
      </c>
      <c r="X36" s="13">
        <f t="shared" si="10"/>
        <v>54</v>
      </c>
      <c r="Y36" s="13">
        <f t="shared" si="10"/>
        <v>88</v>
      </c>
      <c r="Z36" s="13">
        <f t="shared" si="10"/>
        <v>81</v>
      </c>
      <c r="AA36" s="13">
        <f t="shared" si="10"/>
        <v>76</v>
      </c>
      <c r="AB36" s="13">
        <f t="shared" si="9"/>
        <v>1664</v>
      </c>
    </row>
    <row r="37" spans="1:28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16"/>
      <c r="U37" s="16"/>
      <c r="V37" s="16"/>
      <c r="W37" s="16"/>
      <c r="X37" s="48"/>
      <c r="Y37" s="51"/>
      <c r="Z37" s="51"/>
      <c r="AA37" s="51"/>
      <c r="AB37" s="49"/>
    </row>
    <row r="38" spans="1:28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13"/>
      <c r="U38" s="13"/>
      <c r="V38" s="13"/>
      <c r="W38" s="13"/>
      <c r="X38" s="50"/>
      <c r="Y38" s="50"/>
      <c r="Z38" s="50"/>
      <c r="AA38" s="50"/>
      <c r="AB38" s="49"/>
    </row>
    <row r="39" spans="1:28" ht="12.75" customHeight="1" x14ac:dyDescent="0.4">
      <c r="A39" s="20"/>
      <c r="B39" s="84" t="s">
        <v>32</v>
      </c>
      <c r="C39" s="66"/>
      <c r="D39" s="16" t="s">
        <v>11</v>
      </c>
      <c r="E39" s="16">
        <v>2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1</v>
      </c>
      <c r="X39" s="16">
        <v>0</v>
      </c>
      <c r="Y39" s="16">
        <v>0</v>
      </c>
      <c r="Z39" s="16">
        <v>0</v>
      </c>
      <c r="AA39" s="16">
        <v>0</v>
      </c>
      <c r="AB39" s="13">
        <f t="shared" ref="AB39:AB41" si="11">SUM(E39:AA39)</f>
        <v>3</v>
      </c>
    </row>
    <row r="40" spans="1:28" ht="12.75" customHeight="1" x14ac:dyDescent="0.4">
      <c r="A40" s="21"/>
      <c r="B40" s="85"/>
      <c r="C40" s="77"/>
      <c r="D40" s="16" t="s">
        <v>12</v>
      </c>
      <c r="E40" s="16">
        <v>1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1</v>
      </c>
      <c r="AA40" s="16">
        <v>0</v>
      </c>
      <c r="AB40" s="13">
        <f t="shared" si="11"/>
        <v>2</v>
      </c>
    </row>
    <row r="41" spans="1:28" ht="12.75" customHeight="1" x14ac:dyDescent="0.4">
      <c r="A41" s="25"/>
      <c r="B41" s="68"/>
      <c r="C41" s="69"/>
      <c r="D41" s="13" t="s">
        <v>13</v>
      </c>
      <c r="E41" s="13">
        <f t="shared" ref="E41:AA41" si="12">SUM(E39:E40)</f>
        <v>3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2"/>
        <v>0</v>
      </c>
      <c r="T41" s="13">
        <f t="shared" si="12"/>
        <v>0</v>
      </c>
      <c r="U41" s="13">
        <f t="shared" si="12"/>
        <v>0</v>
      </c>
      <c r="V41" s="13">
        <f t="shared" si="12"/>
        <v>0</v>
      </c>
      <c r="W41" s="13">
        <f t="shared" si="12"/>
        <v>1</v>
      </c>
      <c r="X41" s="13">
        <f t="shared" si="12"/>
        <v>0</v>
      </c>
      <c r="Y41" s="13">
        <f t="shared" si="12"/>
        <v>0</v>
      </c>
      <c r="Z41" s="13">
        <f t="shared" si="12"/>
        <v>1</v>
      </c>
      <c r="AA41" s="13">
        <f t="shared" si="12"/>
        <v>0</v>
      </c>
      <c r="AB41" s="13">
        <f t="shared" si="11"/>
        <v>5</v>
      </c>
    </row>
    <row r="42" spans="1:28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16"/>
      <c r="U42" s="16"/>
      <c r="V42" s="16"/>
      <c r="W42" s="16"/>
      <c r="X42" s="48"/>
      <c r="Y42" s="16"/>
      <c r="Z42" s="48"/>
      <c r="AA42" s="16"/>
      <c r="AB42" s="13"/>
    </row>
    <row r="43" spans="1:28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13"/>
      <c r="U43" s="13"/>
      <c r="V43" s="13"/>
      <c r="W43" s="13"/>
      <c r="X43" s="50"/>
      <c r="Y43" s="13"/>
      <c r="Z43" s="50"/>
      <c r="AA43" s="13"/>
      <c r="AB43" s="13"/>
    </row>
    <row r="44" spans="1:28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16"/>
      <c r="U44" s="16"/>
      <c r="V44" s="16"/>
      <c r="W44" s="16"/>
      <c r="X44" s="48"/>
      <c r="Y44" s="16"/>
      <c r="Z44" s="48"/>
      <c r="AA44" s="16"/>
      <c r="AB44" s="13"/>
    </row>
    <row r="45" spans="1:28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3</v>
      </c>
      <c r="F45" s="16">
        <v>4</v>
      </c>
      <c r="G45" s="16">
        <v>12</v>
      </c>
      <c r="H45" s="16">
        <v>4</v>
      </c>
      <c r="I45" s="16">
        <v>7</v>
      </c>
      <c r="J45" s="16">
        <v>4</v>
      </c>
      <c r="K45" s="16">
        <v>3</v>
      </c>
      <c r="L45" s="16">
        <v>3</v>
      </c>
      <c r="M45" s="16">
        <v>6</v>
      </c>
      <c r="N45" s="16">
        <v>3</v>
      </c>
      <c r="O45" s="16">
        <v>1</v>
      </c>
      <c r="P45" s="16">
        <v>3</v>
      </c>
      <c r="Q45" s="16">
        <v>6</v>
      </c>
      <c r="R45" s="16">
        <v>2</v>
      </c>
      <c r="S45" s="16">
        <v>5</v>
      </c>
      <c r="T45" s="16">
        <v>3</v>
      </c>
      <c r="U45" s="16">
        <v>7</v>
      </c>
      <c r="V45" s="16">
        <v>0</v>
      </c>
      <c r="W45" s="16">
        <v>2</v>
      </c>
      <c r="X45" s="16">
        <v>4</v>
      </c>
      <c r="Y45" s="16">
        <v>5</v>
      </c>
      <c r="Z45" s="16">
        <v>3</v>
      </c>
      <c r="AA45" s="16">
        <v>3</v>
      </c>
      <c r="AB45" s="13">
        <f t="shared" ref="AB45:AB54" si="13">SUM(E45:AA45)</f>
        <v>93</v>
      </c>
    </row>
    <row r="46" spans="1:28" ht="12.75" customHeight="1" x14ac:dyDescent="0.4">
      <c r="A46" s="20" t="s">
        <v>38</v>
      </c>
      <c r="B46" s="28"/>
      <c r="C46" s="29" t="s">
        <v>39</v>
      </c>
      <c r="D46" s="30"/>
      <c r="E46" s="16">
        <v>3</v>
      </c>
      <c r="F46" s="16">
        <v>2</v>
      </c>
      <c r="G46" s="16">
        <v>3</v>
      </c>
      <c r="H46" s="16">
        <v>3</v>
      </c>
      <c r="I46" s="16">
        <v>1</v>
      </c>
      <c r="J46" s="16">
        <v>2</v>
      </c>
      <c r="K46" s="16">
        <v>3</v>
      </c>
      <c r="L46" s="16">
        <v>1</v>
      </c>
      <c r="M46" s="16">
        <v>7</v>
      </c>
      <c r="N46" s="16">
        <v>7</v>
      </c>
      <c r="O46" s="16">
        <v>2</v>
      </c>
      <c r="P46" s="16">
        <v>5</v>
      </c>
      <c r="Q46" s="16">
        <v>6</v>
      </c>
      <c r="R46" s="16">
        <v>2</v>
      </c>
      <c r="S46" s="16">
        <v>4</v>
      </c>
      <c r="T46" s="16">
        <v>2</v>
      </c>
      <c r="U46" s="16">
        <v>1</v>
      </c>
      <c r="V46" s="16">
        <v>0</v>
      </c>
      <c r="W46" s="16">
        <v>1</v>
      </c>
      <c r="X46" s="16">
        <v>7</v>
      </c>
      <c r="Y46" s="16">
        <v>3</v>
      </c>
      <c r="Z46" s="16">
        <v>0</v>
      </c>
      <c r="AA46" s="16">
        <v>1</v>
      </c>
      <c r="AB46" s="13">
        <f t="shared" si="13"/>
        <v>66</v>
      </c>
    </row>
    <row r="47" spans="1:28" ht="12.75" customHeight="1" x14ac:dyDescent="0.4">
      <c r="A47" s="15"/>
      <c r="B47" s="28"/>
      <c r="C47" s="29" t="s">
        <v>40</v>
      </c>
      <c r="D47" s="30"/>
      <c r="E47" s="16">
        <v>4</v>
      </c>
      <c r="F47" s="16">
        <v>2</v>
      </c>
      <c r="G47" s="16">
        <v>5</v>
      </c>
      <c r="H47" s="16">
        <v>5</v>
      </c>
      <c r="I47" s="16">
        <v>2</v>
      </c>
      <c r="J47" s="16">
        <v>2</v>
      </c>
      <c r="K47" s="16">
        <v>3</v>
      </c>
      <c r="L47" s="16">
        <v>1</v>
      </c>
      <c r="M47" s="16">
        <v>3</v>
      </c>
      <c r="N47" s="16">
        <v>5</v>
      </c>
      <c r="O47" s="16">
        <v>2</v>
      </c>
      <c r="P47" s="16">
        <v>2</v>
      </c>
      <c r="Q47" s="16">
        <v>3</v>
      </c>
      <c r="R47" s="16">
        <v>4</v>
      </c>
      <c r="S47" s="16">
        <v>3</v>
      </c>
      <c r="T47" s="16">
        <v>5</v>
      </c>
      <c r="U47" s="16">
        <v>3</v>
      </c>
      <c r="V47" s="16">
        <v>0</v>
      </c>
      <c r="W47" s="16">
        <v>3</v>
      </c>
      <c r="X47" s="16">
        <v>1</v>
      </c>
      <c r="Y47" s="16">
        <v>1</v>
      </c>
      <c r="Z47" s="16">
        <v>3</v>
      </c>
      <c r="AA47" s="16">
        <v>4</v>
      </c>
      <c r="AB47" s="13">
        <f t="shared" si="13"/>
        <v>66</v>
      </c>
    </row>
    <row r="48" spans="1:28" ht="12.75" customHeight="1" x14ac:dyDescent="0.4">
      <c r="A48" s="15"/>
      <c r="B48" s="28"/>
      <c r="C48" s="29" t="s">
        <v>41</v>
      </c>
      <c r="D48" s="30"/>
      <c r="E48" s="16">
        <v>0</v>
      </c>
      <c r="F48" s="16">
        <v>0</v>
      </c>
      <c r="G48" s="16">
        <v>2</v>
      </c>
      <c r="H48" s="16">
        <v>0</v>
      </c>
      <c r="I48" s="16">
        <v>0</v>
      </c>
      <c r="J48" s="16">
        <v>1</v>
      </c>
      <c r="K48" s="16">
        <v>0</v>
      </c>
      <c r="L48" s="16">
        <v>0</v>
      </c>
      <c r="M48" s="16">
        <v>0</v>
      </c>
      <c r="N48" s="16">
        <v>0</v>
      </c>
      <c r="O48" s="16">
        <v>2</v>
      </c>
      <c r="P48" s="16">
        <v>0</v>
      </c>
      <c r="Q48" s="16">
        <v>1</v>
      </c>
      <c r="R48" s="16">
        <v>0</v>
      </c>
      <c r="S48" s="16">
        <v>2</v>
      </c>
      <c r="T48" s="16">
        <v>0</v>
      </c>
      <c r="U48" s="16">
        <v>0</v>
      </c>
      <c r="V48" s="16">
        <v>0</v>
      </c>
      <c r="W48" s="16">
        <v>1</v>
      </c>
      <c r="X48" s="16">
        <v>0</v>
      </c>
      <c r="Y48" s="16">
        <v>1</v>
      </c>
      <c r="Z48" s="16">
        <v>1</v>
      </c>
      <c r="AA48" s="16">
        <v>0</v>
      </c>
      <c r="AB48" s="13">
        <f t="shared" si="13"/>
        <v>11</v>
      </c>
    </row>
    <row r="49" spans="1:28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1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3">
        <f t="shared" si="13"/>
        <v>2</v>
      </c>
    </row>
    <row r="50" spans="1:28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1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2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3">
        <f t="shared" si="13"/>
        <v>3</v>
      </c>
    </row>
    <row r="51" spans="1:28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4</v>
      </c>
      <c r="O51" s="16">
        <v>0</v>
      </c>
      <c r="P51" s="16">
        <v>0</v>
      </c>
      <c r="Q51" s="16">
        <v>0</v>
      </c>
      <c r="R51" s="16">
        <v>0</v>
      </c>
      <c r="S51" s="16">
        <v>0</v>
      </c>
      <c r="T51" s="16">
        <v>3</v>
      </c>
      <c r="U51" s="16">
        <v>0</v>
      </c>
      <c r="V51" s="16">
        <v>0</v>
      </c>
      <c r="W51" s="16">
        <v>0</v>
      </c>
      <c r="X51" s="16">
        <v>1</v>
      </c>
      <c r="Y51" s="16">
        <v>1</v>
      </c>
      <c r="Z51" s="16">
        <v>0</v>
      </c>
      <c r="AA51" s="16">
        <v>1</v>
      </c>
      <c r="AB51" s="13">
        <f t="shared" si="13"/>
        <v>10</v>
      </c>
    </row>
    <row r="52" spans="1:28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13">
        <f t="shared" si="13"/>
        <v>0</v>
      </c>
    </row>
    <row r="53" spans="1:28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13">
        <f t="shared" si="13"/>
        <v>0</v>
      </c>
    </row>
    <row r="54" spans="1:28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13">
        <f t="shared" si="13"/>
        <v>0</v>
      </c>
    </row>
    <row r="55" spans="1:28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AB55" si="14">SUM(E45:E54)</f>
        <v>10</v>
      </c>
      <c r="F55" s="13">
        <f t="shared" si="14"/>
        <v>9</v>
      </c>
      <c r="G55" s="13">
        <f t="shared" si="14"/>
        <v>23</v>
      </c>
      <c r="H55" s="13">
        <f t="shared" si="14"/>
        <v>12</v>
      </c>
      <c r="I55" s="13">
        <f t="shared" si="14"/>
        <v>10</v>
      </c>
      <c r="J55" s="13">
        <f t="shared" si="14"/>
        <v>9</v>
      </c>
      <c r="K55" s="13">
        <f t="shared" si="14"/>
        <v>9</v>
      </c>
      <c r="L55" s="13">
        <f t="shared" si="14"/>
        <v>5</v>
      </c>
      <c r="M55" s="13">
        <f t="shared" si="14"/>
        <v>17</v>
      </c>
      <c r="N55" s="13">
        <f t="shared" si="14"/>
        <v>19</v>
      </c>
      <c r="O55" s="13">
        <f t="shared" si="14"/>
        <v>7</v>
      </c>
      <c r="P55" s="13">
        <f t="shared" si="14"/>
        <v>10</v>
      </c>
      <c r="Q55" s="13">
        <f t="shared" si="14"/>
        <v>18</v>
      </c>
      <c r="R55" s="13">
        <f t="shared" si="14"/>
        <v>8</v>
      </c>
      <c r="S55" s="13">
        <f t="shared" si="14"/>
        <v>14</v>
      </c>
      <c r="T55" s="13">
        <f t="shared" si="14"/>
        <v>13</v>
      </c>
      <c r="U55" s="13">
        <f t="shared" si="14"/>
        <v>11</v>
      </c>
      <c r="V55" s="13">
        <f t="shared" si="14"/>
        <v>0</v>
      </c>
      <c r="W55" s="13">
        <f t="shared" si="14"/>
        <v>7</v>
      </c>
      <c r="X55" s="13">
        <f t="shared" si="14"/>
        <v>13</v>
      </c>
      <c r="Y55" s="13">
        <f t="shared" si="14"/>
        <v>11</v>
      </c>
      <c r="Z55" s="13">
        <f t="shared" si="14"/>
        <v>7</v>
      </c>
      <c r="AA55" s="13">
        <f t="shared" si="14"/>
        <v>9</v>
      </c>
      <c r="AB55" s="13">
        <f t="shared" si="14"/>
        <v>251</v>
      </c>
    </row>
    <row r="56" spans="1:28" ht="12.75" customHeight="1" x14ac:dyDescent="0.4">
      <c r="A56" s="86"/>
      <c r="B56" s="68"/>
      <c r="C56" s="68"/>
      <c r="D56" s="68"/>
      <c r="E56" s="68"/>
      <c r="AB56" s="13"/>
    </row>
    <row r="57" spans="1:28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6</v>
      </c>
      <c r="F57" s="16">
        <v>10</v>
      </c>
      <c r="G57" s="16">
        <v>4</v>
      </c>
      <c r="H57" s="16">
        <v>3</v>
      </c>
      <c r="I57" s="16">
        <v>10</v>
      </c>
      <c r="J57" s="16">
        <v>9</v>
      </c>
      <c r="K57" s="16">
        <v>7</v>
      </c>
      <c r="L57" s="16">
        <v>4</v>
      </c>
      <c r="M57" s="16">
        <v>10</v>
      </c>
      <c r="N57" s="16">
        <v>6</v>
      </c>
      <c r="O57" s="16">
        <v>2</v>
      </c>
      <c r="P57" s="16">
        <v>10</v>
      </c>
      <c r="Q57" s="16">
        <v>12</v>
      </c>
      <c r="R57" s="16">
        <v>8</v>
      </c>
      <c r="S57" s="16">
        <v>14</v>
      </c>
      <c r="T57" s="16">
        <v>8</v>
      </c>
      <c r="U57" s="16">
        <v>13</v>
      </c>
      <c r="V57" s="16">
        <v>7</v>
      </c>
      <c r="W57" s="16">
        <v>4</v>
      </c>
      <c r="X57" s="16">
        <v>16</v>
      </c>
      <c r="Y57" s="16">
        <v>9</v>
      </c>
      <c r="Z57" s="16">
        <v>5</v>
      </c>
      <c r="AA57" s="16">
        <v>4</v>
      </c>
      <c r="AB57" s="13">
        <f t="shared" ref="AB57:AB66" si="15">SUM(E57:AA57)</f>
        <v>181</v>
      </c>
    </row>
    <row r="58" spans="1:28" ht="12.75" customHeight="1" x14ac:dyDescent="0.4">
      <c r="A58" s="20" t="s">
        <v>38</v>
      </c>
      <c r="B58" s="28"/>
      <c r="C58" s="29" t="s">
        <v>47</v>
      </c>
      <c r="D58" s="30"/>
      <c r="E58" s="16">
        <v>3</v>
      </c>
      <c r="F58" s="16">
        <v>9</v>
      </c>
      <c r="G58" s="16">
        <v>7</v>
      </c>
      <c r="H58" s="16">
        <v>4</v>
      </c>
      <c r="I58" s="16">
        <v>3</v>
      </c>
      <c r="J58" s="16">
        <v>1</v>
      </c>
      <c r="K58" s="16">
        <v>10</v>
      </c>
      <c r="L58" s="16">
        <v>4</v>
      </c>
      <c r="M58" s="16">
        <v>12</v>
      </c>
      <c r="N58" s="16">
        <v>6</v>
      </c>
      <c r="O58" s="16">
        <v>3</v>
      </c>
      <c r="P58" s="16">
        <v>9</v>
      </c>
      <c r="Q58" s="16">
        <v>9</v>
      </c>
      <c r="R58" s="16">
        <v>8</v>
      </c>
      <c r="S58" s="16">
        <v>6</v>
      </c>
      <c r="T58" s="16">
        <v>5</v>
      </c>
      <c r="U58" s="16">
        <v>9</v>
      </c>
      <c r="V58" s="16">
        <v>7</v>
      </c>
      <c r="W58" s="16">
        <v>3</v>
      </c>
      <c r="X58" s="16">
        <v>2</v>
      </c>
      <c r="Y58" s="16">
        <v>5</v>
      </c>
      <c r="Z58" s="16">
        <v>5</v>
      </c>
      <c r="AA58" s="16">
        <v>5</v>
      </c>
      <c r="AB58" s="13">
        <f t="shared" si="15"/>
        <v>135</v>
      </c>
    </row>
    <row r="59" spans="1:28" ht="12.75" customHeight="1" x14ac:dyDescent="0.4">
      <c r="A59" s="15"/>
      <c r="B59" s="28"/>
      <c r="C59" s="29" t="s">
        <v>48</v>
      </c>
      <c r="D59" s="30"/>
      <c r="E59" s="16">
        <v>1</v>
      </c>
      <c r="F59" s="16">
        <v>5</v>
      </c>
      <c r="G59" s="16">
        <v>1</v>
      </c>
      <c r="H59" s="16">
        <v>3</v>
      </c>
      <c r="I59" s="16">
        <v>1</v>
      </c>
      <c r="J59" s="16">
        <v>2</v>
      </c>
      <c r="K59" s="16">
        <v>5</v>
      </c>
      <c r="L59" s="16">
        <v>0</v>
      </c>
      <c r="M59" s="16">
        <v>3</v>
      </c>
      <c r="N59" s="16">
        <v>0</v>
      </c>
      <c r="O59" s="16">
        <v>1</v>
      </c>
      <c r="P59" s="16">
        <v>0</v>
      </c>
      <c r="Q59" s="16">
        <v>2</v>
      </c>
      <c r="R59" s="16">
        <v>2</v>
      </c>
      <c r="S59" s="16">
        <v>2</v>
      </c>
      <c r="T59" s="16">
        <v>3</v>
      </c>
      <c r="U59" s="16">
        <v>1</v>
      </c>
      <c r="V59" s="16">
        <v>3</v>
      </c>
      <c r="W59" s="16">
        <v>0</v>
      </c>
      <c r="X59" s="16">
        <v>3</v>
      </c>
      <c r="Y59" s="16">
        <v>2</v>
      </c>
      <c r="Z59" s="16">
        <v>2</v>
      </c>
      <c r="AA59" s="16">
        <v>1</v>
      </c>
      <c r="AB59" s="13">
        <f t="shared" si="15"/>
        <v>43</v>
      </c>
    </row>
    <row r="60" spans="1:28" ht="12.75" customHeight="1" x14ac:dyDescent="0.4">
      <c r="A60" s="15"/>
      <c r="B60" s="28"/>
      <c r="C60" s="29" t="s">
        <v>49</v>
      </c>
      <c r="D60" s="30"/>
      <c r="E60" s="16">
        <v>4</v>
      </c>
      <c r="F60" s="16">
        <v>4</v>
      </c>
      <c r="G60" s="16">
        <v>0</v>
      </c>
      <c r="H60" s="16">
        <v>2</v>
      </c>
      <c r="I60" s="16">
        <v>0</v>
      </c>
      <c r="J60" s="16">
        <v>1</v>
      </c>
      <c r="K60" s="16">
        <v>0</v>
      </c>
      <c r="L60" s="16">
        <v>0</v>
      </c>
      <c r="M60" s="16">
        <v>0</v>
      </c>
      <c r="N60" s="16">
        <v>0</v>
      </c>
      <c r="O60" s="16">
        <v>3</v>
      </c>
      <c r="P60" s="16">
        <v>4</v>
      </c>
      <c r="Q60" s="16">
        <v>1</v>
      </c>
      <c r="R60" s="16">
        <v>1</v>
      </c>
      <c r="S60" s="16">
        <v>1</v>
      </c>
      <c r="T60" s="16">
        <v>2</v>
      </c>
      <c r="U60" s="16">
        <v>0</v>
      </c>
      <c r="V60" s="16">
        <v>2</v>
      </c>
      <c r="W60" s="16">
        <v>0</v>
      </c>
      <c r="X60" s="16">
        <v>1</v>
      </c>
      <c r="Y60" s="16">
        <v>1</v>
      </c>
      <c r="Z60" s="16">
        <v>0</v>
      </c>
      <c r="AA60" s="16">
        <v>2</v>
      </c>
      <c r="AB60" s="13">
        <f t="shared" si="15"/>
        <v>29</v>
      </c>
    </row>
    <row r="61" spans="1:28" ht="12.75" customHeight="1" x14ac:dyDescent="0.4">
      <c r="A61" s="15"/>
      <c r="B61" s="28"/>
      <c r="C61" s="29" t="s">
        <v>50</v>
      </c>
      <c r="D61" s="30"/>
      <c r="E61" s="16">
        <v>1</v>
      </c>
      <c r="F61" s="16">
        <v>0</v>
      </c>
      <c r="G61" s="16">
        <v>2</v>
      </c>
      <c r="H61" s="16">
        <v>3</v>
      </c>
      <c r="I61" s="16">
        <v>0</v>
      </c>
      <c r="J61" s="16">
        <v>4</v>
      </c>
      <c r="K61" s="16">
        <v>0</v>
      </c>
      <c r="L61" s="16">
        <v>0</v>
      </c>
      <c r="M61" s="16">
        <v>1</v>
      </c>
      <c r="N61" s="16">
        <v>3</v>
      </c>
      <c r="O61" s="16">
        <v>4</v>
      </c>
      <c r="P61" s="16">
        <v>1</v>
      </c>
      <c r="Q61" s="16">
        <v>1</v>
      </c>
      <c r="R61" s="16">
        <v>3</v>
      </c>
      <c r="S61" s="16">
        <v>1</v>
      </c>
      <c r="T61" s="16">
        <v>0</v>
      </c>
      <c r="U61" s="16">
        <v>0</v>
      </c>
      <c r="V61" s="16">
        <v>1</v>
      </c>
      <c r="W61" s="16">
        <v>0</v>
      </c>
      <c r="X61" s="16">
        <v>2</v>
      </c>
      <c r="Y61" s="16">
        <v>1</v>
      </c>
      <c r="Z61" s="16">
        <v>1</v>
      </c>
      <c r="AA61" s="16">
        <v>1</v>
      </c>
      <c r="AB61" s="13">
        <f t="shared" si="15"/>
        <v>30</v>
      </c>
    </row>
    <row r="62" spans="1:28" ht="12.75" customHeight="1" x14ac:dyDescent="0.4">
      <c r="A62" s="15"/>
      <c r="B62" s="28"/>
      <c r="C62" s="29" t="s">
        <v>51</v>
      </c>
      <c r="D62" s="30"/>
      <c r="E62" s="16">
        <v>1</v>
      </c>
      <c r="F62" s="16">
        <v>1</v>
      </c>
      <c r="G62" s="16">
        <v>0</v>
      </c>
      <c r="H62" s="16">
        <v>0</v>
      </c>
      <c r="I62" s="16">
        <v>1</v>
      </c>
      <c r="J62" s="16">
        <v>0</v>
      </c>
      <c r="K62" s="16">
        <v>1</v>
      </c>
      <c r="L62" s="16">
        <v>0</v>
      </c>
      <c r="M62" s="16">
        <v>3</v>
      </c>
      <c r="N62" s="16">
        <v>2</v>
      </c>
      <c r="O62" s="16">
        <v>0</v>
      </c>
      <c r="P62" s="16">
        <v>2</v>
      </c>
      <c r="Q62" s="16">
        <v>3</v>
      </c>
      <c r="R62" s="16">
        <v>6</v>
      </c>
      <c r="S62" s="16">
        <v>1</v>
      </c>
      <c r="T62" s="16">
        <v>0</v>
      </c>
      <c r="U62" s="16">
        <v>1</v>
      </c>
      <c r="V62" s="16">
        <v>0</v>
      </c>
      <c r="W62" s="16">
        <v>0</v>
      </c>
      <c r="X62" s="16">
        <v>0</v>
      </c>
      <c r="Y62" s="16">
        <v>2</v>
      </c>
      <c r="Z62" s="16">
        <v>0</v>
      </c>
      <c r="AA62" s="16">
        <v>0</v>
      </c>
      <c r="AB62" s="13">
        <f t="shared" si="15"/>
        <v>24</v>
      </c>
    </row>
    <row r="63" spans="1:28" ht="12.75" customHeight="1" x14ac:dyDescent="0.4">
      <c r="A63" s="15"/>
      <c r="B63" s="28"/>
      <c r="C63" s="29" t="s">
        <v>52</v>
      </c>
      <c r="D63" s="30"/>
      <c r="E63" s="16">
        <v>1</v>
      </c>
      <c r="F63" s="16">
        <v>0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0</v>
      </c>
      <c r="M63" s="16">
        <v>0</v>
      </c>
      <c r="N63" s="16">
        <v>1</v>
      </c>
      <c r="O63" s="16">
        <v>0</v>
      </c>
      <c r="P63" s="16">
        <v>1</v>
      </c>
      <c r="Q63" s="16">
        <v>1</v>
      </c>
      <c r="R63" s="16">
        <v>3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1</v>
      </c>
      <c r="Y63" s="16">
        <v>0</v>
      </c>
      <c r="Z63" s="16">
        <v>0</v>
      </c>
      <c r="AA63" s="16">
        <v>21</v>
      </c>
      <c r="AB63" s="13">
        <f t="shared" si="15"/>
        <v>29</v>
      </c>
    </row>
    <row r="64" spans="1:28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13">
        <f t="shared" si="15"/>
        <v>0</v>
      </c>
    </row>
    <row r="65" spans="1:28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13">
        <f t="shared" si="15"/>
        <v>0</v>
      </c>
    </row>
    <row r="66" spans="1:28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13">
        <f t="shared" si="15"/>
        <v>0</v>
      </c>
    </row>
    <row r="67" spans="1:28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AB67" si="16">SUM(E57:E66)</f>
        <v>17</v>
      </c>
      <c r="F67" s="13">
        <f t="shared" si="16"/>
        <v>29</v>
      </c>
      <c r="G67" s="13">
        <f t="shared" si="16"/>
        <v>14</v>
      </c>
      <c r="H67" s="13">
        <f t="shared" si="16"/>
        <v>15</v>
      </c>
      <c r="I67" s="13">
        <f t="shared" si="16"/>
        <v>15</v>
      </c>
      <c r="J67" s="13">
        <f t="shared" si="16"/>
        <v>17</v>
      </c>
      <c r="K67" s="13">
        <f t="shared" si="16"/>
        <v>23</v>
      </c>
      <c r="L67" s="13">
        <f t="shared" si="16"/>
        <v>8</v>
      </c>
      <c r="M67" s="13">
        <f t="shared" si="16"/>
        <v>29</v>
      </c>
      <c r="N67" s="13">
        <f t="shared" si="16"/>
        <v>18</v>
      </c>
      <c r="O67" s="13">
        <f t="shared" si="16"/>
        <v>13</v>
      </c>
      <c r="P67" s="13">
        <f t="shared" si="16"/>
        <v>27</v>
      </c>
      <c r="Q67" s="13">
        <f t="shared" si="16"/>
        <v>29</v>
      </c>
      <c r="R67" s="13">
        <f t="shared" si="16"/>
        <v>31</v>
      </c>
      <c r="S67" s="13">
        <f t="shared" si="16"/>
        <v>25</v>
      </c>
      <c r="T67" s="13">
        <f t="shared" si="16"/>
        <v>18</v>
      </c>
      <c r="U67" s="13">
        <f t="shared" si="16"/>
        <v>24</v>
      </c>
      <c r="V67" s="13">
        <f t="shared" si="16"/>
        <v>20</v>
      </c>
      <c r="W67" s="13">
        <f t="shared" si="16"/>
        <v>7</v>
      </c>
      <c r="X67" s="13">
        <f t="shared" si="16"/>
        <v>25</v>
      </c>
      <c r="Y67" s="13">
        <f t="shared" si="16"/>
        <v>20</v>
      </c>
      <c r="Z67" s="13">
        <f t="shared" si="16"/>
        <v>13</v>
      </c>
      <c r="AA67" s="13">
        <f t="shared" si="16"/>
        <v>34</v>
      </c>
      <c r="AB67" s="13">
        <f t="shared" si="16"/>
        <v>471</v>
      </c>
    </row>
    <row r="68" spans="1:28" ht="12.75" customHeight="1" x14ac:dyDescent="0.4">
      <c r="A68" s="86"/>
      <c r="B68" s="68"/>
      <c r="C68" s="68"/>
      <c r="D68" s="68"/>
      <c r="E68" s="68"/>
    </row>
    <row r="69" spans="1:28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3</v>
      </c>
      <c r="F69" s="16">
        <v>2</v>
      </c>
      <c r="G69" s="16">
        <v>7</v>
      </c>
      <c r="H69" s="16">
        <v>9</v>
      </c>
      <c r="I69" s="16">
        <v>7</v>
      </c>
      <c r="J69" s="16">
        <v>4</v>
      </c>
      <c r="K69" s="16">
        <v>4</v>
      </c>
      <c r="L69" s="16">
        <v>7</v>
      </c>
      <c r="M69" s="16">
        <v>3</v>
      </c>
      <c r="N69" s="16">
        <v>7</v>
      </c>
      <c r="O69" s="16">
        <v>5</v>
      </c>
      <c r="P69" s="16">
        <v>5</v>
      </c>
      <c r="Q69" s="16">
        <v>2</v>
      </c>
      <c r="R69" s="16">
        <v>7</v>
      </c>
      <c r="S69" s="16">
        <v>2</v>
      </c>
      <c r="T69" s="16">
        <v>4</v>
      </c>
      <c r="U69" s="16">
        <v>3</v>
      </c>
      <c r="V69" s="16">
        <v>5</v>
      </c>
      <c r="W69" s="16">
        <v>3</v>
      </c>
      <c r="X69" s="16">
        <v>4</v>
      </c>
      <c r="Y69" s="16">
        <v>6</v>
      </c>
      <c r="Z69" s="16">
        <v>14</v>
      </c>
      <c r="AA69" s="16">
        <v>5</v>
      </c>
      <c r="AB69" s="13">
        <f t="shared" ref="AB69:AB78" si="17">SUM(E69:AA69)</f>
        <v>118</v>
      </c>
    </row>
    <row r="70" spans="1:28" ht="12.75" customHeight="1" x14ac:dyDescent="0.4">
      <c r="A70" s="20" t="s">
        <v>38</v>
      </c>
      <c r="B70" s="28"/>
      <c r="C70" s="29" t="s">
        <v>54</v>
      </c>
      <c r="D70" s="30"/>
      <c r="E70" s="16">
        <v>1</v>
      </c>
      <c r="F70" s="16">
        <v>3</v>
      </c>
      <c r="G70" s="16">
        <v>1</v>
      </c>
      <c r="H70" s="16">
        <v>3</v>
      </c>
      <c r="I70" s="16">
        <v>7</v>
      </c>
      <c r="J70" s="16">
        <v>4</v>
      </c>
      <c r="K70" s="16">
        <v>2</v>
      </c>
      <c r="L70" s="16">
        <v>0</v>
      </c>
      <c r="M70" s="16">
        <v>2</v>
      </c>
      <c r="N70" s="16">
        <v>2</v>
      </c>
      <c r="O70" s="16">
        <v>3</v>
      </c>
      <c r="P70" s="16">
        <v>4</v>
      </c>
      <c r="Q70" s="16">
        <v>1</v>
      </c>
      <c r="R70" s="16">
        <v>2</v>
      </c>
      <c r="S70" s="16">
        <v>1</v>
      </c>
      <c r="T70" s="16">
        <v>4</v>
      </c>
      <c r="U70" s="16">
        <v>2</v>
      </c>
      <c r="V70" s="16">
        <v>3</v>
      </c>
      <c r="W70" s="16">
        <v>4</v>
      </c>
      <c r="X70" s="16">
        <v>0</v>
      </c>
      <c r="Y70" s="16">
        <v>2</v>
      </c>
      <c r="Z70" s="16">
        <v>2</v>
      </c>
      <c r="AA70" s="16">
        <v>4</v>
      </c>
      <c r="AB70" s="13">
        <f t="shared" si="17"/>
        <v>57</v>
      </c>
    </row>
    <row r="71" spans="1:28" ht="12.75" customHeight="1" x14ac:dyDescent="0.4">
      <c r="A71" s="15"/>
      <c r="B71" s="28"/>
      <c r="C71" s="29" t="s">
        <v>55</v>
      </c>
      <c r="D71" s="30"/>
      <c r="E71" s="16">
        <v>1</v>
      </c>
      <c r="F71" s="16">
        <v>3</v>
      </c>
      <c r="G71" s="16">
        <v>3</v>
      </c>
      <c r="H71" s="16">
        <v>1</v>
      </c>
      <c r="I71" s="16">
        <v>3</v>
      </c>
      <c r="J71" s="16">
        <v>3</v>
      </c>
      <c r="K71" s="16">
        <v>0</v>
      </c>
      <c r="L71" s="16">
        <v>5</v>
      </c>
      <c r="M71" s="16">
        <v>1</v>
      </c>
      <c r="N71" s="16">
        <v>7</v>
      </c>
      <c r="O71" s="16">
        <v>2</v>
      </c>
      <c r="P71" s="16">
        <v>5</v>
      </c>
      <c r="Q71" s="16">
        <v>3</v>
      </c>
      <c r="R71" s="16">
        <v>4</v>
      </c>
      <c r="S71" s="16">
        <v>3</v>
      </c>
      <c r="T71" s="16">
        <v>7</v>
      </c>
      <c r="U71" s="16">
        <v>26</v>
      </c>
      <c r="V71" s="16">
        <v>1</v>
      </c>
      <c r="W71" s="16">
        <v>11</v>
      </c>
      <c r="X71" s="16">
        <v>2</v>
      </c>
      <c r="Y71" s="16">
        <v>1</v>
      </c>
      <c r="Z71" s="16">
        <v>0</v>
      </c>
      <c r="AA71" s="16">
        <v>4</v>
      </c>
      <c r="AB71" s="13">
        <f t="shared" si="17"/>
        <v>96</v>
      </c>
    </row>
    <row r="72" spans="1:28" ht="12.75" customHeight="1" x14ac:dyDescent="0.4">
      <c r="A72" s="15"/>
      <c r="B72" s="28"/>
      <c r="C72" s="29" t="s">
        <v>56</v>
      </c>
      <c r="D72" s="30"/>
      <c r="E72" s="16">
        <v>9</v>
      </c>
      <c r="F72" s="16">
        <v>5</v>
      </c>
      <c r="G72" s="16">
        <v>7</v>
      </c>
      <c r="H72" s="16">
        <v>12</v>
      </c>
      <c r="I72" s="16">
        <v>1</v>
      </c>
      <c r="J72" s="16">
        <v>11</v>
      </c>
      <c r="K72" s="16">
        <v>4</v>
      </c>
      <c r="L72" s="16">
        <v>16</v>
      </c>
      <c r="M72" s="16">
        <v>14</v>
      </c>
      <c r="N72" s="16">
        <v>8</v>
      </c>
      <c r="O72" s="16">
        <v>5</v>
      </c>
      <c r="P72" s="16">
        <v>7</v>
      </c>
      <c r="Q72" s="16">
        <v>20</v>
      </c>
      <c r="R72" s="16">
        <v>8</v>
      </c>
      <c r="S72" s="16">
        <v>5</v>
      </c>
      <c r="T72" s="16">
        <v>2</v>
      </c>
      <c r="U72" s="16">
        <v>3</v>
      </c>
      <c r="V72" s="16">
        <v>5</v>
      </c>
      <c r="W72" s="16">
        <v>0</v>
      </c>
      <c r="X72" s="16">
        <v>5</v>
      </c>
      <c r="Y72" s="16">
        <v>9</v>
      </c>
      <c r="Z72" s="16">
        <v>33</v>
      </c>
      <c r="AA72" s="16">
        <v>2</v>
      </c>
      <c r="AB72" s="13">
        <f t="shared" si="17"/>
        <v>191</v>
      </c>
    </row>
    <row r="73" spans="1:28" ht="12.75" customHeight="1" x14ac:dyDescent="0.4">
      <c r="A73" s="15"/>
      <c r="B73" s="28"/>
      <c r="C73" s="29" t="s">
        <v>57</v>
      </c>
      <c r="D73" s="30"/>
      <c r="E73" s="16">
        <v>3</v>
      </c>
      <c r="F73" s="16">
        <v>1</v>
      </c>
      <c r="G73" s="16">
        <v>1</v>
      </c>
      <c r="H73" s="16">
        <v>0</v>
      </c>
      <c r="I73" s="16">
        <v>2</v>
      </c>
      <c r="J73" s="16">
        <v>0</v>
      </c>
      <c r="K73" s="16">
        <v>0</v>
      </c>
      <c r="L73" s="16">
        <v>1</v>
      </c>
      <c r="M73" s="16">
        <v>1</v>
      </c>
      <c r="N73" s="16">
        <v>1</v>
      </c>
      <c r="O73" s="16">
        <v>3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3</v>
      </c>
      <c r="Z73" s="16">
        <v>1</v>
      </c>
      <c r="AA73" s="16">
        <v>0</v>
      </c>
      <c r="AB73" s="13">
        <f t="shared" si="17"/>
        <v>18</v>
      </c>
    </row>
    <row r="74" spans="1:28" ht="12.75" customHeight="1" x14ac:dyDescent="0.4">
      <c r="A74" s="15"/>
      <c r="B74" s="28"/>
      <c r="C74" s="29" t="s">
        <v>58</v>
      </c>
      <c r="D74" s="30"/>
      <c r="E74" s="16">
        <v>4</v>
      </c>
      <c r="F74" s="16">
        <v>2</v>
      </c>
      <c r="G74" s="16">
        <v>3</v>
      </c>
      <c r="H74" s="16">
        <v>0</v>
      </c>
      <c r="I74" s="16">
        <v>3</v>
      </c>
      <c r="J74" s="16">
        <v>1</v>
      </c>
      <c r="K74" s="16">
        <v>6</v>
      </c>
      <c r="L74" s="16">
        <v>19</v>
      </c>
      <c r="M74" s="16">
        <v>1</v>
      </c>
      <c r="N74" s="16">
        <v>1</v>
      </c>
      <c r="O74" s="16">
        <v>1</v>
      </c>
      <c r="P74" s="16">
        <v>1</v>
      </c>
      <c r="Q74" s="16">
        <v>8</v>
      </c>
      <c r="R74" s="16">
        <v>1</v>
      </c>
      <c r="S74" s="16">
        <v>3</v>
      </c>
      <c r="T74" s="16">
        <v>5</v>
      </c>
      <c r="U74" s="16">
        <v>3</v>
      </c>
      <c r="V74" s="16">
        <v>0</v>
      </c>
      <c r="W74" s="16">
        <v>0</v>
      </c>
      <c r="X74" s="16">
        <v>3</v>
      </c>
      <c r="Y74" s="16">
        <v>3</v>
      </c>
      <c r="Z74" s="16">
        <v>3</v>
      </c>
      <c r="AA74" s="16">
        <v>9</v>
      </c>
      <c r="AB74" s="13">
        <f t="shared" si="17"/>
        <v>80</v>
      </c>
    </row>
    <row r="75" spans="1:28" ht="12.75" customHeight="1" x14ac:dyDescent="0.4">
      <c r="A75" s="15"/>
      <c r="B75" s="28"/>
      <c r="C75" s="29" t="s">
        <v>59</v>
      </c>
      <c r="D75" s="30"/>
      <c r="E75" s="16">
        <v>1</v>
      </c>
      <c r="F75" s="16">
        <v>1</v>
      </c>
      <c r="G75" s="16">
        <v>1</v>
      </c>
      <c r="H75" s="16">
        <v>2</v>
      </c>
      <c r="I75" s="16">
        <v>3</v>
      </c>
      <c r="J75" s="16">
        <v>1</v>
      </c>
      <c r="K75" s="16">
        <v>1</v>
      </c>
      <c r="L75" s="16">
        <v>0</v>
      </c>
      <c r="M75" s="16">
        <v>2</v>
      </c>
      <c r="N75" s="16">
        <v>5</v>
      </c>
      <c r="O75" s="16">
        <v>4</v>
      </c>
      <c r="P75" s="16">
        <v>4</v>
      </c>
      <c r="Q75" s="16">
        <v>1</v>
      </c>
      <c r="R75" s="16">
        <v>0</v>
      </c>
      <c r="S75" s="16">
        <v>2</v>
      </c>
      <c r="T75" s="16">
        <v>1</v>
      </c>
      <c r="U75" s="16">
        <v>2</v>
      </c>
      <c r="V75" s="16">
        <v>0</v>
      </c>
      <c r="W75" s="16">
        <v>1</v>
      </c>
      <c r="X75" s="16">
        <v>1</v>
      </c>
      <c r="Y75" s="16">
        <v>1</v>
      </c>
      <c r="Z75" s="16">
        <v>0</v>
      </c>
      <c r="AA75" s="16">
        <v>1</v>
      </c>
      <c r="AB75" s="13">
        <f t="shared" si="17"/>
        <v>35</v>
      </c>
    </row>
    <row r="76" spans="1:28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13">
        <f t="shared" si="17"/>
        <v>0</v>
      </c>
    </row>
    <row r="77" spans="1:28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13">
        <f t="shared" si="17"/>
        <v>0</v>
      </c>
    </row>
    <row r="78" spans="1:28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13">
        <f t="shared" si="17"/>
        <v>0</v>
      </c>
    </row>
    <row r="79" spans="1:28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AB79" si="18">SUM(E69:E78)</f>
        <v>22</v>
      </c>
      <c r="F79" s="13">
        <f t="shared" si="18"/>
        <v>17</v>
      </c>
      <c r="G79" s="13">
        <f t="shared" si="18"/>
        <v>23</v>
      </c>
      <c r="H79" s="13">
        <f t="shared" si="18"/>
        <v>27</v>
      </c>
      <c r="I79" s="13">
        <f t="shared" si="18"/>
        <v>26</v>
      </c>
      <c r="J79" s="13">
        <f t="shared" si="18"/>
        <v>24</v>
      </c>
      <c r="K79" s="13">
        <f t="shared" si="18"/>
        <v>17</v>
      </c>
      <c r="L79" s="13">
        <f t="shared" si="18"/>
        <v>48</v>
      </c>
      <c r="M79" s="13">
        <f t="shared" si="18"/>
        <v>24</v>
      </c>
      <c r="N79" s="13">
        <f t="shared" si="18"/>
        <v>31</v>
      </c>
      <c r="O79" s="13">
        <f t="shared" si="18"/>
        <v>23</v>
      </c>
      <c r="P79" s="13">
        <f t="shared" si="18"/>
        <v>26</v>
      </c>
      <c r="Q79" s="13">
        <f t="shared" si="18"/>
        <v>35</v>
      </c>
      <c r="R79" s="13">
        <f t="shared" si="18"/>
        <v>22</v>
      </c>
      <c r="S79" s="13">
        <f t="shared" si="18"/>
        <v>16</v>
      </c>
      <c r="T79" s="13">
        <f t="shared" si="18"/>
        <v>23</v>
      </c>
      <c r="U79" s="13">
        <f t="shared" si="18"/>
        <v>40</v>
      </c>
      <c r="V79" s="13">
        <f t="shared" si="18"/>
        <v>14</v>
      </c>
      <c r="W79" s="13">
        <f t="shared" si="18"/>
        <v>19</v>
      </c>
      <c r="X79" s="13">
        <f t="shared" si="18"/>
        <v>15</v>
      </c>
      <c r="Y79" s="13">
        <f t="shared" si="18"/>
        <v>25</v>
      </c>
      <c r="Z79" s="13">
        <f t="shared" si="18"/>
        <v>53</v>
      </c>
      <c r="AA79" s="13">
        <f t="shared" si="18"/>
        <v>25</v>
      </c>
      <c r="AB79" s="13">
        <f t="shared" si="18"/>
        <v>595</v>
      </c>
    </row>
    <row r="80" spans="1:28" ht="12.75" customHeight="1" x14ac:dyDescent="0.4">
      <c r="A80" s="86"/>
      <c r="B80" s="68"/>
      <c r="C80" s="68"/>
      <c r="D80" s="68"/>
      <c r="E80" s="68"/>
    </row>
    <row r="81" spans="1:28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4</v>
      </c>
      <c r="F81" s="16">
        <v>2</v>
      </c>
      <c r="G81" s="16">
        <v>3</v>
      </c>
      <c r="H81" s="16">
        <v>0</v>
      </c>
      <c r="I81" s="16">
        <v>0</v>
      </c>
      <c r="J81" s="16">
        <v>1</v>
      </c>
      <c r="K81" s="16">
        <v>4</v>
      </c>
      <c r="L81" s="16">
        <v>1</v>
      </c>
      <c r="M81" s="16">
        <v>1</v>
      </c>
      <c r="N81" s="16">
        <v>3</v>
      </c>
      <c r="O81" s="16">
        <v>2</v>
      </c>
      <c r="P81" s="16">
        <v>6</v>
      </c>
      <c r="Q81" s="16">
        <v>0</v>
      </c>
      <c r="R81" s="16">
        <v>2</v>
      </c>
      <c r="S81" s="16">
        <v>6</v>
      </c>
      <c r="T81" s="16">
        <v>6</v>
      </c>
      <c r="U81" s="16">
        <v>2</v>
      </c>
      <c r="V81" s="16">
        <v>0</v>
      </c>
      <c r="W81" s="16">
        <v>2</v>
      </c>
      <c r="X81" s="16">
        <v>3</v>
      </c>
      <c r="Y81" s="16">
        <v>1</v>
      </c>
      <c r="Z81" s="16">
        <v>3</v>
      </c>
      <c r="AA81" s="16">
        <v>2</v>
      </c>
      <c r="AB81" s="13">
        <f t="shared" ref="AB81:AB90" si="19">SUM(E81:AA81)</f>
        <v>54</v>
      </c>
    </row>
    <row r="82" spans="1:28" ht="12.75" customHeight="1" x14ac:dyDescent="0.4">
      <c r="A82" s="20" t="s">
        <v>38</v>
      </c>
      <c r="B82" s="28"/>
      <c r="C82" s="29" t="s">
        <v>61</v>
      </c>
      <c r="D82" s="30"/>
      <c r="E82" s="16">
        <v>9</v>
      </c>
      <c r="F82" s="16">
        <v>14</v>
      </c>
      <c r="G82" s="16">
        <v>25</v>
      </c>
      <c r="H82" s="16">
        <v>0</v>
      </c>
      <c r="I82" s="16">
        <v>0</v>
      </c>
      <c r="J82" s="16">
        <v>4</v>
      </c>
      <c r="K82" s="16">
        <v>7</v>
      </c>
      <c r="L82" s="16">
        <v>5</v>
      </c>
      <c r="M82" s="16">
        <v>3</v>
      </c>
      <c r="N82" s="16">
        <v>5</v>
      </c>
      <c r="O82" s="16">
        <v>1</v>
      </c>
      <c r="P82" s="16">
        <v>1</v>
      </c>
      <c r="Q82" s="16">
        <v>12</v>
      </c>
      <c r="R82" s="16">
        <v>5</v>
      </c>
      <c r="S82" s="16">
        <v>7</v>
      </c>
      <c r="T82" s="16">
        <v>5</v>
      </c>
      <c r="U82" s="16">
        <v>4</v>
      </c>
      <c r="V82" s="16">
        <v>3</v>
      </c>
      <c r="W82" s="16">
        <v>2</v>
      </c>
      <c r="X82" s="16">
        <v>6</v>
      </c>
      <c r="Y82" s="16">
        <v>1</v>
      </c>
      <c r="Z82" s="16">
        <v>6</v>
      </c>
      <c r="AA82" s="16">
        <v>1</v>
      </c>
      <c r="AB82" s="13">
        <f t="shared" si="19"/>
        <v>126</v>
      </c>
    </row>
    <row r="83" spans="1:28" ht="12.75" customHeight="1" x14ac:dyDescent="0.4">
      <c r="A83" s="15"/>
      <c r="B83" s="28"/>
      <c r="C83" s="29" t="s">
        <v>62</v>
      </c>
      <c r="D83" s="30"/>
      <c r="E83" s="16">
        <v>0</v>
      </c>
      <c r="F83" s="16">
        <v>1</v>
      </c>
      <c r="G83" s="16">
        <v>0</v>
      </c>
      <c r="H83" s="16">
        <v>0</v>
      </c>
      <c r="I83" s="16">
        <v>1</v>
      </c>
      <c r="J83" s="16">
        <v>0</v>
      </c>
      <c r="K83" s="16">
        <v>1</v>
      </c>
      <c r="L83" s="16">
        <v>0</v>
      </c>
      <c r="M83" s="16">
        <v>3</v>
      </c>
      <c r="N83" s="16">
        <v>1</v>
      </c>
      <c r="O83" s="16">
        <v>1</v>
      </c>
      <c r="P83" s="16">
        <v>0</v>
      </c>
      <c r="Q83" s="16">
        <v>1</v>
      </c>
      <c r="R83" s="16">
        <v>0</v>
      </c>
      <c r="S83" s="16">
        <v>0</v>
      </c>
      <c r="T83" s="16">
        <v>0</v>
      </c>
      <c r="U83" s="16">
        <v>2</v>
      </c>
      <c r="V83" s="16">
        <v>1</v>
      </c>
      <c r="W83" s="16">
        <v>2</v>
      </c>
      <c r="X83" s="16">
        <v>1</v>
      </c>
      <c r="Y83" s="16">
        <v>0</v>
      </c>
      <c r="Z83" s="16">
        <v>0</v>
      </c>
      <c r="AA83" s="16">
        <v>0</v>
      </c>
      <c r="AB83" s="13">
        <f t="shared" si="19"/>
        <v>15</v>
      </c>
    </row>
    <row r="84" spans="1:28" ht="12.75" customHeight="1" x14ac:dyDescent="0.4">
      <c r="A84" s="15"/>
      <c r="B84" s="28"/>
      <c r="C84" s="29" t="s">
        <v>63</v>
      </c>
      <c r="D84" s="30"/>
      <c r="E84" s="16">
        <v>0</v>
      </c>
      <c r="F84" s="16">
        <v>0</v>
      </c>
      <c r="G84" s="16">
        <v>0</v>
      </c>
      <c r="H84" s="16">
        <v>0</v>
      </c>
      <c r="I84" s="16">
        <v>2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1</v>
      </c>
      <c r="P84" s="16">
        <v>1</v>
      </c>
      <c r="Q84" s="16">
        <v>0</v>
      </c>
      <c r="R84" s="16">
        <v>1</v>
      </c>
      <c r="S84" s="16">
        <v>0</v>
      </c>
      <c r="T84" s="16">
        <v>1</v>
      </c>
      <c r="U84" s="16">
        <v>0</v>
      </c>
      <c r="V84" s="16">
        <v>0</v>
      </c>
      <c r="W84" s="16">
        <v>0</v>
      </c>
      <c r="X84" s="16">
        <v>0</v>
      </c>
      <c r="Y84" s="16">
        <v>1</v>
      </c>
      <c r="Z84" s="16">
        <v>0</v>
      </c>
      <c r="AA84" s="16">
        <v>2</v>
      </c>
      <c r="AB84" s="13">
        <f t="shared" si="19"/>
        <v>9</v>
      </c>
    </row>
    <row r="85" spans="1:28" ht="12.75" customHeight="1" x14ac:dyDescent="0.4">
      <c r="A85" s="15"/>
      <c r="B85" s="28"/>
      <c r="C85" s="29" t="s">
        <v>64</v>
      </c>
      <c r="D85" s="30"/>
      <c r="E85" s="16">
        <v>6</v>
      </c>
      <c r="F85" s="16">
        <v>3</v>
      </c>
      <c r="G85" s="16">
        <v>1</v>
      </c>
      <c r="H85" s="16">
        <v>8</v>
      </c>
      <c r="I85" s="16">
        <v>0</v>
      </c>
      <c r="J85" s="16">
        <v>1</v>
      </c>
      <c r="K85" s="16">
        <v>8</v>
      </c>
      <c r="L85" s="16">
        <v>23</v>
      </c>
      <c r="M85" s="16">
        <v>4</v>
      </c>
      <c r="N85" s="16">
        <v>8</v>
      </c>
      <c r="O85" s="16">
        <v>2</v>
      </c>
      <c r="P85" s="16">
        <v>1</v>
      </c>
      <c r="Q85" s="16">
        <v>13</v>
      </c>
      <c r="R85" s="16">
        <v>2</v>
      </c>
      <c r="S85" s="16">
        <v>14</v>
      </c>
      <c r="T85" s="16">
        <v>1</v>
      </c>
      <c r="U85" s="16">
        <v>3</v>
      </c>
      <c r="V85" s="16">
        <v>0</v>
      </c>
      <c r="W85" s="16">
        <v>0</v>
      </c>
      <c r="X85" s="16">
        <v>5</v>
      </c>
      <c r="Y85" s="16">
        <v>5</v>
      </c>
      <c r="Z85" s="16">
        <v>0</v>
      </c>
      <c r="AA85" s="16">
        <v>3</v>
      </c>
      <c r="AB85" s="13">
        <f t="shared" si="19"/>
        <v>111</v>
      </c>
    </row>
    <row r="86" spans="1:28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1</v>
      </c>
      <c r="H86" s="16">
        <v>0</v>
      </c>
      <c r="I86" s="16">
        <v>0</v>
      </c>
      <c r="J86" s="16">
        <v>0</v>
      </c>
      <c r="K86" s="16">
        <v>0</v>
      </c>
      <c r="L86" s="16">
        <v>0</v>
      </c>
      <c r="M86" s="16">
        <v>0</v>
      </c>
      <c r="N86" s="16">
        <v>0</v>
      </c>
      <c r="O86" s="16">
        <v>1</v>
      </c>
      <c r="P86" s="16">
        <v>0</v>
      </c>
      <c r="Q86" s="16">
        <v>0</v>
      </c>
      <c r="R86" s="16">
        <v>1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1</v>
      </c>
      <c r="Y86" s="16">
        <v>0</v>
      </c>
      <c r="Z86" s="16">
        <v>0</v>
      </c>
      <c r="AA86" s="16">
        <v>0</v>
      </c>
      <c r="AB86" s="13">
        <f t="shared" si="19"/>
        <v>4</v>
      </c>
    </row>
    <row r="87" spans="1:28" ht="12.75" customHeight="1" x14ac:dyDescent="0.4">
      <c r="A87" s="15"/>
      <c r="B87" s="28"/>
      <c r="C87" s="29" t="s">
        <v>66</v>
      </c>
      <c r="D87" s="30"/>
      <c r="E87" s="16">
        <v>3</v>
      </c>
      <c r="F87" s="16">
        <v>1</v>
      </c>
      <c r="G87" s="16">
        <v>1</v>
      </c>
      <c r="H87" s="16">
        <v>0</v>
      </c>
      <c r="I87" s="16">
        <v>1</v>
      </c>
      <c r="J87" s="16">
        <v>0</v>
      </c>
      <c r="K87" s="16">
        <v>1</v>
      </c>
      <c r="L87" s="16">
        <v>1</v>
      </c>
      <c r="M87" s="16">
        <v>0</v>
      </c>
      <c r="N87" s="16">
        <v>2</v>
      </c>
      <c r="O87" s="16">
        <v>0</v>
      </c>
      <c r="P87" s="16">
        <v>0</v>
      </c>
      <c r="Q87" s="16">
        <v>1</v>
      </c>
      <c r="R87" s="16">
        <v>1</v>
      </c>
      <c r="S87" s="16">
        <v>0</v>
      </c>
      <c r="T87" s="16">
        <v>3</v>
      </c>
      <c r="U87" s="16">
        <v>1</v>
      </c>
      <c r="V87" s="16">
        <v>2</v>
      </c>
      <c r="W87" s="16">
        <v>0</v>
      </c>
      <c r="X87" s="16">
        <v>1</v>
      </c>
      <c r="Y87" s="16">
        <v>2</v>
      </c>
      <c r="Z87" s="16">
        <v>1</v>
      </c>
      <c r="AA87" s="16">
        <v>2</v>
      </c>
      <c r="AB87" s="13">
        <f t="shared" si="19"/>
        <v>24</v>
      </c>
    </row>
    <row r="88" spans="1:28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13">
        <f t="shared" si="19"/>
        <v>0</v>
      </c>
    </row>
    <row r="89" spans="1:28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13">
        <f t="shared" si="19"/>
        <v>0</v>
      </c>
    </row>
    <row r="90" spans="1:28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13">
        <f t="shared" si="19"/>
        <v>0</v>
      </c>
    </row>
    <row r="91" spans="1:28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AB91" si="20">SUM(E81:E90)</f>
        <v>22</v>
      </c>
      <c r="F91" s="13">
        <f t="shared" si="20"/>
        <v>21</v>
      </c>
      <c r="G91" s="13">
        <f t="shared" si="20"/>
        <v>31</v>
      </c>
      <c r="H91" s="13">
        <f t="shared" si="20"/>
        <v>8</v>
      </c>
      <c r="I91" s="13">
        <f t="shared" si="20"/>
        <v>4</v>
      </c>
      <c r="J91" s="13">
        <f t="shared" si="20"/>
        <v>6</v>
      </c>
      <c r="K91" s="13">
        <f t="shared" si="20"/>
        <v>21</v>
      </c>
      <c r="L91" s="13">
        <f t="shared" si="20"/>
        <v>30</v>
      </c>
      <c r="M91" s="13">
        <f t="shared" si="20"/>
        <v>11</v>
      </c>
      <c r="N91" s="13">
        <f t="shared" si="20"/>
        <v>19</v>
      </c>
      <c r="O91" s="13">
        <f t="shared" si="20"/>
        <v>8</v>
      </c>
      <c r="P91" s="13">
        <f t="shared" si="20"/>
        <v>9</v>
      </c>
      <c r="Q91" s="13">
        <f t="shared" si="20"/>
        <v>27</v>
      </c>
      <c r="R91" s="13">
        <f t="shared" si="20"/>
        <v>12</v>
      </c>
      <c r="S91" s="13">
        <f t="shared" si="20"/>
        <v>27</v>
      </c>
      <c r="T91" s="13">
        <f t="shared" si="20"/>
        <v>16</v>
      </c>
      <c r="U91" s="13">
        <f t="shared" si="20"/>
        <v>12</v>
      </c>
      <c r="V91" s="13">
        <f t="shared" si="20"/>
        <v>6</v>
      </c>
      <c r="W91" s="13">
        <f t="shared" si="20"/>
        <v>6</v>
      </c>
      <c r="X91" s="13">
        <f t="shared" si="20"/>
        <v>17</v>
      </c>
      <c r="Y91" s="13">
        <f t="shared" si="20"/>
        <v>10</v>
      </c>
      <c r="Z91" s="13">
        <f t="shared" si="20"/>
        <v>10</v>
      </c>
      <c r="AA91" s="13">
        <f t="shared" si="20"/>
        <v>10</v>
      </c>
      <c r="AB91" s="13">
        <f t="shared" si="20"/>
        <v>343</v>
      </c>
    </row>
    <row r="92" spans="1:28" ht="12.75" customHeight="1" x14ac:dyDescent="0.4">
      <c r="A92" s="86"/>
      <c r="B92" s="68"/>
      <c r="C92" s="68"/>
      <c r="D92" s="68"/>
      <c r="E92" s="68"/>
    </row>
    <row r="93" spans="1:28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1</v>
      </c>
      <c r="F93" s="16">
        <v>4</v>
      </c>
      <c r="G93" s="16">
        <v>3</v>
      </c>
      <c r="H93" s="16">
        <v>0</v>
      </c>
      <c r="I93" s="16">
        <v>1</v>
      </c>
      <c r="J93" s="16">
        <v>1</v>
      </c>
      <c r="K93" s="16">
        <v>1</v>
      </c>
      <c r="L93" s="16">
        <v>2</v>
      </c>
      <c r="M93" s="16">
        <v>3</v>
      </c>
      <c r="N93" s="16">
        <v>2</v>
      </c>
      <c r="O93" s="16">
        <v>1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2</v>
      </c>
      <c r="AA93" s="16">
        <v>1</v>
      </c>
      <c r="AB93" s="13">
        <f t="shared" ref="AB93:AB102" si="21">SUM(E93:AA93)</f>
        <v>22</v>
      </c>
    </row>
    <row r="94" spans="1:28" ht="12.75" customHeight="1" x14ac:dyDescent="0.4">
      <c r="A94" s="20" t="s">
        <v>38</v>
      </c>
      <c r="B94" s="28"/>
      <c r="C94" s="29" t="s">
        <v>69</v>
      </c>
      <c r="D94" s="30"/>
      <c r="E94" s="16">
        <v>2</v>
      </c>
      <c r="F94" s="16">
        <v>1</v>
      </c>
      <c r="G94" s="16">
        <v>3</v>
      </c>
      <c r="H94" s="16">
        <v>0</v>
      </c>
      <c r="I94" s="16">
        <v>4</v>
      </c>
      <c r="J94" s="16">
        <v>1</v>
      </c>
      <c r="K94" s="16">
        <v>1</v>
      </c>
      <c r="L94" s="16">
        <v>0</v>
      </c>
      <c r="M94" s="16">
        <v>10</v>
      </c>
      <c r="N94" s="16">
        <v>9</v>
      </c>
      <c r="O94" s="16">
        <v>3</v>
      </c>
      <c r="P94" s="16">
        <v>1</v>
      </c>
      <c r="Q94" s="16">
        <v>0</v>
      </c>
      <c r="R94" s="16">
        <v>4</v>
      </c>
      <c r="S94" s="16">
        <v>0</v>
      </c>
      <c r="T94" s="16">
        <v>0</v>
      </c>
      <c r="U94" s="16">
        <v>0</v>
      </c>
      <c r="V94" s="16">
        <v>5</v>
      </c>
      <c r="W94" s="16">
        <v>1</v>
      </c>
      <c r="X94" s="16">
        <v>4</v>
      </c>
      <c r="Y94" s="16">
        <v>1</v>
      </c>
      <c r="Z94" s="16">
        <v>27</v>
      </c>
      <c r="AA94" s="16">
        <v>0</v>
      </c>
      <c r="AB94" s="13">
        <f t="shared" si="21"/>
        <v>77</v>
      </c>
    </row>
    <row r="95" spans="1:28" ht="12.75" customHeight="1" x14ac:dyDescent="0.4">
      <c r="A95" s="15"/>
      <c r="B95" s="28"/>
      <c r="C95" s="29" t="s">
        <v>70</v>
      </c>
      <c r="D95" s="30"/>
      <c r="E95" s="16">
        <v>2</v>
      </c>
      <c r="F95" s="16">
        <v>1</v>
      </c>
      <c r="G95" s="16">
        <v>0</v>
      </c>
      <c r="H95" s="16">
        <v>1</v>
      </c>
      <c r="I95" s="16">
        <v>1</v>
      </c>
      <c r="J95" s="16">
        <v>0</v>
      </c>
      <c r="K95" s="16">
        <v>4</v>
      </c>
      <c r="L95" s="16">
        <v>0</v>
      </c>
      <c r="M95" s="16">
        <v>0</v>
      </c>
      <c r="N95" s="16">
        <v>0</v>
      </c>
      <c r="O95" s="16">
        <v>0</v>
      </c>
      <c r="P95" s="16">
        <v>0</v>
      </c>
      <c r="Q95" s="16">
        <v>0</v>
      </c>
      <c r="R95" s="16">
        <v>0</v>
      </c>
      <c r="S95" s="16">
        <v>1</v>
      </c>
      <c r="T95" s="16">
        <v>1</v>
      </c>
      <c r="U95" s="16">
        <v>0</v>
      </c>
      <c r="V95" s="16">
        <v>0</v>
      </c>
      <c r="W95" s="16">
        <v>1</v>
      </c>
      <c r="X95" s="16">
        <v>0</v>
      </c>
      <c r="Y95" s="16">
        <v>0</v>
      </c>
      <c r="Z95" s="16">
        <v>0</v>
      </c>
      <c r="AA95" s="16">
        <v>4</v>
      </c>
      <c r="AB95" s="13">
        <f t="shared" si="21"/>
        <v>16</v>
      </c>
    </row>
    <row r="96" spans="1:28" ht="12.75" customHeight="1" x14ac:dyDescent="0.4">
      <c r="A96" s="15"/>
      <c r="B96" s="28"/>
      <c r="C96" s="29" t="s">
        <v>71</v>
      </c>
      <c r="D96" s="30"/>
      <c r="E96" s="16">
        <v>1</v>
      </c>
      <c r="F96" s="16">
        <v>1</v>
      </c>
      <c r="G96" s="16">
        <v>1</v>
      </c>
      <c r="H96" s="16">
        <v>0</v>
      </c>
      <c r="I96" s="16">
        <v>3</v>
      </c>
      <c r="J96" s="16">
        <v>0</v>
      </c>
      <c r="K96" s="16">
        <v>1</v>
      </c>
      <c r="L96" s="16">
        <v>0</v>
      </c>
      <c r="M96" s="16">
        <v>2</v>
      </c>
      <c r="N96" s="16">
        <v>1</v>
      </c>
      <c r="O96" s="16">
        <v>3</v>
      </c>
      <c r="P96" s="16">
        <v>3</v>
      </c>
      <c r="Q96" s="16">
        <v>1</v>
      </c>
      <c r="R96" s="16">
        <v>3</v>
      </c>
      <c r="S96" s="16">
        <v>2</v>
      </c>
      <c r="T96" s="16">
        <v>2</v>
      </c>
      <c r="U96" s="16">
        <v>1</v>
      </c>
      <c r="V96" s="16">
        <v>1</v>
      </c>
      <c r="W96" s="16">
        <v>0</v>
      </c>
      <c r="X96" s="16">
        <v>1</v>
      </c>
      <c r="Y96" s="16">
        <v>2</v>
      </c>
      <c r="Z96" s="16">
        <v>0</v>
      </c>
      <c r="AA96" s="16">
        <v>4</v>
      </c>
      <c r="AB96" s="13">
        <f t="shared" si="21"/>
        <v>33</v>
      </c>
    </row>
    <row r="97" spans="1:28" ht="12.75" customHeight="1" x14ac:dyDescent="0.4">
      <c r="A97" s="15"/>
      <c r="B97" s="28"/>
      <c r="C97" s="29" t="s">
        <v>72</v>
      </c>
      <c r="D97" s="30"/>
      <c r="E97" s="16">
        <v>2</v>
      </c>
      <c r="F97" s="16">
        <v>0</v>
      </c>
      <c r="G97" s="16">
        <v>3</v>
      </c>
      <c r="H97" s="16">
        <v>0</v>
      </c>
      <c r="I97" s="16">
        <v>0</v>
      </c>
      <c r="J97" s="16">
        <v>0</v>
      </c>
      <c r="K97" s="16">
        <v>0</v>
      </c>
      <c r="L97" s="16">
        <v>2</v>
      </c>
      <c r="M97" s="16">
        <v>0</v>
      </c>
      <c r="N97" s="16">
        <v>0</v>
      </c>
      <c r="O97" s="16">
        <v>1</v>
      </c>
      <c r="P97" s="16">
        <v>1</v>
      </c>
      <c r="Q97" s="16">
        <v>3</v>
      </c>
      <c r="R97" s="16">
        <v>2</v>
      </c>
      <c r="S97" s="16">
        <v>2</v>
      </c>
      <c r="T97" s="16">
        <v>0</v>
      </c>
      <c r="U97" s="16">
        <v>0</v>
      </c>
      <c r="V97" s="16">
        <v>0</v>
      </c>
      <c r="W97" s="16">
        <v>0</v>
      </c>
      <c r="X97" s="16">
        <v>1</v>
      </c>
      <c r="Y97" s="16">
        <v>1</v>
      </c>
      <c r="Z97" s="16">
        <v>0</v>
      </c>
      <c r="AA97" s="16">
        <v>0</v>
      </c>
      <c r="AB97" s="13">
        <f t="shared" si="21"/>
        <v>18</v>
      </c>
    </row>
    <row r="98" spans="1:28" ht="12.75" customHeight="1" x14ac:dyDescent="0.4">
      <c r="A98" s="15"/>
      <c r="B98" s="28"/>
      <c r="C98" s="29" t="s">
        <v>73</v>
      </c>
      <c r="D98" s="30"/>
      <c r="E98" s="16">
        <v>3</v>
      </c>
      <c r="F98" s="16">
        <v>1</v>
      </c>
      <c r="G98" s="16">
        <v>2</v>
      </c>
      <c r="H98" s="16">
        <v>3</v>
      </c>
      <c r="I98" s="16">
        <v>2</v>
      </c>
      <c r="J98" s="16">
        <v>0</v>
      </c>
      <c r="K98" s="16">
        <v>2</v>
      </c>
      <c r="L98" s="16">
        <v>0</v>
      </c>
      <c r="M98" s="16">
        <v>2</v>
      </c>
      <c r="N98" s="16">
        <v>3</v>
      </c>
      <c r="O98" s="16">
        <v>0</v>
      </c>
      <c r="P98" s="16">
        <v>1</v>
      </c>
      <c r="Q98" s="16">
        <v>0</v>
      </c>
      <c r="R98" s="16">
        <v>2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1</v>
      </c>
      <c r="Y98" s="16">
        <v>0</v>
      </c>
      <c r="Z98" s="16">
        <v>0</v>
      </c>
      <c r="AA98" s="16">
        <v>0</v>
      </c>
      <c r="AB98" s="13">
        <f t="shared" si="21"/>
        <v>22</v>
      </c>
    </row>
    <row r="99" spans="1:28" ht="12.75" customHeight="1" x14ac:dyDescent="0.4">
      <c r="A99" s="15"/>
      <c r="B99" s="28"/>
      <c r="C99" s="29" t="s">
        <v>74</v>
      </c>
      <c r="D99" s="30"/>
      <c r="E99" s="16">
        <v>0</v>
      </c>
      <c r="F99" s="16">
        <v>1</v>
      </c>
      <c r="G99" s="16">
        <v>1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0</v>
      </c>
      <c r="O99" s="16">
        <v>2</v>
      </c>
      <c r="P99" s="16">
        <v>0</v>
      </c>
      <c r="Q99" s="16">
        <v>2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0</v>
      </c>
      <c r="AA99" s="16">
        <v>0</v>
      </c>
      <c r="AB99" s="13">
        <f t="shared" si="21"/>
        <v>6</v>
      </c>
    </row>
    <row r="100" spans="1:28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13">
        <f t="shared" si="21"/>
        <v>0</v>
      </c>
    </row>
    <row r="101" spans="1:28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13">
        <f t="shared" si="21"/>
        <v>0</v>
      </c>
    </row>
    <row r="102" spans="1:28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13">
        <f t="shared" si="21"/>
        <v>0</v>
      </c>
    </row>
    <row r="103" spans="1:28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AB103" si="22">SUM(E93:E102)</f>
        <v>11</v>
      </c>
      <c r="F103" s="13">
        <f t="shared" si="22"/>
        <v>9</v>
      </c>
      <c r="G103" s="13">
        <f t="shared" si="22"/>
        <v>13</v>
      </c>
      <c r="H103" s="13">
        <f t="shared" si="22"/>
        <v>4</v>
      </c>
      <c r="I103" s="13">
        <f t="shared" si="22"/>
        <v>11</v>
      </c>
      <c r="J103" s="13">
        <f t="shared" si="22"/>
        <v>2</v>
      </c>
      <c r="K103" s="13">
        <f t="shared" si="22"/>
        <v>9</v>
      </c>
      <c r="L103" s="13">
        <f t="shared" si="22"/>
        <v>4</v>
      </c>
      <c r="M103" s="13">
        <f t="shared" si="22"/>
        <v>17</v>
      </c>
      <c r="N103" s="13">
        <f t="shared" si="22"/>
        <v>15</v>
      </c>
      <c r="O103" s="13">
        <f t="shared" si="22"/>
        <v>10</v>
      </c>
      <c r="P103" s="13">
        <f t="shared" si="22"/>
        <v>6</v>
      </c>
      <c r="Q103" s="13">
        <f t="shared" si="22"/>
        <v>6</v>
      </c>
      <c r="R103" s="13">
        <f t="shared" si="22"/>
        <v>11</v>
      </c>
      <c r="S103" s="13">
        <f t="shared" si="22"/>
        <v>5</v>
      </c>
      <c r="T103" s="13">
        <f t="shared" si="22"/>
        <v>3</v>
      </c>
      <c r="U103" s="13">
        <f t="shared" si="22"/>
        <v>1</v>
      </c>
      <c r="V103" s="13">
        <f t="shared" si="22"/>
        <v>6</v>
      </c>
      <c r="W103" s="13">
        <f t="shared" si="22"/>
        <v>2</v>
      </c>
      <c r="X103" s="13">
        <f t="shared" si="22"/>
        <v>7</v>
      </c>
      <c r="Y103" s="13">
        <f t="shared" si="22"/>
        <v>4</v>
      </c>
      <c r="Z103" s="13">
        <f t="shared" si="22"/>
        <v>29</v>
      </c>
      <c r="AA103" s="13">
        <f t="shared" si="22"/>
        <v>9</v>
      </c>
      <c r="AB103" s="13">
        <f t="shared" si="22"/>
        <v>194</v>
      </c>
    </row>
    <row r="104" spans="1:28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</row>
    <row r="105" spans="1:28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1</v>
      </c>
      <c r="G105" s="16">
        <v>1</v>
      </c>
      <c r="H105" s="16">
        <v>0</v>
      </c>
      <c r="I105" s="16">
        <v>0</v>
      </c>
      <c r="J105" s="16">
        <v>1</v>
      </c>
      <c r="K105" s="16">
        <v>0</v>
      </c>
      <c r="L105" s="16">
        <v>0</v>
      </c>
      <c r="M105" s="16">
        <v>0</v>
      </c>
      <c r="N105" s="16">
        <v>1</v>
      </c>
      <c r="O105" s="16">
        <v>0</v>
      </c>
      <c r="P105" s="16">
        <v>1</v>
      </c>
      <c r="Q105" s="16">
        <v>1</v>
      </c>
      <c r="R105" s="16">
        <v>1</v>
      </c>
      <c r="S105" s="16">
        <v>1</v>
      </c>
      <c r="T105" s="16">
        <v>0</v>
      </c>
      <c r="U105" s="16">
        <v>1</v>
      </c>
      <c r="V105" s="16">
        <v>0</v>
      </c>
      <c r="W105" s="16">
        <v>0</v>
      </c>
      <c r="X105" s="16">
        <v>0</v>
      </c>
      <c r="Y105" s="16">
        <v>0</v>
      </c>
      <c r="Z105" s="16">
        <v>1</v>
      </c>
      <c r="AA105" s="16">
        <v>0</v>
      </c>
      <c r="AB105" s="13">
        <f t="shared" ref="AB105:AB114" si="23">SUM(E105:AA105)</f>
        <v>10</v>
      </c>
    </row>
    <row r="106" spans="1:28" ht="12.75" customHeight="1" x14ac:dyDescent="0.4">
      <c r="A106" s="20" t="s">
        <v>38</v>
      </c>
      <c r="B106" s="28"/>
      <c r="C106" s="29" t="s">
        <v>77</v>
      </c>
      <c r="D106" s="40"/>
      <c r="E106" s="16">
        <v>1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0</v>
      </c>
      <c r="L106" s="16">
        <v>0</v>
      </c>
      <c r="M106" s="16">
        <v>0</v>
      </c>
      <c r="N106" s="16">
        <v>0</v>
      </c>
      <c r="O106" s="16">
        <v>1</v>
      </c>
      <c r="P106" s="16">
        <v>0</v>
      </c>
      <c r="Q106" s="16">
        <v>0</v>
      </c>
      <c r="R106" s="16">
        <v>3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0</v>
      </c>
      <c r="AB106" s="13">
        <f t="shared" si="23"/>
        <v>5</v>
      </c>
    </row>
    <row r="107" spans="1:28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13">
        <f t="shared" si="23"/>
        <v>0</v>
      </c>
    </row>
    <row r="108" spans="1:28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13">
        <f t="shared" si="23"/>
        <v>0</v>
      </c>
    </row>
    <row r="109" spans="1:28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13">
        <f t="shared" si="23"/>
        <v>0</v>
      </c>
    </row>
    <row r="110" spans="1:28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13">
        <f t="shared" si="23"/>
        <v>0</v>
      </c>
    </row>
    <row r="111" spans="1:28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13">
        <f t="shared" si="23"/>
        <v>0</v>
      </c>
    </row>
    <row r="112" spans="1:28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13">
        <f t="shared" si="23"/>
        <v>0</v>
      </c>
    </row>
    <row r="113" spans="1:28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13">
        <f t="shared" si="23"/>
        <v>0</v>
      </c>
    </row>
    <row r="114" spans="1:28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13">
        <f t="shared" si="23"/>
        <v>0</v>
      </c>
    </row>
    <row r="115" spans="1:28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AB115" si="24">SUM(E105:E114)</f>
        <v>1</v>
      </c>
      <c r="F115" s="13">
        <f t="shared" si="24"/>
        <v>1</v>
      </c>
      <c r="G115" s="13">
        <f t="shared" si="24"/>
        <v>1</v>
      </c>
      <c r="H115" s="13">
        <f t="shared" si="24"/>
        <v>0</v>
      </c>
      <c r="I115" s="13">
        <f t="shared" si="24"/>
        <v>0</v>
      </c>
      <c r="J115" s="13">
        <f t="shared" si="24"/>
        <v>1</v>
      </c>
      <c r="K115" s="13">
        <f t="shared" si="24"/>
        <v>0</v>
      </c>
      <c r="L115" s="13">
        <f t="shared" si="24"/>
        <v>0</v>
      </c>
      <c r="M115" s="13">
        <f t="shared" si="24"/>
        <v>0</v>
      </c>
      <c r="N115" s="13">
        <f t="shared" si="24"/>
        <v>1</v>
      </c>
      <c r="O115" s="13">
        <f t="shared" si="24"/>
        <v>1</v>
      </c>
      <c r="P115" s="13">
        <f t="shared" si="24"/>
        <v>1</v>
      </c>
      <c r="Q115" s="13">
        <f t="shared" si="24"/>
        <v>1</v>
      </c>
      <c r="R115" s="13">
        <f t="shared" si="24"/>
        <v>4</v>
      </c>
      <c r="S115" s="13">
        <f t="shared" si="24"/>
        <v>1</v>
      </c>
      <c r="T115" s="13">
        <f t="shared" si="24"/>
        <v>0</v>
      </c>
      <c r="U115" s="13">
        <f t="shared" si="24"/>
        <v>1</v>
      </c>
      <c r="V115" s="13">
        <f t="shared" si="24"/>
        <v>0</v>
      </c>
      <c r="W115" s="13">
        <f t="shared" si="24"/>
        <v>0</v>
      </c>
      <c r="X115" s="13">
        <f t="shared" si="24"/>
        <v>0</v>
      </c>
      <c r="Y115" s="13">
        <f t="shared" si="24"/>
        <v>0</v>
      </c>
      <c r="Z115" s="13">
        <f t="shared" si="24"/>
        <v>1</v>
      </c>
      <c r="AA115" s="13">
        <f t="shared" si="24"/>
        <v>0</v>
      </c>
      <c r="AB115" s="13">
        <f t="shared" si="24"/>
        <v>15</v>
      </c>
    </row>
    <row r="116" spans="1:28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13"/>
    </row>
    <row r="117" spans="1:28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0</v>
      </c>
      <c r="F117" s="16">
        <v>0</v>
      </c>
      <c r="G117" s="16">
        <v>1</v>
      </c>
      <c r="H117" s="16">
        <v>2</v>
      </c>
      <c r="I117" s="16">
        <v>0</v>
      </c>
      <c r="J117" s="16">
        <v>1</v>
      </c>
      <c r="K117" s="16">
        <v>1</v>
      </c>
      <c r="L117" s="16">
        <v>1</v>
      </c>
      <c r="M117" s="16">
        <v>2</v>
      </c>
      <c r="N117" s="16">
        <v>1</v>
      </c>
      <c r="O117" s="16">
        <v>0</v>
      </c>
      <c r="P117" s="16">
        <v>1</v>
      </c>
      <c r="Q117" s="16">
        <v>0</v>
      </c>
      <c r="R117" s="16">
        <v>0</v>
      </c>
      <c r="S117" s="16">
        <v>0</v>
      </c>
      <c r="T117" s="16">
        <v>0</v>
      </c>
      <c r="U117" s="16">
        <v>1</v>
      </c>
      <c r="V117" s="16">
        <v>0</v>
      </c>
      <c r="W117" s="16">
        <v>0</v>
      </c>
      <c r="X117" s="16">
        <v>1</v>
      </c>
      <c r="Y117" s="16">
        <v>0</v>
      </c>
      <c r="Z117" s="16">
        <v>0</v>
      </c>
      <c r="AA117" s="16">
        <v>0</v>
      </c>
      <c r="AB117" s="13">
        <f t="shared" ref="AB117:AB126" si="25">SUM(E117:AA117)</f>
        <v>12</v>
      </c>
    </row>
    <row r="118" spans="1:28" ht="12.75" customHeight="1" x14ac:dyDescent="0.4">
      <c r="A118" s="20" t="s">
        <v>38</v>
      </c>
      <c r="B118" s="28"/>
      <c r="C118" s="29" t="s">
        <v>80</v>
      </c>
      <c r="D118" s="30"/>
      <c r="E118" s="16">
        <v>0</v>
      </c>
      <c r="F118" s="16">
        <v>0</v>
      </c>
      <c r="G118" s="16">
        <v>1</v>
      </c>
      <c r="H118" s="16">
        <v>5</v>
      </c>
      <c r="I118" s="16">
        <v>3</v>
      </c>
      <c r="J118" s="16">
        <v>14</v>
      </c>
      <c r="K118" s="16">
        <v>20</v>
      </c>
      <c r="L118" s="16">
        <v>1</v>
      </c>
      <c r="M118" s="16">
        <v>6</v>
      </c>
      <c r="N118" s="16">
        <v>3</v>
      </c>
      <c r="O118" s="16">
        <v>2</v>
      </c>
      <c r="P118" s="16">
        <v>4</v>
      </c>
      <c r="Q118" s="16">
        <v>0</v>
      </c>
      <c r="R118" s="16">
        <v>11</v>
      </c>
      <c r="S118" s="16">
        <v>1</v>
      </c>
      <c r="T118" s="16">
        <v>2</v>
      </c>
      <c r="U118" s="16">
        <v>0</v>
      </c>
      <c r="V118" s="16">
        <v>2</v>
      </c>
      <c r="W118" s="16">
        <v>3</v>
      </c>
      <c r="X118" s="16">
        <v>5</v>
      </c>
      <c r="Y118" s="16">
        <v>0</v>
      </c>
      <c r="Z118" s="16">
        <v>3</v>
      </c>
      <c r="AA118" s="16">
        <v>0</v>
      </c>
      <c r="AB118" s="13">
        <f t="shared" si="25"/>
        <v>86</v>
      </c>
    </row>
    <row r="119" spans="1:28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10</v>
      </c>
      <c r="G119" s="16">
        <v>0</v>
      </c>
      <c r="H119" s="16">
        <v>1</v>
      </c>
      <c r="I119" s="16">
        <v>13</v>
      </c>
      <c r="J119" s="16">
        <v>0</v>
      </c>
      <c r="K119" s="16">
        <v>1</v>
      </c>
      <c r="L119" s="16">
        <v>0</v>
      </c>
      <c r="M119" s="16">
        <v>0</v>
      </c>
      <c r="N119" s="16">
        <v>0</v>
      </c>
      <c r="O119" s="16">
        <v>1</v>
      </c>
      <c r="P119" s="16">
        <v>1</v>
      </c>
      <c r="Q119" s="16">
        <v>0</v>
      </c>
      <c r="R119" s="16">
        <v>1</v>
      </c>
      <c r="S119" s="16">
        <v>0</v>
      </c>
      <c r="T119" s="16">
        <v>0</v>
      </c>
      <c r="U119" s="16">
        <v>0</v>
      </c>
      <c r="V119" s="16">
        <v>0</v>
      </c>
      <c r="W119" s="16">
        <v>1</v>
      </c>
      <c r="X119" s="16">
        <v>0</v>
      </c>
      <c r="Y119" s="16">
        <v>0</v>
      </c>
      <c r="Z119" s="16">
        <v>0</v>
      </c>
      <c r="AA119" s="16">
        <v>9</v>
      </c>
      <c r="AB119" s="13">
        <f t="shared" si="25"/>
        <v>38</v>
      </c>
    </row>
    <row r="120" spans="1:28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1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3">
        <f t="shared" si="25"/>
        <v>1</v>
      </c>
    </row>
    <row r="121" spans="1:28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1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3">
        <v>0</v>
      </c>
      <c r="Y121" s="53">
        <v>0</v>
      </c>
      <c r="Z121" s="53">
        <v>0</v>
      </c>
      <c r="AA121" s="53">
        <v>0</v>
      </c>
      <c r="AB121" s="13">
        <f t="shared" si="25"/>
        <v>1</v>
      </c>
    </row>
    <row r="122" spans="1:28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0</v>
      </c>
      <c r="G122" s="53">
        <v>3</v>
      </c>
      <c r="H122" s="53">
        <v>1</v>
      </c>
      <c r="I122" s="53">
        <v>0</v>
      </c>
      <c r="J122" s="53">
        <v>0</v>
      </c>
      <c r="K122" s="53">
        <v>0</v>
      </c>
      <c r="L122" s="53">
        <v>0</v>
      </c>
      <c r="M122" s="53">
        <v>3</v>
      </c>
      <c r="N122" s="53">
        <v>1</v>
      </c>
      <c r="O122" s="53">
        <v>1</v>
      </c>
      <c r="P122" s="16">
        <v>0</v>
      </c>
      <c r="Q122" s="53">
        <v>0</v>
      </c>
      <c r="R122" s="53">
        <v>1</v>
      </c>
      <c r="S122" s="53">
        <v>0</v>
      </c>
      <c r="T122" s="53">
        <v>0</v>
      </c>
      <c r="U122" s="53">
        <v>1</v>
      </c>
      <c r="V122" s="53">
        <v>1</v>
      </c>
      <c r="W122" s="53">
        <v>1</v>
      </c>
      <c r="X122" s="53">
        <v>0</v>
      </c>
      <c r="Y122" s="53">
        <v>0</v>
      </c>
      <c r="Z122" s="53">
        <v>2</v>
      </c>
      <c r="AA122" s="53">
        <v>0</v>
      </c>
      <c r="AB122" s="13">
        <f t="shared" si="25"/>
        <v>15</v>
      </c>
    </row>
    <row r="123" spans="1:28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41">
        <v>0</v>
      </c>
      <c r="S123" s="41">
        <v>0</v>
      </c>
      <c r="T123" s="41">
        <v>0</v>
      </c>
      <c r="U123" s="41">
        <v>0</v>
      </c>
      <c r="V123" s="41">
        <v>0</v>
      </c>
      <c r="W123" s="41">
        <v>0</v>
      </c>
      <c r="X123" s="41">
        <v>0</v>
      </c>
      <c r="Y123" s="41">
        <v>0</v>
      </c>
      <c r="Z123" s="41">
        <v>1</v>
      </c>
      <c r="AA123" s="41">
        <v>0</v>
      </c>
      <c r="AB123" s="13">
        <f t="shared" si="25"/>
        <v>1</v>
      </c>
    </row>
    <row r="124" spans="1:28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13">
        <f t="shared" si="25"/>
        <v>0</v>
      </c>
    </row>
    <row r="125" spans="1:28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13">
        <f t="shared" si="25"/>
        <v>0</v>
      </c>
    </row>
    <row r="126" spans="1:28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13">
        <f t="shared" si="25"/>
        <v>0</v>
      </c>
    </row>
    <row r="127" spans="1:28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AB127" si="26">SUM(E117:E126)</f>
        <v>0</v>
      </c>
      <c r="F127" s="13">
        <f t="shared" si="26"/>
        <v>10</v>
      </c>
      <c r="G127" s="13">
        <f t="shared" si="26"/>
        <v>5</v>
      </c>
      <c r="H127" s="13">
        <f t="shared" si="26"/>
        <v>9</v>
      </c>
      <c r="I127" s="13">
        <f t="shared" si="26"/>
        <v>16</v>
      </c>
      <c r="J127" s="13">
        <f t="shared" si="26"/>
        <v>15</v>
      </c>
      <c r="K127" s="13">
        <f t="shared" si="26"/>
        <v>22</v>
      </c>
      <c r="L127" s="13">
        <f t="shared" si="26"/>
        <v>3</v>
      </c>
      <c r="M127" s="13">
        <f t="shared" si="26"/>
        <v>11</v>
      </c>
      <c r="N127" s="13">
        <f t="shared" si="26"/>
        <v>5</v>
      </c>
      <c r="O127" s="13">
        <f t="shared" si="26"/>
        <v>4</v>
      </c>
      <c r="P127" s="13">
        <f t="shared" si="26"/>
        <v>6</v>
      </c>
      <c r="Q127" s="13">
        <f t="shared" si="26"/>
        <v>0</v>
      </c>
      <c r="R127" s="13">
        <f t="shared" si="26"/>
        <v>14</v>
      </c>
      <c r="S127" s="13">
        <f t="shared" si="26"/>
        <v>1</v>
      </c>
      <c r="T127" s="13">
        <f t="shared" si="26"/>
        <v>2</v>
      </c>
      <c r="U127" s="13">
        <f t="shared" si="26"/>
        <v>2</v>
      </c>
      <c r="V127" s="13">
        <f t="shared" si="26"/>
        <v>3</v>
      </c>
      <c r="W127" s="13">
        <f t="shared" si="26"/>
        <v>5</v>
      </c>
      <c r="X127" s="13">
        <f t="shared" si="26"/>
        <v>6</v>
      </c>
      <c r="Y127" s="13">
        <f t="shared" si="26"/>
        <v>0</v>
      </c>
      <c r="Z127" s="13">
        <f t="shared" si="26"/>
        <v>6</v>
      </c>
      <c r="AA127" s="13">
        <f t="shared" si="26"/>
        <v>9</v>
      </c>
      <c r="AB127" s="13">
        <f t="shared" si="26"/>
        <v>154</v>
      </c>
    </row>
    <row r="128" spans="1:28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</row>
    <row r="129" spans="1:28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6</v>
      </c>
      <c r="F129" s="16">
        <v>11</v>
      </c>
      <c r="G129" s="16">
        <v>5</v>
      </c>
      <c r="H129" s="16">
        <v>2</v>
      </c>
      <c r="I129" s="16">
        <v>2</v>
      </c>
      <c r="J129" s="16">
        <v>0</v>
      </c>
      <c r="K129" s="16">
        <v>9</v>
      </c>
      <c r="L129" s="16">
        <v>0</v>
      </c>
      <c r="M129" s="16">
        <v>2</v>
      </c>
      <c r="N129" s="16">
        <v>2</v>
      </c>
      <c r="O129" s="16">
        <v>8</v>
      </c>
      <c r="P129" s="16">
        <v>3</v>
      </c>
      <c r="Q129" s="16">
        <v>0</v>
      </c>
      <c r="R129" s="16">
        <v>0</v>
      </c>
      <c r="S129" s="16">
        <v>5</v>
      </c>
      <c r="T129" s="16">
        <v>3</v>
      </c>
      <c r="U129" s="16">
        <v>1</v>
      </c>
      <c r="V129" s="16">
        <v>6</v>
      </c>
      <c r="W129" s="16">
        <v>2</v>
      </c>
      <c r="X129" s="16">
        <v>5</v>
      </c>
      <c r="Y129" s="16">
        <v>7</v>
      </c>
      <c r="Z129" s="16">
        <v>0</v>
      </c>
      <c r="AA129" s="16">
        <v>3</v>
      </c>
      <c r="AB129" s="13">
        <f t="shared" ref="AB129:AB138" si="27">SUM(E129:AA129)</f>
        <v>82</v>
      </c>
    </row>
    <row r="130" spans="1:28" ht="12.75" customHeight="1" x14ac:dyDescent="0.4">
      <c r="A130" s="20" t="s">
        <v>38</v>
      </c>
      <c r="B130" s="28"/>
      <c r="C130" s="29" t="s">
        <v>88</v>
      </c>
      <c r="D130" s="30"/>
      <c r="E130" s="16">
        <v>17</v>
      </c>
      <c r="F130" s="16">
        <v>51</v>
      </c>
      <c r="G130" s="16">
        <v>22</v>
      </c>
      <c r="H130" s="16">
        <v>11</v>
      </c>
      <c r="I130" s="16">
        <v>15</v>
      </c>
      <c r="J130" s="16">
        <v>7</v>
      </c>
      <c r="K130" s="16">
        <v>44</v>
      </c>
      <c r="L130" s="16">
        <v>0</v>
      </c>
      <c r="M130" s="16">
        <v>16</v>
      </c>
      <c r="N130" s="16">
        <v>4</v>
      </c>
      <c r="O130" s="16">
        <v>74</v>
      </c>
      <c r="P130" s="16">
        <v>81</v>
      </c>
      <c r="Q130" s="16">
        <v>0</v>
      </c>
      <c r="R130" s="16">
        <v>10</v>
      </c>
      <c r="S130" s="16">
        <v>31</v>
      </c>
      <c r="T130" s="16">
        <v>53</v>
      </c>
      <c r="U130" s="16">
        <v>2</v>
      </c>
      <c r="V130" s="16">
        <v>90</v>
      </c>
      <c r="W130" s="16">
        <v>3</v>
      </c>
      <c r="X130" s="16">
        <v>3</v>
      </c>
      <c r="Y130" s="16">
        <v>32</v>
      </c>
      <c r="Z130" s="16">
        <v>15</v>
      </c>
      <c r="AA130" s="16">
        <v>13</v>
      </c>
      <c r="AB130" s="13">
        <f t="shared" si="27"/>
        <v>594</v>
      </c>
    </row>
    <row r="131" spans="1:28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0</v>
      </c>
      <c r="G131" s="16">
        <v>1</v>
      </c>
      <c r="H131" s="16">
        <v>3</v>
      </c>
      <c r="I131" s="16">
        <v>0</v>
      </c>
      <c r="J131" s="16">
        <v>0</v>
      </c>
      <c r="K131" s="16">
        <v>0</v>
      </c>
      <c r="L131" s="16">
        <v>0</v>
      </c>
      <c r="M131" s="16">
        <v>1</v>
      </c>
      <c r="N131" s="16">
        <v>0</v>
      </c>
      <c r="O131" s="16">
        <v>0</v>
      </c>
      <c r="P131" s="16">
        <v>0</v>
      </c>
      <c r="Q131" s="16">
        <v>0</v>
      </c>
      <c r="R131" s="16">
        <v>0</v>
      </c>
      <c r="S131" s="16">
        <v>2</v>
      </c>
      <c r="T131" s="16">
        <v>1</v>
      </c>
      <c r="U131" s="16">
        <v>0</v>
      </c>
      <c r="V131" s="16">
        <v>0</v>
      </c>
      <c r="W131" s="16">
        <v>0</v>
      </c>
      <c r="X131" s="16">
        <v>1</v>
      </c>
      <c r="Y131" s="16">
        <v>1</v>
      </c>
      <c r="Z131" s="16">
        <v>0</v>
      </c>
      <c r="AA131" s="16">
        <v>1</v>
      </c>
      <c r="AB131" s="13">
        <f t="shared" si="27"/>
        <v>11</v>
      </c>
    </row>
    <row r="132" spans="1:28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0</v>
      </c>
      <c r="G132" s="16">
        <v>0</v>
      </c>
      <c r="H132" s="16">
        <v>0</v>
      </c>
      <c r="I132" s="16">
        <v>2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0</v>
      </c>
      <c r="Q132" s="16">
        <v>0</v>
      </c>
      <c r="R132" s="16">
        <v>0</v>
      </c>
      <c r="S132" s="16">
        <v>0</v>
      </c>
      <c r="T132" s="16">
        <v>0</v>
      </c>
      <c r="U132" s="16">
        <v>0</v>
      </c>
      <c r="V132" s="16">
        <v>1</v>
      </c>
      <c r="W132" s="16">
        <v>0</v>
      </c>
      <c r="X132" s="16">
        <v>0</v>
      </c>
      <c r="Y132" s="16">
        <v>0</v>
      </c>
      <c r="Z132" s="16">
        <v>0</v>
      </c>
      <c r="AA132" s="16">
        <v>1</v>
      </c>
      <c r="AB132" s="13">
        <f t="shared" si="27"/>
        <v>4</v>
      </c>
    </row>
    <row r="133" spans="1:28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1</v>
      </c>
      <c r="G133" s="16">
        <v>0</v>
      </c>
      <c r="H133" s="16">
        <v>0</v>
      </c>
      <c r="I133" s="16">
        <v>2</v>
      </c>
      <c r="J133" s="16">
        <v>0</v>
      </c>
      <c r="K133" s="16">
        <v>2</v>
      </c>
      <c r="L133" s="16">
        <v>0</v>
      </c>
      <c r="M133" s="16">
        <v>0</v>
      </c>
      <c r="N133" s="16">
        <v>0</v>
      </c>
      <c r="O133" s="16">
        <v>2</v>
      </c>
      <c r="P133" s="16">
        <v>0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1</v>
      </c>
      <c r="Z133" s="16">
        <v>1</v>
      </c>
      <c r="AA133" s="16">
        <v>1</v>
      </c>
      <c r="AB133" s="13">
        <f t="shared" si="27"/>
        <v>10</v>
      </c>
    </row>
    <row r="134" spans="1:28" ht="12.75" customHeight="1" x14ac:dyDescent="0.4">
      <c r="A134" s="15"/>
      <c r="B134" s="28"/>
      <c r="C134" s="29" t="s">
        <v>92</v>
      </c>
      <c r="D134" s="30"/>
      <c r="E134" s="16">
        <v>0</v>
      </c>
      <c r="F134" s="16">
        <v>0</v>
      </c>
      <c r="G134" s="16">
        <v>1</v>
      </c>
      <c r="H134" s="16">
        <v>1</v>
      </c>
      <c r="I134" s="16">
        <v>2</v>
      </c>
      <c r="J134" s="16">
        <v>0</v>
      </c>
      <c r="K134" s="16">
        <v>2</v>
      </c>
      <c r="L134" s="16">
        <v>0</v>
      </c>
      <c r="M134" s="16">
        <v>0</v>
      </c>
      <c r="N134" s="16">
        <v>2</v>
      </c>
      <c r="O134" s="16">
        <v>1</v>
      </c>
      <c r="P134" s="16">
        <v>0</v>
      </c>
      <c r="Q134" s="16">
        <v>1</v>
      </c>
      <c r="R134" s="16">
        <v>0</v>
      </c>
      <c r="S134" s="16">
        <v>0</v>
      </c>
      <c r="T134" s="16">
        <v>4</v>
      </c>
      <c r="U134" s="16">
        <v>0</v>
      </c>
      <c r="V134" s="16">
        <v>1</v>
      </c>
      <c r="W134" s="16">
        <v>0</v>
      </c>
      <c r="X134" s="16">
        <v>0</v>
      </c>
      <c r="Y134" s="16">
        <v>0</v>
      </c>
      <c r="Z134" s="16">
        <v>1</v>
      </c>
      <c r="AA134" s="16">
        <v>0</v>
      </c>
      <c r="AB134" s="13">
        <f t="shared" si="27"/>
        <v>16</v>
      </c>
    </row>
    <row r="135" spans="1:28" ht="12.75" customHeight="1" x14ac:dyDescent="0.4">
      <c r="A135" s="15"/>
      <c r="B135" s="28"/>
      <c r="C135" s="29" t="s">
        <v>93</v>
      </c>
      <c r="D135" s="30"/>
      <c r="E135" s="16">
        <v>4</v>
      </c>
      <c r="F135" s="16">
        <v>1</v>
      </c>
      <c r="G135" s="16">
        <v>1</v>
      </c>
      <c r="H135" s="16">
        <v>0</v>
      </c>
      <c r="I135" s="16">
        <v>3</v>
      </c>
      <c r="J135" s="16">
        <v>0</v>
      </c>
      <c r="K135" s="16">
        <v>2</v>
      </c>
      <c r="L135" s="16">
        <v>0</v>
      </c>
      <c r="M135" s="16">
        <v>0</v>
      </c>
      <c r="N135" s="16">
        <v>0</v>
      </c>
      <c r="O135" s="16">
        <v>2</v>
      </c>
      <c r="P135" s="16">
        <v>3</v>
      </c>
      <c r="Q135" s="16">
        <v>0</v>
      </c>
      <c r="R135" s="16">
        <v>4</v>
      </c>
      <c r="S135" s="16">
        <v>1</v>
      </c>
      <c r="T135" s="16">
        <v>1</v>
      </c>
      <c r="U135" s="16">
        <v>1</v>
      </c>
      <c r="V135" s="16">
        <v>0</v>
      </c>
      <c r="W135" s="16">
        <v>0</v>
      </c>
      <c r="X135" s="16">
        <v>0</v>
      </c>
      <c r="Y135" s="16">
        <v>0</v>
      </c>
      <c r="Z135" s="16">
        <v>2</v>
      </c>
      <c r="AA135" s="16">
        <v>2</v>
      </c>
      <c r="AB135" s="13">
        <f t="shared" si="27"/>
        <v>27</v>
      </c>
    </row>
    <row r="136" spans="1:28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13">
        <f t="shared" si="27"/>
        <v>0</v>
      </c>
    </row>
    <row r="137" spans="1:28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13">
        <f t="shared" si="27"/>
        <v>0</v>
      </c>
    </row>
    <row r="138" spans="1:28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13">
        <f t="shared" si="27"/>
        <v>0</v>
      </c>
    </row>
    <row r="139" spans="1:28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AB139" si="28">SUM(E129:E138)</f>
        <v>27</v>
      </c>
      <c r="F139" s="13">
        <f t="shared" si="28"/>
        <v>64</v>
      </c>
      <c r="G139" s="13">
        <f t="shared" si="28"/>
        <v>30</v>
      </c>
      <c r="H139" s="13">
        <f t="shared" si="28"/>
        <v>17</v>
      </c>
      <c r="I139" s="13">
        <f t="shared" si="28"/>
        <v>26</v>
      </c>
      <c r="J139" s="13">
        <f t="shared" si="28"/>
        <v>7</v>
      </c>
      <c r="K139" s="13">
        <f t="shared" si="28"/>
        <v>59</v>
      </c>
      <c r="L139" s="13">
        <f t="shared" si="28"/>
        <v>0</v>
      </c>
      <c r="M139" s="13">
        <f t="shared" si="28"/>
        <v>19</v>
      </c>
      <c r="N139" s="13">
        <f t="shared" si="28"/>
        <v>8</v>
      </c>
      <c r="O139" s="13">
        <f t="shared" si="28"/>
        <v>87</v>
      </c>
      <c r="P139" s="13">
        <f t="shared" si="28"/>
        <v>87</v>
      </c>
      <c r="Q139" s="13">
        <f t="shared" si="28"/>
        <v>1</v>
      </c>
      <c r="R139" s="13">
        <f t="shared" si="28"/>
        <v>14</v>
      </c>
      <c r="S139" s="13">
        <f t="shared" si="28"/>
        <v>39</v>
      </c>
      <c r="T139" s="13">
        <f t="shared" si="28"/>
        <v>62</v>
      </c>
      <c r="U139" s="13">
        <f t="shared" si="28"/>
        <v>4</v>
      </c>
      <c r="V139" s="13">
        <f t="shared" si="28"/>
        <v>98</v>
      </c>
      <c r="W139" s="13">
        <f t="shared" si="28"/>
        <v>5</v>
      </c>
      <c r="X139" s="13">
        <f t="shared" si="28"/>
        <v>9</v>
      </c>
      <c r="Y139" s="13">
        <f t="shared" si="28"/>
        <v>41</v>
      </c>
      <c r="Z139" s="13">
        <f t="shared" si="28"/>
        <v>19</v>
      </c>
      <c r="AA139" s="13">
        <f t="shared" si="28"/>
        <v>21</v>
      </c>
      <c r="AB139" s="13">
        <f t="shared" si="28"/>
        <v>744</v>
      </c>
    </row>
    <row r="140" spans="1:28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</row>
    <row r="141" spans="1:28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1</v>
      </c>
      <c r="Q141" s="16">
        <v>0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3">
        <f t="shared" ref="AB141:AB150" si="29">SUM(E141:AA141)</f>
        <v>1</v>
      </c>
    </row>
    <row r="142" spans="1:28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0</v>
      </c>
      <c r="AB142" s="13">
        <f t="shared" si="29"/>
        <v>0</v>
      </c>
    </row>
    <row r="143" spans="1:28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13">
        <f t="shared" si="29"/>
        <v>0</v>
      </c>
    </row>
    <row r="144" spans="1:28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13">
        <f t="shared" si="29"/>
        <v>0</v>
      </c>
    </row>
    <row r="145" spans="1:28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13">
        <f t="shared" si="29"/>
        <v>0</v>
      </c>
    </row>
    <row r="146" spans="1:28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13">
        <f t="shared" si="29"/>
        <v>0</v>
      </c>
    </row>
    <row r="147" spans="1:28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13">
        <f t="shared" si="29"/>
        <v>0</v>
      </c>
    </row>
    <row r="148" spans="1:28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13">
        <f t="shared" si="29"/>
        <v>0</v>
      </c>
    </row>
    <row r="149" spans="1:28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13">
        <f t="shared" si="29"/>
        <v>0</v>
      </c>
    </row>
    <row r="150" spans="1:28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13">
        <f t="shared" si="29"/>
        <v>0</v>
      </c>
    </row>
    <row r="151" spans="1:28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AB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0</v>
      </c>
      <c r="M151" s="13">
        <f t="shared" si="30"/>
        <v>0</v>
      </c>
      <c r="N151" s="13">
        <f t="shared" si="30"/>
        <v>0</v>
      </c>
      <c r="O151" s="13">
        <f t="shared" si="30"/>
        <v>0</v>
      </c>
      <c r="P151" s="13">
        <f t="shared" si="30"/>
        <v>1</v>
      </c>
      <c r="Q151" s="13">
        <f t="shared" si="30"/>
        <v>0</v>
      </c>
      <c r="R151" s="13">
        <f t="shared" si="30"/>
        <v>0</v>
      </c>
      <c r="S151" s="13">
        <f t="shared" si="30"/>
        <v>0</v>
      </c>
      <c r="T151" s="13">
        <f t="shared" si="30"/>
        <v>0</v>
      </c>
      <c r="U151" s="13">
        <f t="shared" si="30"/>
        <v>0</v>
      </c>
      <c r="V151" s="13">
        <f t="shared" si="30"/>
        <v>0</v>
      </c>
      <c r="W151" s="13">
        <f t="shared" si="30"/>
        <v>0</v>
      </c>
      <c r="X151" s="13">
        <f t="shared" si="30"/>
        <v>0</v>
      </c>
      <c r="Y151" s="13">
        <f t="shared" si="30"/>
        <v>0</v>
      </c>
      <c r="Z151" s="13">
        <f t="shared" si="30"/>
        <v>0</v>
      </c>
      <c r="AA151" s="13">
        <f t="shared" si="30"/>
        <v>0</v>
      </c>
      <c r="AB151" s="13">
        <f t="shared" si="30"/>
        <v>1</v>
      </c>
    </row>
    <row r="152" spans="1:28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13"/>
    </row>
    <row r="153" spans="1:28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2</v>
      </c>
      <c r="H153" s="16">
        <v>4</v>
      </c>
      <c r="I153" s="16">
        <v>1</v>
      </c>
      <c r="J153" s="16">
        <v>8</v>
      </c>
      <c r="K153" s="16">
        <v>2</v>
      </c>
      <c r="L153" s="16">
        <v>9</v>
      </c>
      <c r="M153" s="16">
        <v>14</v>
      </c>
      <c r="N153" s="16">
        <v>1</v>
      </c>
      <c r="O153" s="16">
        <v>0</v>
      </c>
      <c r="P153" s="16">
        <v>0</v>
      </c>
      <c r="Q153" s="16">
        <v>19</v>
      </c>
      <c r="R153" s="16">
        <v>5</v>
      </c>
      <c r="S153" s="16">
        <v>1</v>
      </c>
      <c r="T153" s="16">
        <v>1</v>
      </c>
      <c r="U153" s="16">
        <v>11</v>
      </c>
      <c r="V153" s="16">
        <v>2</v>
      </c>
      <c r="W153" s="16">
        <v>7</v>
      </c>
      <c r="X153" s="16">
        <v>2</v>
      </c>
      <c r="Y153" s="16">
        <v>14</v>
      </c>
      <c r="Z153" s="16">
        <v>2</v>
      </c>
      <c r="AA153" s="16">
        <v>1</v>
      </c>
      <c r="AB153" s="13">
        <f t="shared" ref="AB153:AB162" si="31">SUM(E153:AA153)</f>
        <v>106</v>
      </c>
    </row>
    <row r="154" spans="1:28" ht="12.75" customHeight="1" x14ac:dyDescent="0.4">
      <c r="A154" s="42" t="s">
        <v>38</v>
      </c>
      <c r="B154" s="28"/>
      <c r="C154" s="29" t="s">
        <v>99</v>
      </c>
      <c r="D154" s="30"/>
      <c r="E154" s="55">
        <v>1</v>
      </c>
      <c r="F154" s="16">
        <v>0</v>
      </c>
      <c r="G154" s="16">
        <v>4</v>
      </c>
      <c r="H154" s="16">
        <v>29</v>
      </c>
      <c r="I154" s="16">
        <v>1</v>
      </c>
      <c r="J154" s="16">
        <v>35</v>
      </c>
      <c r="K154" s="16">
        <v>1</v>
      </c>
      <c r="L154" s="16">
        <v>62</v>
      </c>
      <c r="M154" s="16">
        <v>17</v>
      </c>
      <c r="N154" s="16">
        <v>19</v>
      </c>
      <c r="O154" s="16">
        <v>0</v>
      </c>
      <c r="P154" s="16">
        <v>0</v>
      </c>
      <c r="Q154" s="16">
        <v>57</v>
      </c>
      <c r="R154" s="16">
        <v>44</v>
      </c>
      <c r="S154" s="16">
        <v>37</v>
      </c>
      <c r="T154" s="16">
        <v>27</v>
      </c>
      <c r="U154" s="16">
        <v>57</v>
      </c>
      <c r="V154" s="16">
        <v>26</v>
      </c>
      <c r="W154" s="16">
        <v>132</v>
      </c>
      <c r="X154" s="16">
        <v>34</v>
      </c>
      <c r="Y154" s="16">
        <v>34</v>
      </c>
      <c r="Z154" s="16">
        <v>23</v>
      </c>
      <c r="AA154" s="16">
        <v>15</v>
      </c>
      <c r="AB154" s="13">
        <f t="shared" si="31"/>
        <v>655</v>
      </c>
    </row>
    <row r="155" spans="1:28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1</v>
      </c>
      <c r="K155" s="16">
        <v>0</v>
      </c>
      <c r="L155" s="16">
        <v>0</v>
      </c>
      <c r="M155" s="16">
        <v>0</v>
      </c>
      <c r="N155" s="16">
        <v>0</v>
      </c>
      <c r="O155" s="16">
        <v>1</v>
      </c>
      <c r="P155" s="16">
        <v>0</v>
      </c>
      <c r="Q155" s="16">
        <v>1</v>
      </c>
      <c r="R155" s="16">
        <v>0</v>
      </c>
      <c r="S155" s="16">
        <v>0</v>
      </c>
      <c r="T155" s="16">
        <v>0</v>
      </c>
      <c r="U155" s="16">
        <v>0</v>
      </c>
      <c r="V155" s="16">
        <v>0</v>
      </c>
      <c r="W155" s="16">
        <v>0</v>
      </c>
      <c r="X155" s="16">
        <v>0</v>
      </c>
      <c r="Y155" s="16">
        <v>0</v>
      </c>
      <c r="Z155" s="16">
        <v>0</v>
      </c>
      <c r="AA155" s="16">
        <v>0</v>
      </c>
      <c r="AB155" s="13">
        <f t="shared" si="31"/>
        <v>3</v>
      </c>
    </row>
    <row r="156" spans="1:28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1</v>
      </c>
      <c r="N156" s="16">
        <v>0</v>
      </c>
      <c r="O156" s="16">
        <v>0</v>
      </c>
      <c r="P156" s="16">
        <v>1</v>
      </c>
      <c r="Q156" s="16">
        <v>0</v>
      </c>
      <c r="R156" s="16">
        <v>0</v>
      </c>
      <c r="S156" s="16">
        <v>1</v>
      </c>
      <c r="T156" s="16">
        <v>0</v>
      </c>
      <c r="U156" s="16">
        <v>1</v>
      </c>
      <c r="V156" s="16">
        <v>0</v>
      </c>
      <c r="W156" s="16">
        <v>2</v>
      </c>
      <c r="X156" s="16">
        <v>0</v>
      </c>
      <c r="Y156" s="16">
        <v>0</v>
      </c>
      <c r="Z156" s="16">
        <v>0</v>
      </c>
      <c r="AA156" s="16">
        <v>0</v>
      </c>
      <c r="AB156" s="13">
        <f t="shared" si="31"/>
        <v>6</v>
      </c>
    </row>
    <row r="157" spans="1:28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1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0</v>
      </c>
      <c r="U157" s="16">
        <v>0</v>
      </c>
      <c r="V157" s="16">
        <v>0</v>
      </c>
      <c r="W157" s="16">
        <v>0</v>
      </c>
      <c r="X157" s="16">
        <v>2</v>
      </c>
      <c r="Y157" s="16">
        <v>0</v>
      </c>
      <c r="Z157" s="16">
        <v>0</v>
      </c>
      <c r="AA157" s="16">
        <v>0</v>
      </c>
      <c r="AB157" s="13">
        <f t="shared" si="31"/>
        <v>3</v>
      </c>
    </row>
    <row r="158" spans="1:28" ht="12.75" customHeight="1" x14ac:dyDescent="0.4">
      <c r="A158" s="52"/>
      <c r="B158" s="28"/>
      <c r="C158" s="29" t="s">
        <v>103</v>
      </c>
      <c r="D158" s="30"/>
      <c r="E158" s="56">
        <v>1</v>
      </c>
      <c r="F158" s="53">
        <v>1</v>
      </c>
      <c r="G158" s="53">
        <v>0</v>
      </c>
      <c r="H158" s="53">
        <v>5</v>
      </c>
      <c r="I158" s="53">
        <v>1</v>
      </c>
      <c r="J158" s="53">
        <v>0</v>
      </c>
      <c r="K158" s="53">
        <v>0</v>
      </c>
      <c r="L158" s="53">
        <v>2</v>
      </c>
      <c r="M158" s="53">
        <v>0</v>
      </c>
      <c r="N158" s="53">
        <v>0</v>
      </c>
      <c r="O158" s="53">
        <v>1</v>
      </c>
      <c r="P158" s="16">
        <v>0</v>
      </c>
      <c r="Q158" s="53">
        <v>0</v>
      </c>
      <c r="R158" s="53">
        <v>0</v>
      </c>
      <c r="S158" s="53">
        <v>3</v>
      </c>
      <c r="T158" s="53">
        <v>0</v>
      </c>
      <c r="U158" s="53">
        <v>0</v>
      </c>
      <c r="V158" s="53">
        <v>0</v>
      </c>
      <c r="W158" s="53">
        <v>0</v>
      </c>
      <c r="X158" s="53">
        <v>0</v>
      </c>
      <c r="Y158" s="53">
        <v>0</v>
      </c>
      <c r="Z158" s="53">
        <v>0</v>
      </c>
      <c r="AA158" s="53">
        <v>0</v>
      </c>
      <c r="AB158" s="13">
        <f t="shared" si="31"/>
        <v>14</v>
      </c>
    </row>
    <row r="159" spans="1:28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0</v>
      </c>
      <c r="Y159" s="53">
        <v>0</v>
      </c>
      <c r="Z159" s="53">
        <v>0</v>
      </c>
      <c r="AA159" s="53">
        <v>0</v>
      </c>
      <c r="AB159" s="13">
        <f t="shared" si="31"/>
        <v>0</v>
      </c>
    </row>
    <row r="160" spans="1:28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13">
        <f t="shared" si="31"/>
        <v>0</v>
      </c>
    </row>
    <row r="161" spans="1:28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13">
        <f t="shared" si="31"/>
        <v>0</v>
      </c>
    </row>
    <row r="162" spans="1:28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13">
        <f t="shared" si="31"/>
        <v>0</v>
      </c>
    </row>
    <row r="163" spans="1:28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AB163" si="32">SUM(E153:E162)</f>
        <v>2</v>
      </c>
      <c r="F163" s="13">
        <f t="shared" si="32"/>
        <v>1</v>
      </c>
      <c r="G163" s="13">
        <f t="shared" si="32"/>
        <v>6</v>
      </c>
      <c r="H163" s="13">
        <f t="shared" si="32"/>
        <v>38</v>
      </c>
      <c r="I163" s="13">
        <f t="shared" si="32"/>
        <v>3</v>
      </c>
      <c r="J163" s="13">
        <f t="shared" si="32"/>
        <v>44</v>
      </c>
      <c r="K163" s="13">
        <f t="shared" si="32"/>
        <v>3</v>
      </c>
      <c r="L163" s="13">
        <f t="shared" si="32"/>
        <v>73</v>
      </c>
      <c r="M163" s="13">
        <f t="shared" si="32"/>
        <v>33</v>
      </c>
      <c r="N163" s="13">
        <f t="shared" si="32"/>
        <v>20</v>
      </c>
      <c r="O163" s="13">
        <f t="shared" si="32"/>
        <v>2</v>
      </c>
      <c r="P163" s="13">
        <f t="shared" si="32"/>
        <v>1</v>
      </c>
      <c r="Q163" s="13">
        <f t="shared" si="32"/>
        <v>77</v>
      </c>
      <c r="R163" s="13">
        <f t="shared" si="32"/>
        <v>49</v>
      </c>
      <c r="S163" s="13">
        <f t="shared" si="32"/>
        <v>42</v>
      </c>
      <c r="T163" s="13">
        <f t="shared" si="32"/>
        <v>28</v>
      </c>
      <c r="U163" s="13">
        <f t="shared" si="32"/>
        <v>69</v>
      </c>
      <c r="V163" s="13">
        <f t="shared" si="32"/>
        <v>28</v>
      </c>
      <c r="W163" s="13">
        <f t="shared" si="32"/>
        <v>141</v>
      </c>
      <c r="X163" s="13">
        <f t="shared" si="32"/>
        <v>38</v>
      </c>
      <c r="Y163" s="13">
        <f t="shared" si="32"/>
        <v>48</v>
      </c>
      <c r="Z163" s="13">
        <f t="shared" si="32"/>
        <v>25</v>
      </c>
      <c r="AA163" s="13">
        <f t="shared" si="32"/>
        <v>16</v>
      </c>
      <c r="AB163" s="13">
        <f t="shared" si="32"/>
        <v>787</v>
      </c>
    </row>
    <row r="164" spans="1:28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</row>
    <row r="165" spans="1:28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1</v>
      </c>
      <c r="F165" s="16">
        <v>0</v>
      </c>
      <c r="G165" s="16">
        <v>0</v>
      </c>
      <c r="H165" s="16">
        <v>0</v>
      </c>
      <c r="I165" s="16">
        <v>0</v>
      </c>
      <c r="J165" s="16">
        <v>1</v>
      </c>
      <c r="K165" s="16">
        <v>1</v>
      </c>
      <c r="L165" s="16">
        <v>0</v>
      </c>
      <c r="M165" s="16">
        <v>0</v>
      </c>
      <c r="N165" s="16">
        <v>2</v>
      </c>
      <c r="O165" s="16">
        <v>2</v>
      </c>
      <c r="P165" s="16">
        <v>0</v>
      </c>
      <c r="Q165" s="16">
        <v>0</v>
      </c>
      <c r="R165" s="16">
        <v>2</v>
      </c>
      <c r="S165" s="16">
        <v>0</v>
      </c>
      <c r="T165" s="16">
        <v>0</v>
      </c>
      <c r="U165" s="16">
        <v>0</v>
      </c>
      <c r="V165" s="16">
        <v>0</v>
      </c>
      <c r="W165" s="16">
        <v>0</v>
      </c>
      <c r="X165" s="16">
        <v>1</v>
      </c>
      <c r="Y165" s="16">
        <v>1</v>
      </c>
      <c r="Z165" s="16">
        <v>0</v>
      </c>
      <c r="AA165" s="16">
        <v>0</v>
      </c>
      <c r="AB165" s="13">
        <f t="shared" ref="AB165:AB174" si="33">SUM(E165:AA165)</f>
        <v>11</v>
      </c>
    </row>
    <row r="166" spans="1:28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13">
        <f t="shared" si="33"/>
        <v>0</v>
      </c>
    </row>
    <row r="167" spans="1:28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13">
        <f t="shared" si="33"/>
        <v>0</v>
      </c>
    </row>
    <row r="168" spans="1:28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13">
        <f t="shared" si="33"/>
        <v>0</v>
      </c>
    </row>
    <row r="169" spans="1:28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13">
        <f t="shared" si="33"/>
        <v>0</v>
      </c>
    </row>
    <row r="170" spans="1:28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13">
        <f t="shared" si="33"/>
        <v>0</v>
      </c>
    </row>
    <row r="171" spans="1:28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13">
        <f t="shared" si="33"/>
        <v>0</v>
      </c>
    </row>
    <row r="172" spans="1:28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13">
        <f t="shared" si="33"/>
        <v>0</v>
      </c>
    </row>
    <row r="173" spans="1:28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13">
        <f t="shared" si="33"/>
        <v>0</v>
      </c>
    </row>
    <row r="174" spans="1:28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13">
        <f t="shared" si="33"/>
        <v>0</v>
      </c>
    </row>
    <row r="175" spans="1:28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AB175" si="34">SUM(E165:E174)</f>
        <v>1</v>
      </c>
      <c r="F175" s="13">
        <f t="shared" si="34"/>
        <v>0</v>
      </c>
      <c r="G175" s="13">
        <f t="shared" si="34"/>
        <v>0</v>
      </c>
      <c r="H175" s="13">
        <f t="shared" si="34"/>
        <v>0</v>
      </c>
      <c r="I175" s="13">
        <f t="shared" si="34"/>
        <v>0</v>
      </c>
      <c r="J175" s="13">
        <f t="shared" si="34"/>
        <v>1</v>
      </c>
      <c r="K175" s="13">
        <f t="shared" si="34"/>
        <v>1</v>
      </c>
      <c r="L175" s="13">
        <f t="shared" si="34"/>
        <v>0</v>
      </c>
      <c r="M175" s="13">
        <f t="shared" si="34"/>
        <v>0</v>
      </c>
      <c r="N175" s="13">
        <f t="shared" si="34"/>
        <v>2</v>
      </c>
      <c r="O175" s="13">
        <f t="shared" si="34"/>
        <v>2</v>
      </c>
      <c r="P175" s="13">
        <f t="shared" si="34"/>
        <v>0</v>
      </c>
      <c r="Q175" s="13">
        <f t="shared" si="34"/>
        <v>0</v>
      </c>
      <c r="R175" s="13">
        <f t="shared" si="34"/>
        <v>2</v>
      </c>
      <c r="S175" s="13">
        <f t="shared" si="34"/>
        <v>0</v>
      </c>
      <c r="T175" s="13">
        <f t="shared" si="34"/>
        <v>0</v>
      </c>
      <c r="U175" s="13">
        <f t="shared" si="34"/>
        <v>0</v>
      </c>
      <c r="V175" s="13">
        <f t="shared" si="34"/>
        <v>0</v>
      </c>
      <c r="W175" s="13">
        <f t="shared" si="34"/>
        <v>0</v>
      </c>
      <c r="X175" s="13">
        <f t="shared" si="34"/>
        <v>1</v>
      </c>
      <c r="Y175" s="13">
        <f t="shared" si="34"/>
        <v>1</v>
      </c>
      <c r="Z175" s="13">
        <f t="shared" si="34"/>
        <v>0</v>
      </c>
      <c r="AA175" s="13">
        <f t="shared" si="34"/>
        <v>0</v>
      </c>
      <c r="AB175" s="13">
        <f t="shared" si="34"/>
        <v>11</v>
      </c>
    </row>
    <row r="176" spans="1:28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</row>
    <row r="177" spans="1:28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0</v>
      </c>
      <c r="F177" s="16">
        <v>0</v>
      </c>
      <c r="G177" s="16">
        <v>1</v>
      </c>
      <c r="H177" s="16">
        <v>0</v>
      </c>
      <c r="I177" s="16">
        <v>0</v>
      </c>
      <c r="J177" s="16">
        <v>1</v>
      </c>
      <c r="K177" s="16">
        <v>2</v>
      </c>
      <c r="L177" s="16">
        <v>1</v>
      </c>
      <c r="M177" s="16">
        <v>2</v>
      </c>
      <c r="N177" s="16">
        <v>1</v>
      </c>
      <c r="O177" s="16">
        <v>1</v>
      </c>
      <c r="P177" s="16">
        <v>0</v>
      </c>
      <c r="Q177" s="16">
        <v>0</v>
      </c>
      <c r="R177" s="16">
        <v>1</v>
      </c>
      <c r="S177" s="16">
        <v>1</v>
      </c>
      <c r="T177" s="16">
        <v>1</v>
      </c>
      <c r="U177" s="16">
        <v>0</v>
      </c>
      <c r="V177" s="16">
        <v>0</v>
      </c>
      <c r="W177" s="16">
        <v>0</v>
      </c>
      <c r="X177" s="16">
        <v>1</v>
      </c>
      <c r="Y177" s="16">
        <v>0</v>
      </c>
      <c r="Z177" s="16">
        <v>0</v>
      </c>
      <c r="AA177" s="16">
        <v>0</v>
      </c>
      <c r="AB177" s="13">
        <f t="shared" ref="AB177:AB186" si="35">SUM(E177:AA177)</f>
        <v>13</v>
      </c>
    </row>
    <row r="178" spans="1:28" ht="12.75" customHeight="1" x14ac:dyDescent="0.4">
      <c r="A178" s="20" t="s">
        <v>38</v>
      </c>
      <c r="B178" s="28"/>
      <c r="C178" s="29" t="s">
        <v>109</v>
      </c>
      <c r="D178" s="30"/>
      <c r="E178" s="16">
        <v>0</v>
      </c>
      <c r="F178" s="16">
        <v>3</v>
      </c>
      <c r="G178" s="16">
        <v>1</v>
      </c>
      <c r="H178" s="16">
        <v>1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2</v>
      </c>
      <c r="V178" s="16">
        <v>1</v>
      </c>
      <c r="W178" s="16">
        <v>0</v>
      </c>
      <c r="X178" s="16">
        <v>3</v>
      </c>
      <c r="Y178" s="16">
        <v>0</v>
      </c>
      <c r="Z178" s="16">
        <v>2</v>
      </c>
      <c r="AA178" s="16">
        <v>2</v>
      </c>
      <c r="AB178" s="13">
        <f t="shared" si="35"/>
        <v>15</v>
      </c>
    </row>
    <row r="179" spans="1:28" ht="12.75" customHeight="1" x14ac:dyDescent="0.4">
      <c r="A179" s="15"/>
      <c r="B179" s="28"/>
      <c r="C179" s="29" t="s">
        <v>110</v>
      </c>
      <c r="D179" s="30"/>
      <c r="E179" s="16">
        <v>1</v>
      </c>
      <c r="F179" s="16">
        <v>0</v>
      </c>
      <c r="G179" s="16">
        <v>5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1</v>
      </c>
      <c r="X179" s="16">
        <v>0</v>
      </c>
      <c r="Y179" s="16">
        <v>0</v>
      </c>
      <c r="Z179" s="16">
        <v>0</v>
      </c>
      <c r="AA179" s="16">
        <v>2</v>
      </c>
      <c r="AB179" s="13">
        <f t="shared" si="35"/>
        <v>9</v>
      </c>
    </row>
    <row r="180" spans="1:28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0</v>
      </c>
      <c r="G180" s="16">
        <v>1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1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1</v>
      </c>
      <c r="X180" s="16">
        <v>0</v>
      </c>
      <c r="Y180" s="16">
        <v>0</v>
      </c>
      <c r="Z180" s="16">
        <v>0</v>
      </c>
      <c r="AA180" s="16">
        <v>0</v>
      </c>
      <c r="AB180" s="13">
        <f t="shared" si="35"/>
        <v>3</v>
      </c>
    </row>
    <row r="181" spans="1:28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1</v>
      </c>
      <c r="I181" s="16">
        <v>1</v>
      </c>
      <c r="J181" s="16">
        <v>0</v>
      </c>
      <c r="K181" s="16">
        <v>0</v>
      </c>
      <c r="L181" s="16">
        <v>0</v>
      </c>
      <c r="M181" s="16">
        <v>0</v>
      </c>
      <c r="N181" s="16">
        <v>1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3">
        <f t="shared" si="35"/>
        <v>3</v>
      </c>
    </row>
    <row r="182" spans="1:28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1</v>
      </c>
      <c r="Q182" s="16">
        <v>0</v>
      </c>
      <c r="R182" s="16">
        <v>5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1</v>
      </c>
      <c r="Z182" s="16">
        <v>0</v>
      </c>
      <c r="AA182" s="16">
        <v>0</v>
      </c>
      <c r="AB182" s="13">
        <f t="shared" si="35"/>
        <v>7</v>
      </c>
    </row>
    <row r="183" spans="1:28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3">
        <f t="shared" si="35"/>
        <v>0</v>
      </c>
    </row>
    <row r="184" spans="1:28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13">
        <f t="shared" si="35"/>
        <v>0</v>
      </c>
    </row>
    <row r="185" spans="1:28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13">
        <f t="shared" si="35"/>
        <v>0</v>
      </c>
    </row>
    <row r="186" spans="1:28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13">
        <f t="shared" si="35"/>
        <v>0</v>
      </c>
    </row>
    <row r="187" spans="1:28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AB187" si="36">SUM(E177:E186)</f>
        <v>1</v>
      </c>
      <c r="F187" s="13">
        <f t="shared" si="36"/>
        <v>3</v>
      </c>
      <c r="G187" s="13">
        <f t="shared" si="36"/>
        <v>8</v>
      </c>
      <c r="H187" s="13">
        <f t="shared" si="36"/>
        <v>2</v>
      </c>
      <c r="I187" s="13">
        <f t="shared" si="36"/>
        <v>1</v>
      </c>
      <c r="J187" s="13">
        <f t="shared" si="36"/>
        <v>1</v>
      </c>
      <c r="K187" s="13">
        <f t="shared" si="36"/>
        <v>2</v>
      </c>
      <c r="L187" s="13">
        <f t="shared" si="36"/>
        <v>1</v>
      </c>
      <c r="M187" s="13">
        <f t="shared" si="36"/>
        <v>2</v>
      </c>
      <c r="N187" s="13">
        <f t="shared" si="36"/>
        <v>3</v>
      </c>
      <c r="O187" s="13">
        <f t="shared" si="36"/>
        <v>1</v>
      </c>
      <c r="P187" s="13">
        <f t="shared" si="36"/>
        <v>1</v>
      </c>
      <c r="Q187" s="13">
        <f t="shared" si="36"/>
        <v>0</v>
      </c>
      <c r="R187" s="13">
        <f t="shared" si="36"/>
        <v>6</v>
      </c>
      <c r="S187" s="13">
        <f t="shared" si="36"/>
        <v>1</v>
      </c>
      <c r="T187" s="13">
        <f t="shared" si="36"/>
        <v>1</v>
      </c>
      <c r="U187" s="13">
        <f t="shared" si="36"/>
        <v>2</v>
      </c>
      <c r="V187" s="13">
        <f t="shared" si="36"/>
        <v>1</v>
      </c>
      <c r="W187" s="13">
        <f t="shared" si="36"/>
        <v>2</v>
      </c>
      <c r="X187" s="13">
        <f t="shared" si="36"/>
        <v>4</v>
      </c>
      <c r="Y187" s="13">
        <f t="shared" si="36"/>
        <v>1</v>
      </c>
      <c r="Z187" s="13">
        <f t="shared" si="36"/>
        <v>2</v>
      </c>
      <c r="AA187" s="13">
        <f t="shared" si="36"/>
        <v>4</v>
      </c>
      <c r="AB187" s="13">
        <f t="shared" si="36"/>
        <v>50</v>
      </c>
    </row>
    <row r="188" spans="1:28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T188" s="54"/>
      <c r="U188" s="54"/>
      <c r="V188" s="54"/>
      <c r="W188" s="54"/>
      <c r="X188" s="54"/>
      <c r="AB188" s="13"/>
    </row>
    <row r="189" spans="1:28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2</v>
      </c>
      <c r="F189" s="16">
        <v>0</v>
      </c>
      <c r="G189" s="16">
        <v>0</v>
      </c>
      <c r="H189" s="16">
        <v>1</v>
      </c>
      <c r="I189" s="16">
        <v>1</v>
      </c>
      <c r="J189" s="16">
        <v>0</v>
      </c>
      <c r="K189" s="16">
        <v>0</v>
      </c>
      <c r="L189" s="16">
        <v>1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1</v>
      </c>
      <c r="AA189" s="16">
        <v>0</v>
      </c>
      <c r="AB189" s="13">
        <f t="shared" ref="AB189:AB198" si="37">SUM(E189:AA189)</f>
        <v>6</v>
      </c>
    </row>
    <row r="190" spans="1:28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1</v>
      </c>
      <c r="L190" s="16">
        <v>3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3">
        <f t="shared" si="37"/>
        <v>4</v>
      </c>
    </row>
    <row r="191" spans="1:28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1</v>
      </c>
      <c r="AB191" s="13">
        <f t="shared" si="37"/>
        <v>1</v>
      </c>
    </row>
    <row r="192" spans="1:28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1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3">
        <f t="shared" si="37"/>
        <v>1</v>
      </c>
    </row>
    <row r="193" spans="1:28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3">
        <f t="shared" si="37"/>
        <v>0</v>
      </c>
    </row>
    <row r="194" spans="1:28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3">
        <f t="shared" si="37"/>
        <v>0</v>
      </c>
    </row>
    <row r="195" spans="1:28" ht="12.75" customHeight="1" x14ac:dyDescent="0.4">
      <c r="A195" s="15"/>
      <c r="B195" s="28"/>
      <c r="C195" s="29" t="s">
        <v>122</v>
      </c>
      <c r="D195" s="30"/>
      <c r="E195" s="16">
        <v>1</v>
      </c>
      <c r="F195" s="16">
        <v>0</v>
      </c>
      <c r="G195" s="16">
        <v>5</v>
      </c>
      <c r="H195" s="16">
        <v>1</v>
      </c>
      <c r="I195" s="16">
        <v>0</v>
      </c>
      <c r="J195" s="16">
        <v>3</v>
      </c>
      <c r="K195" s="16">
        <v>3</v>
      </c>
      <c r="L195" s="16">
        <v>0</v>
      </c>
      <c r="M195" s="16">
        <v>1</v>
      </c>
      <c r="N195" s="16">
        <v>1</v>
      </c>
      <c r="O195" s="16">
        <v>1</v>
      </c>
      <c r="P195" s="16">
        <v>1</v>
      </c>
      <c r="Q195" s="16">
        <v>1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4</v>
      </c>
      <c r="Y195" s="16">
        <v>1</v>
      </c>
      <c r="Z195" s="16">
        <v>7</v>
      </c>
      <c r="AA195" s="16">
        <v>1</v>
      </c>
      <c r="AB195" s="13">
        <f t="shared" si="37"/>
        <v>31</v>
      </c>
    </row>
    <row r="196" spans="1:28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13">
        <f t="shared" si="37"/>
        <v>0</v>
      </c>
    </row>
    <row r="197" spans="1:28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13">
        <f t="shared" si="37"/>
        <v>0</v>
      </c>
    </row>
    <row r="198" spans="1:28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13">
        <f t="shared" si="37"/>
        <v>0</v>
      </c>
    </row>
    <row r="199" spans="1:28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AB199" si="38">SUM(E189:E198)</f>
        <v>3</v>
      </c>
      <c r="F199" s="13">
        <f t="shared" si="38"/>
        <v>1</v>
      </c>
      <c r="G199" s="13">
        <f t="shared" si="38"/>
        <v>5</v>
      </c>
      <c r="H199" s="13">
        <f t="shared" si="38"/>
        <v>2</v>
      </c>
      <c r="I199" s="13">
        <f t="shared" si="38"/>
        <v>1</v>
      </c>
      <c r="J199" s="13">
        <f t="shared" si="38"/>
        <v>3</v>
      </c>
      <c r="K199" s="13">
        <f t="shared" si="38"/>
        <v>4</v>
      </c>
      <c r="L199" s="13">
        <f t="shared" si="38"/>
        <v>4</v>
      </c>
      <c r="M199" s="13">
        <f t="shared" si="38"/>
        <v>1</v>
      </c>
      <c r="N199" s="13">
        <f t="shared" si="38"/>
        <v>1</v>
      </c>
      <c r="O199" s="13">
        <f t="shared" si="38"/>
        <v>1</v>
      </c>
      <c r="P199" s="13">
        <f t="shared" si="38"/>
        <v>1</v>
      </c>
      <c r="Q199" s="13">
        <f t="shared" si="38"/>
        <v>1</v>
      </c>
      <c r="R199" s="13">
        <f t="shared" si="38"/>
        <v>0</v>
      </c>
      <c r="S199" s="13">
        <f t="shared" si="38"/>
        <v>0</v>
      </c>
      <c r="T199" s="13">
        <f t="shared" si="38"/>
        <v>0</v>
      </c>
      <c r="U199" s="13">
        <f t="shared" si="38"/>
        <v>0</v>
      </c>
      <c r="V199" s="13">
        <f t="shared" si="38"/>
        <v>0</v>
      </c>
      <c r="W199" s="13">
        <f t="shared" si="38"/>
        <v>0</v>
      </c>
      <c r="X199" s="13">
        <f t="shared" si="38"/>
        <v>4</v>
      </c>
      <c r="Y199" s="13">
        <f t="shared" si="38"/>
        <v>1</v>
      </c>
      <c r="Z199" s="13">
        <f t="shared" si="38"/>
        <v>8</v>
      </c>
      <c r="AA199" s="13">
        <f t="shared" si="38"/>
        <v>2</v>
      </c>
      <c r="AB199" s="13">
        <f t="shared" si="38"/>
        <v>43</v>
      </c>
    </row>
    <row r="200" spans="1:28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</row>
    <row r="201" spans="1:28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1</v>
      </c>
      <c r="F201" s="16">
        <v>4</v>
      </c>
      <c r="G201" s="16">
        <v>2</v>
      </c>
      <c r="H201" s="16">
        <v>2</v>
      </c>
      <c r="I201" s="16">
        <v>4</v>
      </c>
      <c r="J201" s="16">
        <v>5</v>
      </c>
      <c r="K201" s="16">
        <v>3</v>
      </c>
      <c r="L201" s="16">
        <v>1</v>
      </c>
      <c r="M201" s="16">
        <v>4</v>
      </c>
      <c r="N201" s="16">
        <v>8</v>
      </c>
      <c r="O201" s="16">
        <v>6</v>
      </c>
      <c r="P201" s="16">
        <v>0</v>
      </c>
      <c r="Q201" s="16">
        <v>1</v>
      </c>
      <c r="R201" s="16">
        <v>0</v>
      </c>
      <c r="S201" s="16">
        <v>3</v>
      </c>
      <c r="T201" s="16">
        <v>2</v>
      </c>
      <c r="U201" s="16">
        <v>9</v>
      </c>
      <c r="V201" s="16">
        <v>5</v>
      </c>
      <c r="W201" s="16">
        <v>0</v>
      </c>
      <c r="X201" s="16">
        <v>9</v>
      </c>
      <c r="Y201" s="16">
        <v>3</v>
      </c>
      <c r="Z201" s="16">
        <v>3</v>
      </c>
      <c r="AA201" s="16">
        <v>4</v>
      </c>
      <c r="AB201" s="13">
        <f t="shared" ref="AB201:AB210" si="39">SUM(E201:AA201)</f>
        <v>79</v>
      </c>
    </row>
    <row r="202" spans="1:28" ht="12.75" customHeight="1" x14ac:dyDescent="0.4">
      <c r="A202" s="20" t="s">
        <v>38</v>
      </c>
      <c r="B202" s="28"/>
      <c r="C202" s="29" t="s">
        <v>125</v>
      </c>
      <c r="D202" s="30"/>
      <c r="E202" s="16">
        <v>2</v>
      </c>
      <c r="F202" s="16">
        <v>3</v>
      </c>
      <c r="G202" s="16">
        <v>4</v>
      </c>
      <c r="H202" s="16">
        <v>24</v>
      </c>
      <c r="I202" s="16">
        <v>0</v>
      </c>
      <c r="J202" s="16">
        <v>4</v>
      </c>
      <c r="K202" s="16">
        <v>4</v>
      </c>
      <c r="L202" s="16">
        <v>17</v>
      </c>
      <c r="M202" s="16">
        <v>6</v>
      </c>
      <c r="N202" s="16">
        <v>6</v>
      </c>
      <c r="O202" s="16">
        <v>9</v>
      </c>
      <c r="P202" s="16">
        <v>1</v>
      </c>
      <c r="Q202" s="16">
        <v>5</v>
      </c>
      <c r="R202" s="16">
        <v>1</v>
      </c>
      <c r="S202" s="16">
        <v>6</v>
      </c>
      <c r="T202" s="16">
        <v>0</v>
      </c>
      <c r="U202" s="16">
        <v>3</v>
      </c>
      <c r="V202" s="16">
        <v>2</v>
      </c>
      <c r="W202" s="16">
        <v>0</v>
      </c>
      <c r="X202" s="16">
        <v>19</v>
      </c>
      <c r="Y202" s="16">
        <v>6</v>
      </c>
      <c r="Z202" s="16">
        <v>0</v>
      </c>
      <c r="AA202" s="16">
        <v>7</v>
      </c>
      <c r="AB202" s="13">
        <f t="shared" si="39"/>
        <v>129</v>
      </c>
    </row>
    <row r="203" spans="1:28" ht="12.75" customHeight="1" x14ac:dyDescent="0.4">
      <c r="A203" s="15"/>
      <c r="B203" s="28"/>
      <c r="C203" s="29" t="s">
        <v>126</v>
      </c>
      <c r="D203" s="30"/>
      <c r="E203" s="16">
        <v>2</v>
      </c>
      <c r="F203" s="16">
        <v>1</v>
      </c>
      <c r="G203" s="16">
        <v>2</v>
      </c>
      <c r="H203" s="16">
        <v>4</v>
      </c>
      <c r="I203" s="16">
        <v>3</v>
      </c>
      <c r="J203" s="16">
        <v>42</v>
      </c>
      <c r="K203" s="16">
        <v>8</v>
      </c>
      <c r="L203" s="16">
        <v>1</v>
      </c>
      <c r="M203" s="16">
        <v>9</v>
      </c>
      <c r="N203" s="16">
        <v>8</v>
      </c>
      <c r="O203" s="16">
        <v>4</v>
      </c>
      <c r="P203" s="16">
        <v>2</v>
      </c>
      <c r="Q203" s="16">
        <v>4</v>
      </c>
      <c r="R203" s="16">
        <v>14</v>
      </c>
      <c r="S203" s="16">
        <v>0</v>
      </c>
      <c r="T203" s="16">
        <v>0</v>
      </c>
      <c r="U203" s="16">
        <v>0</v>
      </c>
      <c r="V203" s="16">
        <v>3</v>
      </c>
      <c r="W203" s="16">
        <v>6</v>
      </c>
      <c r="X203" s="16">
        <v>25</v>
      </c>
      <c r="Y203" s="16">
        <v>0</v>
      </c>
      <c r="Z203" s="16">
        <v>9</v>
      </c>
      <c r="AA203" s="16">
        <v>17</v>
      </c>
      <c r="AB203" s="13">
        <f t="shared" si="39"/>
        <v>164</v>
      </c>
    </row>
    <row r="204" spans="1:28" ht="12.75" customHeight="1" x14ac:dyDescent="0.4">
      <c r="A204" s="15"/>
      <c r="B204" s="28"/>
      <c r="C204" s="29" t="s">
        <v>127</v>
      </c>
      <c r="D204" s="30"/>
      <c r="E204" s="16">
        <v>5</v>
      </c>
      <c r="F204" s="16">
        <v>22</v>
      </c>
      <c r="G204" s="16">
        <v>3</v>
      </c>
      <c r="H204" s="16">
        <v>5</v>
      </c>
      <c r="I204" s="16">
        <v>32</v>
      </c>
      <c r="J204" s="16">
        <v>9</v>
      </c>
      <c r="K204" s="16">
        <v>8</v>
      </c>
      <c r="L204" s="16">
        <v>4</v>
      </c>
      <c r="M204" s="16">
        <v>12</v>
      </c>
      <c r="N204" s="16">
        <v>19</v>
      </c>
      <c r="O204" s="16">
        <v>5</v>
      </c>
      <c r="P204" s="16">
        <v>9</v>
      </c>
      <c r="Q204" s="16">
        <v>15</v>
      </c>
      <c r="R204" s="16">
        <v>3</v>
      </c>
      <c r="S204" s="16">
        <v>5</v>
      </c>
      <c r="T204" s="16">
        <v>3</v>
      </c>
      <c r="U204" s="16">
        <v>11</v>
      </c>
      <c r="V204" s="16">
        <v>7</v>
      </c>
      <c r="W204" s="16">
        <v>3</v>
      </c>
      <c r="X204" s="16">
        <v>3</v>
      </c>
      <c r="Y204" s="16">
        <v>7</v>
      </c>
      <c r="Z204" s="16">
        <v>7</v>
      </c>
      <c r="AA204" s="16">
        <v>25</v>
      </c>
      <c r="AB204" s="13">
        <f t="shared" si="39"/>
        <v>222</v>
      </c>
    </row>
    <row r="205" spans="1:28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1</v>
      </c>
      <c r="H205" s="16">
        <v>0</v>
      </c>
      <c r="I205" s="16">
        <v>0</v>
      </c>
      <c r="J205" s="16">
        <v>0</v>
      </c>
      <c r="K205" s="16">
        <v>1</v>
      </c>
      <c r="L205" s="16">
        <v>1</v>
      </c>
      <c r="M205" s="16">
        <v>2</v>
      </c>
      <c r="N205" s="16">
        <v>1</v>
      </c>
      <c r="O205" s="16">
        <v>0</v>
      </c>
      <c r="P205" s="16">
        <v>1</v>
      </c>
      <c r="Q205" s="16">
        <v>0</v>
      </c>
      <c r="R205" s="16">
        <v>0</v>
      </c>
      <c r="S205" s="16">
        <v>1</v>
      </c>
      <c r="T205" s="16">
        <v>0</v>
      </c>
      <c r="U205" s="16">
        <v>0</v>
      </c>
      <c r="V205" s="16">
        <v>0</v>
      </c>
      <c r="W205" s="16">
        <v>1</v>
      </c>
      <c r="X205" s="16">
        <v>0</v>
      </c>
      <c r="Y205" s="16">
        <v>0</v>
      </c>
      <c r="Z205" s="16">
        <v>0</v>
      </c>
      <c r="AA205" s="16">
        <v>1</v>
      </c>
      <c r="AB205" s="13">
        <f t="shared" si="39"/>
        <v>10</v>
      </c>
    </row>
    <row r="206" spans="1:28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1</v>
      </c>
      <c r="G206" s="16">
        <v>1</v>
      </c>
      <c r="H206" s="16">
        <v>0</v>
      </c>
      <c r="I206" s="16">
        <v>4</v>
      </c>
      <c r="J206" s="16">
        <v>0</v>
      </c>
      <c r="K206" s="16">
        <v>0</v>
      </c>
      <c r="L206" s="16">
        <v>0</v>
      </c>
      <c r="M206" s="16">
        <v>0</v>
      </c>
      <c r="N206" s="16">
        <v>1</v>
      </c>
      <c r="O206" s="16">
        <v>0</v>
      </c>
      <c r="P206" s="16">
        <v>0</v>
      </c>
      <c r="Q206" s="16">
        <v>0</v>
      </c>
      <c r="R206" s="16">
        <v>0</v>
      </c>
      <c r="S206" s="16">
        <v>0</v>
      </c>
      <c r="T206" s="16">
        <v>0</v>
      </c>
      <c r="U206" s="16">
        <v>0</v>
      </c>
      <c r="V206" s="16">
        <v>0</v>
      </c>
      <c r="W206" s="16">
        <v>0</v>
      </c>
      <c r="X206" s="16">
        <v>0</v>
      </c>
      <c r="Y206" s="16">
        <v>0</v>
      </c>
      <c r="Z206" s="16">
        <v>0</v>
      </c>
      <c r="AA206" s="16">
        <v>0</v>
      </c>
      <c r="AB206" s="13">
        <f t="shared" si="39"/>
        <v>7</v>
      </c>
    </row>
    <row r="207" spans="1:28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0</v>
      </c>
      <c r="G207" s="16">
        <v>0</v>
      </c>
      <c r="H207" s="16">
        <v>0</v>
      </c>
      <c r="I207" s="16">
        <v>0</v>
      </c>
      <c r="J207" s="16">
        <v>0</v>
      </c>
      <c r="K207" s="16">
        <v>1</v>
      </c>
      <c r="L207" s="16">
        <v>0</v>
      </c>
      <c r="M207" s="16">
        <v>0</v>
      </c>
      <c r="N207" s="16">
        <v>0</v>
      </c>
      <c r="O207" s="16">
        <v>1</v>
      </c>
      <c r="P207" s="16">
        <v>1</v>
      </c>
      <c r="Q207" s="16">
        <v>0</v>
      </c>
      <c r="R207" s="16">
        <v>0</v>
      </c>
      <c r="S207" s="16">
        <v>0</v>
      </c>
      <c r="T207" s="16">
        <v>1</v>
      </c>
      <c r="U207" s="16">
        <v>0</v>
      </c>
      <c r="V207" s="16">
        <v>0</v>
      </c>
      <c r="W207" s="16">
        <v>2</v>
      </c>
      <c r="X207" s="16">
        <v>0</v>
      </c>
      <c r="Y207" s="16">
        <v>0</v>
      </c>
      <c r="Z207" s="16">
        <v>0</v>
      </c>
      <c r="AA207" s="16">
        <v>3</v>
      </c>
      <c r="AB207" s="13">
        <f t="shared" si="39"/>
        <v>9</v>
      </c>
    </row>
    <row r="208" spans="1:28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13">
        <f t="shared" si="39"/>
        <v>0</v>
      </c>
    </row>
    <row r="209" spans="1:28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13">
        <f t="shared" si="39"/>
        <v>0</v>
      </c>
    </row>
    <row r="210" spans="1:28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13">
        <f t="shared" si="39"/>
        <v>0</v>
      </c>
    </row>
    <row r="211" spans="1:28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AB211" si="40">SUM(E201:E210)</f>
        <v>10</v>
      </c>
      <c r="F211" s="13">
        <f t="shared" si="40"/>
        <v>31</v>
      </c>
      <c r="G211" s="13">
        <f t="shared" si="40"/>
        <v>13</v>
      </c>
      <c r="H211" s="13">
        <f t="shared" si="40"/>
        <v>35</v>
      </c>
      <c r="I211" s="13">
        <f t="shared" si="40"/>
        <v>43</v>
      </c>
      <c r="J211" s="13">
        <f t="shared" si="40"/>
        <v>60</v>
      </c>
      <c r="K211" s="13">
        <f t="shared" si="40"/>
        <v>25</v>
      </c>
      <c r="L211" s="13">
        <f t="shared" si="40"/>
        <v>24</v>
      </c>
      <c r="M211" s="13">
        <f t="shared" si="40"/>
        <v>33</v>
      </c>
      <c r="N211" s="13">
        <f t="shared" si="40"/>
        <v>43</v>
      </c>
      <c r="O211" s="13">
        <f t="shared" si="40"/>
        <v>25</v>
      </c>
      <c r="P211" s="13">
        <f t="shared" si="40"/>
        <v>14</v>
      </c>
      <c r="Q211" s="13">
        <f t="shared" si="40"/>
        <v>25</v>
      </c>
      <c r="R211" s="13">
        <f t="shared" si="40"/>
        <v>18</v>
      </c>
      <c r="S211" s="13">
        <f t="shared" si="40"/>
        <v>15</v>
      </c>
      <c r="T211" s="13">
        <f t="shared" si="40"/>
        <v>6</v>
      </c>
      <c r="U211" s="13">
        <f t="shared" si="40"/>
        <v>23</v>
      </c>
      <c r="V211" s="13">
        <f t="shared" si="40"/>
        <v>17</v>
      </c>
      <c r="W211" s="13">
        <f t="shared" si="40"/>
        <v>12</v>
      </c>
      <c r="X211" s="13">
        <f t="shared" si="40"/>
        <v>56</v>
      </c>
      <c r="Y211" s="13">
        <f t="shared" si="40"/>
        <v>16</v>
      </c>
      <c r="Z211" s="13">
        <f t="shared" si="40"/>
        <v>19</v>
      </c>
      <c r="AA211" s="13">
        <f t="shared" si="40"/>
        <v>57</v>
      </c>
      <c r="AB211" s="13">
        <f t="shared" si="40"/>
        <v>620</v>
      </c>
    </row>
    <row r="212" spans="1:28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</row>
    <row r="213" spans="1:28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6</v>
      </c>
      <c r="F213" s="16">
        <v>3</v>
      </c>
      <c r="G213" s="16">
        <v>5</v>
      </c>
      <c r="H213" s="16">
        <v>0</v>
      </c>
      <c r="I213" s="16">
        <v>4</v>
      </c>
      <c r="J213" s="16">
        <v>3</v>
      </c>
      <c r="K213" s="16">
        <v>1</v>
      </c>
      <c r="L213" s="16">
        <v>0</v>
      </c>
      <c r="M213" s="16">
        <v>4</v>
      </c>
      <c r="N213" s="16">
        <v>1</v>
      </c>
      <c r="O213" s="16">
        <v>2</v>
      </c>
      <c r="P213" s="16">
        <v>1</v>
      </c>
      <c r="Q213" s="16">
        <v>0</v>
      </c>
      <c r="R213" s="16">
        <v>2</v>
      </c>
      <c r="S213" s="16">
        <v>7</v>
      </c>
      <c r="T213" s="16">
        <v>4</v>
      </c>
      <c r="U213" s="16">
        <v>4</v>
      </c>
      <c r="V213" s="16">
        <v>1</v>
      </c>
      <c r="W213" s="16">
        <v>1</v>
      </c>
      <c r="X213" s="16">
        <v>1</v>
      </c>
      <c r="Y213" s="16">
        <v>2</v>
      </c>
      <c r="Z213" s="16">
        <v>1</v>
      </c>
      <c r="AA213" s="16">
        <v>3</v>
      </c>
      <c r="AB213" s="13">
        <f t="shared" ref="AB213:AB222" si="41">SUM(E213:AA213)</f>
        <v>56</v>
      </c>
    </row>
    <row r="214" spans="1:28" ht="12.75" customHeight="1" x14ac:dyDescent="0.4">
      <c r="A214" s="20" t="s">
        <v>38</v>
      </c>
      <c r="B214" s="27"/>
      <c r="C214" s="29" t="s">
        <v>133</v>
      </c>
      <c r="D214" s="40"/>
      <c r="E214" s="16">
        <v>1</v>
      </c>
      <c r="F214" s="16">
        <v>0</v>
      </c>
      <c r="G214" s="16">
        <v>1</v>
      </c>
      <c r="H214" s="16">
        <v>0</v>
      </c>
      <c r="I214" s="16">
        <v>0</v>
      </c>
      <c r="J214" s="16">
        <v>1</v>
      </c>
      <c r="K214" s="16">
        <v>0</v>
      </c>
      <c r="L214" s="16">
        <v>1</v>
      </c>
      <c r="M214" s="16">
        <v>1</v>
      </c>
      <c r="N214" s="16">
        <v>0</v>
      </c>
      <c r="O214" s="16">
        <v>3</v>
      </c>
      <c r="P214" s="16">
        <v>1</v>
      </c>
      <c r="Q214" s="16">
        <v>0</v>
      </c>
      <c r="R214" s="16">
        <v>2</v>
      </c>
      <c r="S214" s="16">
        <v>1</v>
      </c>
      <c r="T214" s="16">
        <v>0</v>
      </c>
      <c r="U214" s="16">
        <v>0</v>
      </c>
      <c r="V214" s="16">
        <v>0</v>
      </c>
      <c r="W214" s="16">
        <v>0</v>
      </c>
      <c r="X214" s="16">
        <v>1</v>
      </c>
      <c r="Y214" s="16">
        <v>1</v>
      </c>
      <c r="Z214" s="16">
        <v>1</v>
      </c>
      <c r="AA214" s="16">
        <v>0</v>
      </c>
      <c r="AB214" s="13">
        <f t="shared" si="41"/>
        <v>15</v>
      </c>
    </row>
    <row r="215" spans="1:28" ht="12.75" customHeight="1" x14ac:dyDescent="0.4">
      <c r="A215" s="15"/>
      <c r="B215" s="27"/>
      <c r="C215" s="29" t="s">
        <v>134</v>
      </c>
      <c r="D215" s="40"/>
      <c r="E215" s="16">
        <v>1</v>
      </c>
      <c r="F215" s="16">
        <v>2</v>
      </c>
      <c r="G215" s="16">
        <v>2</v>
      </c>
      <c r="H215" s="16">
        <v>3</v>
      </c>
      <c r="I215" s="16">
        <v>1</v>
      </c>
      <c r="J215" s="16">
        <v>0</v>
      </c>
      <c r="K215" s="16">
        <v>0</v>
      </c>
      <c r="L215" s="16">
        <v>0</v>
      </c>
      <c r="M215" s="16">
        <v>1</v>
      </c>
      <c r="N215" s="16">
        <v>1</v>
      </c>
      <c r="O215" s="16">
        <v>1</v>
      </c>
      <c r="P215" s="16">
        <v>1</v>
      </c>
      <c r="Q215" s="16">
        <v>1</v>
      </c>
      <c r="R215" s="16">
        <v>0</v>
      </c>
      <c r="S215" s="16">
        <v>0</v>
      </c>
      <c r="T215" s="16">
        <v>0</v>
      </c>
      <c r="U215" s="16">
        <v>1</v>
      </c>
      <c r="V215" s="16">
        <v>0</v>
      </c>
      <c r="W215" s="16">
        <v>2</v>
      </c>
      <c r="X215" s="16">
        <v>0</v>
      </c>
      <c r="Y215" s="16">
        <v>0</v>
      </c>
      <c r="Z215" s="16">
        <v>0</v>
      </c>
      <c r="AA215" s="16">
        <v>0</v>
      </c>
      <c r="AB215" s="13">
        <f t="shared" si="41"/>
        <v>17</v>
      </c>
    </row>
    <row r="216" spans="1:28" ht="12.75" customHeight="1" x14ac:dyDescent="0.4">
      <c r="A216" s="15"/>
      <c r="B216" s="27"/>
      <c r="C216" s="29" t="s">
        <v>135</v>
      </c>
      <c r="D216" s="40"/>
      <c r="E216" s="16">
        <v>2</v>
      </c>
      <c r="F216" s="16">
        <v>1</v>
      </c>
      <c r="G216" s="16">
        <v>2</v>
      </c>
      <c r="H216" s="16">
        <v>0</v>
      </c>
      <c r="I216" s="16">
        <v>0</v>
      </c>
      <c r="J216" s="16">
        <v>0</v>
      </c>
      <c r="K216" s="16">
        <v>0</v>
      </c>
      <c r="L216" s="16">
        <v>0</v>
      </c>
      <c r="M216" s="16">
        <v>0</v>
      </c>
      <c r="N216" s="16">
        <v>0</v>
      </c>
      <c r="O216" s="16">
        <v>0</v>
      </c>
      <c r="P216" s="16">
        <v>1</v>
      </c>
      <c r="Q216" s="16">
        <v>0</v>
      </c>
      <c r="R216" s="16">
        <v>0</v>
      </c>
      <c r="S216" s="16">
        <v>0</v>
      </c>
      <c r="T216" s="16">
        <v>0</v>
      </c>
      <c r="U216" s="16">
        <v>2</v>
      </c>
      <c r="V216" s="16">
        <v>0</v>
      </c>
      <c r="W216" s="16">
        <v>0</v>
      </c>
      <c r="X216" s="16">
        <v>0</v>
      </c>
      <c r="Y216" s="16">
        <v>0</v>
      </c>
      <c r="Z216" s="16">
        <v>0</v>
      </c>
      <c r="AA216" s="16">
        <v>0</v>
      </c>
      <c r="AB216" s="13">
        <f t="shared" si="41"/>
        <v>8</v>
      </c>
    </row>
    <row r="217" spans="1:28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0</v>
      </c>
      <c r="L217" s="16">
        <v>0</v>
      </c>
      <c r="M217" s="16">
        <v>0</v>
      </c>
      <c r="N217" s="16">
        <v>0</v>
      </c>
      <c r="O217" s="16">
        <v>1</v>
      </c>
      <c r="P217" s="16">
        <v>1</v>
      </c>
      <c r="Q217" s="16">
        <v>0</v>
      </c>
      <c r="R217" s="16">
        <v>0</v>
      </c>
      <c r="S217" s="16">
        <v>1</v>
      </c>
      <c r="T217" s="16">
        <v>0</v>
      </c>
      <c r="U217" s="16">
        <v>0</v>
      </c>
      <c r="V217" s="16">
        <v>0</v>
      </c>
      <c r="W217" s="16">
        <v>0</v>
      </c>
      <c r="X217" s="16">
        <v>0</v>
      </c>
      <c r="Y217" s="16">
        <v>0</v>
      </c>
      <c r="Z217" s="16">
        <v>0</v>
      </c>
      <c r="AA217" s="16">
        <v>0</v>
      </c>
      <c r="AB217" s="13">
        <f t="shared" si="41"/>
        <v>3</v>
      </c>
    </row>
    <row r="218" spans="1:28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1</v>
      </c>
      <c r="G218" s="16">
        <v>0</v>
      </c>
      <c r="H218" s="16">
        <v>0</v>
      </c>
      <c r="I218" s="16">
        <v>1</v>
      </c>
      <c r="J218" s="16">
        <v>0</v>
      </c>
      <c r="K218" s="16">
        <v>0</v>
      </c>
      <c r="L218" s="16">
        <v>0</v>
      </c>
      <c r="M218" s="16">
        <v>0</v>
      </c>
      <c r="N218" s="16">
        <v>2</v>
      </c>
      <c r="O218" s="16">
        <v>2</v>
      </c>
      <c r="P218" s="16">
        <v>1</v>
      </c>
      <c r="Q218" s="16">
        <v>0</v>
      </c>
      <c r="R218" s="16">
        <v>0</v>
      </c>
      <c r="S218" s="16">
        <v>0</v>
      </c>
      <c r="T218" s="16">
        <v>0</v>
      </c>
      <c r="U218" s="16">
        <v>0</v>
      </c>
      <c r="V218" s="16">
        <v>0</v>
      </c>
      <c r="W218" s="16">
        <v>1</v>
      </c>
      <c r="X218" s="16">
        <v>0</v>
      </c>
      <c r="Y218" s="16">
        <v>0</v>
      </c>
      <c r="Z218" s="16">
        <v>0</v>
      </c>
      <c r="AA218" s="16">
        <v>1</v>
      </c>
      <c r="AB218" s="13">
        <f t="shared" si="41"/>
        <v>9</v>
      </c>
    </row>
    <row r="219" spans="1:28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13">
        <f t="shared" si="41"/>
        <v>0</v>
      </c>
    </row>
    <row r="220" spans="1:28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13">
        <f t="shared" si="41"/>
        <v>0</v>
      </c>
    </row>
    <row r="221" spans="1:28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13">
        <f t="shared" si="41"/>
        <v>0</v>
      </c>
    </row>
    <row r="222" spans="1:28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13">
        <f t="shared" si="41"/>
        <v>0</v>
      </c>
    </row>
    <row r="223" spans="1:28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AB223" si="42">SUM(E213:E222)</f>
        <v>10</v>
      </c>
      <c r="F223" s="13">
        <f t="shared" si="42"/>
        <v>7</v>
      </c>
      <c r="G223" s="13">
        <f t="shared" si="42"/>
        <v>10</v>
      </c>
      <c r="H223" s="13">
        <f t="shared" si="42"/>
        <v>3</v>
      </c>
      <c r="I223" s="13">
        <f t="shared" si="42"/>
        <v>6</v>
      </c>
      <c r="J223" s="13">
        <f t="shared" si="42"/>
        <v>4</v>
      </c>
      <c r="K223" s="13">
        <f t="shared" si="42"/>
        <v>1</v>
      </c>
      <c r="L223" s="13">
        <f t="shared" si="42"/>
        <v>1</v>
      </c>
      <c r="M223" s="13">
        <f t="shared" si="42"/>
        <v>6</v>
      </c>
      <c r="N223" s="13">
        <f t="shared" si="42"/>
        <v>4</v>
      </c>
      <c r="O223" s="13">
        <f t="shared" si="42"/>
        <v>9</v>
      </c>
      <c r="P223" s="13">
        <f t="shared" si="42"/>
        <v>6</v>
      </c>
      <c r="Q223" s="13">
        <f t="shared" si="42"/>
        <v>1</v>
      </c>
      <c r="R223" s="13">
        <f t="shared" si="42"/>
        <v>4</v>
      </c>
      <c r="S223" s="13">
        <f t="shared" si="42"/>
        <v>9</v>
      </c>
      <c r="T223" s="13">
        <f t="shared" si="42"/>
        <v>4</v>
      </c>
      <c r="U223" s="13">
        <f t="shared" si="42"/>
        <v>7</v>
      </c>
      <c r="V223" s="13">
        <f t="shared" si="42"/>
        <v>1</v>
      </c>
      <c r="W223" s="13">
        <f t="shared" si="42"/>
        <v>4</v>
      </c>
      <c r="X223" s="13">
        <f t="shared" si="42"/>
        <v>2</v>
      </c>
      <c r="Y223" s="13">
        <f t="shared" si="42"/>
        <v>3</v>
      </c>
      <c r="Z223" s="13">
        <f t="shared" si="42"/>
        <v>2</v>
      </c>
      <c r="AA223" s="13">
        <f t="shared" si="42"/>
        <v>4</v>
      </c>
      <c r="AB223" s="13">
        <f t="shared" si="42"/>
        <v>108</v>
      </c>
    </row>
    <row r="224" spans="1:28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</row>
    <row r="225" spans="1:28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1</v>
      </c>
      <c r="F225" s="16">
        <v>0</v>
      </c>
      <c r="G225" s="16">
        <v>1</v>
      </c>
      <c r="H225" s="16">
        <v>0</v>
      </c>
      <c r="I225" s="16">
        <v>0</v>
      </c>
      <c r="J225" s="16">
        <v>0</v>
      </c>
      <c r="K225" s="16">
        <v>0</v>
      </c>
      <c r="L225" s="16">
        <v>0</v>
      </c>
      <c r="M225" s="16">
        <v>0</v>
      </c>
      <c r="N225" s="16">
        <v>0</v>
      </c>
      <c r="O225" s="16">
        <v>0</v>
      </c>
      <c r="P225" s="16">
        <v>0</v>
      </c>
      <c r="Q225" s="16">
        <v>0</v>
      </c>
      <c r="R225" s="16">
        <v>0</v>
      </c>
      <c r="S225" s="16">
        <v>0</v>
      </c>
      <c r="T225" s="16">
        <v>0</v>
      </c>
      <c r="U225" s="16">
        <v>1</v>
      </c>
      <c r="V225" s="16">
        <v>1</v>
      </c>
      <c r="W225" s="16">
        <v>0</v>
      </c>
      <c r="X225" s="16">
        <v>0</v>
      </c>
      <c r="Y225" s="16">
        <v>0</v>
      </c>
      <c r="Z225" s="16">
        <v>0</v>
      </c>
      <c r="AA225" s="16">
        <v>0</v>
      </c>
      <c r="AB225" s="13">
        <f t="shared" ref="AB225:AB234" si="43">SUM(E225:AA225)</f>
        <v>4</v>
      </c>
    </row>
    <row r="226" spans="1:28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1</v>
      </c>
      <c r="K226" s="16">
        <v>0</v>
      </c>
      <c r="L226" s="16">
        <v>1</v>
      </c>
      <c r="M226" s="16">
        <v>0</v>
      </c>
      <c r="N226" s="16">
        <v>0</v>
      </c>
      <c r="O226" s="16">
        <v>0</v>
      </c>
      <c r="P226" s="16">
        <v>1</v>
      </c>
      <c r="Q226" s="16">
        <v>0</v>
      </c>
      <c r="R226" s="16">
        <v>0</v>
      </c>
      <c r="S226" s="16">
        <v>1</v>
      </c>
      <c r="T226" s="16">
        <v>1</v>
      </c>
      <c r="U226" s="16">
        <v>0</v>
      </c>
      <c r="V226" s="16">
        <v>0</v>
      </c>
      <c r="W226" s="16">
        <v>1</v>
      </c>
      <c r="X226" s="16">
        <v>0</v>
      </c>
      <c r="Y226" s="16">
        <v>0</v>
      </c>
      <c r="Z226" s="16">
        <v>0</v>
      </c>
      <c r="AA226" s="16">
        <v>0</v>
      </c>
      <c r="AB226" s="13">
        <f t="shared" si="43"/>
        <v>6</v>
      </c>
    </row>
    <row r="227" spans="1:28" ht="12.75" customHeight="1" x14ac:dyDescent="0.4">
      <c r="A227" s="15"/>
      <c r="B227" s="27"/>
      <c r="C227" s="29" t="s">
        <v>141</v>
      </c>
      <c r="D227" s="40"/>
      <c r="E227" s="16">
        <v>2</v>
      </c>
      <c r="F227" s="16">
        <v>0</v>
      </c>
      <c r="G227" s="16">
        <v>0</v>
      </c>
      <c r="H227" s="16">
        <v>0</v>
      </c>
      <c r="I227" s="16">
        <v>1</v>
      </c>
      <c r="J227" s="16">
        <v>0</v>
      </c>
      <c r="K227" s="16">
        <v>1</v>
      </c>
      <c r="L227" s="16">
        <v>0</v>
      </c>
      <c r="M227" s="16">
        <v>0</v>
      </c>
      <c r="N227" s="16">
        <v>0</v>
      </c>
      <c r="O227" s="16">
        <v>0</v>
      </c>
      <c r="P227" s="16">
        <v>0</v>
      </c>
      <c r="Q227" s="16">
        <v>0</v>
      </c>
      <c r="R227" s="16">
        <v>3</v>
      </c>
      <c r="S227" s="16">
        <v>1</v>
      </c>
      <c r="T227" s="16">
        <v>0</v>
      </c>
      <c r="U227" s="16">
        <v>1</v>
      </c>
      <c r="V227" s="16">
        <v>0</v>
      </c>
      <c r="W227" s="16">
        <v>0</v>
      </c>
      <c r="X227" s="16">
        <v>0</v>
      </c>
      <c r="Y227" s="16">
        <v>0</v>
      </c>
      <c r="Z227" s="16">
        <v>2</v>
      </c>
      <c r="AA227" s="16">
        <v>0</v>
      </c>
      <c r="AB227" s="13">
        <f t="shared" si="43"/>
        <v>11</v>
      </c>
    </row>
    <row r="228" spans="1:28" ht="12.75" customHeight="1" x14ac:dyDescent="0.4">
      <c r="A228" s="15"/>
      <c r="B228" s="27"/>
      <c r="C228" s="29" t="s">
        <v>142</v>
      </c>
      <c r="D228" s="40"/>
      <c r="E228" s="16">
        <v>1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1</v>
      </c>
      <c r="Q228" s="16">
        <v>1</v>
      </c>
      <c r="R228" s="16">
        <v>0</v>
      </c>
      <c r="S228" s="16">
        <v>0</v>
      </c>
      <c r="T228" s="16">
        <v>0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6">
        <v>0</v>
      </c>
      <c r="AA228" s="16">
        <v>0</v>
      </c>
      <c r="AB228" s="13">
        <f t="shared" si="43"/>
        <v>3</v>
      </c>
    </row>
    <row r="229" spans="1:28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0</v>
      </c>
      <c r="N229" s="16">
        <v>0</v>
      </c>
      <c r="O229" s="16">
        <v>1</v>
      </c>
      <c r="P229" s="16">
        <v>1</v>
      </c>
      <c r="Q229" s="16">
        <v>0</v>
      </c>
      <c r="R229" s="16">
        <v>1</v>
      </c>
      <c r="S229" s="16">
        <v>0</v>
      </c>
      <c r="T229" s="16">
        <v>0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6">
        <v>0</v>
      </c>
      <c r="AA229" s="16">
        <v>0</v>
      </c>
      <c r="AB229" s="13">
        <f t="shared" si="43"/>
        <v>3</v>
      </c>
    </row>
    <row r="230" spans="1:28" ht="12.75" customHeight="1" x14ac:dyDescent="0.4">
      <c r="A230" s="15"/>
      <c r="B230" s="28"/>
      <c r="C230" s="29" t="s">
        <v>144</v>
      </c>
      <c r="D230" s="30"/>
      <c r="E230" s="16">
        <v>45</v>
      </c>
      <c r="F230" s="16">
        <v>0</v>
      </c>
      <c r="G230" s="16">
        <v>0</v>
      </c>
      <c r="H230" s="16">
        <v>0</v>
      </c>
      <c r="I230" s="16">
        <v>0</v>
      </c>
      <c r="J230" s="16">
        <v>0</v>
      </c>
      <c r="K230" s="16">
        <v>3</v>
      </c>
      <c r="L230" s="16">
        <v>0</v>
      </c>
      <c r="M230" s="16">
        <v>0</v>
      </c>
      <c r="N230" s="16">
        <v>0</v>
      </c>
      <c r="O230" s="16">
        <v>0</v>
      </c>
      <c r="P230" s="16">
        <v>0</v>
      </c>
      <c r="Q230" s="16">
        <v>0</v>
      </c>
      <c r="R230" s="16">
        <v>0</v>
      </c>
      <c r="S230" s="16">
        <v>0</v>
      </c>
      <c r="T230" s="16">
        <v>0</v>
      </c>
      <c r="U230" s="16">
        <v>1</v>
      </c>
      <c r="V230" s="16">
        <v>0</v>
      </c>
      <c r="W230" s="16">
        <v>0</v>
      </c>
      <c r="X230" s="16">
        <v>1</v>
      </c>
      <c r="Y230" s="16">
        <v>0</v>
      </c>
      <c r="Z230" s="16">
        <v>0</v>
      </c>
      <c r="AA230" s="16">
        <v>0</v>
      </c>
      <c r="AB230" s="13">
        <f t="shared" si="43"/>
        <v>50</v>
      </c>
    </row>
    <row r="231" spans="1:28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2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0</v>
      </c>
      <c r="R231" s="16">
        <v>0</v>
      </c>
      <c r="S231" s="16">
        <v>0</v>
      </c>
      <c r="T231" s="16">
        <v>0</v>
      </c>
      <c r="U231" s="16">
        <v>0</v>
      </c>
      <c r="V231" s="16">
        <v>0</v>
      </c>
      <c r="W231" s="16">
        <v>0</v>
      </c>
      <c r="X231" s="16">
        <v>0</v>
      </c>
      <c r="Y231" s="16">
        <v>0</v>
      </c>
      <c r="Z231" s="16">
        <v>0</v>
      </c>
      <c r="AA231" s="16">
        <v>1</v>
      </c>
      <c r="AB231" s="13">
        <f t="shared" si="43"/>
        <v>3</v>
      </c>
    </row>
    <row r="232" spans="1:28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13">
        <f t="shared" si="43"/>
        <v>0</v>
      </c>
    </row>
    <row r="233" spans="1:28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13">
        <f t="shared" si="43"/>
        <v>0</v>
      </c>
    </row>
    <row r="234" spans="1:28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13">
        <f t="shared" si="43"/>
        <v>0</v>
      </c>
    </row>
    <row r="235" spans="1:28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AB235" si="44">SUM(E225:E234)</f>
        <v>49</v>
      </c>
      <c r="F235" s="13">
        <f t="shared" si="44"/>
        <v>2</v>
      </c>
      <c r="G235" s="13">
        <f t="shared" si="44"/>
        <v>1</v>
      </c>
      <c r="H235" s="13">
        <f t="shared" si="44"/>
        <v>0</v>
      </c>
      <c r="I235" s="13">
        <f t="shared" si="44"/>
        <v>1</v>
      </c>
      <c r="J235" s="13">
        <f t="shared" si="44"/>
        <v>1</v>
      </c>
      <c r="K235" s="13">
        <f t="shared" si="44"/>
        <v>4</v>
      </c>
      <c r="L235" s="13">
        <f t="shared" si="44"/>
        <v>1</v>
      </c>
      <c r="M235" s="13">
        <f t="shared" si="44"/>
        <v>0</v>
      </c>
      <c r="N235" s="13">
        <f t="shared" si="44"/>
        <v>0</v>
      </c>
      <c r="O235" s="13">
        <f t="shared" si="44"/>
        <v>1</v>
      </c>
      <c r="P235" s="13">
        <f t="shared" si="44"/>
        <v>3</v>
      </c>
      <c r="Q235" s="13">
        <f t="shared" si="44"/>
        <v>1</v>
      </c>
      <c r="R235" s="13">
        <f t="shared" si="44"/>
        <v>4</v>
      </c>
      <c r="S235" s="13">
        <f t="shared" si="44"/>
        <v>2</v>
      </c>
      <c r="T235" s="13">
        <f t="shared" si="44"/>
        <v>1</v>
      </c>
      <c r="U235" s="13">
        <f t="shared" si="44"/>
        <v>3</v>
      </c>
      <c r="V235" s="13">
        <f t="shared" si="44"/>
        <v>1</v>
      </c>
      <c r="W235" s="13">
        <f t="shared" si="44"/>
        <v>1</v>
      </c>
      <c r="X235" s="13">
        <f t="shared" si="44"/>
        <v>1</v>
      </c>
      <c r="Y235" s="13">
        <f t="shared" si="44"/>
        <v>0</v>
      </c>
      <c r="Z235" s="13">
        <f t="shared" si="44"/>
        <v>2</v>
      </c>
      <c r="AA235" s="13">
        <f t="shared" si="44"/>
        <v>1</v>
      </c>
      <c r="AB235" s="13">
        <f t="shared" si="44"/>
        <v>80</v>
      </c>
    </row>
    <row r="236" spans="1:28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</row>
    <row r="237" spans="1:28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0</v>
      </c>
      <c r="G237" s="16">
        <v>0</v>
      </c>
      <c r="H237" s="16">
        <v>0</v>
      </c>
      <c r="I237" s="16">
        <v>0</v>
      </c>
      <c r="J237" s="16">
        <v>0</v>
      </c>
      <c r="K237" s="16">
        <v>0</v>
      </c>
      <c r="L237" s="16">
        <v>0</v>
      </c>
      <c r="M237" s="16">
        <v>0</v>
      </c>
      <c r="N237" s="16">
        <v>0</v>
      </c>
      <c r="O237" s="16">
        <v>0</v>
      </c>
      <c r="P237" s="16">
        <v>0</v>
      </c>
      <c r="Q237" s="16">
        <v>0</v>
      </c>
      <c r="R237" s="16">
        <v>1</v>
      </c>
      <c r="S237" s="16">
        <v>0</v>
      </c>
      <c r="T237" s="16">
        <v>3</v>
      </c>
      <c r="U237" s="16">
        <v>1</v>
      </c>
      <c r="V237" s="16">
        <v>0</v>
      </c>
      <c r="W237" s="16">
        <v>0</v>
      </c>
      <c r="X237" s="16">
        <v>1</v>
      </c>
      <c r="Y237" s="16">
        <v>1</v>
      </c>
      <c r="Z237" s="16">
        <v>1</v>
      </c>
      <c r="AA237" s="16">
        <v>0</v>
      </c>
      <c r="AB237" s="13">
        <f t="shared" ref="AB237:AB246" si="45">SUM(E237:AA237)</f>
        <v>8</v>
      </c>
    </row>
    <row r="238" spans="1:28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1</v>
      </c>
      <c r="G238" s="16">
        <v>1</v>
      </c>
      <c r="H238" s="16">
        <v>0</v>
      </c>
      <c r="I238" s="16">
        <v>0</v>
      </c>
      <c r="J238" s="16">
        <v>0</v>
      </c>
      <c r="K238" s="16">
        <v>0</v>
      </c>
      <c r="L238" s="16">
        <v>0</v>
      </c>
      <c r="M238" s="16">
        <v>0</v>
      </c>
      <c r="N238" s="16">
        <v>0</v>
      </c>
      <c r="O238" s="16">
        <v>1</v>
      </c>
      <c r="P238" s="16">
        <v>0</v>
      </c>
      <c r="Q238" s="16">
        <v>0</v>
      </c>
      <c r="R238" s="16">
        <v>0</v>
      </c>
      <c r="S238" s="16">
        <v>0</v>
      </c>
      <c r="T238" s="16">
        <v>0</v>
      </c>
      <c r="U238" s="16">
        <v>0</v>
      </c>
      <c r="V238" s="16">
        <v>0</v>
      </c>
      <c r="W238" s="16">
        <v>0</v>
      </c>
      <c r="X238" s="16">
        <v>2</v>
      </c>
      <c r="Y238" s="16">
        <v>0</v>
      </c>
      <c r="Z238" s="16">
        <v>0</v>
      </c>
      <c r="AA238" s="16">
        <v>0</v>
      </c>
      <c r="AB238" s="13">
        <f t="shared" si="45"/>
        <v>5</v>
      </c>
    </row>
    <row r="239" spans="1:28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0</v>
      </c>
      <c r="G239" s="16">
        <v>1</v>
      </c>
      <c r="H239" s="16">
        <v>0</v>
      </c>
      <c r="I239" s="16">
        <v>1</v>
      </c>
      <c r="J239" s="16">
        <v>0</v>
      </c>
      <c r="K239" s="16">
        <v>0</v>
      </c>
      <c r="L239" s="16">
        <v>0</v>
      </c>
      <c r="M239" s="16">
        <v>0</v>
      </c>
      <c r="N239" s="16">
        <v>2</v>
      </c>
      <c r="O239" s="16">
        <v>4</v>
      </c>
      <c r="P239" s="16">
        <v>3</v>
      </c>
      <c r="Q239" s="16">
        <v>0</v>
      </c>
      <c r="R239" s="16">
        <v>0</v>
      </c>
      <c r="S239" s="16">
        <v>0</v>
      </c>
      <c r="T239" s="16">
        <v>0</v>
      </c>
      <c r="U239" s="16">
        <v>0</v>
      </c>
      <c r="V239" s="16">
        <v>1</v>
      </c>
      <c r="W239" s="16">
        <v>1</v>
      </c>
      <c r="X239" s="16">
        <v>0</v>
      </c>
      <c r="Y239" s="16">
        <v>1</v>
      </c>
      <c r="Z239" s="16">
        <v>0</v>
      </c>
      <c r="AA239" s="16">
        <v>1</v>
      </c>
      <c r="AB239" s="13">
        <f t="shared" si="45"/>
        <v>15</v>
      </c>
    </row>
    <row r="240" spans="1:28" ht="12.75" customHeight="1" x14ac:dyDescent="0.4">
      <c r="A240" s="15"/>
      <c r="B240" s="28"/>
      <c r="C240" s="29" t="s">
        <v>150</v>
      </c>
      <c r="D240" s="30"/>
      <c r="E240" s="16">
        <v>0</v>
      </c>
      <c r="F240" s="16">
        <v>2</v>
      </c>
      <c r="G240" s="16">
        <v>3</v>
      </c>
      <c r="H240" s="16">
        <v>7</v>
      </c>
      <c r="I240" s="16">
        <v>3</v>
      </c>
      <c r="J240" s="16">
        <v>4</v>
      </c>
      <c r="K240" s="16">
        <v>2</v>
      </c>
      <c r="L240" s="16">
        <v>1</v>
      </c>
      <c r="M240" s="16">
        <v>1</v>
      </c>
      <c r="N240" s="16">
        <v>5</v>
      </c>
      <c r="O240" s="16">
        <v>2</v>
      </c>
      <c r="P240" s="16">
        <v>7</v>
      </c>
      <c r="Q240" s="16">
        <v>1</v>
      </c>
      <c r="R240" s="16">
        <v>2</v>
      </c>
      <c r="S240" s="16">
        <v>2</v>
      </c>
      <c r="T240" s="16">
        <v>1</v>
      </c>
      <c r="U240" s="16">
        <v>5</v>
      </c>
      <c r="V240" s="16">
        <v>5</v>
      </c>
      <c r="W240" s="16">
        <v>2</v>
      </c>
      <c r="X240" s="16">
        <v>4</v>
      </c>
      <c r="Y240" s="16">
        <v>0</v>
      </c>
      <c r="Z240" s="16">
        <v>0</v>
      </c>
      <c r="AA240" s="16">
        <v>0</v>
      </c>
      <c r="AB240" s="13">
        <f t="shared" si="45"/>
        <v>59</v>
      </c>
    </row>
    <row r="241" spans="1:28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6">
        <v>0</v>
      </c>
      <c r="N241" s="16">
        <v>0</v>
      </c>
      <c r="O241" s="16">
        <v>4</v>
      </c>
      <c r="P241" s="16">
        <v>0</v>
      </c>
      <c r="Q241" s="16">
        <v>0</v>
      </c>
      <c r="R241" s="16">
        <v>0</v>
      </c>
      <c r="S241" s="16">
        <v>0</v>
      </c>
      <c r="T241" s="16">
        <v>0</v>
      </c>
      <c r="U241" s="16">
        <v>0</v>
      </c>
      <c r="V241" s="16">
        <v>0</v>
      </c>
      <c r="W241" s="16">
        <v>0</v>
      </c>
      <c r="X241" s="16">
        <v>0</v>
      </c>
      <c r="Y241" s="16">
        <v>0</v>
      </c>
      <c r="Z241" s="16">
        <v>0</v>
      </c>
      <c r="AA241" s="16">
        <v>0</v>
      </c>
      <c r="AB241" s="13">
        <f t="shared" si="45"/>
        <v>4</v>
      </c>
    </row>
    <row r="242" spans="1:28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1</v>
      </c>
      <c r="O242" s="16">
        <v>0</v>
      </c>
      <c r="P242" s="16">
        <v>0</v>
      </c>
      <c r="Q242" s="16">
        <v>0</v>
      </c>
      <c r="R242" s="16">
        <v>0</v>
      </c>
      <c r="S242" s="16">
        <v>0</v>
      </c>
      <c r="T242" s="16">
        <v>0</v>
      </c>
      <c r="U242" s="16">
        <v>1</v>
      </c>
      <c r="V242" s="16">
        <v>0</v>
      </c>
      <c r="W242" s="16">
        <v>0</v>
      </c>
      <c r="X242" s="16">
        <v>0</v>
      </c>
      <c r="Y242" s="16">
        <v>0</v>
      </c>
      <c r="Z242" s="16">
        <v>0</v>
      </c>
      <c r="AA242" s="16">
        <v>0</v>
      </c>
      <c r="AB242" s="13">
        <f t="shared" si="45"/>
        <v>2</v>
      </c>
    </row>
    <row r="243" spans="1:28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  <c r="R243" s="16">
        <v>0</v>
      </c>
      <c r="S243" s="16">
        <v>0</v>
      </c>
      <c r="T243" s="16">
        <v>0</v>
      </c>
      <c r="U243" s="16">
        <v>0</v>
      </c>
      <c r="V243" s="16">
        <v>0</v>
      </c>
      <c r="W243" s="16">
        <v>0</v>
      </c>
      <c r="X243" s="16">
        <v>0</v>
      </c>
      <c r="Y243" s="16">
        <v>0</v>
      </c>
      <c r="Z243" s="16">
        <v>0</v>
      </c>
      <c r="AA243" s="16">
        <v>0</v>
      </c>
      <c r="AB243" s="13">
        <f t="shared" si="45"/>
        <v>0</v>
      </c>
    </row>
    <row r="244" spans="1:28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13">
        <f t="shared" si="45"/>
        <v>0</v>
      </c>
    </row>
    <row r="245" spans="1:28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13">
        <f t="shared" si="45"/>
        <v>0</v>
      </c>
    </row>
    <row r="246" spans="1:28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13">
        <f t="shared" si="45"/>
        <v>0</v>
      </c>
    </row>
    <row r="247" spans="1:28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AB247" si="46">SUM(E237:E246)</f>
        <v>0</v>
      </c>
      <c r="F247" s="13">
        <f t="shared" si="46"/>
        <v>3</v>
      </c>
      <c r="G247" s="13">
        <f t="shared" si="46"/>
        <v>5</v>
      </c>
      <c r="H247" s="13">
        <f t="shared" si="46"/>
        <v>7</v>
      </c>
      <c r="I247" s="13">
        <f t="shared" si="46"/>
        <v>4</v>
      </c>
      <c r="J247" s="13">
        <f t="shared" si="46"/>
        <v>4</v>
      </c>
      <c r="K247" s="13">
        <f t="shared" si="46"/>
        <v>2</v>
      </c>
      <c r="L247" s="13">
        <f t="shared" si="46"/>
        <v>1</v>
      </c>
      <c r="M247" s="13">
        <f t="shared" si="46"/>
        <v>1</v>
      </c>
      <c r="N247" s="13">
        <f t="shared" si="46"/>
        <v>8</v>
      </c>
      <c r="O247" s="13">
        <f t="shared" si="46"/>
        <v>11</v>
      </c>
      <c r="P247" s="13">
        <f t="shared" si="46"/>
        <v>10</v>
      </c>
      <c r="Q247" s="13">
        <f t="shared" si="46"/>
        <v>1</v>
      </c>
      <c r="R247" s="13">
        <f t="shared" si="46"/>
        <v>3</v>
      </c>
      <c r="S247" s="13">
        <f t="shared" si="46"/>
        <v>2</v>
      </c>
      <c r="T247" s="13">
        <f t="shared" si="46"/>
        <v>4</v>
      </c>
      <c r="U247" s="13">
        <f t="shared" si="46"/>
        <v>7</v>
      </c>
      <c r="V247" s="13">
        <f t="shared" si="46"/>
        <v>6</v>
      </c>
      <c r="W247" s="13">
        <f t="shared" si="46"/>
        <v>3</v>
      </c>
      <c r="X247" s="13">
        <f t="shared" si="46"/>
        <v>7</v>
      </c>
      <c r="Y247" s="13">
        <f t="shared" si="46"/>
        <v>2</v>
      </c>
      <c r="Z247" s="13">
        <f t="shared" si="46"/>
        <v>1</v>
      </c>
      <c r="AA247" s="13">
        <f t="shared" si="46"/>
        <v>1</v>
      </c>
      <c r="AB247" s="13">
        <f t="shared" si="46"/>
        <v>93</v>
      </c>
    </row>
    <row r="248" spans="1:28" ht="12.75" customHeight="1" x14ac:dyDescent="0.4">
      <c r="A248" s="63"/>
      <c r="B248" s="61"/>
      <c r="C248" s="61"/>
      <c r="D248" s="61"/>
      <c r="E248" s="62"/>
    </row>
    <row r="249" spans="1:28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0</v>
      </c>
      <c r="H249" s="16">
        <v>0</v>
      </c>
      <c r="I249" s="16">
        <v>0</v>
      </c>
      <c r="J249" s="16">
        <v>0</v>
      </c>
      <c r="K249" s="16">
        <v>0</v>
      </c>
      <c r="L249" s="16">
        <v>0</v>
      </c>
      <c r="M249" s="16">
        <v>1</v>
      </c>
      <c r="N249" s="16">
        <v>0</v>
      </c>
      <c r="O249" s="16">
        <v>0</v>
      </c>
      <c r="P249" s="16">
        <v>0</v>
      </c>
      <c r="Q249" s="16">
        <v>0</v>
      </c>
      <c r="R249" s="16">
        <v>0</v>
      </c>
      <c r="S249" s="16">
        <v>1</v>
      </c>
      <c r="T249" s="16">
        <v>0</v>
      </c>
      <c r="U249" s="16">
        <v>0</v>
      </c>
      <c r="V249" s="16">
        <v>0</v>
      </c>
      <c r="W249" s="16">
        <v>1</v>
      </c>
      <c r="X249" s="16">
        <v>0</v>
      </c>
      <c r="Y249" s="16">
        <v>1</v>
      </c>
      <c r="Z249" s="16">
        <v>0</v>
      </c>
      <c r="AA249" s="16">
        <v>0</v>
      </c>
      <c r="AB249" s="13">
        <f t="shared" ref="AB249:AB258" si="47">SUM(E249:AA249)</f>
        <v>4</v>
      </c>
    </row>
    <row r="250" spans="1:28" ht="12.75" customHeight="1" x14ac:dyDescent="0.4">
      <c r="A250" s="20" t="s">
        <v>38</v>
      </c>
      <c r="B250" s="27"/>
      <c r="C250" s="29" t="s">
        <v>156</v>
      </c>
      <c r="D250" s="40"/>
      <c r="E250" s="16">
        <v>5</v>
      </c>
      <c r="F250" s="16">
        <v>3</v>
      </c>
      <c r="G250" s="16">
        <v>2</v>
      </c>
      <c r="H250" s="16">
        <v>1</v>
      </c>
      <c r="I250" s="16">
        <v>1</v>
      </c>
      <c r="J250" s="16">
        <v>0</v>
      </c>
      <c r="K250" s="16">
        <v>1</v>
      </c>
      <c r="L250" s="16">
        <v>0</v>
      </c>
      <c r="M250" s="16">
        <v>2</v>
      </c>
      <c r="N250" s="16">
        <v>1</v>
      </c>
      <c r="O250" s="16">
        <v>0</v>
      </c>
      <c r="P250" s="16">
        <v>2</v>
      </c>
      <c r="Q250" s="16">
        <v>0</v>
      </c>
      <c r="R250" s="16">
        <v>2</v>
      </c>
      <c r="S250" s="16">
        <v>4</v>
      </c>
      <c r="T250" s="16">
        <v>2</v>
      </c>
      <c r="U250" s="16">
        <v>0</v>
      </c>
      <c r="V250" s="16">
        <v>0</v>
      </c>
      <c r="W250" s="16">
        <v>6</v>
      </c>
      <c r="X250" s="16">
        <v>2</v>
      </c>
      <c r="Y250" s="16">
        <v>0</v>
      </c>
      <c r="Z250" s="16">
        <v>1</v>
      </c>
      <c r="AA250" s="16">
        <v>6</v>
      </c>
      <c r="AB250" s="13">
        <f t="shared" si="47"/>
        <v>41</v>
      </c>
    </row>
    <row r="251" spans="1:28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1</v>
      </c>
      <c r="H251" s="16">
        <v>0</v>
      </c>
      <c r="I251" s="16">
        <v>0</v>
      </c>
      <c r="J251" s="16">
        <v>1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6">
        <v>0</v>
      </c>
      <c r="T251" s="16">
        <v>0</v>
      </c>
      <c r="U251" s="16">
        <v>0</v>
      </c>
      <c r="V251" s="16">
        <v>0</v>
      </c>
      <c r="W251" s="16">
        <v>0</v>
      </c>
      <c r="X251" s="16">
        <v>0</v>
      </c>
      <c r="Y251" s="16">
        <v>0</v>
      </c>
      <c r="Z251" s="16">
        <v>0</v>
      </c>
      <c r="AA251" s="16">
        <v>0</v>
      </c>
      <c r="AB251" s="13">
        <f t="shared" si="47"/>
        <v>2</v>
      </c>
    </row>
    <row r="252" spans="1:28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1</v>
      </c>
      <c r="P252" s="16">
        <v>0</v>
      </c>
      <c r="Q252" s="16">
        <v>0</v>
      </c>
      <c r="R252" s="16">
        <v>0</v>
      </c>
      <c r="S252" s="16">
        <v>0</v>
      </c>
      <c r="T252" s="16">
        <v>0</v>
      </c>
      <c r="U252" s="16">
        <v>0</v>
      </c>
      <c r="V252" s="16">
        <v>0</v>
      </c>
      <c r="W252" s="16">
        <v>0</v>
      </c>
      <c r="X252" s="16">
        <v>0</v>
      </c>
      <c r="Y252" s="16">
        <v>0</v>
      </c>
      <c r="Z252" s="16">
        <v>0</v>
      </c>
      <c r="AA252" s="16">
        <v>0</v>
      </c>
      <c r="AB252" s="13">
        <f t="shared" si="47"/>
        <v>1</v>
      </c>
    </row>
    <row r="253" spans="1:28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1</v>
      </c>
      <c r="G253" s="16">
        <v>1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1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6">
        <v>0</v>
      </c>
      <c r="U253" s="16">
        <v>0</v>
      </c>
      <c r="V253" s="16">
        <v>0</v>
      </c>
      <c r="W253" s="16">
        <v>1</v>
      </c>
      <c r="X253" s="16">
        <v>0</v>
      </c>
      <c r="Y253" s="16">
        <v>0</v>
      </c>
      <c r="Z253" s="16">
        <v>0</v>
      </c>
      <c r="AA253" s="16">
        <v>0</v>
      </c>
      <c r="AB253" s="13">
        <f t="shared" si="47"/>
        <v>4</v>
      </c>
    </row>
    <row r="254" spans="1:28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13">
        <f t="shared" si="47"/>
        <v>0</v>
      </c>
    </row>
    <row r="255" spans="1:28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13">
        <f t="shared" si="47"/>
        <v>0</v>
      </c>
    </row>
    <row r="256" spans="1:28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13">
        <f t="shared" si="47"/>
        <v>0</v>
      </c>
    </row>
    <row r="257" spans="1:28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13">
        <f t="shared" si="47"/>
        <v>0</v>
      </c>
    </row>
    <row r="258" spans="1:28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13">
        <f t="shared" si="47"/>
        <v>0</v>
      </c>
    </row>
    <row r="259" spans="1:28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AB259" si="48">SUM(E249:E258)</f>
        <v>5</v>
      </c>
      <c r="F259" s="13">
        <f t="shared" si="48"/>
        <v>4</v>
      </c>
      <c r="G259" s="13">
        <f t="shared" si="48"/>
        <v>4</v>
      </c>
      <c r="H259" s="13">
        <f t="shared" si="48"/>
        <v>1</v>
      </c>
      <c r="I259" s="13">
        <f t="shared" si="48"/>
        <v>1</v>
      </c>
      <c r="J259" s="13">
        <f t="shared" si="48"/>
        <v>1</v>
      </c>
      <c r="K259" s="13">
        <f t="shared" si="48"/>
        <v>1</v>
      </c>
      <c r="L259" s="13">
        <f t="shared" si="48"/>
        <v>0</v>
      </c>
      <c r="M259" s="13">
        <f t="shared" si="48"/>
        <v>4</v>
      </c>
      <c r="N259" s="13">
        <f t="shared" si="48"/>
        <v>1</v>
      </c>
      <c r="O259" s="13">
        <f t="shared" si="48"/>
        <v>1</v>
      </c>
      <c r="P259" s="13">
        <f t="shared" si="48"/>
        <v>2</v>
      </c>
      <c r="Q259" s="13">
        <f t="shared" si="48"/>
        <v>0</v>
      </c>
      <c r="R259" s="13">
        <f t="shared" si="48"/>
        <v>2</v>
      </c>
      <c r="S259" s="13">
        <f t="shared" si="48"/>
        <v>5</v>
      </c>
      <c r="T259" s="13">
        <f t="shared" si="48"/>
        <v>2</v>
      </c>
      <c r="U259" s="13">
        <f t="shared" si="48"/>
        <v>0</v>
      </c>
      <c r="V259" s="13">
        <f t="shared" si="48"/>
        <v>0</v>
      </c>
      <c r="W259" s="13">
        <f t="shared" si="48"/>
        <v>8</v>
      </c>
      <c r="X259" s="13">
        <f t="shared" si="48"/>
        <v>2</v>
      </c>
      <c r="Y259" s="13">
        <f t="shared" si="48"/>
        <v>1</v>
      </c>
      <c r="Z259" s="13">
        <f t="shared" si="48"/>
        <v>1</v>
      </c>
      <c r="AA259" s="13">
        <f t="shared" si="48"/>
        <v>6</v>
      </c>
      <c r="AB259" s="13">
        <f t="shared" si="48"/>
        <v>52</v>
      </c>
    </row>
    <row r="260" spans="1:28" ht="12.75" customHeight="1" x14ac:dyDescent="0.4"/>
    <row r="261" spans="1:28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13"/>
      <c r="U261" s="13"/>
      <c r="V261" s="13"/>
      <c r="W261" s="13"/>
      <c r="X261" s="50"/>
      <c r="Y261" s="50"/>
      <c r="Z261" s="50"/>
      <c r="AA261" s="50"/>
      <c r="AB261" s="13"/>
    </row>
    <row r="262" spans="1:28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AA262" si="49">E55+E67+E79+E91+E103+E115+E127+E139+E151+E163+E175+E187+E199+E211+E223+E235+E247+E259</f>
        <v>191</v>
      </c>
      <c r="F262" s="16">
        <f t="shared" si="49"/>
        <v>212</v>
      </c>
      <c r="G262" s="16">
        <f t="shared" si="49"/>
        <v>192</v>
      </c>
      <c r="H262" s="16">
        <f t="shared" si="49"/>
        <v>180</v>
      </c>
      <c r="I262" s="16">
        <f t="shared" si="49"/>
        <v>168</v>
      </c>
      <c r="J262" s="16">
        <f t="shared" si="49"/>
        <v>200</v>
      </c>
      <c r="K262" s="16">
        <f t="shared" si="49"/>
        <v>203</v>
      </c>
      <c r="L262" s="16">
        <f t="shared" si="49"/>
        <v>203</v>
      </c>
      <c r="M262" s="16">
        <f t="shared" si="49"/>
        <v>208</v>
      </c>
      <c r="N262" s="16">
        <f t="shared" si="49"/>
        <v>198</v>
      </c>
      <c r="O262" s="16">
        <f t="shared" si="49"/>
        <v>206</v>
      </c>
      <c r="P262" s="16">
        <f t="shared" si="49"/>
        <v>211</v>
      </c>
      <c r="Q262" s="16">
        <f t="shared" si="49"/>
        <v>223</v>
      </c>
      <c r="R262" s="16">
        <f t="shared" si="49"/>
        <v>204</v>
      </c>
      <c r="S262" s="16">
        <f t="shared" si="49"/>
        <v>204</v>
      </c>
      <c r="T262" s="16">
        <f t="shared" si="49"/>
        <v>183</v>
      </c>
      <c r="U262" s="16">
        <f t="shared" si="49"/>
        <v>206</v>
      </c>
      <c r="V262" s="16">
        <f t="shared" si="49"/>
        <v>201</v>
      </c>
      <c r="W262" s="16">
        <f t="shared" si="49"/>
        <v>222</v>
      </c>
      <c r="X262" s="16">
        <f t="shared" si="49"/>
        <v>207</v>
      </c>
      <c r="Y262" s="16">
        <f t="shared" si="49"/>
        <v>184</v>
      </c>
      <c r="Z262" s="16">
        <f t="shared" si="49"/>
        <v>198</v>
      </c>
      <c r="AA262" s="16">
        <f t="shared" si="49"/>
        <v>208</v>
      </c>
      <c r="AB262" s="13">
        <f t="shared" ref="AB262:AB264" si="50">SUM(E262:AA262)</f>
        <v>4612</v>
      </c>
    </row>
    <row r="263" spans="1:28" ht="12.75" customHeight="1" x14ac:dyDescent="0.4">
      <c r="A263" s="22"/>
      <c r="B263" s="45" t="s">
        <v>164</v>
      </c>
      <c r="C263" s="71" t="s">
        <v>165</v>
      </c>
      <c r="D263" s="62"/>
      <c r="E263" s="16">
        <v>16</v>
      </c>
      <c r="F263" s="16">
        <v>16</v>
      </c>
      <c r="G263" s="16">
        <v>14</v>
      </c>
      <c r="H263" s="16">
        <v>10</v>
      </c>
      <c r="I263" s="16">
        <v>20</v>
      </c>
      <c r="J263" s="16">
        <v>22</v>
      </c>
      <c r="K263" s="16">
        <v>12</v>
      </c>
      <c r="L263" s="16">
        <v>29</v>
      </c>
      <c r="M263" s="16">
        <v>18</v>
      </c>
      <c r="N263" s="16">
        <v>27</v>
      </c>
      <c r="O263" s="16">
        <v>15</v>
      </c>
      <c r="P263" s="16">
        <v>16</v>
      </c>
      <c r="Q263" s="16">
        <v>19</v>
      </c>
      <c r="R263" s="16">
        <v>7</v>
      </c>
      <c r="S263" s="16">
        <v>20</v>
      </c>
      <c r="T263" s="16">
        <v>17</v>
      </c>
      <c r="U263" s="16">
        <v>23</v>
      </c>
      <c r="V263" s="16">
        <v>16</v>
      </c>
      <c r="W263" s="16">
        <v>11</v>
      </c>
      <c r="X263" s="16">
        <v>17</v>
      </c>
      <c r="Y263" s="16">
        <v>20</v>
      </c>
      <c r="Z263" s="16">
        <v>21</v>
      </c>
      <c r="AA263" s="16">
        <v>5</v>
      </c>
      <c r="AB263" s="13">
        <f t="shared" si="50"/>
        <v>391</v>
      </c>
    </row>
    <row r="264" spans="1:28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AA264" si="51">SUM(E262:E263)</f>
        <v>207</v>
      </c>
      <c r="F264" s="13">
        <f t="shared" si="51"/>
        <v>228</v>
      </c>
      <c r="G264" s="13">
        <f t="shared" si="51"/>
        <v>206</v>
      </c>
      <c r="H264" s="13">
        <f t="shared" si="51"/>
        <v>190</v>
      </c>
      <c r="I264" s="13">
        <f t="shared" si="51"/>
        <v>188</v>
      </c>
      <c r="J264" s="13">
        <f t="shared" si="51"/>
        <v>222</v>
      </c>
      <c r="K264" s="13">
        <f t="shared" si="51"/>
        <v>215</v>
      </c>
      <c r="L264" s="13">
        <f t="shared" si="51"/>
        <v>232</v>
      </c>
      <c r="M264" s="13">
        <f t="shared" si="51"/>
        <v>226</v>
      </c>
      <c r="N264" s="13">
        <f t="shared" si="51"/>
        <v>225</v>
      </c>
      <c r="O264" s="13">
        <f t="shared" si="51"/>
        <v>221</v>
      </c>
      <c r="P264" s="13">
        <f t="shared" si="51"/>
        <v>227</v>
      </c>
      <c r="Q264" s="13">
        <f t="shared" si="51"/>
        <v>242</v>
      </c>
      <c r="R264" s="13">
        <f t="shared" si="51"/>
        <v>211</v>
      </c>
      <c r="S264" s="13">
        <f t="shared" si="51"/>
        <v>224</v>
      </c>
      <c r="T264" s="13">
        <f t="shared" si="51"/>
        <v>200</v>
      </c>
      <c r="U264" s="13">
        <f t="shared" si="51"/>
        <v>229</v>
      </c>
      <c r="V264" s="13">
        <f t="shared" si="51"/>
        <v>217</v>
      </c>
      <c r="W264" s="13">
        <f t="shared" si="51"/>
        <v>233</v>
      </c>
      <c r="X264" s="13">
        <f t="shared" si="51"/>
        <v>224</v>
      </c>
      <c r="Y264" s="13">
        <f t="shared" si="51"/>
        <v>204</v>
      </c>
      <c r="Z264" s="13">
        <f t="shared" si="51"/>
        <v>219</v>
      </c>
      <c r="AA264" s="13">
        <f t="shared" si="51"/>
        <v>213</v>
      </c>
      <c r="AB264" s="13">
        <f t="shared" si="50"/>
        <v>5003</v>
      </c>
    </row>
    <row r="265" spans="1:28" ht="12.75" customHeight="1" x14ac:dyDescent="0.4"/>
    <row r="266" spans="1:28" ht="12.75" customHeight="1" x14ac:dyDescent="0.4"/>
    <row r="267" spans="1:28" ht="12.75" customHeight="1" x14ac:dyDescent="0.4"/>
    <row r="268" spans="1:28" ht="12.75" customHeight="1" x14ac:dyDescent="0.4"/>
    <row r="269" spans="1:28" ht="12.75" customHeight="1" x14ac:dyDescent="0.4"/>
    <row r="270" spans="1:28" ht="12.75" customHeight="1" x14ac:dyDescent="0.4"/>
    <row r="271" spans="1:28" ht="12.75" customHeight="1" x14ac:dyDescent="0.4"/>
    <row r="272" spans="1:28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AA12"/>
    <mergeCell ref="AB12:AB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4:AA15">
    <cfRule type="containsBlanks" dxfId="142" priority="1">
      <formula>LEN(TRIM(E14))=0</formula>
    </cfRule>
  </conditionalFormatting>
  <conditionalFormatting sqref="E19:AA20">
    <cfRule type="containsBlanks" dxfId="141" priority="2">
      <formula>LEN(TRIM(E19))=0</formula>
    </cfRule>
  </conditionalFormatting>
  <conditionalFormatting sqref="E22:AA23 E25:AA26 E33:AA33 E35:AA35 E39:AA40">
    <cfRule type="containsBlanks" dxfId="140" priority="3">
      <formula>LEN(TRIM(E22))=0</formula>
    </cfRule>
  </conditionalFormatting>
  <conditionalFormatting sqref="E30:AA30">
    <cfRule type="expression" dxfId="139" priority="4">
      <formula>E30&lt;&gt;E47</formula>
    </cfRule>
    <cfRule type="expression" dxfId="138" priority="5">
      <formula>E30&lt;&gt;E34</formula>
    </cfRule>
  </conditionalFormatting>
  <conditionalFormatting sqref="E34:AA34">
    <cfRule type="expression" dxfId="137" priority="6">
      <formula>E30&lt;&gt;E34</formula>
    </cfRule>
    <cfRule type="expression" dxfId="136" priority="7">
      <formula>E30=E34</formula>
    </cfRule>
    <cfRule type="expression" dxfId="135" priority="8">
      <formula>E34&lt;&gt;E30</formula>
    </cfRule>
    <cfRule type="expression" dxfId="134" priority="9">
      <formula>E34&lt;&gt;E64</formula>
    </cfRule>
  </conditionalFormatting>
  <conditionalFormatting sqref="E45:AA54">
    <cfRule type="containsBlanks" dxfId="133" priority="10">
      <formula>LEN(TRIM(E45))=0</formula>
    </cfRule>
  </conditionalFormatting>
  <conditionalFormatting sqref="E57:AA66">
    <cfRule type="containsBlanks" dxfId="132" priority="11">
      <formula>LEN(TRIM(E57))=0</formula>
    </cfRule>
  </conditionalFormatting>
  <conditionalFormatting sqref="E69:AA78">
    <cfRule type="containsBlanks" dxfId="131" priority="12">
      <formula>LEN(TRIM(E69))=0</formula>
    </cfRule>
  </conditionalFormatting>
  <conditionalFormatting sqref="E81:AA90">
    <cfRule type="containsBlanks" dxfId="130" priority="13">
      <formula>LEN(TRIM(E81))=0</formula>
    </cfRule>
  </conditionalFormatting>
  <conditionalFormatting sqref="E93:AA102">
    <cfRule type="containsBlanks" dxfId="129" priority="14">
      <formula>LEN(TRIM(E93))=0</formula>
    </cfRule>
  </conditionalFormatting>
  <conditionalFormatting sqref="E105:AA114">
    <cfRule type="containsBlanks" dxfId="128" priority="15">
      <formula>LEN(TRIM(E105))=0</formula>
    </cfRule>
  </conditionalFormatting>
  <conditionalFormatting sqref="E117:AA126">
    <cfRule type="containsBlanks" dxfId="127" priority="16">
      <formula>LEN(TRIM(E117))=0</formula>
    </cfRule>
  </conditionalFormatting>
  <conditionalFormatting sqref="E129:AA138">
    <cfRule type="containsBlanks" dxfId="126" priority="17">
      <formula>LEN(TRIM(E129))=0</formula>
    </cfRule>
  </conditionalFormatting>
  <conditionalFormatting sqref="E141:AA150">
    <cfRule type="containsBlanks" dxfId="125" priority="18">
      <formula>LEN(TRIM(E141))=0</formula>
    </cfRule>
  </conditionalFormatting>
  <conditionalFormatting sqref="E153:AA162">
    <cfRule type="containsBlanks" dxfId="124" priority="19">
      <formula>LEN(TRIM(E153))=0</formula>
    </cfRule>
  </conditionalFormatting>
  <conditionalFormatting sqref="E165:AA174">
    <cfRule type="containsBlanks" dxfId="123" priority="20">
      <formula>LEN(TRIM(E165))=0</formula>
    </cfRule>
  </conditionalFormatting>
  <conditionalFormatting sqref="E177:AA186">
    <cfRule type="containsBlanks" dxfId="122" priority="21">
      <formula>LEN(TRIM(E177))=0</formula>
    </cfRule>
  </conditionalFormatting>
  <conditionalFormatting sqref="E189:AA198">
    <cfRule type="containsBlanks" dxfId="121" priority="22">
      <formula>LEN(TRIM(E189))=0</formula>
    </cfRule>
  </conditionalFormatting>
  <conditionalFormatting sqref="E201:AA210">
    <cfRule type="containsBlanks" dxfId="120" priority="23">
      <formula>LEN(TRIM(E201))=0</formula>
    </cfRule>
  </conditionalFormatting>
  <conditionalFormatting sqref="E213:AA222">
    <cfRule type="containsBlanks" dxfId="119" priority="24">
      <formula>LEN(TRIM(E213))=0</formula>
    </cfRule>
  </conditionalFormatting>
  <conditionalFormatting sqref="E225:AA234">
    <cfRule type="containsBlanks" dxfId="118" priority="25">
      <formula>LEN(TRIM(E225))=0</formula>
    </cfRule>
  </conditionalFormatting>
  <conditionalFormatting sqref="E237:AA246">
    <cfRule type="containsBlanks" dxfId="117" priority="26">
      <formula>LEN(TRIM(E237))=0</formula>
    </cfRule>
  </conditionalFormatting>
  <conditionalFormatting sqref="E249:AA258">
    <cfRule type="containsBlanks" dxfId="116" priority="27">
      <formula>LEN(TRIM(E249))=0</formula>
    </cfRule>
  </conditionalFormatting>
  <conditionalFormatting sqref="E262:AA263">
    <cfRule type="containsBlanks" dxfId="115" priority="28">
      <formula>LEN(TRIM(E262))=0</formula>
    </cfRule>
  </conditionalFormatting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FF00"/>
  </sheetPr>
  <dimension ref="A1:U1000"/>
  <sheetViews>
    <sheetView workbookViewId="0">
      <pane ySplit="13" topLeftCell="A14" activePane="bottomLeft" state="frozen"/>
      <selection pane="bottomLeft" activeCell="B15" sqref="B15"/>
    </sheetView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20" width="8.7109375" customWidth="1"/>
    <col min="21" max="21" width="13.28515625" customWidth="1"/>
    <col min="22" max="26" width="8.7109375" customWidth="1"/>
  </cols>
  <sheetData>
    <row r="1" spans="1:21" ht="12.75" customHeight="1" x14ac:dyDescent="0.4"/>
    <row r="2" spans="1:21" ht="12.75" customHeight="1" x14ac:dyDescent="0.4">
      <c r="C2" s="8" t="s">
        <v>0</v>
      </c>
      <c r="D2" s="8" t="s">
        <v>1</v>
      </c>
    </row>
    <row r="3" spans="1:21" ht="12.75" customHeight="1" x14ac:dyDescent="0.4">
      <c r="C3" s="8" t="s">
        <v>2</v>
      </c>
      <c r="D3" s="8" t="s">
        <v>1</v>
      </c>
    </row>
    <row r="4" spans="1:21" ht="12.75" customHeight="1" x14ac:dyDescent="0.4">
      <c r="C4" s="8" t="s">
        <v>3</v>
      </c>
      <c r="D4" s="8" t="s">
        <v>4</v>
      </c>
    </row>
    <row r="5" spans="1:21" ht="12.75" customHeight="1" x14ac:dyDescent="0.4">
      <c r="C5" s="8"/>
      <c r="D5" s="8"/>
    </row>
    <row r="6" spans="1:21" ht="12.75" customHeight="1" x14ac:dyDescent="0.4">
      <c r="C6" s="8"/>
      <c r="D6" s="8"/>
    </row>
    <row r="7" spans="1:21" ht="12.75" customHeight="1" x14ac:dyDescent="0.4">
      <c r="C7" s="8"/>
      <c r="D7" s="8"/>
    </row>
    <row r="8" spans="1:21" ht="12.75" customHeight="1" x14ac:dyDescent="0.4">
      <c r="C8" s="8"/>
      <c r="D8" s="8"/>
    </row>
    <row r="9" spans="1:21" ht="12.75" customHeight="1" x14ac:dyDescent="0.4">
      <c r="C9" s="8" t="s">
        <v>168</v>
      </c>
      <c r="D9" s="8" t="s">
        <v>214</v>
      </c>
    </row>
    <row r="10" spans="1:21" ht="12.75" customHeight="1" x14ac:dyDescent="0.4"/>
    <row r="11" spans="1:21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  <c r="T11" s="1"/>
    </row>
    <row r="12" spans="1:21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90" t="s">
        <v>7</v>
      </c>
    </row>
    <row r="13" spans="1:21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80"/>
    </row>
    <row r="14" spans="1:21" ht="12.75" customHeight="1" x14ac:dyDescent="0.4">
      <c r="A14" s="15"/>
      <c r="B14" s="75" t="s">
        <v>10</v>
      </c>
      <c r="C14" s="66"/>
      <c r="D14" s="16" t="s">
        <v>11</v>
      </c>
      <c r="E14" s="16">
        <v>146</v>
      </c>
      <c r="F14" s="16">
        <v>111</v>
      </c>
      <c r="G14" s="16">
        <v>121</v>
      </c>
      <c r="H14" s="16">
        <v>146</v>
      </c>
      <c r="I14" s="16">
        <v>125</v>
      </c>
      <c r="J14" s="16">
        <v>129</v>
      </c>
      <c r="K14" s="16">
        <v>151</v>
      </c>
      <c r="L14" s="16">
        <v>138</v>
      </c>
      <c r="M14" s="16">
        <v>138</v>
      </c>
      <c r="N14" s="16">
        <v>154</v>
      </c>
      <c r="O14" s="16">
        <v>130</v>
      </c>
      <c r="P14" s="16">
        <v>131</v>
      </c>
      <c r="Q14" s="16">
        <v>103</v>
      </c>
      <c r="R14" s="16">
        <v>140</v>
      </c>
      <c r="S14" s="16">
        <v>99</v>
      </c>
      <c r="T14" s="16">
        <v>118</v>
      </c>
      <c r="U14" s="13">
        <f t="shared" ref="U14:U16" si="0">SUM(E14:T14)</f>
        <v>2080</v>
      </c>
    </row>
    <row r="15" spans="1:21" ht="12.75" customHeight="1" x14ac:dyDescent="0.4">
      <c r="A15" s="15"/>
      <c r="B15" s="76"/>
      <c r="C15" s="77"/>
      <c r="D15" s="16" t="s">
        <v>12</v>
      </c>
      <c r="E15" s="16">
        <v>130</v>
      </c>
      <c r="F15" s="16">
        <v>104</v>
      </c>
      <c r="G15" s="16">
        <v>115</v>
      </c>
      <c r="H15" s="16">
        <v>139</v>
      </c>
      <c r="I15" s="16">
        <v>138</v>
      </c>
      <c r="J15" s="16">
        <v>136</v>
      </c>
      <c r="K15" s="16">
        <v>136</v>
      </c>
      <c r="L15" s="16">
        <v>146</v>
      </c>
      <c r="M15" s="16">
        <v>146</v>
      </c>
      <c r="N15" s="16">
        <v>137</v>
      </c>
      <c r="O15" s="16">
        <v>148</v>
      </c>
      <c r="P15" s="16">
        <v>146</v>
      </c>
      <c r="Q15" s="16">
        <v>114</v>
      </c>
      <c r="R15" s="16">
        <v>139</v>
      </c>
      <c r="S15" s="16">
        <v>106</v>
      </c>
      <c r="T15" s="16">
        <v>125</v>
      </c>
      <c r="U15" s="13">
        <f t="shared" si="0"/>
        <v>2105</v>
      </c>
    </row>
    <row r="16" spans="1:21" ht="12.75" customHeight="1" x14ac:dyDescent="0.4">
      <c r="A16" s="18"/>
      <c r="B16" s="73"/>
      <c r="C16" s="69"/>
      <c r="D16" s="13" t="s">
        <v>13</v>
      </c>
      <c r="E16" s="13">
        <f t="shared" ref="E16:T16" si="1">SUM(E14:E15)</f>
        <v>276</v>
      </c>
      <c r="F16" s="13">
        <f t="shared" si="1"/>
        <v>215</v>
      </c>
      <c r="G16" s="13">
        <f t="shared" si="1"/>
        <v>236</v>
      </c>
      <c r="H16" s="13">
        <f t="shared" si="1"/>
        <v>285</v>
      </c>
      <c r="I16" s="13">
        <f t="shared" si="1"/>
        <v>263</v>
      </c>
      <c r="J16" s="13">
        <f t="shared" si="1"/>
        <v>265</v>
      </c>
      <c r="K16" s="13">
        <f t="shared" si="1"/>
        <v>287</v>
      </c>
      <c r="L16" s="13">
        <f t="shared" si="1"/>
        <v>284</v>
      </c>
      <c r="M16" s="13">
        <f t="shared" si="1"/>
        <v>284</v>
      </c>
      <c r="N16" s="13">
        <f t="shared" si="1"/>
        <v>291</v>
      </c>
      <c r="O16" s="13">
        <f t="shared" si="1"/>
        <v>278</v>
      </c>
      <c r="P16" s="13">
        <f t="shared" si="1"/>
        <v>277</v>
      </c>
      <c r="Q16" s="13">
        <f t="shared" si="1"/>
        <v>217</v>
      </c>
      <c r="R16" s="13">
        <f t="shared" si="1"/>
        <v>279</v>
      </c>
      <c r="S16" s="13">
        <f t="shared" si="1"/>
        <v>205</v>
      </c>
      <c r="T16" s="13">
        <f t="shared" si="1"/>
        <v>243</v>
      </c>
      <c r="U16" s="13">
        <f t="shared" si="0"/>
        <v>4185</v>
      </c>
    </row>
    <row r="17" spans="1:21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16"/>
      <c r="U17" s="49"/>
    </row>
    <row r="18" spans="1:21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16"/>
      <c r="U18" s="49"/>
    </row>
    <row r="19" spans="1:21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99</v>
      </c>
      <c r="F19" s="16">
        <v>80</v>
      </c>
      <c r="G19" s="16">
        <v>85</v>
      </c>
      <c r="H19" s="16">
        <v>96</v>
      </c>
      <c r="I19" s="16">
        <v>89</v>
      </c>
      <c r="J19" s="16">
        <v>100</v>
      </c>
      <c r="K19" s="16">
        <v>95</v>
      </c>
      <c r="L19" s="16">
        <v>89</v>
      </c>
      <c r="M19" s="16">
        <v>91</v>
      </c>
      <c r="N19" s="16">
        <v>120</v>
      </c>
      <c r="O19" s="16">
        <v>89</v>
      </c>
      <c r="P19" s="16">
        <v>93</v>
      </c>
      <c r="Q19" s="16">
        <v>82</v>
      </c>
      <c r="R19" s="16">
        <v>106</v>
      </c>
      <c r="S19" s="16">
        <v>71</v>
      </c>
      <c r="T19" s="16">
        <v>98</v>
      </c>
      <c r="U19" s="13">
        <f t="shared" ref="U19:U30" si="2">SUM(E19:T19)</f>
        <v>1483</v>
      </c>
    </row>
    <row r="20" spans="1:21" ht="12.75" customHeight="1" x14ac:dyDescent="0.4">
      <c r="A20" s="21"/>
      <c r="B20" s="77"/>
      <c r="C20" s="79"/>
      <c r="D20" s="16" t="s">
        <v>12</v>
      </c>
      <c r="E20" s="16">
        <v>110</v>
      </c>
      <c r="F20" s="16">
        <v>87</v>
      </c>
      <c r="G20" s="16">
        <v>90</v>
      </c>
      <c r="H20" s="16">
        <v>109</v>
      </c>
      <c r="I20" s="16">
        <v>107</v>
      </c>
      <c r="J20" s="16">
        <v>106</v>
      </c>
      <c r="K20" s="16">
        <v>119</v>
      </c>
      <c r="L20" s="16">
        <v>114</v>
      </c>
      <c r="M20" s="16">
        <v>109</v>
      </c>
      <c r="N20" s="16">
        <v>129</v>
      </c>
      <c r="O20" s="16">
        <v>105</v>
      </c>
      <c r="P20" s="16">
        <v>129</v>
      </c>
      <c r="Q20" s="16">
        <v>100</v>
      </c>
      <c r="R20" s="16">
        <v>118</v>
      </c>
      <c r="S20" s="16">
        <v>90</v>
      </c>
      <c r="T20" s="16">
        <v>103</v>
      </c>
      <c r="U20" s="13">
        <f t="shared" si="2"/>
        <v>1725</v>
      </c>
    </row>
    <row r="21" spans="1:21" ht="12.75" customHeight="1" x14ac:dyDescent="0.4">
      <c r="A21" s="22"/>
      <c r="B21" s="69"/>
      <c r="C21" s="80"/>
      <c r="D21" s="13" t="s">
        <v>13</v>
      </c>
      <c r="E21" s="13">
        <f t="shared" ref="E21:T21" si="3">SUM(E19:E20)</f>
        <v>209</v>
      </c>
      <c r="F21" s="13">
        <f t="shared" si="3"/>
        <v>167</v>
      </c>
      <c r="G21" s="13">
        <f t="shared" si="3"/>
        <v>175</v>
      </c>
      <c r="H21" s="13">
        <f t="shared" si="3"/>
        <v>205</v>
      </c>
      <c r="I21" s="13">
        <f t="shared" si="3"/>
        <v>196</v>
      </c>
      <c r="J21" s="13">
        <f t="shared" si="3"/>
        <v>206</v>
      </c>
      <c r="K21" s="13">
        <f t="shared" si="3"/>
        <v>214</v>
      </c>
      <c r="L21" s="13">
        <f t="shared" si="3"/>
        <v>203</v>
      </c>
      <c r="M21" s="13">
        <f t="shared" si="3"/>
        <v>200</v>
      </c>
      <c r="N21" s="13">
        <f t="shared" si="3"/>
        <v>249</v>
      </c>
      <c r="O21" s="13">
        <f t="shared" si="3"/>
        <v>194</v>
      </c>
      <c r="P21" s="13">
        <f t="shared" si="3"/>
        <v>222</v>
      </c>
      <c r="Q21" s="13">
        <f t="shared" si="3"/>
        <v>182</v>
      </c>
      <c r="R21" s="13">
        <f t="shared" si="3"/>
        <v>224</v>
      </c>
      <c r="S21" s="13">
        <f t="shared" si="3"/>
        <v>161</v>
      </c>
      <c r="T21" s="13">
        <f t="shared" si="3"/>
        <v>201</v>
      </c>
      <c r="U21" s="13">
        <f t="shared" si="2"/>
        <v>3208</v>
      </c>
    </row>
    <row r="22" spans="1:21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1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3">
        <f t="shared" si="2"/>
        <v>1</v>
      </c>
    </row>
    <row r="23" spans="1:21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3</v>
      </c>
      <c r="O23" s="16">
        <v>0</v>
      </c>
      <c r="P23" s="16">
        <v>0</v>
      </c>
      <c r="Q23" s="16">
        <v>1</v>
      </c>
      <c r="R23" s="16">
        <v>0</v>
      </c>
      <c r="S23" s="16">
        <v>0</v>
      </c>
      <c r="T23" s="16">
        <v>0</v>
      </c>
      <c r="U23" s="13">
        <f t="shared" si="2"/>
        <v>4</v>
      </c>
    </row>
    <row r="24" spans="1:21" ht="12.75" customHeight="1" x14ac:dyDescent="0.4">
      <c r="A24" s="22"/>
      <c r="B24" s="69"/>
      <c r="C24" s="80"/>
      <c r="D24" s="13" t="s">
        <v>13</v>
      </c>
      <c r="E24" s="13">
        <f t="shared" ref="E24:T24" si="4">SUM(E22:E23)</f>
        <v>0</v>
      </c>
      <c r="F24" s="13">
        <f t="shared" si="4"/>
        <v>1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3</v>
      </c>
      <c r="O24" s="13">
        <f t="shared" si="4"/>
        <v>0</v>
      </c>
      <c r="P24" s="13">
        <f t="shared" si="4"/>
        <v>0</v>
      </c>
      <c r="Q24" s="13">
        <f t="shared" si="4"/>
        <v>1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2"/>
        <v>5</v>
      </c>
    </row>
    <row r="25" spans="1:21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1</v>
      </c>
      <c r="F25" s="16">
        <v>0</v>
      </c>
      <c r="G25" s="16">
        <v>0</v>
      </c>
      <c r="H25" s="16">
        <v>0</v>
      </c>
      <c r="I25" s="16">
        <v>0</v>
      </c>
      <c r="J25" s="16">
        <v>2</v>
      </c>
      <c r="K25" s="16">
        <v>2</v>
      </c>
      <c r="L25" s="16">
        <v>0</v>
      </c>
      <c r="M25" s="16">
        <v>1</v>
      </c>
      <c r="N25" s="16">
        <v>3</v>
      </c>
      <c r="O25" s="16">
        <v>1</v>
      </c>
      <c r="P25" s="16">
        <v>0</v>
      </c>
      <c r="Q25" s="16">
        <v>0</v>
      </c>
      <c r="R25" s="16">
        <v>4</v>
      </c>
      <c r="S25" s="16">
        <v>2</v>
      </c>
      <c r="T25" s="16">
        <v>3</v>
      </c>
      <c r="U25" s="13">
        <f t="shared" si="2"/>
        <v>19</v>
      </c>
    </row>
    <row r="26" spans="1:21" ht="12.75" customHeight="1" x14ac:dyDescent="0.4">
      <c r="A26" s="21"/>
      <c r="B26" s="77"/>
      <c r="C26" s="79"/>
      <c r="D26" s="16" t="s">
        <v>12</v>
      </c>
      <c r="E26" s="16">
        <v>1</v>
      </c>
      <c r="F26" s="16">
        <v>0</v>
      </c>
      <c r="G26" s="16">
        <v>0</v>
      </c>
      <c r="H26" s="16">
        <v>1</v>
      </c>
      <c r="I26" s="16">
        <v>4</v>
      </c>
      <c r="J26" s="16">
        <v>2</v>
      </c>
      <c r="K26" s="16">
        <v>1</v>
      </c>
      <c r="L26" s="16">
        <v>2</v>
      </c>
      <c r="M26" s="16">
        <v>5</v>
      </c>
      <c r="N26" s="16">
        <v>2</v>
      </c>
      <c r="O26" s="16">
        <v>0</v>
      </c>
      <c r="P26" s="16">
        <v>1</v>
      </c>
      <c r="Q26" s="16">
        <v>4</v>
      </c>
      <c r="R26" s="16">
        <v>6</v>
      </c>
      <c r="S26" s="16">
        <v>3</v>
      </c>
      <c r="T26" s="16">
        <v>2</v>
      </c>
      <c r="U26" s="13">
        <f t="shared" si="2"/>
        <v>34</v>
      </c>
    </row>
    <row r="27" spans="1:21" ht="12.75" customHeight="1" x14ac:dyDescent="0.4">
      <c r="A27" s="22"/>
      <c r="B27" s="69"/>
      <c r="C27" s="80"/>
      <c r="D27" s="13" t="s">
        <v>13</v>
      </c>
      <c r="E27" s="13">
        <f t="shared" ref="E27:T27" si="5">SUM(E25:E26)</f>
        <v>2</v>
      </c>
      <c r="F27" s="13">
        <f t="shared" si="5"/>
        <v>0</v>
      </c>
      <c r="G27" s="13">
        <f t="shared" si="5"/>
        <v>0</v>
      </c>
      <c r="H27" s="13">
        <f t="shared" si="5"/>
        <v>1</v>
      </c>
      <c r="I27" s="13">
        <f t="shared" si="5"/>
        <v>4</v>
      </c>
      <c r="J27" s="13">
        <f t="shared" si="5"/>
        <v>4</v>
      </c>
      <c r="K27" s="13">
        <f t="shared" si="5"/>
        <v>3</v>
      </c>
      <c r="L27" s="13">
        <f t="shared" si="5"/>
        <v>2</v>
      </c>
      <c r="M27" s="13">
        <f t="shared" si="5"/>
        <v>6</v>
      </c>
      <c r="N27" s="13">
        <f t="shared" si="5"/>
        <v>5</v>
      </c>
      <c r="O27" s="13">
        <f t="shared" si="5"/>
        <v>1</v>
      </c>
      <c r="P27" s="13">
        <f t="shared" si="5"/>
        <v>1</v>
      </c>
      <c r="Q27" s="13">
        <f t="shared" si="5"/>
        <v>4</v>
      </c>
      <c r="R27" s="13">
        <f t="shared" si="5"/>
        <v>10</v>
      </c>
      <c r="S27" s="13">
        <f t="shared" si="5"/>
        <v>5</v>
      </c>
      <c r="T27" s="13">
        <f t="shared" si="5"/>
        <v>5</v>
      </c>
      <c r="U27" s="13">
        <f t="shared" si="2"/>
        <v>53</v>
      </c>
    </row>
    <row r="28" spans="1:21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T28" si="6">SUM(E19,E22,E25)</f>
        <v>100</v>
      </c>
      <c r="F28" s="13">
        <f t="shared" si="6"/>
        <v>81</v>
      </c>
      <c r="G28" s="13">
        <f t="shared" si="6"/>
        <v>85</v>
      </c>
      <c r="H28" s="13">
        <f t="shared" si="6"/>
        <v>96</v>
      </c>
      <c r="I28" s="13">
        <f t="shared" si="6"/>
        <v>89</v>
      </c>
      <c r="J28" s="13">
        <f t="shared" si="6"/>
        <v>102</v>
      </c>
      <c r="K28" s="13">
        <f t="shared" si="6"/>
        <v>97</v>
      </c>
      <c r="L28" s="13">
        <f t="shared" si="6"/>
        <v>89</v>
      </c>
      <c r="M28" s="13">
        <f t="shared" si="6"/>
        <v>92</v>
      </c>
      <c r="N28" s="13">
        <f t="shared" si="6"/>
        <v>123</v>
      </c>
      <c r="O28" s="13">
        <f t="shared" si="6"/>
        <v>90</v>
      </c>
      <c r="P28" s="13">
        <f t="shared" si="6"/>
        <v>93</v>
      </c>
      <c r="Q28" s="13">
        <f t="shared" si="6"/>
        <v>82</v>
      </c>
      <c r="R28" s="13">
        <f t="shared" si="6"/>
        <v>110</v>
      </c>
      <c r="S28" s="13">
        <f t="shared" si="6"/>
        <v>73</v>
      </c>
      <c r="T28" s="13">
        <f t="shared" si="6"/>
        <v>101</v>
      </c>
      <c r="U28" s="13">
        <f t="shared" si="2"/>
        <v>1503</v>
      </c>
    </row>
    <row r="29" spans="1:21" ht="12.75" customHeight="1" x14ac:dyDescent="0.4">
      <c r="A29" s="22"/>
      <c r="B29" s="77"/>
      <c r="C29" s="79"/>
      <c r="D29" s="13" t="s">
        <v>12</v>
      </c>
      <c r="E29" s="13">
        <f t="shared" ref="E29:T29" si="7">SUM(E20,E23,E26)</f>
        <v>111</v>
      </c>
      <c r="F29" s="13">
        <f t="shared" si="7"/>
        <v>87</v>
      </c>
      <c r="G29" s="13">
        <f t="shared" si="7"/>
        <v>90</v>
      </c>
      <c r="H29" s="13">
        <f t="shared" si="7"/>
        <v>110</v>
      </c>
      <c r="I29" s="13">
        <f t="shared" si="7"/>
        <v>111</v>
      </c>
      <c r="J29" s="13">
        <f t="shared" si="7"/>
        <v>108</v>
      </c>
      <c r="K29" s="13">
        <f t="shared" si="7"/>
        <v>120</v>
      </c>
      <c r="L29" s="13">
        <f t="shared" si="7"/>
        <v>116</v>
      </c>
      <c r="M29" s="13">
        <f t="shared" si="7"/>
        <v>114</v>
      </c>
      <c r="N29" s="13">
        <f t="shared" si="7"/>
        <v>134</v>
      </c>
      <c r="O29" s="13">
        <f t="shared" si="7"/>
        <v>105</v>
      </c>
      <c r="P29" s="13">
        <f t="shared" si="7"/>
        <v>130</v>
      </c>
      <c r="Q29" s="13">
        <f t="shared" si="7"/>
        <v>105</v>
      </c>
      <c r="R29" s="13">
        <f t="shared" si="7"/>
        <v>124</v>
      </c>
      <c r="S29" s="13">
        <f t="shared" si="7"/>
        <v>93</v>
      </c>
      <c r="T29" s="13">
        <f t="shared" si="7"/>
        <v>105</v>
      </c>
      <c r="U29" s="13">
        <f t="shared" si="2"/>
        <v>1763</v>
      </c>
    </row>
    <row r="30" spans="1:21" ht="12.75" customHeight="1" x14ac:dyDescent="0.4">
      <c r="A30" s="22"/>
      <c r="B30" s="69"/>
      <c r="C30" s="80"/>
      <c r="D30" s="13" t="s">
        <v>13</v>
      </c>
      <c r="E30" s="13">
        <f t="shared" ref="E30:T30" si="8">SUM(E28:E29)</f>
        <v>211</v>
      </c>
      <c r="F30" s="13">
        <f t="shared" si="8"/>
        <v>168</v>
      </c>
      <c r="G30" s="13">
        <f t="shared" si="8"/>
        <v>175</v>
      </c>
      <c r="H30" s="13">
        <f t="shared" si="8"/>
        <v>206</v>
      </c>
      <c r="I30" s="13">
        <f t="shared" si="8"/>
        <v>200</v>
      </c>
      <c r="J30" s="13">
        <f t="shared" si="8"/>
        <v>210</v>
      </c>
      <c r="K30" s="13">
        <f t="shared" si="8"/>
        <v>217</v>
      </c>
      <c r="L30" s="13">
        <f t="shared" si="8"/>
        <v>205</v>
      </c>
      <c r="M30" s="13">
        <f t="shared" si="8"/>
        <v>206</v>
      </c>
      <c r="N30" s="13">
        <f t="shared" si="8"/>
        <v>257</v>
      </c>
      <c r="O30" s="13">
        <f t="shared" si="8"/>
        <v>195</v>
      </c>
      <c r="P30" s="13">
        <f t="shared" si="8"/>
        <v>223</v>
      </c>
      <c r="Q30" s="13">
        <f t="shared" si="8"/>
        <v>187</v>
      </c>
      <c r="R30" s="13">
        <f t="shared" si="8"/>
        <v>234</v>
      </c>
      <c r="S30" s="13">
        <f t="shared" si="8"/>
        <v>166</v>
      </c>
      <c r="T30" s="13">
        <f t="shared" si="8"/>
        <v>206</v>
      </c>
      <c r="U30" s="13">
        <f t="shared" si="2"/>
        <v>3266</v>
      </c>
    </row>
    <row r="31" spans="1:21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16"/>
      <c r="U31" s="49"/>
    </row>
    <row r="32" spans="1:21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13"/>
      <c r="U32" s="49"/>
    </row>
    <row r="33" spans="1:21" ht="12.75" customHeight="1" x14ac:dyDescent="0.4">
      <c r="A33" s="16">
        <v>1</v>
      </c>
      <c r="B33" s="74" t="s">
        <v>26</v>
      </c>
      <c r="C33" s="61"/>
      <c r="D33" s="62"/>
      <c r="E33" s="16">
        <v>281</v>
      </c>
      <c r="F33" s="16">
        <v>220</v>
      </c>
      <c r="G33" s="16">
        <v>241</v>
      </c>
      <c r="H33" s="16">
        <v>291</v>
      </c>
      <c r="I33" s="16">
        <v>269</v>
      </c>
      <c r="J33" s="16">
        <v>271</v>
      </c>
      <c r="K33" s="16">
        <v>293</v>
      </c>
      <c r="L33" s="16">
        <v>290</v>
      </c>
      <c r="M33" s="16">
        <v>290</v>
      </c>
      <c r="N33" s="16">
        <v>297</v>
      </c>
      <c r="O33" s="16">
        <v>274</v>
      </c>
      <c r="P33" s="16">
        <v>283</v>
      </c>
      <c r="Q33" s="16">
        <v>222</v>
      </c>
      <c r="R33" s="16">
        <v>285</v>
      </c>
      <c r="S33" s="16">
        <v>208</v>
      </c>
      <c r="T33" s="16">
        <v>249</v>
      </c>
      <c r="U33" s="13">
        <f t="shared" ref="U33:U36" si="9">SUM(E33:T33)</f>
        <v>4264</v>
      </c>
    </row>
    <row r="34" spans="1:21" ht="12.75" customHeight="1" x14ac:dyDescent="0.4">
      <c r="A34" s="16">
        <v>2</v>
      </c>
      <c r="B34" s="74" t="s">
        <v>27</v>
      </c>
      <c r="C34" s="61"/>
      <c r="D34" s="62"/>
      <c r="E34" s="13">
        <v>211</v>
      </c>
      <c r="F34" s="13">
        <v>168</v>
      </c>
      <c r="G34" s="13">
        <v>175</v>
      </c>
      <c r="H34" s="13">
        <v>206</v>
      </c>
      <c r="I34" s="13">
        <v>200</v>
      </c>
      <c r="J34" s="13">
        <v>210</v>
      </c>
      <c r="K34" s="13">
        <v>217</v>
      </c>
      <c r="L34" s="13">
        <v>205</v>
      </c>
      <c r="M34" s="13">
        <v>206</v>
      </c>
      <c r="N34" s="13">
        <v>257</v>
      </c>
      <c r="O34" s="13">
        <v>195</v>
      </c>
      <c r="P34" s="13">
        <v>223</v>
      </c>
      <c r="Q34" s="13">
        <v>187</v>
      </c>
      <c r="R34" s="13">
        <v>234</v>
      </c>
      <c r="S34" s="13">
        <v>166</v>
      </c>
      <c r="T34" s="13">
        <v>206</v>
      </c>
      <c r="U34" s="13">
        <f t="shared" si="9"/>
        <v>3266</v>
      </c>
    </row>
    <row r="35" spans="1:21" ht="12.75" customHeight="1" x14ac:dyDescent="0.4">
      <c r="A35" s="16">
        <v>3</v>
      </c>
      <c r="B35" s="74" t="s">
        <v>28</v>
      </c>
      <c r="C35" s="61"/>
      <c r="D35" s="62"/>
      <c r="E35" s="16">
        <v>1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3">
        <f t="shared" si="9"/>
        <v>2</v>
      </c>
    </row>
    <row r="36" spans="1:21" ht="12.75" customHeight="1" x14ac:dyDescent="0.4">
      <c r="A36" s="16">
        <v>4</v>
      </c>
      <c r="B36" s="74" t="s">
        <v>29</v>
      </c>
      <c r="C36" s="61"/>
      <c r="D36" s="62"/>
      <c r="E36" s="13">
        <f t="shared" ref="E36:T36" si="10">E33-(E34+E35)</f>
        <v>69</v>
      </c>
      <c r="F36" s="13">
        <f t="shared" si="10"/>
        <v>52</v>
      </c>
      <c r="G36" s="13">
        <f t="shared" si="10"/>
        <v>66</v>
      </c>
      <c r="H36" s="13">
        <f t="shared" si="10"/>
        <v>84</v>
      </c>
      <c r="I36" s="13">
        <f t="shared" si="10"/>
        <v>69</v>
      </c>
      <c r="J36" s="13">
        <f t="shared" si="10"/>
        <v>61</v>
      </c>
      <c r="K36" s="13">
        <f t="shared" si="10"/>
        <v>76</v>
      </c>
      <c r="L36" s="13">
        <f t="shared" si="10"/>
        <v>85</v>
      </c>
      <c r="M36" s="13">
        <f t="shared" si="10"/>
        <v>84</v>
      </c>
      <c r="N36" s="13">
        <f t="shared" si="10"/>
        <v>40</v>
      </c>
      <c r="O36" s="13">
        <f t="shared" si="10"/>
        <v>79</v>
      </c>
      <c r="P36" s="13">
        <f t="shared" si="10"/>
        <v>60</v>
      </c>
      <c r="Q36" s="13">
        <f t="shared" si="10"/>
        <v>35</v>
      </c>
      <c r="R36" s="13">
        <f t="shared" si="10"/>
        <v>51</v>
      </c>
      <c r="S36" s="13">
        <f t="shared" si="10"/>
        <v>42</v>
      </c>
      <c r="T36" s="13">
        <f t="shared" si="10"/>
        <v>43</v>
      </c>
      <c r="U36" s="13">
        <f t="shared" si="9"/>
        <v>996</v>
      </c>
    </row>
    <row r="37" spans="1:21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16"/>
      <c r="U37" s="49"/>
    </row>
    <row r="38" spans="1:21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13"/>
      <c r="U38" s="49"/>
    </row>
    <row r="39" spans="1:21" ht="12.75" customHeight="1" x14ac:dyDescent="0.4">
      <c r="A39" s="20"/>
      <c r="B39" s="84" t="s">
        <v>32</v>
      </c>
      <c r="C39" s="66"/>
      <c r="D39" s="16" t="s">
        <v>11</v>
      </c>
      <c r="E39" s="16">
        <v>1</v>
      </c>
      <c r="F39" s="16">
        <v>0</v>
      </c>
      <c r="G39" s="16">
        <v>0</v>
      </c>
      <c r="H39" s="16">
        <v>0</v>
      </c>
      <c r="I39" s="16">
        <v>0</v>
      </c>
      <c r="J39" s="16">
        <v>1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1</v>
      </c>
      <c r="Q39" s="16">
        <v>2</v>
      </c>
      <c r="R39" s="16">
        <v>0</v>
      </c>
      <c r="S39" s="16">
        <v>1</v>
      </c>
      <c r="T39" s="16">
        <v>0</v>
      </c>
      <c r="U39" s="13">
        <f t="shared" ref="U39:U41" si="11">SUM(E39:T39)</f>
        <v>6</v>
      </c>
    </row>
    <row r="40" spans="1:21" ht="12.75" customHeight="1" x14ac:dyDescent="0.4">
      <c r="A40" s="21"/>
      <c r="B40" s="85"/>
      <c r="C40" s="77"/>
      <c r="D40" s="16" t="s">
        <v>12</v>
      </c>
      <c r="E40" s="16">
        <v>1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1</v>
      </c>
      <c r="L40" s="16">
        <v>0</v>
      </c>
      <c r="M40" s="16">
        <v>0</v>
      </c>
      <c r="N40" s="16">
        <v>0</v>
      </c>
      <c r="O40" s="16">
        <v>1</v>
      </c>
      <c r="P40" s="16">
        <v>0</v>
      </c>
      <c r="Q40" s="16">
        <v>2</v>
      </c>
      <c r="R40" s="16">
        <v>0</v>
      </c>
      <c r="S40" s="16">
        <v>6</v>
      </c>
      <c r="T40" s="16">
        <v>0</v>
      </c>
      <c r="U40" s="13">
        <f t="shared" si="11"/>
        <v>11</v>
      </c>
    </row>
    <row r="41" spans="1:21" ht="12.75" customHeight="1" x14ac:dyDescent="0.4">
      <c r="A41" s="25"/>
      <c r="B41" s="68"/>
      <c r="C41" s="69"/>
      <c r="D41" s="13" t="s">
        <v>13</v>
      </c>
      <c r="E41" s="13">
        <f t="shared" ref="E41:T41" si="12">SUM(E39:E40)</f>
        <v>2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1</v>
      </c>
      <c r="K41" s="13">
        <f t="shared" si="12"/>
        <v>1</v>
      </c>
      <c r="L41" s="13">
        <f t="shared" si="12"/>
        <v>0</v>
      </c>
      <c r="M41" s="13">
        <f t="shared" si="12"/>
        <v>0</v>
      </c>
      <c r="N41" s="13">
        <f t="shared" si="12"/>
        <v>0</v>
      </c>
      <c r="O41" s="13">
        <f t="shared" si="12"/>
        <v>1</v>
      </c>
      <c r="P41" s="13">
        <f t="shared" si="12"/>
        <v>1</v>
      </c>
      <c r="Q41" s="13">
        <f t="shared" si="12"/>
        <v>4</v>
      </c>
      <c r="R41" s="13">
        <f t="shared" si="12"/>
        <v>0</v>
      </c>
      <c r="S41" s="13">
        <f t="shared" si="12"/>
        <v>7</v>
      </c>
      <c r="T41" s="13">
        <f t="shared" si="12"/>
        <v>0</v>
      </c>
      <c r="U41" s="13">
        <f t="shared" si="11"/>
        <v>17</v>
      </c>
    </row>
    <row r="42" spans="1:21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16"/>
      <c r="U42" s="13"/>
    </row>
    <row r="43" spans="1:21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13"/>
      <c r="U43" s="13"/>
    </row>
    <row r="44" spans="1:21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16"/>
      <c r="U44" s="13"/>
    </row>
    <row r="45" spans="1:21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5</v>
      </c>
      <c r="F45" s="16">
        <v>2</v>
      </c>
      <c r="G45" s="16">
        <v>4</v>
      </c>
      <c r="H45" s="16">
        <v>7</v>
      </c>
      <c r="I45" s="16">
        <v>6</v>
      </c>
      <c r="J45" s="16">
        <v>4</v>
      </c>
      <c r="K45" s="16">
        <v>6</v>
      </c>
      <c r="L45" s="16">
        <v>2</v>
      </c>
      <c r="M45" s="16">
        <v>4</v>
      </c>
      <c r="N45" s="16">
        <v>8</v>
      </c>
      <c r="O45" s="16">
        <v>3</v>
      </c>
      <c r="P45" s="16">
        <v>6</v>
      </c>
      <c r="Q45" s="16">
        <v>5</v>
      </c>
      <c r="R45" s="16">
        <v>7</v>
      </c>
      <c r="S45" s="16">
        <v>2</v>
      </c>
      <c r="T45" s="16">
        <v>6</v>
      </c>
      <c r="U45" s="13">
        <f t="shared" ref="U45:U54" si="13">SUM(E45:T45)</f>
        <v>77</v>
      </c>
    </row>
    <row r="46" spans="1:21" ht="12.75" customHeight="1" x14ac:dyDescent="0.4">
      <c r="A46" s="20" t="s">
        <v>38</v>
      </c>
      <c r="B46" s="28"/>
      <c r="C46" s="29" t="s">
        <v>39</v>
      </c>
      <c r="D46" s="30"/>
      <c r="E46" s="16">
        <v>2</v>
      </c>
      <c r="F46" s="16">
        <v>0</v>
      </c>
      <c r="G46" s="16">
        <v>5</v>
      </c>
      <c r="H46" s="16">
        <v>3</v>
      </c>
      <c r="I46" s="16">
        <v>0</v>
      </c>
      <c r="J46" s="16">
        <v>4</v>
      </c>
      <c r="K46" s="16">
        <v>4</v>
      </c>
      <c r="L46" s="16">
        <v>0</v>
      </c>
      <c r="M46" s="16">
        <v>2</v>
      </c>
      <c r="N46" s="16">
        <v>1</v>
      </c>
      <c r="O46" s="16">
        <v>2</v>
      </c>
      <c r="P46" s="16">
        <v>3</v>
      </c>
      <c r="Q46" s="16">
        <v>2</v>
      </c>
      <c r="R46" s="16">
        <v>3</v>
      </c>
      <c r="S46" s="16">
        <v>4</v>
      </c>
      <c r="T46" s="16">
        <v>3</v>
      </c>
      <c r="U46" s="13">
        <f t="shared" si="13"/>
        <v>38</v>
      </c>
    </row>
    <row r="47" spans="1:21" ht="12.75" customHeight="1" x14ac:dyDescent="0.4">
      <c r="A47" s="15"/>
      <c r="B47" s="28"/>
      <c r="C47" s="29" t="s">
        <v>40</v>
      </c>
      <c r="D47" s="30"/>
      <c r="E47" s="16">
        <v>1</v>
      </c>
      <c r="F47" s="16">
        <v>4</v>
      </c>
      <c r="G47" s="16">
        <v>6</v>
      </c>
      <c r="H47" s="16">
        <v>3</v>
      </c>
      <c r="I47" s="16">
        <v>2</v>
      </c>
      <c r="J47" s="16">
        <v>1</v>
      </c>
      <c r="K47" s="16">
        <v>1</v>
      </c>
      <c r="L47" s="16">
        <v>1</v>
      </c>
      <c r="M47" s="16">
        <v>0</v>
      </c>
      <c r="N47" s="16">
        <v>0</v>
      </c>
      <c r="O47" s="16">
        <v>1</v>
      </c>
      <c r="P47" s="16">
        <v>2</v>
      </c>
      <c r="Q47" s="16">
        <v>1</v>
      </c>
      <c r="R47" s="16">
        <v>1</v>
      </c>
      <c r="S47" s="16">
        <v>2</v>
      </c>
      <c r="T47" s="16">
        <v>3</v>
      </c>
      <c r="U47" s="13">
        <f t="shared" si="13"/>
        <v>29</v>
      </c>
    </row>
    <row r="48" spans="1:21" ht="12.75" customHeight="1" x14ac:dyDescent="0.4">
      <c r="A48" s="15"/>
      <c r="B48" s="28"/>
      <c r="C48" s="29" t="s">
        <v>41</v>
      </c>
      <c r="D48" s="30"/>
      <c r="E48" s="16">
        <v>0</v>
      </c>
      <c r="F48" s="16">
        <v>0</v>
      </c>
      <c r="G48" s="16">
        <v>0</v>
      </c>
      <c r="H48" s="16">
        <v>1</v>
      </c>
      <c r="I48" s="16">
        <v>1</v>
      </c>
      <c r="J48" s="16">
        <v>0</v>
      </c>
      <c r="K48" s="16">
        <v>1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1</v>
      </c>
      <c r="S48" s="16">
        <v>0</v>
      </c>
      <c r="T48" s="16">
        <v>0</v>
      </c>
      <c r="U48" s="13">
        <f t="shared" si="13"/>
        <v>4</v>
      </c>
    </row>
    <row r="49" spans="1:21" ht="12.75" customHeight="1" x14ac:dyDescent="0.4">
      <c r="A49" s="15"/>
      <c r="B49" s="28"/>
      <c r="C49" s="29" t="s">
        <v>42</v>
      </c>
      <c r="D49" s="30"/>
      <c r="E49" s="16">
        <v>1</v>
      </c>
      <c r="F49" s="16">
        <v>1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1</v>
      </c>
      <c r="O49" s="16">
        <v>1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3">
        <f t="shared" si="13"/>
        <v>4</v>
      </c>
    </row>
    <row r="50" spans="1:21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1</v>
      </c>
      <c r="I50" s="16">
        <v>0</v>
      </c>
      <c r="J50" s="16">
        <v>0</v>
      </c>
      <c r="K50" s="16">
        <v>0</v>
      </c>
      <c r="L50" s="16">
        <v>0</v>
      </c>
      <c r="M50" s="16">
        <v>2</v>
      </c>
      <c r="N50" s="16">
        <v>0</v>
      </c>
      <c r="O50" s="16">
        <v>0</v>
      </c>
      <c r="P50" s="16">
        <v>0</v>
      </c>
      <c r="Q50" s="16">
        <v>1</v>
      </c>
      <c r="R50" s="16">
        <v>0</v>
      </c>
      <c r="S50" s="16">
        <v>1</v>
      </c>
      <c r="T50" s="16">
        <v>0</v>
      </c>
      <c r="U50" s="13">
        <f t="shared" si="13"/>
        <v>5</v>
      </c>
    </row>
    <row r="51" spans="1:21" ht="12.75" customHeight="1" x14ac:dyDescent="0.4">
      <c r="A51" s="15"/>
      <c r="B51" s="28"/>
      <c r="C51" s="29" t="s">
        <v>44</v>
      </c>
      <c r="D51" s="30"/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1</v>
      </c>
      <c r="K51" s="16">
        <v>1</v>
      </c>
      <c r="L51" s="16">
        <v>0</v>
      </c>
      <c r="M51" s="16">
        <v>0</v>
      </c>
      <c r="N51" s="16">
        <v>0</v>
      </c>
      <c r="O51" s="16">
        <v>0</v>
      </c>
      <c r="P51" s="16">
        <v>0</v>
      </c>
      <c r="Q51" s="16">
        <v>0</v>
      </c>
      <c r="R51" s="16">
        <v>0</v>
      </c>
      <c r="S51" s="16">
        <v>4</v>
      </c>
      <c r="T51" s="16">
        <v>10</v>
      </c>
      <c r="U51" s="13">
        <f t="shared" si="13"/>
        <v>17</v>
      </c>
    </row>
    <row r="52" spans="1:21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13">
        <f t="shared" si="13"/>
        <v>0</v>
      </c>
    </row>
    <row r="53" spans="1:21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13">
        <f t="shared" si="13"/>
        <v>0</v>
      </c>
    </row>
    <row r="54" spans="1:21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13">
        <f t="shared" si="13"/>
        <v>0</v>
      </c>
    </row>
    <row r="55" spans="1:21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U55" si="14">SUM(E45:E54)</f>
        <v>10</v>
      </c>
      <c r="F55" s="13">
        <f t="shared" si="14"/>
        <v>7</v>
      </c>
      <c r="G55" s="13">
        <f t="shared" si="14"/>
        <v>15</v>
      </c>
      <c r="H55" s="13">
        <f t="shared" si="14"/>
        <v>15</v>
      </c>
      <c r="I55" s="13">
        <f t="shared" si="14"/>
        <v>9</v>
      </c>
      <c r="J55" s="13">
        <f t="shared" si="14"/>
        <v>10</v>
      </c>
      <c r="K55" s="13">
        <f t="shared" si="14"/>
        <v>13</v>
      </c>
      <c r="L55" s="13">
        <f t="shared" si="14"/>
        <v>3</v>
      </c>
      <c r="M55" s="13">
        <f t="shared" si="14"/>
        <v>8</v>
      </c>
      <c r="N55" s="13">
        <f t="shared" si="14"/>
        <v>10</v>
      </c>
      <c r="O55" s="13">
        <f t="shared" si="14"/>
        <v>7</v>
      </c>
      <c r="P55" s="13">
        <f t="shared" si="14"/>
        <v>11</v>
      </c>
      <c r="Q55" s="13">
        <f t="shared" si="14"/>
        <v>9</v>
      </c>
      <c r="R55" s="13">
        <f t="shared" si="14"/>
        <v>12</v>
      </c>
      <c r="S55" s="13">
        <f t="shared" si="14"/>
        <v>13</v>
      </c>
      <c r="T55" s="13">
        <f t="shared" si="14"/>
        <v>22</v>
      </c>
      <c r="U55" s="13">
        <f t="shared" si="14"/>
        <v>174</v>
      </c>
    </row>
    <row r="56" spans="1:21" ht="12.75" customHeight="1" x14ac:dyDescent="0.4">
      <c r="A56" s="86"/>
      <c r="B56" s="68"/>
      <c r="C56" s="68"/>
      <c r="D56" s="68"/>
      <c r="E56" s="68"/>
      <c r="U56" s="13"/>
    </row>
    <row r="57" spans="1:21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10</v>
      </c>
      <c r="F57" s="16">
        <v>4</v>
      </c>
      <c r="G57" s="16">
        <v>1</v>
      </c>
      <c r="H57" s="16">
        <v>14</v>
      </c>
      <c r="I57" s="16">
        <v>6</v>
      </c>
      <c r="J57" s="16">
        <v>4</v>
      </c>
      <c r="K57" s="16">
        <v>1</v>
      </c>
      <c r="L57" s="16">
        <v>8</v>
      </c>
      <c r="M57" s="16">
        <v>2</v>
      </c>
      <c r="N57" s="16">
        <v>5</v>
      </c>
      <c r="O57" s="16">
        <v>4</v>
      </c>
      <c r="P57" s="16">
        <v>3</v>
      </c>
      <c r="Q57" s="16">
        <v>4</v>
      </c>
      <c r="R57" s="16">
        <v>7</v>
      </c>
      <c r="S57" s="16">
        <v>8</v>
      </c>
      <c r="T57" s="16">
        <v>8</v>
      </c>
      <c r="U57" s="13">
        <f t="shared" ref="U57:U66" si="15">SUM(E57:T57)</f>
        <v>89</v>
      </c>
    </row>
    <row r="58" spans="1:21" ht="12.75" customHeight="1" x14ac:dyDescent="0.4">
      <c r="A58" s="20" t="s">
        <v>38</v>
      </c>
      <c r="B58" s="28"/>
      <c r="C58" s="29" t="s">
        <v>47</v>
      </c>
      <c r="D58" s="30"/>
      <c r="E58" s="16">
        <v>3</v>
      </c>
      <c r="F58" s="16">
        <v>4</v>
      </c>
      <c r="G58" s="16">
        <v>2</v>
      </c>
      <c r="H58" s="16">
        <v>2</v>
      </c>
      <c r="I58" s="16">
        <v>9</v>
      </c>
      <c r="J58" s="16">
        <v>4</v>
      </c>
      <c r="K58" s="16">
        <v>1</v>
      </c>
      <c r="L58" s="16">
        <v>4</v>
      </c>
      <c r="M58" s="16">
        <v>3</v>
      </c>
      <c r="N58" s="16">
        <v>1</v>
      </c>
      <c r="O58" s="16">
        <v>3</v>
      </c>
      <c r="P58" s="16">
        <v>1</v>
      </c>
      <c r="Q58" s="16">
        <v>2</v>
      </c>
      <c r="R58" s="16">
        <v>6</v>
      </c>
      <c r="S58" s="16">
        <v>2</v>
      </c>
      <c r="T58" s="16">
        <v>1</v>
      </c>
      <c r="U58" s="13">
        <f t="shared" si="15"/>
        <v>48</v>
      </c>
    </row>
    <row r="59" spans="1:21" ht="12.75" customHeight="1" x14ac:dyDescent="0.4">
      <c r="A59" s="15"/>
      <c r="B59" s="28"/>
      <c r="C59" s="29" t="s">
        <v>48</v>
      </c>
      <c r="D59" s="30"/>
      <c r="E59" s="16">
        <v>0</v>
      </c>
      <c r="F59" s="16">
        <v>2</v>
      </c>
      <c r="G59" s="16">
        <v>1</v>
      </c>
      <c r="H59" s="16">
        <v>3</v>
      </c>
      <c r="I59" s="16">
        <v>1</v>
      </c>
      <c r="J59" s="16">
        <v>0</v>
      </c>
      <c r="K59" s="16">
        <v>1</v>
      </c>
      <c r="L59" s="16">
        <v>2</v>
      </c>
      <c r="M59" s="16">
        <v>3</v>
      </c>
      <c r="N59" s="16">
        <v>2</v>
      </c>
      <c r="O59" s="16">
        <v>0</v>
      </c>
      <c r="P59" s="16">
        <v>0</v>
      </c>
      <c r="Q59" s="16">
        <v>0</v>
      </c>
      <c r="R59" s="16">
        <v>1</v>
      </c>
      <c r="S59" s="16">
        <v>5</v>
      </c>
      <c r="T59" s="16">
        <v>5</v>
      </c>
      <c r="U59" s="13">
        <f t="shared" si="15"/>
        <v>26</v>
      </c>
    </row>
    <row r="60" spans="1:21" ht="12.75" customHeight="1" x14ac:dyDescent="0.4">
      <c r="A60" s="15"/>
      <c r="B60" s="28"/>
      <c r="C60" s="29" t="s">
        <v>49</v>
      </c>
      <c r="D60" s="30"/>
      <c r="E60" s="16">
        <v>1</v>
      </c>
      <c r="F60" s="16">
        <v>3</v>
      </c>
      <c r="G60" s="16">
        <v>1</v>
      </c>
      <c r="H60" s="16">
        <v>1</v>
      </c>
      <c r="I60" s="16">
        <v>1</v>
      </c>
      <c r="J60" s="16">
        <v>1</v>
      </c>
      <c r="K60" s="16">
        <v>1</v>
      </c>
      <c r="L60" s="16">
        <v>1</v>
      </c>
      <c r="M60" s="16">
        <v>0</v>
      </c>
      <c r="N60" s="16">
        <v>0</v>
      </c>
      <c r="O60" s="16">
        <v>2</v>
      </c>
      <c r="P60" s="16">
        <v>0</v>
      </c>
      <c r="Q60" s="16">
        <v>0</v>
      </c>
      <c r="R60" s="16">
        <v>1</v>
      </c>
      <c r="S60" s="16">
        <v>1</v>
      </c>
      <c r="T60" s="16">
        <v>2</v>
      </c>
      <c r="U60" s="13">
        <f t="shared" si="15"/>
        <v>16</v>
      </c>
    </row>
    <row r="61" spans="1:21" ht="12.75" customHeight="1" x14ac:dyDescent="0.4">
      <c r="A61" s="15"/>
      <c r="B61" s="28"/>
      <c r="C61" s="29" t="s">
        <v>50</v>
      </c>
      <c r="D61" s="30"/>
      <c r="E61" s="16">
        <v>1</v>
      </c>
      <c r="F61" s="16">
        <v>0</v>
      </c>
      <c r="G61" s="16">
        <v>0</v>
      </c>
      <c r="H61" s="16">
        <v>0</v>
      </c>
      <c r="I61" s="16">
        <v>2</v>
      </c>
      <c r="J61" s="16">
        <v>0</v>
      </c>
      <c r="K61" s="16">
        <v>1</v>
      </c>
      <c r="L61" s="16">
        <v>0</v>
      </c>
      <c r="M61" s="16">
        <v>0</v>
      </c>
      <c r="N61" s="16">
        <v>0</v>
      </c>
      <c r="O61" s="16">
        <v>0</v>
      </c>
      <c r="P61" s="16">
        <v>0</v>
      </c>
      <c r="Q61" s="16">
        <v>1</v>
      </c>
      <c r="R61" s="16">
        <v>3</v>
      </c>
      <c r="S61" s="16">
        <v>4</v>
      </c>
      <c r="T61" s="16">
        <v>2</v>
      </c>
      <c r="U61" s="13">
        <f t="shared" si="15"/>
        <v>14</v>
      </c>
    </row>
    <row r="62" spans="1:21" ht="12.75" customHeight="1" x14ac:dyDescent="0.4">
      <c r="A62" s="15"/>
      <c r="B62" s="28"/>
      <c r="C62" s="29" t="s">
        <v>51</v>
      </c>
      <c r="D62" s="30"/>
      <c r="E62" s="16">
        <v>1</v>
      </c>
      <c r="F62" s="16">
        <v>1</v>
      </c>
      <c r="G62" s="16">
        <v>1</v>
      </c>
      <c r="H62" s="16">
        <v>9</v>
      </c>
      <c r="I62" s="16">
        <v>3</v>
      </c>
      <c r="J62" s="16">
        <v>1</v>
      </c>
      <c r="K62" s="16">
        <v>1</v>
      </c>
      <c r="L62" s="16">
        <v>2</v>
      </c>
      <c r="M62" s="16">
        <v>2</v>
      </c>
      <c r="N62" s="16">
        <v>0</v>
      </c>
      <c r="O62" s="16">
        <v>0</v>
      </c>
      <c r="P62" s="16">
        <v>0</v>
      </c>
      <c r="Q62" s="16">
        <v>1</v>
      </c>
      <c r="R62" s="16">
        <v>1</v>
      </c>
      <c r="S62" s="16">
        <v>11</v>
      </c>
      <c r="T62" s="16">
        <v>19</v>
      </c>
      <c r="U62" s="13">
        <f t="shared" si="15"/>
        <v>53</v>
      </c>
    </row>
    <row r="63" spans="1:21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0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0</v>
      </c>
      <c r="M63" s="16">
        <v>0</v>
      </c>
      <c r="N63" s="16">
        <v>0</v>
      </c>
      <c r="O63" s="16">
        <v>0</v>
      </c>
      <c r="P63" s="16">
        <v>0</v>
      </c>
      <c r="Q63" s="16">
        <v>0</v>
      </c>
      <c r="R63" s="16">
        <v>0</v>
      </c>
      <c r="S63" s="16">
        <v>1</v>
      </c>
      <c r="T63" s="16">
        <v>2</v>
      </c>
      <c r="U63" s="13">
        <f t="shared" si="15"/>
        <v>3</v>
      </c>
    </row>
    <row r="64" spans="1:21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13">
        <f t="shared" si="15"/>
        <v>0</v>
      </c>
    </row>
    <row r="65" spans="1:21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13">
        <f t="shared" si="15"/>
        <v>0</v>
      </c>
    </row>
    <row r="66" spans="1:21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13">
        <f t="shared" si="15"/>
        <v>0</v>
      </c>
    </row>
    <row r="67" spans="1:21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U67" si="16">SUM(E57:E66)</f>
        <v>16</v>
      </c>
      <c r="F67" s="13">
        <f t="shared" si="16"/>
        <v>14</v>
      </c>
      <c r="G67" s="13">
        <f t="shared" si="16"/>
        <v>6</v>
      </c>
      <c r="H67" s="13">
        <f t="shared" si="16"/>
        <v>29</v>
      </c>
      <c r="I67" s="13">
        <f t="shared" si="16"/>
        <v>22</v>
      </c>
      <c r="J67" s="13">
        <f t="shared" si="16"/>
        <v>10</v>
      </c>
      <c r="K67" s="13">
        <f t="shared" si="16"/>
        <v>6</v>
      </c>
      <c r="L67" s="13">
        <f t="shared" si="16"/>
        <v>17</v>
      </c>
      <c r="M67" s="13">
        <f t="shared" si="16"/>
        <v>10</v>
      </c>
      <c r="N67" s="13">
        <f t="shared" si="16"/>
        <v>8</v>
      </c>
      <c r="O67" s="13">
        <f t="shared" si="16"/>
        <v>9</v>
      </c>
      <c r="P67" s="13">
        <f t="shared" si="16"/>
        <v>4</v>
      </c>
      <c r="Q67" s="13">
        <f t="shared" si="16"/>
        <v>8</v>
      </c>
      <c r="R67" s="13">
        <f t="shared" si="16"/>
        <v>19</v>
      </c>
      <c r="S67" s="13">
        <f t="shared" si="16"/>
        <v>32</v>
      </c>
      <c r="T67" s="13">
        <f t="shared" si="16"/>
        <v>39</v>
      </c>
      <c r="U67" s="13">
        <f t="shared" si="16"/>
        <v>249</v>
      </c>
    </row>
    <row r="68" spans="1:21" ht="12.75" customHeight="1" x14ac:dyDescent="0.4">
      <c r="A68" s="86"/>
      <c r="B68" s="68"/>
      <c r="C68" s="68"/>
      <c r="D68" s="68"/>
      <c r="E68" s="68"/>
    </row>
    <row r="69" spans="1:21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10</v>
      </c>
      <c r="F69" s="16">
        <v>2</v>
      </c>
      <c r="G69" s="16">
        <v>2</v>
      </c>
      <c r="H69" s="16">
        <v>6</v>
      </c>
      <c r="I69" s="16">
        <v>12</v>
      </c>
      <c r="J69" s="16">
        <v>11</v>
      </c>
      <c r="K69" s="16">
        <v>11</v>
      </c>
      <c r="L69" s="16">
        <v>6</v>
      </c>
      <c r="M69" s="16">
        <v>8</v>
      </c>
      <c r="N69" s="16">
        <v>16</v>
      </c>
      <c r="O69" s="16">
        <v>1</v>
      </c>
      <c r="P69" s="16">
        <v>1</v>
      </c>
      <c r="Q69" s="16">
        <v>2</v>
      </c>
      <c r="R69" s="16">
        <v>8</v>
      </c>
      <c r="S69" s="16">
        <v>4</v>
      </c>
      <c r="T69" s="16">
        <v>2</v>
      </c>
      <c r="U69" s="13">
        <f t="shared" ref="U69:U78" si="17">SUM(E69:T69)</f>
        <v>102</v>
      </c>
    </row>
    <row r="70" spans="1:21" ht="12.75" customHeight="1" x14ac:dyDescent="0.4">
      <c r="A70" s="20" t="s">
        <v>38</v>
      </c>
      <c r="B70" s="28"/>
      <c r="C70" s="29" t="s">
        <v>54</v>
      </c>
      <c r="D70" s="30"/>
      <c r="E70" s="16">
        <v>3</v>
      </c>
      <c r="F70" s="16">
        <v>1</v>
      </c>
      <c r="G70" s="16">
        <v>1</v>
      </c>
      <c r="H70" s="16">
        <v>2</v>
      </c>
      <c r="I70" s="16">
        <v>3</v>
      </c>
      <c r="J70" s="16">
        <v>1</v>
      </c>
      <c r="K70" s="16">
        <v>2</v>
      </c>
      <c r="L70" s="16">
        <v>1</v>
      </c>
      <c r="M70" s="16">
        <v>2</v>
      </c>
      <c r="N70" s="16">
        <v>5</v>
      </c>
      <c r="O70" s="16">
        <v>2</v>
      </c>
      <c r="P70" s="16">
        <v>3</v>
      </c>
      <c r="Q70" s="16">
        <v>7</v>
      </c>
      <c r="R70" s="16">
        <v>3</v>
      </c>
      <c r="S70" s="16">
        <v>4</v>
      </c>
      <c r="T70" s="16">
        <v>14</v>
      </c>
      <c r="U70" s="13">
        <f t="shared" si="17"/>
        <v>54</v>
      </c>
    </row>
    <row r="71" spans="1:21" ht="12.75" customHeight="1" x14ac:dyDescent="0.4">
      <c r="A71" s="15"/>
      <c r="B71" s="28"/>
      <c r="C71" s="29" t="s">
        <v>55</v>
      </c>
      <c r="D71" s="30"/>
      <c r="E71" s="16">
        <v>28</v>
      </c>
      <c r="F71" s="16">
        <v>19</v>
      </c>
      <c r="G71" s="16">
        <v>11</v>
      </c>
      <c r="H71" s="16">
        <v>3</v>
      </c>
      <c r="I71" s="16">
        <v>3</v>
      </c>
      <c r="J71" s="16">
        <v>6</v>
      </c>
      <c r="K71" s="16">
        <v>3</v>
      </c>
      <c r="L71" s="16">
        <v>3</v>
      </c>
      <c r="M71" s="16">
        <v>3</v>
      </c>
      <c r="N71" s="16">
        <v>6</v>
      </c>
      <c r="O71" s="16">
        <v>5</v>
      </c>
      <c r="P71" s="16">
        <v>0</v>
      </c>
      <c r="Q71" s="16">
        <v>2</v>
      </c>
      <c r="R71" s="16">
        <v>0</v>
      </c>
      <c r="S71" s="16">
        <v>0</v>
      </c>
      <c r="T71" s="16">
        <v>2</v>
      </c>
      <c r="U71" s="13">
        <f t="shared" si="17"/>
        <v>94</v>
      </c>
    </row>
    <row r="72" spans="1:21" ht="12.75" customHeight="1" x14ac:dyDescent="0.4">
      <c r="A72" s="15"/>
      <c r="B72" s="28"/>
      <c r="C72" s="29" t="s">
        <v>56</v>
      </c>
      <c r="D72" s="30"/>
      <c r="E72" s="16">
        <v>1</v>
      </c>
      <c r="F72" s="16">
        <v>0</v>
      </c>
      <c r="G72" s="16">
        <v>1</v>
      </c>
      <c r="H72" s="16">
        <v>10</v>
      </c>
      <c r="I72" s="16">
        <v>12</v>
      </c>
      <c r="J72" s="16">
        <v>5</v>
      </c>
      <c r="K72" s="16">
        <v>10</v>
      </c>
      <c r="L72" s="16">
        <v>8</v>
      </c>
      <c r="M72" s="16">
        <v>2</v>
      </c>
      <c r="N72" s="16">
        <v>10</v>
      </c>
      <c r="O72" s="16">
        <v>7</v>
      </c>
      <c r="P72" s="16">
        <v>5</v>
      </c>
      <c r="Q72" s="16">
        <v>0</v>
      </c>
      <c r="R72" s="16">
        <v>2</v>
      </c>
      <c r="S72" s="16">
        <v>7</v>
      </c>
      <c r="T72" s="16">
        <v>6</v>
      </c>
      <c r="U72" s="13">
        <f t="shared" si="17"/>
        <v>86</v>
      </c>
    </row>
    <row r="73" spans="1:21" ht="12.75" customHeight="1" x14ac:dyDescent="0.4">
      <c r="A73" s="15"/>
      <c r="B73" s="28"/>
      <c r="C73" s="29" t="s">
        <v>57</v>
      </c>
      <c r="D73" s="30"/>
      <c r="E73" s="16">
        <v>0</v>
      </c>
      <c r="F73" s="16">
        <v>0</v>
      </c>
      <c r="G73" s="16">
        <v>1</v>
      </c>
      <c r="H73" s="16">
        <v>3</v>
      </c>
      <c r="I73" s="16">
        <v>2</v>
      </c>
      <c r="J73" s="16">
        <v>0</v>
      </c>
      <c r="K73" s="16">
        <v>0</v>
      </c>
      <c r="L73" s="16">
        <v>1</v>
      </c>
      <c r="M73" s="16">
        <v>0</v>
      </c>
      <c r="N73" s="16">
        <v>0</v>
      </c>
      <c r="O73" s="16">
        <v>0</v>
      </c>
      <c r="P73" s="16">
        <v>1</v>
      </c>
      <c r="Q73" s="16">
        <v>0</v>
      </c>
      <c r="R73" s="16">
        <v>0</v>
      </c>
      <c r="S73" s="16">
        <v>1</v>
      </c>
      <c r="T73" s="16">
        <v>0</v>
      </c>
      <c r="U73" s="13">
        <f t="shared" si="17"/>
        <v>9</v>
      </c>
    </row>
    <row r="74" spans="1:21" ht="12.75" customHeight="1" x14ac:dyDescent="0.4">
      <c r="A74" s="15"/>
      <c r="B74" s="28"/>
      <c r="C74" s="29" t="s">
        <v>58</v>
      </c>
      <c r="D74" s="30"/>
      <c r="E74" s="16">
        <v>1</v>
      </c>
      <c r="F74" s="16">
        <v>1</v>
      </c>
      <c r="G74" s="16">
        <v>2</v>
      </c>
      <c r="H74" s="16">
        <v>1</v>
      </c>
      <c r="I74" s="16">
        <v>6</v>
      </c>
      <c r="J74" s="16">
        <v>7</v>
      </c>
      <c r="K74" s="16">
        <v>11</v>
      </c>
      <c r="L74" s="16">
        <v>12</v>
      </c>
      <c r="M74" s="16">
        <v>0</v>
      </c>
      <c r="N74" s="16">
        <v>1</v>
      </c>
      <c r="O74" s="16">
        <v>0</v>
      </c>
      <c r="P74" s="16">
        <v>0</v>
      </c>
      <c r="Q74" s="16">
        <v>6</v>
      </c>
      <c r="R74" s="16">
        <v>36</v>
      </c>
      <c r="S74" s="16">
        <v>9</v>
      </c>
      <c r="T74" s="16">
        <v>3</v>
      </c>
      <c r="U74" s="13">
        <f t="shared" si="17"/>
        <v>96</v>
      </c>
    </row>
    <row r="75" spans="1:21" ht="12.75" customHeight="1" x14ac:dyDescent="0.4">
      <c r="A75" s="15"/>
      <c r="B75" s="28"/>
      <c r="C75" s="29" t="s">
        <v>59</v>
      </c>
      <c r="D75" s="30"/>
      <c r="E75" s="16">
        <v>1</v>
      </c>
      <c r="F75" s="16">
        <v>1</v>
      </c>
      <c r="G75" s="16">
        <v>2</v>
      </c>
      <c r="H75" s="16">
        <v>0</v>
      </c>
      <c r="I75" s="16">
        <v>0</v>
      </c>
      <c r="J75" s="16">
        <v>1</v>
      </c>
      <c r="K75" s="16">
        <v>1</v>
      </c>
      <c r="L75" s="16">
        <v>1</v>
      </c>
      <c r="M75" s="16">
        <v>1</v>
      </c>
      <c r="N75" s="16">
        <v>0</v>
      </c>
      <c r="O75" s="16">
        <v>2</v>
      </c>
      <c r="P75" s="16">
        <v>0</v>
      </c>
      <c r="Q75" s="16">
        <v>0</v>
      </c>
      <c r="R75" s="16">
        <v>1</v>
      </c>
      <c r="S75" s="16">
        <v>0</v>
      </c>
      <c r="T75" s="16">
        <v>0</v>
      </c>
      <c r="U75" s="13">
        <f t="shared" si="17"/>
        <v>11</v>
      </c>
    </row>
    <row r="76" spans="1:21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13">
        <f t="shared" si="17"/>
        <v>0</v>
      </c>
    </row>
    <row r="77" spans="1:21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13">
        <f t="shared" si="17"/>
        <v>0</v>
      </c>
    </row>
    <row r="78" spans="1:21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13">
        <f t="shared" si="17"/>
        <v>0</v>
      </c>
    </row>
    <row r="79" spans="1:21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U79" si="18">SUM(E69:E78)</f>
        <v>44</v>
      </c>
      <c r="F79" s="13">
        <f t="shared" si="18"/>
        <v>24</v>
      </c>
      <c r="G79" s="13">
        <f t="shared" si="18"/>
        <v>20</v>
      </c>
      <c r="H79" s="13">
        <f t="shared" si="18"/>
        <v>25</v>
      </c>
      <c r="I79" s="13">
        <f t="shared" si="18"/>
        <v>38</v>
      </c>
      <c r="J79" s="13">
        <f t="shared" si="18"/>
        <v>31</v>
      </c>
      <c r="K79" s="13">
        <f t="shared" si="18"/>
        <v>38</v>
      </c>
      <c r="L79" s="13">
        <f t="shared" si="18"/>
        <v>32</v>
      </c>
      <c r="M79" s="13">
        <f t="shared" si="18"/>
        <v>16</v>
      </c>
      <c r="N79" s="13">
        <f t="shared" si="18"/>
        <v>38</v>
      </c>
      <c r="O79" s="13">
        <f t="shared" si="18"/>
        <v>17</v>
      </c>
      <c r="P79" s="13">
        <f t="shared" si="18"/>
        <v>10</v>
      </c>
      <c r="Q79" s="13">
        <f t="shared" si="18"/>
        <v>17</v>
      </c>
      <c r="R79" s="13">
        <f t="shared" si="18"/>
        <v>50</v>
      </c>
      <c r="S79" s="13">
        <f t="shared" si="18"/>
        <v>25</v>
      </c>
      <c r="T79" s="13">
        <f t="shared" si="18"/>
        <v>27</v>
      </c>
      <c r="U79" s="13">
        <f t="shared" si="18"/>
        <v>452</v>
      </c>
    </row>
    <row r="80" spans="1:21" ht="12.75" customHeight="1" x14ac:dyDescent="0.4">
      <c r="A80" s="86"/>
      <c r="B80" s="68"/>
      <c r="C80" s="68"/>
      <c r="D80" s="68"/>
      <c r="E80" s="68"/>
    </row>
    <row r="81" spans="1:21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2</v>
      </c>
      <c r="F81" s="16">
        <v>1</v>
      </c>
      <c r="G81" s="16">
        <v>4</v>
      </c>
      <c r="H81" s="16">
        <v>4</v>
      </c>
      <c r="I81" s="16">
        <v>2</v>
      </c>
      <c r="J81" s="16">
        <v>1</v>
      </c>
      <c r="K81" s="16">
        <v>2</v>
      </c>
      <c r="L81" s="16">
        <v>2</v>
      </c>
      <c r="M81" s="16">
        <v>0</v>
      </c>
      <c r="N81" s="16">
        <v>2</v>
      </c>
      <c r="O81" s="16">
        <v>2</v>
      </c>
      <c r="P81" s="16">
        <v>1</v>
      </c>
      <c r="Q81" s="16">
        <v>2</v>
      </c>
      <c r="R81" s="16">
        <v>1</v>
      </c>
      <c r="S81" s="16">
        <v>1</v>
      </c>
      <c r="T81" s="16">
        <v>0</v>
      </c>
      <c r="U81" s="13">
        <f t="shared" ref="U81:U90" si="19">SUM(E81:T81)</f>
        <v>27</v>
      </c>
    </row>
    <row r="82" spans="1:21" ht="12.75" customHeight="1" x14ac:dyDescent="0.4">
      <c r="A82" s="20" t="s">
        <v>38</v>
      </c>
      <c r="B82" s="28"/>
      <c r="C82" s="29" t="s">
        <v>61</v>
      </c>
      <c r="D82" s="30"/>
      <c r="E82" s="16">
        <v>4</v>
      </c>
      <c r="F82" s="16">
        <v>4</v>
      </c>
      <c r="G82" s="16">
        <v>14</v>
      </c>
      <c r="H82" s="16">
        <v>4</v>
      </c>
      <c r="I82" s="16">
        <v>4</v>
      </c>
      <c r="J82" s="16">
        <v>5</v>
      </c>
      <c r="K82" s="16">
        <v>2</v>
      </c>
      <c r="L82" s="16">
        <v>2</v>
      </c>
      <c r="M82" s="16">
        <v>0</v>
      </c>
      <c r="N82" s="16">
        <v>0</v>
      </c>
      <c r="O82" s="16">
        <v>6</v>
      </c>
      <c r="P82" s="16">
        <v>4</v>
      </c>
      <c r="Q82" s="16">
        <v>9</v>
      </c>
      <c r="R82" s="16">
        <v>9</v>
      </c>
      <c r="S82" s="16">
        <v>0</v>
      </c>
      <c r="T82" s="16">
        <v>0</v>
      </c>
      <c r="U82" s="13">
        <f t="shared" si="19"/>
        <v>67</v>
      </c>
    </row>
    <row r="83" spans="1:21" ht="12.75" customHeight="1" x14ac:dyDescent="0.4">
      <c r="A83" s="15"/>
      <c r="B83" s="28"/>
      <c r="C83" s="29" t="s">
        <v>62</v>
      </c>
      <c r="D83" s="30"/>
      <c r="E83" s="16">
        <v>0</v>
      </c>
      <c r="F83" s="16">
        <v>0</v>
      </c>
      <c r="G83" s="16">
        <v>0</v>
      </c>
      <c r="H83" s="16">
        <v>0</v>
      </c>
      <c r="I83" s="16">
        <v>0</v>
      </c>
      <c r="J83" s="16">
        <v>0</v>
      </c>
      <c r="K83" s="16">
        <v>0</v>
      </c>
      <c r="L83" s="16">
        <v>0</v>
      </c>
      <c r="M83" s="16">
        <v>0</v>
      </c>
      <c r="N83" s="16">
        <v>0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5</v>
      </c>
      <c r="U83" s="13">
        <f t="shared" si="19"/>
        <v>5</v>
      </c>
    </row>
    <row r="84" spans="1:21" ht="12.75" customHeight="1" x14ac:dyDescent="0.4">
      <c r="A84" s="15"/>
      <c r="B84" s="28"/>
      <c r="C84" s="29" t="s">
        <v>63</v>
      </c>
      <c r="D84" s="30"/>
      <c r="E84" s="16">
        <v>1</v>
      </c>
      <c r="F84" s="16">
        <v>0</v>
      </c>
      <c r="G84" s="16">
        <v>1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3">
        <f t="shared" si="19"/>
        <v>3</v>
      </c>
    </row>
    <row r="85" spans="1:21" ht="12.75" customHeight="1" x14ac:dyDescent="0.4">
      <c r="A85" s="15"/>
      <c r="B85" s="28"/>
      <c r="C85" s="29" t="s">
        <v>64</v>
      </c>
      <c r="D85" s="30"/>
      <c r="E85" s="16">
        <v>1</v>
      </c>
      <c r="F85" s="16">
        <v>0</v>
      </c>
      <c r="G85" s="16">
        <v>2</v>
      </c>
      <c r="H85" s="16">
        <v>1</v>
      </c>
      <c r="I85" s="16">
        <v>0</v>
      </c>
      <c r="J85" s="16">
        <v>1</v>
      </c>
      <c r="K85" s="16">
        <v>1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1</v>
      </c>
      <c r="U85" s="13">
        <f t="shared" si="19"/>
        <v>7</v>
      </c>
    </row>
    <row r="86" spans="1:21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0</v>
      </c>
      <c r="H86" s="16">
        <v>0</v>
      </c>
      <c r="I86" s="16">
        <v>1</v>
      </c>
      <c r="J86" s="16">
        <v>0</v>
      </c>
      <c r="K86" s="16">
        <v>0</v>
      </c>
      <c r="L86" s="16">
        <v>0</v>
      </c>
      <c r="M86" s="16">
        <v>1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3">
        <f t="shared" si="19"/>
        <v>2</v>
      </c>
    </row>
    <row r="87" spans="1:21" ht="12.75" customHeight="1" x14ac:dyDescent="0.4">
      <c r="A87" s="15"/>
      <c r="B87" s="28"/>
      <c r="C87" s="29" t="s">
        <v>66</v>
      </c>
      <c r="D87" s="30"/>
      <c r="E87" s="16">
        <v>0</v>
      </c>
      <c r="F87" s="16">
        <v>0</v>
      </c>
      <c r="G87" s="16">
        <v>0</v>
      </c>
      <c r="H87" s="16">
        <v>0</v>
      </c>
      <c r="I87" s="16">
        <v>3</v>
      </c>
      <c r="J87" s="16">
        <v>5</v>
      </c>
      <c r="K87" s="16">
        <v>1</v>
      </c>
      <c r="L87" s="16">
        <v>4</v>
      </c>
      <c r="M87" s="16">
        <v>4</v>
      </c>
      <c r="N87" s="16">
        <v>0</v>
      </c>
      <c r="O87" s="16">
        <v>0</v>
      </c>
      <c r="P87" s="16">
        <v>0</v>
      </c>
      <c r="Q87" s="16">
        <v>1</v>
      </c>
      <c r="R87" s="16">
        <v>0</v>
      </c>
      <c r="S87" s="16">
        <v>1</v>
      </c>
      <c r="T87" s="16">
        <v>2</v>
      </c>
      <c r="U87" s="13">
        <f t="shared" si="19"/>
        <v>21</v>
      </c>
    </row>
    <row r="88" spans="1:21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13">
        <f t="shared" si="19"/>
        <v>0</v>
      </c>
    </row>
    <row r="89" spans="1:21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13">
        <f t="shared" si="19"/>
        <v>0</v>
      </c>
    </row>
    <row r="90" spans="1:21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13">
        <f t="shared" si="19"/>
        <v>0</v>
      </c>
    </row>
    <row r="91" spans="1:21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U91" si="20">SUM(E81:E90)</f>
        <v>8</v>
      </c>
      <c r="F91" s="13">
        <f t="shared" si="20"/>
        <v>5</v>
      </c>
      <c r="G91" s="13">
        <f t="shared" si="20"/>
        <v>21</v>
      </c>
      <c r="H91" s="13">
        <f t="shared" si="20"/>
        <v>9</v>
      </c>
      <c r="I91" s="13">
        <f t="shared" si="20"/>
        <v>11</v>
      </c>
      <c r="J91" s="13">
        <f t="shared" si="20"/>
        <v>12</v>
      </c>
      <c r="K91" s="13">
        <f t="shared" si="20"/>
        <v>6</v>
      </c>
      <c r="L91" s="13">
        <f t="shared" si="20"/>
        <v>8</v>
      </c>
      <c r="M91" s="13">
        <f t="shared" si="20"/>
        <v>5</v>
      </c>
      <c r="N91" s="13">
        <f t="shared" si="20"/>
        <v>2</v>
      </c>
      <c r="O91" s="13">
        <f t="shared" si="20"/>
        <v>8</v>
      </c>
      <c r="P91" s="13">
        <f t="shared" si="20"/>
        <v>5</v>
      </c>
      <c r="Q91" s="13">
        <f t="shared" si="20"/>
        <v>12</v>
      </c>
      <c r="R91" s="13">
        <f t="shared" si="20"/>
        <v>10</v>
      </c>
      <c r="S91" s="13">
        <f t="shared" si="20"/>
        <v>2</v>
      </c>
      <c r="T91" s="13">
        <f t="shared" si="20"/>
        <v>8</v>
      </c>
      <c r="U91" s="13">
        <f t="shared" si="20"/>
        <v>132</v>
      </c>
    </row>
    <row r="92" spans="1:21" ht="12.75" customHeight="1" x14ac:dyDescent="0.4">
      <c r="A92" s="86"/>
      <c r="B92" s="68"/>
      <c r="C92" s="68"/>
      <c r="D92" s="68"/>
      <c r="E92" s="68"/>
    </row>
    <row r="93" spans="1:21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1</v>
      </c>
      <c r="F93" s="16">
        <v>0</v>
      </c>
      <c r="G93" s="16">
        <v>1</v>
      </c>
      <c r="H93" s="16">
        <v>3</v>
      </c>
      <c r="I93" s="16">
        <v>0</v>
      </c>
      <c r="J93" s="16">
        <v>6</v>
      </c>
      <c r="K93" s="16">
        <v>15</v>
      </c>
      <c r="L93" s="16">
        <v>9</v>
      </c>
      <c r="M93" s="16">
        <v>1</v>
      </c>
      <c r="N93" s="16">
        <v>4</v>
      </c>
      <c r="O93" s="16">
        <v>0</v>
      </c>
      <c r="P93" s="16">
        <v>0</v>
      </c>
      <c r="Q93" s="16">
        <v>2</v>
      </c>
      <c r="R93" s="16">
        <v>0</v>
      </c>
      <c r="S93" s="16">
        <v>0</v>
      </c>
      <c r="T93" s="16">
        <v>1</v>
      </c>
      <c r="U93" s="13">
        <f t="shared" ref="U93:U102" si="21">SUM(E93:T93)</f>
        <v>43</v>
      </c>
    </row>
    <row r="94" spans="1:21" ht="12.75" customHeight="1" x14ac:dyDescent="0.4">
      <c r="A94" s="20" t="s">
        <v>38</v>
      </c>
      <c r="B94" s="28"/>
      <c r="C94" s="29" t="s">
        <v>69</v>
      </c>
      <c r="D94" s="30"/>
      <c r="E94" s="16">
        <v>0</v>
      </c>
      <c r="F94" s="16">
        <v>0</v>
      </c>
      <c r="G94" s="16">
        <v>1</v>
      </c>
      <c r="H94" s="16">
        <v>1</v>
      </c>
      <c r="I94" s="16">
        <v>0</v>
      </c>
      <c r="J94" s="16">
        <v>1</v>
      </c>
      <c r="K94" s="16">
        <v>0</v>
      </c>
      <c r="L94" s="16">
        <v>2</v>
      </c>
      <c r="M94" s="16">
        <v>0</v>
      </c>
      <c r="N94" s="16">
        <v>0</v>
      </c>
      <c r="O94" s="16">
        <v>0</v>
      </c>
      <c r="P94" s="16">
        <v>0</v>
      </c>
      <c r="Q94" s="16">
        <v>0</v>
      </c>
      <c r="R94" s="16">
        <v>0</v>
      </c>
      <c r="S94" s="16">
        <v>1</v>
      </c>
      <c r="T94" s="16">
        <v>2</v>
      </c>
      <c r="U94" s="13">
        <f t="shared" si="21"/>
        <v>8</v>
      </c>
    </row>
    <row r="95" spans="1:21" ht="12.75" customHeight="1" x14ac:dyDescent="0.4">
      <c r="A95" s="15"/>
      <c r="B95" s="28"/>
      <c r="C95" s="29" t="s">
        <v>70</v>
      </c>
      <c r="D95" s="30"/>
      <c r="E95" s="16">
        <v>1</v>
      </c>
      <c r="F95" s="16">
        <v>0</v>
      </c>
      <c r="G95" s="16">
        <v>1</v>
      </c>
      <c r="H95" s="16">
        <v>2</v>
      </c>
      <c r="I95" s="16">
        <v>0</v>
      </c>
      <c r="J95" s="16">
        <v>3</v>
      </c>
      <c r="K95" s="16">
        <v>1</v>
      </c>
      <c r="L95" s="16">
        <v>4</v>
      </c>
      <c r="M95" s="16">
        <v>12</v>
      </c>
      <c r="N95" s="16">
        <v>5</v>
      </c>
      <c r="O95" s="16">
        <v>15</v>
      </c>
      <c r="P95" s="16">
        <v>2</v>
      </c>
      <c r="Q95" s="16">
        <v>2</v>
      </c>
      <c r="R95" s="16">
        <v>0</v>
      </c>
      <c r="S95" s="16">
        <v>4</v>
      </c>
      <c r="T95" s="16">
        <v>1</v>
      </c>
      <c r="U95" s="13">
        <f t="shared" si="21"/>
        <v>53</v>
      </c>
    </row>
    <row r="96" spans="1:21" ht="12.75" customHeight="1" x14ac:dyDescent="0.4">
      <c r="A96" s="15"/>
      <c r="B96" s="28"/>
      <c r="C96" s="29" t="s">
        <v>71</v>
      </c>
      <c r="D96" s="30"/>
      <c r="E96" s="16">
        <v>1</v>
      </c>
      <c r="F96" s="16">
        <v>1</v>
      </c>
      <c r="G96" s="16">
        <v>5</v>
      </c>
      <c r="H96" s="16">
        <v>3</v>
      </c>
      <c r="I96" s="16">
        <v>0</v>
      </c>
      <c r="J96" s="16">
        <v>1</v>
      </c>
      <c r="K96" s="16">
        <v>1</v>
      </c>
      <c r="L96" s="16">
        <v>2</v>
      </c>
      <c r="M96" s="16">
        <v>17</v>
      </c>
      <c r="N96" s="16">
        <v>21</v>
      </c>
      <c r="O96" s="16">
        <v>17</v>
      </c>
      <c r="P96" s="16">
        <v>0</v>
      </c>
      <c r="Q96" s="16">
        <v>0</v>
      </c>
      <c r="R96" s="16">
        <v>0</v>
      </c>
      <c r="S96" s="16">
        <v>1</v>
      </c>
      <c r="T96" s="16">
        <v>1</v>
      </c>
      <c r="U96" s="13">
        <f t="shared" si="21"/>
        <v>71</v>
      </c>
    </row>
    <row r="97" spans="1:21" ht="12.75" customHeight="1" x14ac:dyDescent="0.4">
      <c r="A97" s="15"/>
      <c r="B97" s="28"/>
      <c r="C97" s="29" t="s">
        <v>72</v>
      </c>
      <c r="D97" s="30"/>
      <c r="E97" s="16">
        <v>0</v>
      </c>
      <c r="F97" s="16">
        <v>0</v>
      </c>
      <c r="G97" s="16">
        <v>0</v>
      </c>
      <c r="H97" s="16">
        <v>0</v>
      </c>
      <c r="I97" s="16">
        <v>1</v>
      </c>
      <c r="J97" s="16">
        <v>1</v>
      </c>
      <c r="K97" s="16">
        <v>0</v>
      </c>
      <c r="L97" s="16">
        <v>0</v>
      </c>
      <c r="M97" s="16">
        <v>0</v>
      </c>
      <c r="N97" s="16">
        <v>0</v>
      </c>
      <c r="O97" s="16">
        <v>0</v>
      </c>
      <c r="P97" s="16">
        <v>0</v>
      </c>
      <c r="Q97" s="16">
        <v>0</v>
      </c>
      <c r="R97" s="16">
        <v>0</v>
      </c>
      <c r="S97" s="16">
        <v>0</v>
      </c>
      <c r="T97" s="16">
        <v>1</v>
      </c>
      <c r="U97" s="13">
        <f t="shared" si="21"/>
        <v>3</v>
      </c>
    </row>
    <row r="98" spans="1:21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1</v>
      </c>
      <c r="G98" s="16">
        <v>0</v>
      </c>
      <c r="H98" s="16">
        <v>0</v>
      </c>
      <c r="I98" s="16">
        <v>1</v>
      </c>
      <c r="J98" s="16">
        <v>16</v>
      </c>
      <c r="K98" s="16">
        <v>40</v>
      </c>
      <c r="L98" s="16">
        <v>58</v>
      </c>
      <c r="M98" s="16">
        <v>63</v>
      </c>
      <c r="N98" s="16">
        <v>1</v>
      </c>
      <c r="O98" s="16">
        <v>6</v>
      </c>
      <c r="P98" s="16">
        <v>0</v>
      </c>
      <c r="Q98" s="16">
        <v>1</v>
      </c>
      <c r="R98" s="16">
        <v>0</v>
      </c>
      <c r="S98" s="16">
        <v>4</v>
      </c>
      <c r="T98" s="16">
        <v>0</v>
      </c>
      <c r="U98" s="13">
        <f t="shared" si="21"/>
        <v>191</v>
      </c>
    </row>
    <row r="99" spans="1:21" ht="12.75" customHeight="1" x14ac:dyDescent="0.4">
      <c r="A99" s="15"/>
      <c r="B99" s="28"/>
      <c r="C99" s="29" t="s">
        <v>74</v>
      </c>
      <c r="D99" s="30"/>
      <c r="E99" s="16">
        <v>0</v>
      </c>
      <c r="F99" s="16">
        <v>0</v>
      </c>
      <c r="G99" s="16">
        <v>0</v>
      </c>
      <c r="H99" s="16">
        <v>0</v>
      </c>
      <c r="I99" s="16">
        <v>1</v>
      </c>
      <c r="J99" s="16">
        <v>0</v>
      </c>
      <c r="K99" s="16">
        <v>2</v>
      </c>
      <c r="L99" s="16">
        <v>0</v>
      </c>
      <c r="M99" s="16">
        <v>0</v>
      </c>
      <c r="N99" s="16">
        <v>0</v>
      </c>
      <c r="O99" s="16">
        <v>0</v>
      </c>
      <c r="P99" s="16">
        <v>0</v>
      </c>
      <c r="Q99" s="16">
        <v>0</v>
      </c>
      <c r="R99" s="16">
        <v>0</v>
      </c>
      <c r="S99" s="16">
        <v>2</v>
      </c>
      <c r="T99" s="16">
        <v>2</v>
      </c>
      <c r="U99" s="13">
        <f t="shared" si="21"/>
        <v>7</v>
      </c>
    </row>
    <row r="100" spans="1:21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13">
        <f t="shared" si="21"/>
        <v>0</v>
      </c>
    </row>
    <row r="101" spans="1:21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13">
        <f t="shared" si="21"/>
        <v>0</v>
      </c>
    </row>
    <row r="102" spans="1:21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13">
        <f t="shared" si="21"/>
        <v>0</v>
      </c>
    </row>
    <row r="103" spans="1:21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U103" si="22">SUM(E93:E102)</f>
        <v>3</v>
      </c>
      <c r="F103" s="13">
        <f t="shared" si="22"/>
        <v>2</v>
      </c>
      <c r="G103" s="13">
        <f t="shared" si="22"/>
        <v>8</v>
      </c>
      <c r="H103" s="13">
        <f t="shared" si="22"/>
        <v>9</v>
      </c>
      <c r="I103" s="13">
        <f t="shared" si="22"/>
        <v>3</v>
      </c>
      <c r="J103" s="13">
        <f t="shared" si="22"/>
        <v>28</v>
      </c>
      <c r="K103" s="13">
        <f t="shared" si="22"/>
        <v>59</v>
      </c>
      <c r="L103" s="13">
        <f t="shared" si="22"/>
        <v>75</v>
      </c>
      <c r="M103" s="13">
        <f t="shared" si="22"/>
        <v>93</v>
      </c>
      <c r="N103" s="13">
        <f t="shared" si="22"/>
        <v>31</v>
      </c>
      <c r="O103" s="13">
        <f t="shared" si="22"/>
        <v>38</v>
      </c>
      <c r="P103" s="13">
        <f t="shared" si="22"/>
        <v>2</v>
      </c>
      <c r="Q103" s="13">
        <f t="shared" si="22"/>
        <v>5</v>
      </c>
      <c r="R103" s="13">
        <f t="shared" si="22"/>
        <v>0</v>
      </c>
      <c r="S103" s="13">
        <f t="shared" si="22"/>
        <v>12</v>
      </c>
      <c r="T103" s="13">
        <f t="shared" si="22"/>
        <v>8</v>
      </c>
      <c r="U103" s="13">
        <f t="shared" si="22"/>
        <v>376</v>
      </c>
    </row>
    <row r="104" spans="1:21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</row>
    <row r="105" spans="1:21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1</v>
      </c>
      <c r="G105" s="16">
        <v>2</v>
      </c>
      <c r="H105" s="16">
        <v>0</v>
      </c>
      <c r="I105" s="16">
        <v>2</v>
      </c>
      <c r="J105" s="16">
        <v>2</v>
      </c>
      <c r="K105" s="16">
        <v>0</v>
      </c>
      <c r="L105" s="16">
        <v>1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1</v>
      </c>
      <c r="T105" s="16">
        <v>1</v>
      </c>
      <c r="U105" s="13">
        <f t="shared" ref="U105:U114" si="23">SUM(E105:T105)</f>
        <v>10</v>
      </c>
    </row>
    <row r="106" spans="1:21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1</v>
      </c>
      <c r="G106" s="16">
        <v>0</v>
      </c>
      <c r="H106" s="16">
        <v>0</v>
      </c>
      <c r="I106" s="16">
        <v>1</v>
      </c>
      <c r="J106" s="16">
        <v>0</v>
      </c>
      <c r="K106" s="16">
        <v>0</v>
      </c>
      <c r="L106" s="16">
        <v>0</v>
      </c>
      <c r="M106" s="16">
        <v>0</v>
      </c>
      <c r="N106" s="16">
        <v>1</v>
      </c>
      <c r="O106" s="16">
        <v>2</v>
      </c>
      <c r="P106" s="16">
        <v>0</v>
      </c>
      <c r="Q106" s="16">
        <v>0</v>
      </c>
      <c r="R106" s="16">
        <v>0</v>
      </c>
      <c r="S106" s="16">
        <v>0</v>
      </c>
      <c r="T106" s="16">
        <v>0</v>
      </c>
      <c r="U106" s="13">
        <f t="shared" si="23"/>
        <v>5</v>
      </c>
    </row>
    <row r="107" spans="1:21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13">
        <f t="shared" si="23"/>
        <v>0</v>
      </c>
    </row>
    <row r="108" spans="1:21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13">
        <f t="shared" si="23"/>
        <v>0</v>
      </c>
    </row>
    <row r="109" spans="1:21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13">
        <f t="shared" si="23"/>
        <v>0</v>
      </c>
    </row>
    <row r="110" spans="1:21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13">
        <f t="shared" si="23"/>
        <v>0</v>
      </c>
    </row>
    <row r="111" spans="1:21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13">
        <f t="shared" si="23"/>
        <v>0</v>
      </c>
    </row>
    <row r="112" spans="1:21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13">
        <f t="shared" si="23"/>
        <v>0</v>
      </c>
    </row>
    <row r="113" spans="1:21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13">
        <f t="shared" si="23"/>
        <v>0</v>
      </c>
    </row>
    <row r="114" spans="1:21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13">
        <f t="shared" si="23"/>
        <v>0</v>
      </c>
    </row>
    <row r="115" spans="1:21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U115" si="24">SUM(E105:E114)</f>
        <v>0</v>
      </c>
      <c r="F115" s="13">
        <f t="shared" si="24"/>
        <v>2</v>
      </c>
      <c r="G115" s="13">
        <f t="shared" si="24"/>
        <v>2</v>
      </c>
      <c r="H115" s="13">
        <f t="shared" si="24"/>
        <v>0</v>
      </c>
      <c r="I115" s="13">
        <f t="shared" si="24"/>
        <v>3</v>
      </c>
      <c r="J115" s="13">
        <f t="shared" si="24"/>
        <v>2</v>
      </c>
      <c r="K115" s="13">
        <f t="shared" si="24"/>
        <v>0</v>
      </c>
      <c r="L115" s="13">
        <f t="shared" si="24"/>
        <v>1</v>
      </c>
      <c r="M115" s="13">
        <f t="shared" si="24"/>
        <v>0</v>
      </c>
      <c r="N115" s="13">
        <f t="shared" si="24"/>
        <v>1</v>
      </c>
      <c r="O115" s="13">
        <f t="shared" si="24"/>
        <v>2</v>
      </c>
      <c r="P115" s="13">
        <f t="shared" si="24"/>
        <v>0</v>
      </c>
      <c r="Q115" s="13">
        <f t="shared" si="24"/>
        <v>0</v>
      </c>
      <c r="R115" s="13">
        <f t="shared" si="24"/>
        <v>0</v>
      </c>
      <c r="S115" s="13">
        <f t="shared" si="24"/>
        <v>1</v>
      </c>
      <c r="T115" s="13">
        <f t="shared" si="24"/>
        <v>1</v>
      </c>
      <c r="U115" s="13">
        <f t="shared" si="24"/>
        <v>15</v>
      </c>
    </row>
    <row r="116" spans="1:21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13"/>
    </row>
    <row r="117" spans="1:21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1</v>
      </c>
      <c r="F117" s="16">
        <v>0</v>
      </c>
      <c r="G117" s="16">
        <v>1</v>
      </c>
      <c r="H117" s="16">
        <v>1</v>
      </c>
      <c r="I117" s="16">
        <v>1</v>
      </c>
      <c r="J117" s="16">
        <v>2</v>
      </c>
      <c r="K117" s="16">
        <v>1</v>
      </c>
      <c r="L117" s="16">
        <v>1</v>
      </c>
      <c r="M117" s="16">
        <v>1</v>
      </c>
      <c r="N117" s="16">
        <v>6</v>
      </c>
      <c r="O117" s="16">
        <v>0</v>
      </c>
      <c r="P117" s="16">
        <v>4</v>
      </c>
      <c r="Q117" s="16">
        <v>8</v>
      </c>
      <c r="R117" s="16">
        <v>7</v>
      </c>
      <c r="S117" s="16">
        <v>1</v>
      </c>
      <c r="T117" s="16">
        <v>1</v>
      </c>
      <c r="U117" s="13">
        <f t="shared" ref="U117:U126" si="25">SUM(E117:T117)</f>
        <v>36</v>
      </c>
    </row>
    <row r="118" spans="1:21" ht="12.75" customHeight="1" x14ac:dyDescent="0.4">
      <c r="A118" s="20" t="s">
        <v>38</v>
      </c>
      <c r="B118" s="28"/>
      <c r="C118" s="29" t="s">
        <v>80</v>
      </c>
      <c r="D118" s="30"/>
      <c r="E118" s="16">
        <v>4</v>
      </c>
      <c r="F118" s="16">
        <v>4</v>
      </c>
      <c r="G118" s="16">
        <v>3</v>
      </c>
      <c r="H118" s="16">
        <v>17</v>
      </c>
      <c r="I118" s="16">
        <v>4</v>
      </c>
      <c r="J118" s="16">
        <v>2</v>
      </c>
      <c r="K118" s="16">
        <v>6</v>
      </c>
      <c r="L118" s="16">
        <v>4</v>
      </c>
      <c r="M118" s="16">
        <v>1</v>
      </c>
      <c r="N118" s="16">
        <v>8</v>
      </c>
      <c r="O118" s="16">
        <v>1</v>
      </c>
      <c r="P118" s="16">
        <v>44</v>
      </c>
      <c r="Q118" s="16">
        <v>32</v>
      </c>
      <c r="R118" s="16">
        <v>40</v>
      </c>
      <c r="S118" s="16">
        <v>6</v>
      </c>
      <c r="T118" s="16">
        <v>9</v>
      </c>
      <c r="U118" s="13">
        <f t="shared" si="25"/>
        <v>185</v>
      </c>
    </row>
    <row r="119" spans="1:21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1</v>
      </c>
      <c r="G119" s="16">
        <v>1</v>
      </c>
      <c r="H119" s="16">
        <v>0</v>
      </c>
      <c r="I119" s="16">
        <v>0</v>
      </c>
      <c r="J119" s="16">
        <v>0</v>
      </c>
      <c r="K119" s="16">
        <v>1</v>
      </c>
      <c r="L119" s="16">
        <v>0</v>
      </c>
      <c r="M119" s="16">
        <v>0</v>
      </c>
      <c r="N119" s="16">
        <v>0</v>
      </c>
      <c r="O119" s="16">
        <v>0</v>
      </c>
      <c r="P119" s="16">
        <v>1</v>
      </c>
      <c r="Q119" s="16">
        <v>1</v>
      </c>
      <c r="R119" s="16">
        <v>2</v>
      </c>
      <c r="S119" s="16">
        <v>2</v>
      </c>
      <c r="T119" s="16">
        <v>0</v>
      </c>
      <c r="U119" s="13">
        <f t="shared" si="25"/>
        <v>9</v>
      </c>
    </row>
    <row r="120" spans="1:21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1</v>
      </c>
      <c r="L120" s="16">
        <v>0</v>
      </c>
      <c r="M120" s="16">
        <v>0</v>
      </c>
      <c r="N120" s="16">
        <v>0</v>
      </c>
      <c r="O120" s="16">
        <v>0</v>
      </c>
      <c r="P120" s="16">
        <v>0</v>
      </c>
      <c r="Q120" s="16">
        <v>1</v>
      </c>
      <c r="R120" s="16">
        <v>0</v>
      </c>
      <c r="S120" s="16">
        <v>0</v>
      </c>
      <c r="T120" s="16">
        <v>0</v>
      </c>
      <c r="U120" s="13">
        <f t="shared" si="25"/>
        <v>2</v>
      </c>
    </row>
    <row r="121" spans="1:21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1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53">
        <v>0</v>
      </c>
      <c r="U121" s="13">
        <f t="shared" si="25"/>
        <v>1</v>
      </c>
    </row>
    <row r="122" spans="1:21" ht="12.75" customHeight="1" x14ac:dyDescent="0.4">
      <c r="A122" s="52"/>
      <c r="B122" s="28"/>
      <c r="C122" s="29" t="s">
        <v>84</v>
      </c>
      <c r="D122" s="30"/>
      <c r="E122" s="53">
        <v>1</v>
      </c>
      <c r="F122" s="53">
        <v>0</v>
      </c>
      <c r="G122" s="53">
        <v>0</v>
      </c>
      <c r="H122" s="53">
        <v>4</v>
      </c>
      <c r="I122" s="53">
        <v>0</v>
      </c>
      <c r="J122" s="53">
        <v>1</v>
      </c>
      <c r="K122" s="53">
        <v>0</v>
      </c>
      <c r="L122" s="53">
        <v>1</v>
      </c>
      <c r="M122" s="53">
        <v>1</v>
      </c>
      <c r="N122" s="53">
        <v>5</v>
      </c>
      <c r="O122" s="53">
        <v>0</v>
      </c>
      <c r="P122" s="16">
        <v>2</v>
      </c>
      <c r="Q122" s="53">
        <v>0</v>
      </c>
      <c r="R122" s="53">
        <v>0</v>
      </c>
      <c r="S122" s="53">
        <v>7</v>
      </c>
      <c r="T122" s="53">
        <v>6</v>
      </c>
      <c r="U122" s="13">
        <f t="shared" si="25"/>
        <v>28</v>
      </c>
    </row>
    <row r="123" spans="1:21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0</v>
      </c>
      <c r="Q123" s="41">
        <v>0</v>
      </c>
      <c r="R123" s="41">
        <v>0</v>
      </c>
      <c r="S123" s="41">
        <v>0</v>
      </c>
      <c r="T123" s="41">
        <v>0</v>
      </c>
      <c r="U123" s="13">
        <f t="shared" si="25"/>
        <v>0</v>
      </c>
    </row>
    <row r="124" spans="1:21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13">
        <f t="shared" si="25"/>
        <v>0</v>
      </c>
    </row>
    <row r="125" spans="1:21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13">
        <f t="shared" si="25"/>
        <v>0</v>
      </c>
    </row>
    <row r="126" spans="1:21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13">
        <f t="shared" si="25"/>
        <v>0</v>
      </c>
    </row>
    <row r="127" spans="1:21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U127" si="26">SUM(E117:E126)</f>
        <v>6</v>
      </c>
      <c r="F127" s="13">
        <f t="shared" si="26"/>
        <v>5</v>
      </c>
      <c r="G127" s="13">
        <f t="shared" si="26"/>
        <v>5</v>
      </c>
      <c r="H127" s="13">
        <f t="shared" si="26"/>
        <v>22</v>
      </c>
      <c r="I127" s="13">
        <f t="shared" si="26"/>
        <v>5</v>
      </c>
      <c r="J127" s="13">
        <f t="shared" si="26"/>
        <v>6</v>
      </c>
      <c r="K127" s="13">
        <f t="shared" si="26"/>
        <v>9</v>
      </c>
      <c r="L127" s="13">
        <f t="shared" si="26"/>
        <v>6</v>
      </c>
      <c r="M127" s="13">
        <f t="shared" si="26"/>
        <v>3</v>
      </c>
      <c r="N127" s="13">
        <f t="shared" si="26"/>
        <v>19</v>
      </c>
      <c r="O127" s="13">
        <f t="shared" si="26"/>
        <v>1</v>
      </c>
      <c r="P127" s="13">
        <f t="shared" si="26"/>
        <v>51</v>
      </c>
      <c r="Q127" s="13">
        <f t="shared" si="26"/>
        <v>42</v>
      </c>
      <c r="R127" s="13">
        <f t="shared" si="26"/>
        <v>49</v>
      </c>
      <c r="S127" s="13">
        <f t="shared" si="26"/>
        <v>16</v>
      </c>
      <c r="T127" s="13">
        <f t="shared" si="26"/>
        <v>16</v>
      </c>
      <c r="U127" s="13">
        <f t="shared" si="26"/>
        <v>261</v>
      </c>
    </row>
    <row r="128" spans="1:21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</row>
    <row r="129" spans="1:21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9</v>
      </c>
      <c r="F129" s="16">
        <v>1</v>
      </c>
      <c r="G129" s="16">
        <v>4</v>
      </c>
      <c r="H129" s="16">
        <v>5</v>
      </c>
      <c r="I129" s="16">
        <v>3</v>
      </c>
      <c r="J129" s="16">
        <v>0</v>
      </c>
      <c r="K129" s="16">
        <v>3</v>
      </c>
      <c r="L129" s="16">
        <v>8</v>
      </c>
      <c r="M129" s="16">
        <v>2</v>
      </c>
      <c r="N129" s="16">
        <v>2</v>
      </c>
      <c r="O129" s="16">
        <v>0</v>
      </c>
      <c r="P129" s="16">
        <v>1</v>
      </c>
      <c r="Q129" s="16">
        <v>2</v>
      </c>
      <c r="R129" s="16">
        <v>3</v>
      </c>
      <c r="S129" s="16">
        <v>2</v>
      </c>
      <c r="T129" s="16">
        <v>1</v>
      </c>
      <c r="U129" s="13">
        <f t="shared" ref="U129:U138" si="27">SUM(E129:T129)</f>
        <v>46</v>
      </c>
    </row>
    <row r="130" spans="1:21" ht="12.75" customHeight="1" x14ac:dyDescent="0.4">
      <c r="A130" s="20" t="s">
        <v>38</v>
      </c>
      <c r="B130" s="28"/>
      <c r="C130" s="29" t="s">
        <v>88</v>
      </c>
      <c r="D130" s="30"/>
      <c r="E130" s="16">
        <v>39</v>
      </c>
      <c r="F130" s="16">
        <v>5</v>
      </c>
      <c r="G130" s="16">
        <v>8</v>
      </c>
      <c r="H130" s="16">
        <v>9</v>
      </c>
      <c r="I130" s="16">
        <v>47</v>
      </c>
      <c r="J130" s="16">
        <v>17</v>
      </c>
      <c r="K130" s="16">
        <v>3</v>
      </c>
      <c r="L130" s="16">
        <v>8</v>
      </c>
      <c r="M130" s="16">
        <v>9</v>
      </c>
      <c r="N130" s="16">
        <v>9</v>
      </c>
      <c r="O130" s="16">
        <v>14</v>
      </c>
      <c r="P130" s="16">
        <v>23</v>
      </c>
      <c r="Q130" s="16">
        <v>39</v>
      </c>
      <c r="R130" s="16">
        <v>23</v>
      </c>
      <c r="S130" s="16">
        <v>23</v>
      </c>
      <c r="T130" s="16">
        <v>37</v>
      </c>
      <c r="U130" s="13">
        <f t="shared" si="27"/>
        <v>313</v>
      </c>
    </row>
    <row r="131" spans="1:21" ht="12.75" customHeight="1" x14ac:dyDescent="0.4">
      <c r="A131" s="15"/>
      <c r="B131" s="28"/>
      <c r="C131" s="29" t="s">
        <v>89</v>
      </c>
      <c r="D131" s="30"/>
      <c r="E131" s="16">
        <v>1</v>
      </c>
      <c r="F131" s="16">
        <v>0</v>
      </c>
      <c r="G131" s="16">
        <v>0</v>
      </c>
      <c r="H131" s="16">
        <v>0</v>
      </c>
      <c r="I131" s="16">
        <v>1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1</v>
      </c>
      <c r="P131" s="16">
        <v>0</v>
      </c>
      <c r="Q131" s="16">
        <v>0</v>
      </c>
      <c r="R131" s="16">
        <v>0</v>
      </c>
      <c r="S131" s="16">
        <v>0</v>
      </c>
      <c r="T131" s="16">
        <v>2</v>
      </c>
      <c r="U131" s="13">
        <f t="shared" si="27"/>
        <v>5</v>
      </c>
    </row>
    <row r="132" spans="1:21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1</v>
      </c>
      <c r="M132" s="16">
        <v>1</v>
      </c>
      <c r="N132" s="16">
        <v>0</v>
      </c>
      <c r="O132" s="16">
        <v>0</v>
      </c>
      <c r="P132" s="16">
        <v>0</v>
      </c>
      <c r="Q132" s="16">
        <v>0</v>
      </c>
      <c r="R132" s="16">
        <v>0</v>
      </c>
      <c r="S132" s="16">
        <v>0</v>
      </c>
      <c r="T132" s="16">
        <v>0</v>
      </c>
      <c r="U132" s="13">
        <f t="shared" si="27"/>
        <v>2</v>
      </c>
    </row>
    <row r="133" spans="1:21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1</v>
      </c>
      <c r="N133" s="16">
        <v>0</v>
      </c>
      <c r="O133" s="16">
        <v>0</v>
      </c>
      <c r="P133" s="16">
        <v>0</v>
      </c>
      <c r="Q133" s="16">
        <v>0</v>
      </c>
      <c r="R133" s="16">
        <v>0</v>
      </c>
      <c r="S133" s="16">
        <v>0</v>
      </c>
      <c r="T133" s="16">
        <v>0</v>
      </c>
      <c r="U133" s="13">
        <f t="shared" si="27"/>
        <v>1</v>
      </c>
    </row>
    <row r="134" spans="1:21" ht="12.75" customHeight="1" x14ac:dyDescent="0.4">
      <c r="A134" s="15"/>
      <c r="B134" s="28"/>
      <c r="C134" s="29" t="s">
        <v>92</v>
      </c>
      <c r="D134" s="30"/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0</v>
      </c>
      <c r="Q134" s="16">
        <v>0</v>
      </c>
      <c r="R134" s="16">
        <v>0</v>
      </c>
      <c r="S134" s="16">
        <v>0</v>
      </c>
      <c r="T134" s="16">
        <v>2</v>
      </c>
      <c r="U134" s="13">
        <f t="shared" si="27"/>
        <v>2</v>
      </c>
    </row>
    <row r="135" spans="1:21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13</v>
      </c>
      <c r="G135" s="16">
        <v>3</v>
      </c>
      <c r="H135" s="16">
        <v>4</v>
      </c>
      <c r="I135" s="16">
        <v>2</v>
      </c>
      <c r="J135" s="16">
        <v>0</v>
      </c>
      <c r="K135" s="16">
        <v>2</v>
      </c>
      <c r="L135" s="16">
        <v>3</v>
      </c>
      <c r="M135" s="16">
        <v>0</v>
      </c>
      <c r="N135" s="16">
        <v>9</v>
      </c>
      <c r="O135" s="16">
        <v>1</v>
      </c>
      <c r="P135" s="16">
        <v>0</v>
      </c>
      <c r="Q135" s="16">
        <v>0</v>
      </c>
      <c r="R135" s="16">
        <v>1</v>
      </c>
      <c r="S135" s="16">
        <v>1</v>
      </c>
      <c r="T135" s="16">
        <v>9</v>
      </c>
      <c r="U135" s="13">
        <f t="shared" si="27"/>
        <v>48</v>
      </c>
    </row>
    <row r="136" spans="1:21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13">
        <f t="shared" si="27"/>
        <v>0</v>
      </c>
    </row>
    <row r="137" spans="1:21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13">
        <f t="shared" si="27"/>
        <v>0</v>
      </c>
    </row>
    <row r="138" spans="1:21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13">
        <f t="shared" si="27"/>
        <v>0</v>
      </c>
    </row>
    <row r="139" spans="1:21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U139" si="28">SUM(E129:E138)</f>
        <v>49</v>
      </c>
      <c r="F139" s="13">
        <f t="shared" si="28"/>
        <v>19</v>
      </c>
      <c r="G139" s="13">
        <f t="shared" si="28"/>
        <v>15</v>
      </c>
      <c r="H139" s="13">
        <f t="shared" si="28"/>
        <v>18</v>
      </c>
      <c r="I139" s="13">
        <f t="shared" si="28"/>
        <v>53</v>
      </c>
      <c r="J139" s="13">
        <f t="shared" si="28"/>
        <v>17</v>
      </c>
      <c r="K139" s="13">
        <f t="shared" si="28"/>
        <v>8</v>
      </c>
      <c r="L139" s="13">
        <f t="shared" si="28"/>
        <v>20</v>
      </c>
      <c r="M139" s="13">
        <f t="shared" si="28"/>
        <v>13</v>
      </c>
      <c r="N139" s="13">
        <f t="shared" si="28"/>
        <v>20</v>
      </c>
      <c r="O139" s="13">
        <f t="shared" si="28"/>
        <v>16</v>
      </c>
      <c r="P139" s="13">
        <f t="shared" si="28"/>
        <v>24</v>
      </c>
      <c r="Q139" s="13">
        <f t="shared" si="28"/>
        <v>41</v>
      </c>
      <c r="R139" s="13">
        <f t="shared" si="28"/>
        <v>27</v>
      </c>
      <c r="S139" s="13">
        <f t="shared" si="28"/>
        <v>26</v>
      </c>
      <c r="T139" s="13">
        <f t="shared" si="28"/>
        <v>51</v>
      </c>
      <c r="U139" s="13">
        <f t="shared" si="28"/>
        <v>417</v>
      </c>
    </row>
    <row r="140" spans="1:21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</row>
    <row r="141" spans="1:21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6">
        <v>0</v>
      </c>
      <c r="U141" s="13">
        <f t="shared" ref="U141:U150" si="29">SUM(E141:T141)</f>
        <v>0</v>
      </c>
    </row>
    <row r="142" spans="1:21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6">
        <v>0</v>
      </c>
      <c r="T142" s="16">
        <v>0</v>
      </c>
      <c r="U142" s="13">
        <f t="shared" si="29"/>
        <v>0</v>
      </c>
    </row>
    <row r="143" spans="1:21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13">
        <f t="shared" si="29"/>
        <v>0</v>
      </c>
    </row>
    <row r="144" spans="1:21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13">
        <f t="shared" si="29"/>
        <v>0</v>
      </c>
    </row>
    <row r="145" spans="1:21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13">
        <f t="shared" si="29"/>
        <v>0</v>
      </c>
    </row>
    <row r="146" spans="1:21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13">
        <f t="shared" si="29"/>
        <v>0</v>
      </c>
    </row>
    <row r="147" spans="1:21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13">
        <f t="shared" si="29"/>
        <v>0</v>
      </c>
    </row>
    <row r="148" spans="1:21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13">
        <f t="shared" si="29"/>
        <v>0</v>
      </c>
    </row>
    <row r="149" spans="1:21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13">
        <f t="shared" si="29"/>
        <v>0</v>
      </c>
    </row>
    <row r="150" spans="1:21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13">
        <f t="shared" si="29"/>
        <v>0</v>
      </c>
    </row>
    <row r="151" spans="1:21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U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0</v>
      </c>
      <c r="M151" s="13">
        <f t="shared" si="30"/>
        <v>0</v>
      </c>
      <c r="N151" s="13">
        <f t="shared" si="30"/>
        <v>0</v>
      </c>
      <c r="O151" s="13">
        <f t="shared" si="30"/>
        <v>0</v>
      </c>
      <c r="P151" s="13">
        <f t="shared" si="30"/>
        <v>0</v>
      </c>
      <c r="Q151" s="13">
        <f t="shared" si="30"/>
        <v>0</v>
      </c>
      <c r="R151" s="13">
        <f t="shared" si="30"/>
        <v>0</v>
      </c>
      <c r="S151" s="13">
        <f t="shared" si="30"/>
        <v>0</v>
      </c>
      <c r="T151" s="13">
        <f t="shared" si="30"/>
        <v>0</v>
      </c>
      <c r="U151" s="13">
        <f t="shared" si="30"/>
        <v>0</v>
      </c>
    </row>
    <row r="152" spans="1:21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13"/>
    </row>
    <row r="153" spans="1:21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2</v>
      </c>
      <c r="F153" s="16">
        <v>1</v>
      </c>
      <c r="G153" s="16">
        <v>1</v>
      </c>
      <c r="H153" s="16">
        <v>0</v>
      </c>
      <c r="I153" s="16">
        <v>0</v>
      </c>
      <c r="J153" s="16">
        <v>0</v>
      </c>
      <c r="K153" s="16">
        <v>1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0</v>
      </c>
      <c r="T153" s="16">
        <v>0</v>
      </c>
      <c r="U153" s="13">
        <f t="shared" ref="U153:U162" si="31">SUM(E153:T153)</f>
        <v>5</v>
      </c>
    </row>
    <row r="154" spans="1:21" ht="12.75" customHeight="1" x14ac:dyDescent="0.4">
      <c r="A154" s="42" t="s">
        <v>38</v>
      </c>
      <c r="B154" s="28"/>
      <c r="C154" s="29" t="s">
        <v>99</v>
      </c>
      <c r="D154" s="30"/>
      <c r="E154" s="55">
        <v>12</v>
      </c>
      <c r="F154" s="16">
        <v>5</v>
      </c>
      <c r="G154" s="16">
        <v>1</v>
      </c>
      <c r="H154" s="16">
        <v>2</v>
      </c>
      <c r="I154" s="16">
        <v>0</v>
      </c>
      <c r="J154" s="16">
        <v>1</v>
      </c>
      <c r="K154" s="16">
        <v>0</v>
      </c>
      <c r="L154" s="16">
        <v>1</v>
      </c>
      <c r="M154" s="16">
        <v>1</v>
      </c>
      <c r="N154" s="16">
        <v>2</v>
      </c>
      <c r="O154" s="16">
        <v>2</v>
      </c>
      <c r="P154" s="16">
        <v>1</v>
      </c>
      <c r="Q154" s="16">
        <v>3</v>
      </c>
      <c r="R154" s="16">
        <v>0</v>
      </c>
      <c r="S154" s="16">
        <v>0</v>
      </c>
      <c r="T154" s="16">
        <v>1</v>
      </c>
      <c r="U154" s="13">
        <f t="shared" si="31"/>
        <v>32</v>
      </c>
    </row>
    <row r="155" spans="1:21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1</v>
      </c>
      <c r="P155" s="16">
        <v>0</v>
      </c>
      <c r="Q155" s="16">
        <v>0</v>
      </c>
      <c r="R155" s="16">
        <v>0</v>
      </c>
      <c r="S155" s="16">
        <v>0</v>
      </c>
      <c r="T155" s="16">
        <v>0</v>
      </c>
      <c r="U155" s="13">
        <f t="shared" si="31"/>
        <v>1</v>
      </c>
    </row>
    <row r="156" spans="1:21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2</v>
      </c>
      <c r="H156" s="16">
        <v>0</v>
      </c>
      <c r="I156" s="16">
        <v>0</v>
      </c>
      <c r="J156" s="16">
        <v>0</v>
      </c>
      <c r="K156" s="16">
        <v>0</v>
      </c>
      <c r="L156" s="16">
        <v>4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0</v>
      </c>
      <c r="T156" s="16">
        <v>0</v>
      </c>
      <c r="U156" s="13">
        <f t="shared" si="31"/>
        <v>6</v>
      </c>
    </row>
    <row r="157" spans="1:21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1</v>
      </c>
      <c r="K157" s="16">
        <v>1</v>
      </c>
      <c r="L157" s="16">
        <v>0</v>
      </c>
      <c r="M157" s="16">
        <v>0</v>
      </c>
      <c r="N157" s="16">
        <v>1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0</v>
      </c>
      <c r="U157" s="13">
        <f t="shared" si="31"/>
        <v>3</v>
      </c>
    </row>
    <row r="158" spans="1:21" ht="12.75" customHeight="1" x14ac:dyDescent="0.4">
      <c r="A158" s="52"/>
      <c r="B158" s="28"/>
      <c r="C158" s="29" t="s">
        <v>103</v>
      </c>
      <c r="D158" s="30"/>
      <c r="E158" s="56">
        <v>0</v>
      </c>
      <c r="F158" s="53">
        <v>0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0</v>
      </c>
      <c r="M158" s="53">
        <v>0</v>
      </c>
      <c r="N158" s="53">
        <v>0</v>
      </c>
      <c r="O158" s="53">
        <v>0</v>
      </c>
      <c r="P158" s="16">
        <v>0</v>
      </c>
      <c r="Q158" s="53">
        <v>0</v>
      </c>
      <c r="R158" s="53">
        <v>0</v>
      </c>
      <c r="S158" s="53">
        <v>1</v>
      </c>
      <c r="T158" s="53">
        <v>0</v>
      </c>
      <c r="U158" s="13">
        <f t="shared" si="31"/>
        <v>1</v>
      </c>
    </row>
    <row r="159" spans="1:21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0</v>
      </c>
      <c r="T159" s="53"/>
      <c r="U159" s="13">
        <f t="shared" si="31"/>
        <v>0</v>
      </c>
    </row>
    <row r="160" spans="1:21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13">
        <f t="shared" si="31"/>
        <v>0</v>
      </c>
    </row>
    <row r="161" spans="1:21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13">
        <f t="shared" si="31"/>
        <v>0</v>
      </c>
    </row>
    <row r="162" spans="1:21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13">
        <f t="shared" si="31"/>
        <v>0</v>
      </c>
    </row>
    <row r="163" spans="1:21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U163" si="32">SUM(E153:E162)</f>
        <v>14</v>
      </c>
      <c r="F163" s="13">
        <f t="shared" si="32"/>
        <v>6</v>
      </c>
      <c r="G163" s="13">
        <f t="shared" si="32"/>
        <v>4</v>
      </c>
      <c r="H163" s="13">
        <f t="shared" si="32"/>
        <v>2</v>
      </c>
      <c r="I163" s="13">
        <f t="shared" si="32"/>
        <v>0</v>
      </c>
      <c r="J163" s="13">
        <f t="shared" si="32"/>
        <v>2</v>
      </c>
      <c r="K163" s="13">
        <f t="shared" si="32"/>
        <v>2</v>
      </c>
      <c r="L163" s="13">
        <f t="shared" si="32"/>
        <v>5</v>
      </c>
      <c r="M163" s="13">
        <f t="shared" si="32"/>
        <v>1</v>
      </c>
      <c r="N163" s="13">
        <f t="shared" si="32"/>
        <v>3</v>
      </c>
      <c r="O163" s="13">
        <f t="shared" si="32"/>
        <v>3</v>
      </c>
      <c r="P163" s="13">
        <f t="shared" si="32"/>
        <v>1</v>
      </c>
      <c r="Q163" s="13">
        <f t="shared" si="32"/>
        <v>3</v>
      </c>
      <c r="R163" s="13">
        <f t="shared" si="32"/>
        <v>0</v>
      </c>
      <c r="S163" s="13">
        <f t="shared" si="32"/>
        <v>1</v>
      </c>
      <c r="T163" s="13">
        <f t="shared" si="32"/>
        <v>1</v>
      </c>
      <c r="U163" s="13">
        <f t="shared" si="32"/>
        <v>48</v>
      </c>
    </row>
    <row r="164" spans="1:21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</row>
    <row r="165" spans="1:21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1</v>
      </c>
      <c r="O165" s="16">
        <v>0</v>
      </c>
      <c r="P165" s="16">
        <v>2</v>
      </c>
      <c r="Q165" s="16">
        <v>0</v>
      </c>
      <c r="R165" s="16">
        <v>0</v>
      </c>
      <c r="S165" s="16">
        <v>0</v>
      </c>
      <c r="T165" s="16">
        <v>0</v>
      </c>
      <c r="U165" s="13">
        <f t="shared" ref="U165:U174" si="33">SUM(E165:T165)</f>
        <v>3</v>
      </c>
    </row>
    <row r="166" spans="1:21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13">
        <f t="shared" si="33"/>
        <v>0</v>
      </c>
    </row>
    <row r="167" spans="1:21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13">
        <f t="shared" si="33"/>
        <v>0</v>
      </c>
    </row>
    <row r="168" spans="1:21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13">
        <f t="shared" si="33"/>
        <v>0</v>
      </c>
    </row>
    <row r="169" spans="1:21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13">
        <f t="shared" si="33"/>
        <v>0</v>
      </c>
    </row>
    <row r="170" spans="1:21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13">
        <f t="shared" si="33"/>
        <v>0</v>
      </c>
    </row>
    <row r="171" spans="1:21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13">
        <f t="shared" si="33"/>
        <v>0</v>
      </c>
    </row>
    <row r="172" spans="1:21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13">
        <f t="shared" si="33"/>
        <v>0</v>
      </c>
    </row>
    <row r="173" spans="1:21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13">
        <f t="shared" si="33"/>
        <v>0</v>
      </c>
    </row>
    <row r="174" spans="1:21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13">
        <f t="shared" si="33"/>
        <v>0</v>
      </c>
    </row>
    <row r="175" spans="1:21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U175" si="34">SUM(E165:E174)</f>
        <v>0</v>
      </c>
      <c r="F175" s="13">
        <f t="shared" si="34"/>
        <v>0</v>
      </c>
      <c r="G175" s="13">
        <f t="shared" si="34"/>
        <v>0</v>
      </c>
      <c r="H175" s="13">
        <f t="shared" si="34"/>
        <v>0</v>
      </c>
      <c r="I175" s="13">
        <f t="shared" si="34"/>
        <v>0</v>
      </c>
      <c r="J175" s="13">
        <f t="shared" si="34"/>
        <v>0</v>
      </c>
      <c r="K175" s="13">
        <f t="shared" si="34"/>
        <v>0</v>
      </c>
      <c r="L175" s="13">
        <f t="shared" si="34"/>
        <v>0</v>
      </c>
      <c r="M175" s="13">
        <f t="shared" si="34"/>
        <v>0</v>
      </c>
      <c r="N175" s="13">
        <f t="shared" si="34"/>
        <v>1</v>
      </c>
      <c r="O175" s="13">
        <f t="shared" si="34"/>
        <v>0</v>
      </c>
      <c r="P175" s="13">
        <f t="shared" si="34"/>
        <v>2</v>
      </c>
      <c r="Q175" s="13">
        <f t="shared" si="34"/>
        <v>0</v>
      </c>
      <c r="R175" s="13">
        <f t="shared" si="34"/>
        <v>0</v>
      </c>
      <c r="S175" s="13">
        <f t="shared" si="34"/>
        <v>0</v>
      </c>
      <c r="T175" s="13">
        <f t="shared" si="34"/>
        <v>0</v>
      </c>
      <c r="U175" s="13">
        <f t="shared" si="34"/>
        <v>3</v>
      </c>
    </row>
    <row r="176" spans="1:21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</row>
    <row r="177" spans="1:21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1</v>
      </c>
      <c r="F177" s="16">
        <v>0</v>
      </c>
      <c r="G177" s="16">
        <v>0</v>
      </c>
      <c r="H177" s="16">
        <v>0</v>
      </c>
      <c r="I177" s="16">
        <v>0</v>
      </c>
      <c r="J177" s="16">
        <v>1</v>
      </c>
      <c r="K177" s="16">
        <v>0</v>
      </c>
      <c r="L177" s="16">
        <v>1</v>
      </c>
      <c r="M177" s="16">
        <v>1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3">
        <f t="shared" ref="U177:U186" si="35">SUM(E177:T177)</f>
        <v>4</v>
      </c>
    </row>
    <row r="178" spans="1:21" ht="12.75" customHeight="1" x14ac:dyDescent="0.4">
      <c r="A178" s="20" t="s">
        <v>38</v>
      </c>
      <c r="B178" s="28"/>
      <c r="C178" s="29" t="s">
        <v>109</v>
      </c>
      <c r="D178" s="30"/>
      <c r="E178" s="16">
        <v>1</v>
      </c>
      <c r="F178" s="16">
        <v>0</v>
      </c>
      <c r="G178" s="16">
        <v>1</v>
      </c>
      <c r="H178" s="16">
        <v>0</v>
      </c>
      <c r="I178" s="16">
        <v>0</v>
      </c>
      <c r="J178" s="16">
        <v>1</v>
      </c>
      <c r="K178" s="16">
        <v>0</v>
      </c>
      <c r="L178" s="16">
        <v>0</v>
      </c>
      <c r="M178" s="16">
        <v>0</v>
      </c>
      <c r="N178" s="16">
        <v>1</v>
      </c>
      <c r="O178" s="16">
        <v>0</v>
      </c>
      <c r="P178" s="16">
        <v>0</v>
      </c>
      <c r="Q178" s="16">
        <v>0</v>
      </c>
      <c r="R178" s="16">
        <v>1</v>
      </c>
      <c r="S178" s="16">
        <v>1</v>
      </c>
      <c r="T178" s="16">
        <v>0</v>
      </c>
      <c r="U178" s="13">
        <f t="shared" si="35"/>
        <v>6</v>
      </c>
    </row>
    <row r="179" spans="1:21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3">
        <f t="shared" si="35"/>
        <v>0</v>
      </c>
    </row>
    <row r="180" spans="1:21" ht="12.75" customHeight="1" x14ac:dyDescent="0.4">
      <c r="A180" s="15"/>
      <c r="B180" s="28"/>
      <c r="C180" s="29" t="s">
        <v>111</v>
      </c>
      <c r="D180" s="30"/>
      <c r="E180" s="16">
        <v>1</v>
      </c>
      <c r="F180" s="16">
        <v>0</v>
      </c>
      <c r="G180" s="16">
        <v>0</v>
      </c>
      <c r="H180" s="16">
        <v>1</v>
      </c>
      <c r="I180" s="16">
        <v>0</v>
      </c>
      <c r="J180" s="16">
        <v>1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1</v>
      </c>
      <c r="Q180" s="16">
        <v>0</v>
      </c>
      <c r="R180" s="16">
        <v>0</v>
      </c>
      <c r="S180" s="16">
        <v>0</v>
      </c>
      <c r="T180" s="16">
        <v>2</v>
      </c>
      <c r="U180" s="13">
        <f t="shared" si="35"/>
        <v>6</v>
      </c>
    </row>
    <row r="181" spans="1:21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1</v>
      </c>
      <c r="O181" s="16">
        <v>1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3">
        <f t="shared" si="35"/>
        <v>2</v>
      </c>
    </row>
    <row r="182" spans="1:21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1</v>
      </c>
      <c r="H182" s="16">
        <v>1</v>
      </c>
      <c r="I182" s="16">
        <v>0</v>
      </c>
      <c r="J182" s="16">
        <v>0</v>
      </c>
      <c r="K182" s="16">
        <v>0</v>
      </c>
      <c r="L182" s="16">
        <v>1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1</v>
      </c>
      <c r="T182" s="16">
        <v>0</v>
      </c>
      <c r="U182" s="13">
        <f t="shared" si="35"/>
        <v>4</v>
      </c>
    </row>
    <row r="183" spans="1:21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3">
        <f t="shared" si="35"/>
        <v>0</v>
      </c>
    </row>
    <row r="184" spans="1:21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13">
        <f t="shared" si="35"/>
        <v>0</v>
      </c>
    </row>
    <row r="185" spans="1:21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13">
        <f t="shared" si="35"/>
        <v>0</v>
      </c>
    </row>
    <row r="186" spans="1:21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13">
        <f t="shared" si="35"/>
        <v>0</v>
      </c>
    </row>
    <row r="187" spans="1:21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U187" si="36">SUM(E177:E186)</f>
        <v>3</v>
      </c>
      <c r="F187" s="13">
        <f t="shared" si="36"/>
        <v>0</v>
      </c>
      <c r="G187" s="13">
        <f t="shared" si="36"/>
        <v>2</v>
      </c>
      <c r="H187" s="13">
        <f t="shared" si="36"/>
        <v>2</v>
      </c>
      <c r="I187" s="13">
        <f t="shared" si="36"/>
        <v>0</v>
      </c>
      <c r="J187" s="13">
        <f t="shared" si="36"/>
        <v>3</v>
      </c>
      <c r="K187" s="13">
        <f t="shared" si="36"/>
        <v>0</v>
      </c>
      <c r="L187" s="13">
        <f t="shared" si="36"/>
        <v>2</v>
      </c>
      <c r="M187" s="13">
        <f t="shared" si="36"/>
        <v>1</v>
      </c>
      <c r="N187" s="13">
        <f t="shared" si="36"/>
        <v>2</v>
      </c>
      <c r="O187" s="13">
        <f t="shared" si="36"/>
        <v>1</v>
      </c>
      <c r="P187" s="13">
        <f t="shared" si="36"/>
        <v>1</v>
      </c>
      <c r="Q187" s="13">
        <f t="shared" si="36"/>
        <v>0</v>
      </c>
      <c r="R187" s="13">
        <f t="shared" si="36"/>
        <v>1</v>
      </c>
      <c r="S187" s="13">
        <f t="shared" si="36"/>
        <v>2</v>
      </c>
      <c r="T187" s="13">
        <f t="shared" si="36"/>
        <v>2</v>
      </c>
      <c r="U187" s="13">
        <f t="shared" si="36"/>
        <v>22</v>
      </c>
    </row>
    <row r="188" spans="1:21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T188" s="54"/>
      <c r="U188" s="13"/>
    </row>
    <row r="189" spans="1:21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1</v>
      </c>
      <c r="F189" s="16">
        <v>3</v>
      </c>
      <c r="G189" s="16">
        <v>2</v>
      </c>
      <c r="H189" s="16">
        <v>1</v>
      </c>
      <c r="I189" s="16">
        <v>2</v>
      </c>
      <c r="J189" s="16">
        <v>2</v>
      </c>
      <c r="K189" s="16">
        <v>0</v>
      </c>
      <c r="L189" s="16">
        <v>1</v>
      </c>
      <c r="M189" s="16">
        <v>0</v>
      </c>
      <c r="N189" s="16">
        <v>1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3">
        <f t="shared" ref="U189:U198" si="37">SUM(E189:T189)</f>
        <v>13</v>
      </c>
    </row>
    <row r="190" spans="1:21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1</v>
      </c>
      <c r="Q190" s="16">
        <v>0</v>
      </c>
      <c r="R190" s="16">
        <v>0</v>
      </c>
      <c r="S190" s="16">
        <v>0</v>
      </c>
      <c r="T190" s="16">
        <v>0</v>
      </c>
      <c r="U190" s="13">
        <f t="shared" si="37"/>
        <v>1</v>
      </c>
    </row>
    <row r="191" spans="1:21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1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1</v>
      </c>
      <c r="S191" s="16">
        <v>0</v>
      </c>
      <c r="T191" s="16">
        <v>0</v>
      </c>
      <c r="U191" s="13">
        <f t="shared" si="37"/>
        <v>2</v>
      </c>
    </row>
    <row r="192" spans="1:21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1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3">
        <f t="shared" si="37"/>
        <v>1</v>
      </c>
    </row>
    <row r="193" spans="1:21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1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3">
        <f t="shared" si="37"/>
        <v>1</v>
      </c>
    </row>
    <row r="194" spans="1:21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1</v>
      </c>
      <c r="Q194" s="16">
        <v>0</v>
      </c>
      <c r="R194" s="16">
        <v>0</v>
      </c>
      <c r="S194" s="16">
        <v>0</v>
      </c>
      <c r="T194" s="16">
        <v>0</v>
      </c>
      <c r="U194" s="13">
        <f t="shared" si="37"/>
        <v>1</v>
      </c>
    </row>
    <row r="195" spans="1:21" ht="12.75" customHeight="1" x14ac:dyDescent="0.4">
      <c r="A195" s="15"/>
      <c r="B195" s="28"/>
      <c r="C195" s="29" t="s">
        <v>122</v>
      </c>
      <c r="D195" s="30"/>
      <c r="E195" s="16">
        <v>25</v>
      </c>
      <c r="F195" s="16">
        <v>48</v>
      </c>
      <c r="G195" s="16">
        <v>28</v>
      </c>
      <c r="H195" s="16">
        <v>7</v>
      </c>
      <c r="I195" s="16">
        <v>12</v>
      </c>
      <c r="J195" s="16">
        <v>9</v>
      </c>
      <c r="K195" s="16">
        <v>6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1</v>
      </c>
      <c r="S195" s="16">
        <v>0</v>
      </c>
      <c r="T195" s="16">
        <v>0</v>
      </c>
      <c r="U195" s="13">
        <f t="shared" si="37"/>
        <v>136</v>
      </c>
    </row>
    <row r="196" spans="1:21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13">
        <f t="shared" si="37"/>
        <v>0</v>
      </c>
    </row>
    <row r="197" spans="1:21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13">
        <f t="shared" si="37"/>
        <v>0</v>
      </c>
    </row>
    <row r="198" spans="1:21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13">
        <f t="shared" si="37"/>
        <v>0</v>
      </c>
    </row>
    <row r="199" spans="1:21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U199" si="38">SUM(E189:E198)</f>
        <v>26</v>
      </c>
      <c r="F199" s="13">
        <f t="shared" si="38"/>
        <v>52</v>
      </c>
      <c r="G199" s="13">
        <f t="shared" si="38"/>
        <v>30</v>
      </c>
      <c r="H199" s="13">
        <f t="shared" si="38"/>
        <v>9</v>
      </c>
      <c r="I199" s="13">
        <f t="shared" si="38"/>
        <v>14</v>
      </c>
      <c r="J199" s="13">
        <f t="shared" si="38"/>
        <v>12</v>
      </c>
      <c r="K199" s="13">
        <f t="shared" si="38"/>
        <v>6</v>
      </c>
      <c r="L199" s="13">
        <f t="shared" si="38"/>
        <v>1</v>
      </c>
      <c r="M199" s="13">
        <f t="shared" si="38"/>
        <v>0</v>
      </c>
      <c r="N199" s="13">
        <f t="shared" si="38"/>
        <v>1</v>
      </c>
      <c r="O199" s="13">
        <f t="shared" si="38"/>
        <v>0</v>
      </c>
      <c r="P199" s="13">
        <f t="shared" si="38"/>
        <v>2</v>
      </c>
      <c r="Q199" s="13">
        <f t="shared" si="38"/>
        <v>0</v>
      </c>
      <c r="R199" s="13">
        <f t="shared" si="38"/>
        <v>2</v>
      </c>
      <c r="S199" s="13">
        <f t="shared" si="38"/>
        <v>0</v>
      </c>
      <c r="T199" s="13">
        <f t="shared" si="38"/>
        <v>0</v>
      </c>
      <c r="U199" s="13">
        <f t="shared" si="38"/>
        <v>155</v>
      </c>
    </row>
    <row r="200" spans="1:21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</row>
    <row r="201" spans="1:21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0</v>
      </c>
      <c r="F201" s="16">
        <v>3</v>
      </c>
      <c r="G201" s="16">
        <v>5</v>
      </c>
      <c r="H201" s="16">
        <v>10</v>
      </c>
      <c r="I201" s="16">
        <v>2</v>
      </c>
      <c r="J201" s="16">
        <v>5</v>
      </c>
      <c r="K201" s="16">
        <v>5</v>
      </c>
      <c r="L201" s="16">
        <v>2</v>
      </c>
      <c r="M201" s="16">
        <v>3</v>
      </c>
      <c r="N201" s="16">
        <v>15</v>
      </c>
      <c r="O201" s="16">
        <v>2</v>
      </c>
      <c r="P201" s="16">
        <v>9</v>
      </c>
      <c r="Q201" s="16">
        <v>9</v>
      </c>
      <c r="R201" s="16">
        <v>9</v>
      </c>
      <c r="S201" s="16">
        <v>1</v>
      </c>
      <c r="T201" s="16">
        <v>2</v>
      </c>
      <c r="U201" s="13">
        <f t="shared" ref="U201:U210" si="39">SUM(E201:T201)</f>
        <v>82</v>
      </c>
    </row>
    <row r="202" spans="1:21" ht="12.75" customHeight="1" x14ac:dyDescent="0.4">
      <c r="A202" s="20" t="s">
        <v>38</v>
      </c>
      <c r="B202" s="28"/>
      <c r="C202" s="29" t="s">
        <v>125</v>
      </c>
      <c r="D202" s="30"/>
      <c r="E202" s="16">
        <v>0</v>
      </c>
      <c r="F202" s="16">
        <v>2</v>
      </c>
      <c r="G202" s="16">
        <v>9</v>
      </c>
      <c r="H202" s="16">
        <v>7</v>
      </c>
      <c r="I202" s="16">
        <v>13</v>
      </c>
      <c r="J202" s="16">
        <v>30</v>
      </c>
      <c r="K202" s="16">
        <v>37</v>
      </c>
      <c r="L202" s="16">
        <v>9</v>
      </c>
      <c r="M202" s="16">
        <v>25</v>
      </c>
      <c r="N202" s="16">
        <v>80</v>
      </c>
      <c r="O202" s="16">
        <v>60</v>
      </c>
      <c r="P202" s="16">
        <v>63</v>
      </c>
      <c r="Q202" s="16">
        <v>6</v>
      </c>
      <c r="R202" s="16">
        <v>4</v>
      </c>
      <c r="S202" s="16">
        <v>2</v>
      </c>
      <c r="T202" s="16">
        <v>8</v>
      </c>
      <c r="U202" s="13">
        <f t="shared" si="39"/>
        <v>355</v>
      </c>
    </row>
    <row r="203" spans="1:21" ht="12.75" customHeight="1" x14ac:dyDescent="0.4">
      <c r="A203" s="15"/>
      <c r="B203" s="28"/>
      <c r="C203" s="29" t="s">
        <v>126</v>
      </c>
      <c r="D203" s="30"/>
      <c r="E203" s="16">
        <v>4</v>
      </c>
      <c r="F203" s="16">
        <v>0</v>
      </c>
      <c r="G203" s="16">
        <v>2</v>
      </c>
      <c r="H203" s="16">
        <v>15</v>
      </c>
      <c r="I203" s="16">
        <v>0</v>
      </c>
      <c r="J203" s="16">
        <v>2</v>
      </c>
      <c r="K203" s="16">
        <v>2</v>
      </c>
      <c r="L203" s="16">
        <v>3</v>
      </c>
      <c r="M203" s="16">
        <v>1</v>
      </c>
      <c r="N203" s="16">
        <v>2</v>
      </c>
      <c r="O203" s="16">
        <v>1</v>
      </c>
      <c r="P203" s="16">
        <v>1</v>
      </c>
      <c r="Q203" s="16">
        <v>6</v>
      </c>
      <c r="R203" s="16">
        <v>3</v>
      </c>
      <c r="S203" s="16">
        <v>9</v>
      </c>
      <c r="T203" s="16">
        <v>2</v>
      </c>
      <c r="U203" s="13">
        <f t="shared" si="39"/>
        <v>53</v>
      </c>
    </row>
    <row r="204" spans="1:21" ht="12.75" customHeight="1" x14ac:dyDescent="0.4">
      <c r="A204" s="15"/>
      <c r="B204" s="28"/>
      <c r="C204" s="29" t="s">
        <v>127</v>
      </c>
      <c r="D204" s="30"/>
      <c r="E204" s="16">
        <v>2</v>
      </c>
      <c r="F204" s="16">
        <v>8</v>
      </c>
      <c r="G204" s="16">
        <v>14</v>
      </c>
      <c r="H204" s="16">
        <v>2</v>
      </c>
      <c r="I204" s="16">
        <v>7</v>
      </c>
      <c r="J204" s="16">
        <v>11</v>
      </c>
      <c r="K204" s="16">
        <v>4</v>
      </c>
      <c r="L204" s="16">
        <v>2</v>
      </c>
      <c r="M204" s="16">
        <v>4</v>
      </c>
      <c r="N204" s="16">
        <v>0</v>
      </c>
      <c r="O204" s="16">
        <v>0</v>
      </c>
      <c r="P204" s="16">
        <v>16</v>
      </c>
      <c r="Q204" s="16">
        <v>12</v>
      </c>
      <c r="R204" s="16">
        <v>31</v>
      </c>
      <c r="S204" s="16">
        <v>2</v>
      </c>
      <c r="T204" s="16">
        <v>1</v>
      </c>
      <c r="U204" s="13">
        <f t="shared" si="39"/>
        <v>116</v>
      </c>
    </row>
    <row r="205" spans="1:21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0</v>
      </c>
      <c r="H205" s="16">
        <v>0</v>
      </c>
      <c r="I205" s="16">
        <v>1</v>
      </c>
      <c r="J205" s="16">
        <v>0</v>
      </c>
      <c r="K205" s="16">
        <v>0</v>
      </c>
      <c r="L205" s="16">
        <v>0</v>
      </c>
      <c r="M205" s="16">
        <v>0</v>
      </c>
      <c r="N205" s="16">
        <v>1</v>
      </c>
      <c r="O205" s="16">
        <v>0</v>
      </c>
      <c r="P205" s="16">
        <v>0</v>
      </c>
      <c r="Q205" s="16">
        <v>0</v>
      </c>
      <c r="R205" s="16">
        <v>0</v>
      </c>
      <c r="S205" s="16">
        <v>0</v>
      </c>
      <c r="T205" s="16">
        <v>0</v>
      </c>
      <c r="U205" s="13">
        <f t="shared" si="39"/>
        <v>2</v>
      </c>
    </row>
    <row r="206" spans="1:21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0</v>
      </c>
      <c r="H206" s="16">
        <v>0</v>
      </c>
      <c r="I206" s="16">
        <v>1</v>
      </c>
      <c r="J206" s="16">
        <v>0</v>
      </c>
      <c r="K206" s="16">
        <v>0</v>
      </c>
      <c r="L206" s="16">
        <v>0</v>
      </c>
      <c r="M206" s="16">
        <v>0</v>
      </c>
      <c r="N206" s="16">
        <v>0</v>
      </c>
      <c r="O206" s="16">
        <v>0</v>
      </c>
      <c r="P206" s="16">
        <v>0</v>
      </c>
      <c r="Q206" s="16">
        <v>1</v>
      </c>
      <c r="R206" s="16">
        <v>0</v>
      </c>
      <c r="S206" s="16">
        <v>0</v>
      </c>
      <c r="T206" s="16">
        <v>2</v>
      </c>
      <c r="U206" s="13">
        <f t="shared" si="39"/>
        <v>4</v>
      </c>
    </row>
    <row r="207" spans="1:21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0</v>
      </c>
      <c r="G207" s="16">
        <v>0</v>
      </c>
      <c r="H207" s="16">
        <v>1</v>
      </c>
      <c r="I207" s="16">
        <v>0</v>
      </c>
      <c r="J207" s="16">
        <v>1</v>
      </c>
      <c r="K207" s="16">
        <v>0</v>
      </c>
      <c r="L207" s="16">
        <v>0</v>
      </c>
      <c r="M207" s="16">
        <v>0</v>
      </c>
      <c r="N207" s="16">
        <v>0</v>
      </c>
      <c r="O207" s="16">
        <v>0</v>
      </c>
      <c r="P207" s="16">
        <v>0</v>
      </c>
      <c r="Q207" s="16">
        <v>0</v>
      </c>
      <c r="R207" s="16">
        <v>0</v>
      </c>
      <c r="S207" s="16">
        <v>0</v>
      </c>
      <c r="T207" s="16">
        <v>0</v>
      </c>
      <c r="U207" s="13">
        <f t="shared" si="39"/>
        <v>2</v>
      </c>
    </row>
    <row r="208" spans="1:21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13">
        <f t="shared" si="39"/>
        <v>0</v>
      </c>
    </row>
    <row r="209" spans="1:21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13">
        <f t="shared" si="39"/>
        <v>0</v>
      </c>
    </row>
    <row r="210" spans="1:21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13">
        <f t="shared" si="39"/>
        <v>0</v>
      </c>
    </row>
    <row r="211" spans="1:21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U211" si="40">SUM(E201:E210)</f>
        <v>6</v>
      </c>
      <c r="F211" s="13">
        <f t="shared" si="40"/>
        <v>13</v>
      </c>
      <c r="G211" s="13">
        <f t="shared" si="40"/>
        <v>30</v>
      </c>
      <c r="H211" s="13">
        <f t="shared" si="40"/>
        <v>35</v>
      </c>
      <c r="I211" s="13">
        <f t="shared" si="40"/>
        <v>24</v>
      </c>
      <c r="J211" s="13">
        <f t="shared" si="40"/>
        <v>49</v>
      </c>
      <c r="K211" s="13">
        <f t="shared" si="40"/>
        <v>48</v>
      </c>
      <c r="L211" s="13">
        <f t="shared" si="40"/>
        <v>16</v>
      </c>
      <c r="M211" s="13">
        <f t="shared" si="40"/>
        <v>33</v>
      </c>
      <c r="N211" s="13">
        <f t="shared" si="40"/>
        <v>98</v>
      </c>
      <c r="O211" s="13">
        <f t="shared" si="40"/>
        <v>63</v>
      </c>
      <c r="P211" s="13">
        <f t="shared" si="40"/>
        <v>89</v>
      </c>
      <c r="Q211" s="13">
        <f t="shared" si="40"/>
        <v>34</v>
      </c>
      <c r="R211" s="13">
        <f t="shared" si="40"/>
        <v>47</v>
      </c>
      <c r="S211" s="13">
        <f t="shared" si="40"/>
        <v>14</v>
      </c>
      <c r="T211" s="13">
        <f t="shared" si="40"/>
        <v>15</v>
      </c>
      <c r="U211" s="13">
        <f t="shared" si="40"/>
        <v>614</v>
      </c>
    </row>
    <row r="212" spans="1:21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</row>
    <row r="213" spans="1:21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0</v>
      </c>
      <c r="F213" s="16">
        <v>0</v>
      </c>
      <c r="G213" s="16">
        <v>2</v>
      </c>
      <c r="H213" s="16">
        <v>1</v>
      </c>
      <c r="I213" s="16">
        <v>0</v>
      </c>
      <c r="J213" s="16">
        <v>2</v>
      </c>
      <c r="K213" s="16">
        <v>0</v>
      </c>
      <c r="L213" s="16">
        <v>2</v>
      </c>
      <c r="M213" s="16">
        <v>3</v>
      </c>
      <c r="N213" s="16">
        <v>1</v>
      </c>
      <c r="O213" s="16">
        <v>1</v>
      </c>
      <c r="P213" s="16">
        <v>1</v>
      </c>
      <c r="Q213" s="16">
        <v>1</v>
      </c>
      <c r="R213" s="16">
        <v>1</v>
      </c>
      <c r="S213" s="16">
        <v>0</v>
      </c>
      <c r="T213" s="16">
        <v>0</v>
      </c>
      <c r="U213" s="13">
        <f t="shared" ref="U213:U222" si="41">SUM(E213:T213)</f>
        <v>15</v>
      </c>
    </row>
    <row r="214" spans="1:21" ht="12.75" customHeight="1" x14ac:dyDescent="0.4">
      <c r="A214" s="20" t="s">
        <v>38</v>
      </c>
      <c r="B214" s="27"/>
      <c r="C214" s="29" t="s">
        <v>133</v>
      </c>
      <c r="D214" s="40"/>
      <c r="E214" s="16">
        <v>1</v>
      </c>
      <c r="F214" s="16">
        <v>0</v>
      </c>
      <c r="G214" s="16">
        <v>0</v>
      </c>
      <c r="H214" s="16">
        <v>0</v>
      </c>
      <c r="I214" s="16">
        <v>0</v>
      </c>
      <c r="J214" s="16">
        <v>0</v>
      </c>
      <c r="K214" s="16">
        <v>0</v>
      </c>
      <c r="L214" s="16">
        <v>0</v>
      </c>
      <c r="M214" s="16">
        <v>0</v>
      </c>
      <c r="N214" s="16">
        <v>0</v>
      </c>
      <c r="O214" s="16">
        <v>0</v>
      </c>
      <c r="P214" s="16">
        <v>0</v>
      </c>
      <c r="Q214" s="16">
        <v>0</v>
      </c>
      <c r="R214" s="16">
        <v>0</v>
      </c>
      <c r="S214" s="16">
        <v>0</v>
      </c>
      <c r="T214" s="16">
        <v>0</v>
      </c>
      <c r="U214" s="13">
        <f t="shared" si="41"/>
        <v>1</v>
      </c>
    </row>
    <row r="215" spans="1:21" ht="12.75" customHeight="1" x14ac:dyDescent="0.4">
      <c r="A215" s="15"/>
      <c r="B215" s="27"/>
      <c r="C215" s="29" t="s">
        <v>134</v>
      </c>
      <c r="D215" s="40"/>
      <c r="E215" s="16">
        <v>1</v>
      </c>
      <c r="F215" s="16">
        <v>1</v>
      </c>
      <c r="G215" s="16">
        <v>0</v>
      </c>
      <c r="H215" s="16">
        <v>0</v>
      </c>
      <c r="I215" s="16">
        <v>0</v>
      </c>
      <c r="J215" s="16">
        <v>2</v>
      </c>
      <c r="K215" s="16">
        <v>1</v>
      </c>
      <c r="L215" s="16">
        <v>0</v>
      </c>
      <c r="M215" s="16">
        <v>0</v>
      </c>
      <c r="N215" s="16">
        <v>0</v>
      </c>
      <c r="O215" s="16">
        <v>1</v>
      </c>
      <c r="P215" s="16">
        <v>0</v>
      </c>
      <c r="Q215" s="16">
        <v>0</v>
      </c>
      <c r="R215" s="16">
        <v>0</v>
      </c>
      <c r="S215" s="16">
        <v>0</v>
      </c>
      <c r="T215" s="16">
        <v>0</v>
      </c>
      <c r="U215" s="13">
        <f t="shared" si="41"/>
        <v>6</v>
      </c>
    </row>
    <row r="216" spans="1:21" ht="12.75" customHeight="1" x14ac:dyDescent="0.4">
      <c r="A216" s="15"/>
      <c r="B216" s="27"/>
      <c r="C216" s="29" t="s">
        <v>135</v>
      </c>
      <c r="D216" s="40"/>
      <c r="E216" s="16">
        <v>1</v>
      </c>
      <c r="F216" s="16">
        <v>0</v>
      </c>
      <c r="G216" s="16">
        <v>1</v>
      </c>
      <c r="H216" s="16">
        <v>0</v>
      </c>
      <c r="I216" s="16">
        <v>0</v>
      </c>
      <c r="J216" s="16">
        <v>1</v>
      </c>
      <c r="K216" s="16">
        <v>0</v>
      </c>
      <c r="L216" s="16">
        <v>0</v>
      </c>
      <c r="M216" s="16">
        <v>0</v>
      </c>
      <c r="N216" s="16">
        <v>0</v>
      </c>
      <c r="O216" s="16">
        <v>0</v>
      </c>
      <c r="P216" s="16">
        <v>0</v>
      </c>
      <c r="Q216" s="16">
        <v>0</v>
      </c>
      <c r="R216" s="16">
        <v>0</v>
      </c>
      <c r="S216" s="16">
        <v>0</v>
      </c>
      <c r="T216" s="16">
        <v>0</v>
      </c>
      <c r="U216" s="13">
        <f t="shared" si="41"/>
        <v>3</v>
      </c>
    </row>
    <row r="217" spans="1:21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0</v>
      </c>
      <c r="L217" s="16">
        <v>0</v>
      </c>
      <c r="M217" s="16">
        <v>1</v>
      </c>
      <c r="N217" s="16">
        <v>0</v>
      </c>
      <c r="O217" s="16">
        <v>0</v>
      </c>
      <c r="P217" s="16">
        <v>0</v>
      </c>
      <c r="Q217" s="16">
        <v>0</v>
      </c>
      <c r="R217" s="16">
        <v>0</v>
      </c>
      <c r="S217" s="16">
        <v>0</v>
      </c>
      <c r="T217" s="16">
        <v>0</v>
      </c>
      <c r="U217" s="13">
        <f t="shared" si="41"/>
        <v>1</v>
      </c>
    </row>
    <row r="218" spans="1:21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1</v>
      </c>
      <c r="G218" s="16">
        <v>1</v>
      </c>
      <c r="H218" s="16">
        <v>0</v>
      </c>
      <c r="I218" s="16">
        <v>0</v>
      </c>
      <c r="J218" s="16">
        <v>0</v>
      </c>
      <c r="K218" s="16">
        <v>1</v>
      </c>
      <c r="L218" s="16">
        <v>0</v>
      </c>
      <c r="M218" s="16">
        <v>0</v>
      </c>
      <c r="N218" s="16">
        <v>0</v>
      </c>
      <c r="O218" s="16">
        <v>0</v>
      </c>
      <c r="P218" s="16">
        <v>0</v>
      </c>
      <c r="Q218" s="16">
        <v>0</v>
      </c>
      <c r="R218" s="16">
        <v>0</v>
      </c>
      <c r="S218" s="16">
        <v>0</v>
      </c>
      <c r="T218" s="16">
        <v>0</v>
      </c>
      <c r="U218" s="13">
        <f t="shared" si="41"/>
        <v>3</v>
      </c>
    </row>
    <row r="219" spans="1:21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13">
        <f t="shared" si="41"/>
        <v>0</v>
      </c>
    </row>
    <row r="220" spans="1:21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13">
        <f t="shared" si="41"/>
        <v>0</v>
      </c>
    </row>
    <row r="221" spans="1:21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13">
        <f t="shared" si="41"/>
        <v>0</v>
      </c>
    </row>
    <row r="222" spans="1:21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13">
        <f t="shared" si="41"/>
        <v>0</v>
      </c>
    </row>
    <row r="223" spans="1:21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U223" si="42">SUM(E213:E222)</f>
        <v>3</v>
      </c>
      <c r="F223" s="13">
        <f t="shared" si="42"/>
        <v>2</v>
      </c>
      <c r="G223" s="13">
        <f t="shared" si="42"/>
        <v>4</v>
      </c>
      <c r="H223" s="13">
        <f t="shared" si="42"/>
        <v>1</v>
      </c>
      <c r="I223" s="13">
        <f t="shared" si="42"/>
        <v>0</v>
      </c>
      <c r="J223" s="13">
        <f t="shared" si="42"/>
        <v>5</v>
      </c>
      <c r="K223" s="13">
        <f t="shared" si="42"/>
        <v>2</v>
      </c>
      <c r="L223" s="13">
        <f t="shared" si="42"/>
        <v>2</v>
      </c>
      <c r="M223" s="13">
        <f t="shared" si="42"/>
        <v>4</v>
      </c>
      <c r="N223" s="13">
        <f t="shared" si="42"/>
        <v>1</v>
      </c>
      <c r="O223" s="13">
        <f t="shared" si="42"/>
        <v>2</v>
      </c>
      <c r="P223" s="13">
        <f t="shared" si="42"/>
        <v>1</v>
      </c>
      <c r="Q223" s="13">
        <f t="shared" si="42"/>
        <v>1</v>
      </c>
      <c r="R223" s="13">
        <f t="shared" si="42"/>
        <v>1</v>
      </c>
      <c r="S223" s="13">
        <f t="shared" si="42"/>
        <v>0</v>
      </c>
      <c r="T223" s="13">
        <f t="shared" si="42"/>
        <v>0</v>
      </c>
      <c r="U223" s="13">
        <f t="shared" si="42"/>
        <v>29</v>
      </c>
    </row>
    <row r="224" spans="1:21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</row>
    <row r="225" spans="1:21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0</v>
      </c>
      <c r="H225" s="16">
        <v>0</v>
      </c>
      <c r="I225" s="16">
        <v>0</v>
      </c>
      <c r="J225" s="16">
        <v>0</v>
      </c>
      <c r="K225" s="16">
        <v>0</v>
      </c>
      <c r="L225" s="16">
        <v>1</v>
      </c>
      <c r="M225" s="16">
        <v>0</v>
      </c>
      <c r="N225" s="16">
        <v>0</v>
      </c>
      <c r="O225" s="16">
        <v>0</v>
      </c>
      <c r="P225" s="16">
        <v>0</v>
      </c>
      <c r="Q225" s="16">
        <v>0</v>
      </c>
      <c r="R225" s="16">
        <v>0</v>
      </c>
      <c r="S225" s="16">
        <v>0</v>
      </c>
      <c r="T225" s="16">
        <v>0</v>
      </c>
      <c r="U225" s="13">
        <f t="shared" ref="U225:U234" si="43">SUM(E225:T225)</f>
        <v>1</v>
      </c>
    </row>
    <row r="226" spans="1:21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0</v>
      </c>
      <c r="L226" s="16">
        <v>0</v>
      </c>
      <c r="M226" s="16">
        <v>0</v>
      </c>
      <c r="N226" s="16">
        <v>0</v>
      </c>
      <c r="O226" s="16">
        <v>0</v>
      </c>
      <c r="P226" s="16">
        <v>0</v>
      </c>
      <c r="Q226" s="16">
        <v>2</v>
      </c>
      <c r="R226" s="16">
        <v>2</v>
      </c>
      <c r="S226" s="16">
        <v>2</v>
      </c>
      <c r="T226" s="16">
        <v>0</v>
      </c>
      <c r="U226" s="13">
        <f t="shared" si="43"/>
        <v>6</v>
      </c>
    </row>
    <row r="227" spans="1:21" ht="12.75" customHeight="1" x14ac:dyDescent="0.4">
      <c r="A227" s="15"/>
      <c r="B227" s="27"/>
      <c r="C227" s="29" t="s">
        <v>141</v>
      </c>
      <c r="D227" s="40"/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6">
        <v>0</v>
      </c>
      <c r="M227" s="16">
        <v>0</v>
      </c>
      <c r="N227" s="16">
        <v>0</v>
      </c>
      <c r="O227" s="16">
        <v>0</v>
      </c>
      <c r="P227" s="16">
        <v>0</v>
      </c>
      <c r="Q227" s="16">
        <v>0</v>
      </c>
      <c r="R227" s="16">
        <v>0</v>
      </c>
      <c r="S227" s="16">
        <v>0</v>
      </c>
      <c r="T227" s="16">
        <v>0</v>
      </c>
      <c r="U227" s="13">
        <f t="shared" si="43"/>
        <v>0</v>
      </c>
    </row>
    <row r="228" spans="1:21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6">
        <v>0</v>
      </c>
      <c r="U228" s="13">
        <f t="shared" si="43"/>
        <v>0</v>
      </c>
    </row>
    <row r="229" spans="1:21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2</v>
      </c>
      <c r="K229" s="16">
        <v>0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0</v>
      </c>
      <c r="T229" s="16">
        <v>0</v>
      </c>
      <c r="U229" s="13">
        <f t="shared" si="43"/>
        <v>2</v>
      </c>
    </row>
    <row r="230" spans="1:21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0</v>
      </c>
      <c r="G230" s="16">
        <v>0</v>
      </c>
      <c r="H230" s="16">
        <v>0</v>
      </c>
      <c r="I230" s="16">
        <v>0</v>
      </c>
      <c r="J230" s="16">
        <v>0</v>
      </c>
      <c r="K230" s="16">
        <v>0</v>
      </c>
      <c r="L230" s="16">
        <v>0</v>
      </c>
      <c r="M230" s="16">
        <v>0</v>
      </c>
      <c r="N230" s="16">
        <v>0</v>
      </c>
      <c r="O230" s="16">
        <v>0</v>
      </c>
      <c r="P230" s="16">
        <v>0</v>
      </c>
      <c r="Q230" s="16">
        <v>0</v>
      </c>
      <c r="R230" s="16">
        <v>0</v>
      </c>
      <c r="S230" s="16">
        <v>0</v>
      </c>
      <c r="T230" s="16">
        <v>0</v>
      </c>
      <c r="U230" s="13">
        <f t="shared" si="43"/>
        <v>0</v>
      </c>
    </row>
    <row r="231" spans="1:21" ht="12.75" customHeight="1" x14ac:dyDescent="0.4">
      <c r="A231" s="15"/>
      <c r="B231" s="28"/>
      <c r="C231" s="29" t="s">
        <v>145</v>
      </c>
      <c r="D231" s="30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3">
        <f t="shared" si="43"/>
        <v>0</v>
      </c>
    </row>
    <row r="232" spans="1:21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13">
        <f t="shared" si="43"/>
        <v>0</v>
      </c>
    </row>
    <row r="233" spans="1:21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13">
        <f t="shared" si="43"/>
        <v>0</v>
      </c>
    </row>
    <row r="234" spans="1:21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13">
        <f t="shared" si="43"/>
        <v>0</v>
      </c>
    </row>
    <row r="235" spans="1:21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U235" si="44">SUM(E225:E234)</f>
        <v>0</v>
      </c>
      <c r="F235" s="13">
        <f t="shared" si="44"/>
        <v>0</v>
      </c>
      <c r="G235" s="13">
        <f t="shared" si="44"/>
        <v>0</v>
      </c>
      <c r="H235" s="13">
        <f t="shared" si="44"/>
        <v>0</v>
      </c>
      <c r="I235" s="13">
        <f t="shared" si="44"/>
        <v>0</v>
      </c>
      <c r="J235" s="13">
        <f t="shared" si="44"/>
        <v>2</v>
      </c>
      <c r="K235" s="13">
        <f t="shared" si="44"/>
        <v>0</v>
      </c>
      <c r="L235" s="13">
        <f t="shared" si="44"/>
        <v>1</v>
      </c>
      <c r="M235" s="13">
        <f t="shared" si="44"/>
        <v>0</v>
      </c>
      <c r="N235" s="13">
        <f t="shared" si="44"/>
        <v>0</v>
      </c>
      <c r="O235" s="13">
        <f t="shared" si="44"/>
        <v>0</v>
      </c>
      <c r="P235" s="13">
        <f t="shared" si="44"/>
        <v>0</v>
      </c>
      <c r="Q235" s="13">
        <f t="shared" si="44"/>
        <v>2</v>
      </c>
      <c r="R235" s="13">
        <f t="shared" si="44"/>
        <v>2</v>
      </c>
      <c r="S235" s="13">
        <f t="shared" si="44"/>
        <v>2</v>
      </c>
      <c r="T235" s="13">
        <f t="shared" si="44"/>
        <v>0</v>
      </c>
      <c r="U235" s="13">
        <f t="shared" si="44"/>
        <v>9</v>
      </c>
    </row>
    <row r="236" spans="1:21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</row>
    <row r="237" spans="1:21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1</v>
      </c>
      <c r="G237" s="16">
        <v>2</v>
      </c>
      <c r="H237" s="16">
        <v>1</v>
      </c>
      <c r="I237" s="16">
        <v>0</v>
      </c>
      <c r="J237" s="16">
        <v>1</v>
      </c>
      <c r="K237" s="16">
        <v>0</v>
      </c>
      <c r="L237" s="16">
        <v>0</v>
      </c>
      <c r="M237" s="16">
        <v>0</v>
      </c>
      <c r="N237" s="16">
        <v>0</v>
      </c>
      <c r="O237" s="16">
        <v>0</v>
      </c>
      <c r="P237" s="16">
        <v>1</v>
      </c>
      <c r="Q237" s="16">
        <v>0</v>
      </c>
      <c r="R237" s="16">
        <v>0</v>
      </c>
      <c r="S237" s="16">
        <v>1</v>
      </c>
      <c r="T237" s="16">
        <v>0</v>
      </c>
      <c r="U237" s="13">
        <f t="shared" ref="U237:U246" si="45">SUM(E237:T237)</f>
        <v>7</v>
      </c>
    </row>
    <row r="238" spans="1:21" ht="12.75" customHeight="1" x14ac:dyDescent="0.4">
      <c r="A238" s="20" t="s">
        <v>38</v>
      </c>
      <c r="B238" s="28"/>
      <c r="C238" s="29" t="s">
        <v>148</v>
      </c>
      <c r="D238" s="30"/>
      <c r="E238" s="16">
        <v>1</v>
      </c>
      <c r="F238" s="16">
        <v>2</v>
      </c>
      <c r="G238" s="16">
        <v>0</v>
      </c>
      <c r="H238" s="16">
        <v>0</v>
      </c>
      <c r="I238" s="16">
        <v>0</v>
      </c>
      <c r="J238" s="16">
        <v>0</v>
      </c>
      <c r="K238" s="16">
        <v>0</v>
      </c>
      <c r="L238" s="16">
        <v>0</v>
      </c>
      <c r="M238" s="16">
        <v>1</v>
      </c>
      <c r="N238" s="16">
        <v>1</v>
      </c>
      <c r="O238" s="16">
        <v>0</v>
      </c>
      <c r="P238" s="16">
        <v>0</v>
      </c>
      <c r="Q238" s="16">
        <v>1</v>
      </c>
      <c r="R238" s="16">
        <v>0</v>
      </c>
      <c r="S238" s="16">
        <v>0</v>
      </c>
      <c r="T238" s="16">
        <v>0</v>
      </c>
      <c r="U238" s="13">
        <f t="shared" si="45"/>
        <v>6</v>
      </c>
    </row>
    <row r="239" spans="1:21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>
        <v>0</v>
      </c>
      <c r="K239" s="16">
        <v>0</v>
      </c>
      <c r="L239" s="16">
        <v>0</v>
      </c>
      <c r="M239" s="16">
        <v>0</v>
      </c>
      <c r="N239" s="16">
        <v>0</v>
      </c>
      <c r="O239" s="16">
        <v>0</v>
      </c>
      <c r="P239" s="16">
        <v>0</v>
      </c>
      <c r="Q239" s="16">
        <v>0</v>
      </c>
      <c r="R239" s="16">
        <v>0</v>
      </c>
      <c r="S239" s="16">
        <v>1</v>
      </c>
      <c r="T239" s="16">
        <v>0</v>
      </c>
      <c r="U239" s="13">
        <f t="shared" si="45"/>
        <v>1</v>
      </c>
    </row>
    <row r="240" spans="1:21" ht="12.75" customHeight="1" x14ac:dyDescent="0.4">
      <c r="A240" s="15"/>
      <c r="B240" s="28"/>
      <c r="C240" s="29" t="s">
        <v>150</v>
      </c>
      <c r="D240" s="30"/>
      <c r="E240" s="16">
        <v>0</v>
      </c>
      <c r="F240" s="16">
        <v>0</v>
      </c>
      <c r="G240" s="16">
        <v>0</v>
      </c>
      <c r="H240" s="16">
        <v>1</v>
      </c>
      <c r="I240" s="16">
        <v>0</v>
      </c>
      <c r="J240" s="16">
        <v>0</v>
      </c>
      <c r="K240" s="16">
        <v>1</v>
      </c>
      <c r="L240" s="16">
        <v>3</v>
      </c>
      <c r="M240" s="16">
        <v>3</v>
      </c>
      <c r="N240" s="16">
        <v>0</v>
      </c>
      <c r="O240" s="16">
        <v>2</v>
      </c>
      <c r="P240" s="16">
        <v>0</v>
      </c>
      <c r="Q240" s="16">
        <v>0</v>
      </c>
      <c r="R240" s="16">
        <v>0</v>
      </c>
      <c r="S240" s="16">
        <v>1</v>
      </c>
      <c r="T240" s="16">
        <v>0</v>
      </c>
      <c r="U240" s="13">
        <f t="shared" si="45"/>
        <v>11</v>
      </c>
    </row>
    <row r="241" spans="1:21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2</v>
      </c>
      <c r="I241" s="16">
        <v>0</v>
      </c>
      <c r="J241" s="16">
        <v>2</v>
      </c>
      <c r="K241" s="16">
        <v>0</v>
      </c>
      <c r="L241" s="16">
        <v>0</v>
      </c>
      <c r="M241" s="16">
        <v>1</v>
      </c>
      <c r="N241" s="16">
        <v>0</v>
      </c>
      <c r="O241" s="16">
        <v>0</v>
      </c>
      <c r="P241" s="16">
        <v>0</v>
      </c>
      <c r="Q241" s="16">
        <v>0</v>
      </c>
      <c r="R241" s="16">
        <v>0</v>
      </c>
      <c r="S241" s="16">
        <v>0</v>
      </c>
      <c r="T241" s="16">
        <v>1</v>
      </c>
      <c r="U241" s="13">
        <f t="shared" si="45"/>
        <v>6</v>
      </c>
    </row>
    <row r="242" spans="1:21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1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6">
        <v>0</v>
      </c>
      <c r="Q242" s="16">
        <v>0</v>
      </c>
      <c r="R242" s="16">
        <v>0</v>
      </c>
      <c r="S242" s="16">
        <v>0</v>
      </c>
      <c r="T242" s="16">
        <v>0</v>
      </c>
      <c r="U242" s="13">
        <f t="shared" si="45"/>
        <v>1</v>
      </c>
    </row>
    <row r="243" spans="1:21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1</v>
      </c>
      <c r="Q243" s="16">
        <v>0</v>
      </c>
      <c r="R243" s="16">
        <v>0</v>
      </c>
      <c r="S243" s="16">
        <v>1</v>
      </c>
      <c r="T243" s="16">
        <v>0</v>
      </c>
      <c r="U243" s="13">
        <f t="shared" si="45"/>
        <v>2</v>
      </c>
    </row>
    <row r="244" spans="1:21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13">
        <f t="shared" si="45"/>
        <v>0</v>
      </c>
    </row>
    <row r="245" spans="1:21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13">
        <f t="shared" si="45"/>
        <v>0</v>
      </c>
    </row>
    <row r="246" spans="1:21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13">
        <f t="shared" si="45"/>
        <v>0</v>
      </c>
    </row>
    <row r="247" spans="1:21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U247" si="46">SUM(E237:E246)</f>
        <v>1</v>
      </c>
      <c r="F247" s="13">
        <f t="shared" si="46"/>
        <v>3</v>
      </c>
      <c r="G247" s="13">
        <f t="shared" si="46"/>
        <v>2</v>
      </c>
      <c r="H247" s="13">
        <f t="shared" si="46"/>
        <v>5</v>
      </c>
      <c r="I247" s="13">
        <f t="shared" si="46"/>
        <v>0</v>
      </c>
      <c r="J247" s="13">
        <f t="shared" si="46"/>
        <v>3</v>
      </c>
      <c r="K247" s="13">
        <f t="shared" si="46"/>
        <v>1</v>
      </c>
      <c r="L247" s="13">
        <f t="shared" si="46"/>
        <v>3</v>
      </c>
      <c r="M247" s="13">
        <f t="shared" si="46"/>
        <v>5</v>
      </c>
      <c r="N247" s="13">
        <f t="shared" si="46"/>
        <v>1</v>
      </c>
      <c r="O247" s="13">
        <f t="shared" si="46"/>
        <v>2</v>
      </c>
      <c r="P247" s="13">
        <f t="shared" si="46"/>
        <v>2</v>
      </c>
      <c r="Q247" s="13">
        <f t="shared" si="46"/>
        <v>1</v>
      </c>
      <c r="R247" s="13">
        <f t="shared" si="46"/>
        <v>0</v>
      </c>
      <c r="S247" s="13">
        <f t="shared" si="46"/>
        <v>4</v>
      </c>
      <c r="T247" s="13">
        <f t="shared" si="46"/>
        <v>1</v>
      </c>
      <c r="U247" s="13">
        <f t="shared" si="46"/>
        <v>34</v>
      </c>
    </row>
    <row r="248" spans="1:21" ht="12.75" customHeight="1" x14ac:dyDescent="0.4">
      <c r="A248" s="63"/>
      <c r="B248" s="61"/>
      <c r="C248" s="61"/>
      <c r="D248" s="61"/>
      <c r="E248" s="62"/>
    </row>
    <row r="249" spans="1:21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0</v>
      </c>
      <c r="H249" s="16">
        <v>0</v>
      </c>
      <c r="I249" s="16">
        <v>0</v>
      </c>
      <c r="J249" s="16">
        <v>0</v>
      </c>
      <c r="K249" s="16">
        <v>0</v>
      </c>
      <c r="L249" s="16">
        <v>1</v>
      </c>
      <c r="M249" s="16">
        <v>0</v>
      </c>
      <c r="N249" s="16">
        <v>1</v>
      </c>
      <c r="O249" s="16">
        <v>0</v>
      </c>
      <c r="P249" s="16">
        <v>1</v>
      </c>
      <c r="Q249" s="16">
        <v>0</v>
      </c>
      <c r="R249" s="16">
        <v>0</v>
      </c>
      <c r="S249" s="16">
        <v>0</v>
      </c>
      <c r="T249" s="16">
        <v>0</v>
      </c>
      <c r="U249" s="13">
        <f t="shared" ref="U249:U258" si="47">SUM(E249:T249)</f>
        <v>3</v>
      </c>
    </row>
    <row r="250" spans="1:21" ht="12.75" customHeight="1" x14ac:dyDescent="0.4">
      <c r="A250" s="20" t="s">
        <v>38</v>
      </c>
      <c r="B250" s="27"/>
      <c r="C250" s="29" t="s">
        <v>156</v>
      </c>
      <c r="D250" s="40"/>
      <c r="E250" s="16">
        <v>0</v>
      </c>
      <c r="F250" s="16">
        <v>0</v>
      </c>
      <c r="G250" s="16">
        <v>0</v>
      </c>
      <c r="H250" s="16">
        <v>1</v>
      </c>
      <c r="I250" s="16">
        <v>0</v>
      </c>
      <c r="J250" s="16">
        <v>4</v>
      </c>
      <c r="K250" s="16">
        <v>0</v>
      </c>
      <c r="L250" s="16">
        <v>0</v>
      </c>
      <c r="M250" s="16">
        <v>0</v>
      </c>
      <c r="N250" s="16">
        <v>0</v>
      </c>
      <c r="O250" s="16">
        <v>0</v>
      </c>
      <c r="P250" s="16">
        <v>1</v>
      </c>
      <c r="Q250" s="16">
        <v>0</v>
      </c>
      <c r="R250" s="16">
        <v>0</v>
      </c>
      <c r="S250" s="16">
        <v>5</v>
      </c>
      <c r="T250" s="16">
        <v>2</v>
      </c>
      <c r="U250" s="13">
        <f t="shared" si="47"/>
        <v>13</v>
      </c>
    </row>
    <row r="251" spans="1:21" ht="12.75" customHeight="1" x14ac:dyDescent="0.4">
      <c r="A251" s="15"/>
      <c r="B251" s="27"/>
      <c r="C251" s="29" t="s">
        <v>157</v>
      </c>
      <c r="D251" s="40"/>
      <c r="E251" s="16">
        <v>2</v>
      </c>
      <c r="F251" s="16">
        <v>0</v>
      </c>
      <c r="G251" s="16">
        <v>0</v>
      </c>
      <c r="H251" s="16">
        <v>0</v>
      </c>
      <c r="I251" s="16">
        <v>1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1</v>
      </c>
      <c r="S251" s="16">
        <v>0</v>
      </c>
      <c r="T251" s="16">
        <v>0</v>
      </c>
      <c r="U251" s="13">
        <f t="shared" si="47"/>
        <v>4</v>
      </c>
    </row>
    <row r="252" spans="1:21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6">
        <v>0</v>
      </c>
      <c r="T252" s="16">
        <v>0</v>
      </c>
      <c r="U252" s="13">
        <f t="shared" si="47"/>
        <v>0</v>
      </c>
    </row>
    <row r="253" spans="1:21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6">
        <v>0</v>
      </c>
      <c r="M253" s="16">
        <v>0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6">
        <v>0</v>
      </c>
      <c r="U253" s="13">
        <f t="shared" si="47"/>
        <v>0</v>
      </c>
    </row>
    <row r="254" spans="1:21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13">
        <f t="shared" si="47"/>
        <v>0</v>
      </c>
    </row>
    <row r="255" spans="1:21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13">
        <f t="shared" si="47"/>
        <v>0</v>
      </c>
    </row>
    <row r="256" spans="1:21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13">
        <f t="shared" si="47"/>
        <v>0</v>
      </c>
    </row>
    <row r="257" spans="1:21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13">
        <f t="shared" si="47"/>
        <v>0</v>
      </c>
    </row>
    <row r="258" spans="1:21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13">
        <f t="shared" si="47"/>
        <v>0</v>
      </c>
    </row>
    <row r="259" spans="1:21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U259" si="48">SUM(E249:E258)</f>
        <v>2</v>
      </c>
      <c r="F259" s="13">
        <f t="shared" si="48"/>
        <v>0</v>
      </c>
      <c r="G259" s="13">
        <f t="shared" si="48"/>
        <v>0</v>
      </c>
      <c r="H259" s="13">
        <f t="shared" si="48"/>
        <v>1</v>
      </c>
      <c r="I259" s="13">
        <f t="shared" si="48"/>
        <v>1</v>
      </c>
      <c r="J259" s="13">
        <f t="shared" si="48"/>
        <v>4</v>
      </c>
      <c r="K259" s="13">
        <f t="shared" si="48"/>
        <v>0</v>
      </c>
      <c r="L259" s="13">
        <f t="shared" si="48"/>
        <v>1</v>
      </c>
      <c r="M259" s="13">
        <f t="shared" si="48"/>
        <v>0</v>
      </c>
      <c r="N259" s="13">
        <f t="shared" si="48"/>
        <v>1</v>
      </c>
      <c r="O259" s="13">
        <f t="shared" si="48"/>
        <v>0</v>
      </c>
      <c r="P259" s="13">
        <f t="shared" si="48"/>
        <v>2</v>
      </c>
      <c r="Q259" s="13">
        <f t="shared" si="48"/>
        <v>0</v>
      </c>
      <c r="R259" s="13">
        <f t="shared" si="48"/>
        <v>1</v>
      </c>
      <c r="S259" s="13">
        <f t="shared" si="48"/>
        <v>5</v>
      </c>
      <c r="T259" s="13">
        <f t="shared" si="48"/>
        <v>2</v>
      </c>
      <c r="U259" s="13">
        <f t="shared" si="48"/>
        <v>20</v>
      </c>
    </row>
    <row r="260" spans="1:21" ht="12.75" customHeight="1" x14ac:dyDescent="0.4"/>
    <row r="261" spans="1:21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13"/>
      <c r="U261" s="13"/>
    </row>
    <row r="262" spans="1:21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T262" si="49">E55+E67+E79+E91+E103+E115+E127+E139+E151+E163+E175+E187+E199+E211+E223+E235+E247+E259</f>
        <v>191</v>
      </c>
      <c r="F262" s="16">
        <f t="shared" si="49"/>
        <v>154</v>
      </c>
      <c r="G262" s="16">
        <f t="shared" si="49"/>
        <v>164</v>
      </c>
      <c r="H262" s="16">
        <f t="shared" si="49"/>
        <v>182</v>
      </c>
      <c r="I262" s="16">
        <f t="shared" si="49"/>
        <v>183</v>
      </c>
      <c r="J262" s="16">
        <f t="shared" si="49"/>
        <v>196</v>
      </c>
      <c r="K262" s="16">
        <f t="shared" si="49"/>
        <v>198</v>
      </c>
      <c r="L262" s="16">
        <f t="shared" si="49"/>
        <v>193</v>
      </c>
      <c r="M262" s="16">
        <f t="shared" si="49"/>
        <v>192</v>
      </c>
      <c r="N262" s="16">
        <f t="shared" si="49"/>
        <v>237</v>
      </c>
      <c r="O262" s="16">
        <f t="shared" si="49"/>
        <v>169</v>
      </c>
      <c r="P262" s="16">
        <f t="shared" si="49"/>
        <v>207</v>
      </c>
      <c r="Q262" s="16">
        <f t="shared" si="49"/>
        <v>175</v>
      </c>
      <c r="R262" s="16">
        <f t="shared" si="49"/>
        <v>221</v>
      </c>
      <c r="S262" s="16">
        <f t="shared" si="49"/>
        <v>155</v>
      </c>
      <c r="T262" s="16">
        <f t="shared" si="49"/>
        <v>193</v>
      </c>
      <c r="U262" s="13">
        <f t="shared" ref="U262:U264" si="50">SUM(E262:T262)</f>
        <v>3010</v>
      </c>
    </row>
    <row r="263" spans="1:21" ht="12.75" customHeight="1" x14ac:dyDescent="0.4">
      <c r="A263" s="22"/>
      <c r="B263" s="45" t="s">
        <v>164</v>
      </c>
      <c r="C263" s="71" t="s">
        <v>165</v>
      </c>
      <c r="D263" s="62"/>
      <c r="E263" s="16">
        <v>20</v>
      </c>
      <c r="F263" s="16">
        <v>14</v>
      </c>
      <c r="G263" s="16">
        <v>11</v>
      </c>
      <c r="H263" s="16">
        <v>24</v>
      </c>
      <c r="I263" s="16">
        <v>17</v>
      </c>
      <c r="J263" s="16">
        <v>14</v>
      </c>
      <c r="K263" s="16">
        <v>19</v>
      </c>
      <c r="L263" s="16">
        <v>12</v>
      </c>
      <c r="M263" s="16">
        <v>14</v>
      </c>
      <c r="N263" s="16">
        <v>20</v>
      </c>
      <c r="O263" s="16">
        <v>26</v>
      </c>
      <c r="P263" s="16">
        <v>16</v>
      </c>
      <c r="Q263" s="16">
        <v>12</v>
      </c>
      <c r="R263" s="16">
        <v>13</v>
      </c>
      <c r="S263" s="16">
        <v>11</v>
      </c>
      <c r="T263" s="16">
        <v>13</v>
      </c>
      <c r="U263" s="13">
        <f t="shared" si="50"/>
        <v>256</v>
      </c>
    </row>
    <row r="264" spans="1:21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T264" si="51">SUM(E262:E263)</f>
        <v>211</v>
      </c>
      <c r="F264" s="13">
        <f t="shared" si="51"/>
        <v>168</v>
      </c>
      <c r="G264" s="13">
        <f t="shared" si="51"/>
        <v>175</v>
      </c>
      <c r="H264" s="13">
        <f t="shared" si="51"/>
        <v>206</v>
      </c>
      <c r="I264" s="13">
        <f t="shared" si="51"/>
        <v>200</v>
      </c>
      <c r="J264" s="13">
        <f t="shared" si="51"/>
        <v>210</v>
      </c>
      <c r="K264" s="13">
        <f t="shared" si="51"/>
        <v>217</v>
      </c>
      <c r="L264" s="13">
        <f t="shared" si="51"/>
        <v>205</v>
      </c>
      <c r="M264" s="13">
        <f t="shared" si="51"/>
        <v>206</v>
      </c>
      <c r="N264" s="13">
        <f t="shared" si="51"/>
        <v>257</v>
      </c>
      <c r="O264" s="13">
        <f t="shared" si="51"/>
        <v>195</v>
      </c>
      <c r="P264" s="13">
        <f t="shared" si="51"/>
        <v>223</v>
      </c>
      <c r="Q264" s="13">
        <f t="shared" si="51"/>
        <v>187</v>
      </c>
      <c r="R264" s="13">
        <f t="shared" si="51"/>
        <v>234</v>
      </c>
      <c r="S264" s="13">
        <f t="shared" si="51"/>
        <v>166</v>
      </c>
      <c r="T264" s="13">
        <f t="shared" si="51"/>
        <v>206</v>
      </c>
      <c r="U264" s="13">
        <f t="shared" si="50"/>
        <v>3266</v>
      </c>
    </row>
    <row r="265" spans="1:21" ht="12.75" customHeight="1" x14ac:dyDescent="0.4"/>
    <row r="266" spans="1:21" ht="12.75" customHeight="1" x14ac:dyDescent="0.4"/>
    <row r="267" spans="1:21" ht="12.75" customHeight="1" x14ac:dyDescent="0.4"/>
    <row r="268" spans="1:21" ht="12.75" customHeight="1" x14ac:dyDescent="0.4"/>
    <row r="269" spans="1:21" ht="12.75" customHeight="1" x14ac:dyDescent="0.4"/>
    <row r="270" spans="1:21" ht="12.75" customHeight="1" x14ac:dyDescent="0.4"/>
    <row r="271" spans="1:21" ht="12.75" customHeight="1" x14ac:dyDescent="0.4"/>
    <row r="272" spans="1:21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T12"/>
    <mergeCell ref="U12:U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3:T13">
    <cfRule type="expression" dxfId="114" priority="29">
      <formula>E30=E264</formula>
    </cfRule>
  </conditionalFormatting>
  <conditionalFormatting sqref="E14:T15">
    <cfRule type="containsBlanks" dxfId="113" priority="1">
      <formula>LEN(TRIM(E14))=0</formula>
    </cfRule>
  </conditionalFormatting>
  <conditionalFormatting sqref="E19:T20">
    <cfRule type="containsBlanks" dxfId="112" priority="2">
      <formula>LEN(TRIM(E19))=0</formula>
    </cfRule>
  </conditionalFormatting>
  <conditionalFormatting sqref="E22:T23 E25:T26 E33:T33 E35:T35 E39:T40">
    <cfRule type="containsBlanks" dxfId="111" priority="3">
      <formula>LEN(TRIM(E22))=0</formula>
    </cfRule>
  </conditionalFormatting>
  <conditionalFormatting sqref="E30:T30">
    <cfRule type="expression" dxfId="110" priority="4">
      <formula>E30&lt;&gt;E47</formula>
    </cfRule>
    <cfRule type="expression" dxfId="109" priority="5">
      <formula>E30&lt;&gt;E34</formula>
    </cfRule>
  </conditionalFormatting>
  <conditionalFormatting sqref="E34:T34">
    <cfRule type="expression" dxfId="108" priority="6">
      <formula>E30&lt;&gt;E34</formula>
    </cfRule>
    <cfRule type="expression" dxfId="107" priority="7">
      <formula>E30=E34</formula>
    </cfRule>
    <cfRule type="expression" dxfId="106" priority="8">
      <formula>E34&lt;&gt;E30</formula>
    </cfRule>
    <cfRule type="expression" dxfId="105" priority="9">
      <formula>E34&lt;&gt;E64</formula>
    </cfRule>
  </conditionalFormatting>
  <conditionalFormatting sqref="E45:T54">
    <cfRule type="containsBlanks" dxfId="104" priority="10">
      <formula>LEN(TRIM(E45))=0</formula>
    </cfRule>
  </conditionalFormatting>
  <conditionalFormatting sqref="E57:T66">
    <cfRule type="containsBlanks" dxfId="103" priority="11">
      <formula>LEN(TRIM(E57))=0</formula>
    </cfRule>
  </conditionalFormatting>
  <conditionalFormatting sqref="E69:T78">
    <cfRule type="containsBlanks" dxfId="102" priority="12">
      <formula>LEN(TRIM(E69))=0</formula>
    </cfRule>
  </conditionalFormatting>
  <conditionalFormatting sqref="E81:T90">
    <cfRule type="containsBlanks" dxfId="101" priority="13">
      <formula>LEN(TRIM(E81))=0</formula>
    </cfRule>
  </conditionalFormatting>
  <conditionalFormatting sqref="E93:T102">
    <cfRule type="containsBlanks" dxfId="100" priority="14">
      <formula>LEN(TRIM(E93))=0</formula>
    </cfRule>
  </conditionalFormatting>
  <conditionalFormatting sqref="E105:T114">
    <cfRule type="containsBlanks" dxfId="99" priority="15">
      <formula>LEN(TRIM(E105))=0</formula>
    </cfRule>
  </conditionalFormatting>
  <conditionalFormatting sqref="E117:T126">
    <cfRule type="containsBlanks" dxfId="98" priority="16">
      <formula>LEN(TRIM(E117))=0</formula>
    </cfRule>
  </conditionalFormatting>
  <conditionalFormatting sqref="E129:T138">
    <cfRule type="containsBlanks" dxfId="97" priority="17">
      <formula>LEN(TRIM(E129))=0</formula>
    </cfRule>
  </conditionalFormatting>
  <conditionalFormatting sqref="E141:T150">
    <cfRule type="containsBlanks" dxfId="96" priority="18">
      <formula>LEN(TRIM(E141))=0</formula>
    </cfRule>
  </conditionalFormatting>
  <conditionalFormatting sqref="E153:T162">
    <cfRule type="containsBlanks" dxfId="95" priority="19">
      <formula>LEN(TRIM(E153))=0</formula>
    </cfRule>
  </conditionalFormatting>
  <conditionalFormatting sqref="E165:T174">
    <cfRule type="containsBlanks" dxfId="94" priority="20">
      <formula>LEN(TRIM(E165))=0</formula>
    </cfRule>
  </conditionalFormatting>
  <conditionalFormatting sqref="E177:T186">
    <cfRule type="containsBlanks" dxfId="93" priority="21">
      <formula>LEN(TRIM(E177))=0</formula>
    </cfRule>
  </conditionalFormatting>
  <conditionalFormatting sqref="E189:T198">
    <cfRule type="containsBlanks" dxfId="92" priority="22">
      <formula>LEN(TRIM(E189))=0</formula>
    </cfRule>
  </conditionalFormatting>
  <conditionalFormatting sqref="E201:T210">
    <cfRule type="containsBlanks" dxfId="91" priority="23">
      <formula>LEN(TRIM(E201))=0</formula>
    </cfRule>
  </conditionalFormatting>
  <conditionalFormatting sqref="E213:T222">
    <cfRule type="containsBlanks" dxfId="90" priority="24">
      <formula>LEN(TRIM(E213))=0</formula>
    </cfRule>
  </conditionalFormatting>
  <conditionalFormatting sqref="E225:T234">
    <cfRule type="containsBlanks" dxfId="89" priority="25">
      <formula>LEN(TRIM(E225))=0</formula>
    </cfRule>
  </conditionalFormatting>
  <conditionalFormatting sqref="E237:T246">
    <cfRule type="containsBlanks" dxfId="88" priority="26">
      <formula>LEN(TRIM(E237))=0</formula>
    </cfRule>
  </conditionalFormatting>
  <conditionalFormatting sqref="E249:T258">
    <cfRule type="containsBlanks" dxfId="87" priority="27">
      <formula>LEN(TRIM(E249))=0</formula>
    </cfRule>
  </conditionalFormatting>
  <conditionalFormatting sqref="E262:T263">
    <cfRule type="containsBlanks" dxfId="86" priority="28">
      <formula>LEN(TRIM(E262))=0</formula>
    </cfRule>
  </conditionalFormatting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</sheetPr>
  <dimension ref="A1:Z1000"/>
  <sheetViews>
    <sheetView workbookViewId="0">
      <pane ySplit="13" topLeftCell="A14" activePane="bottomLeft" state="frozen"/>
      <selection pane="bottomLeft" activeCell="B15" sqref="B15"/>
    </sheetView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25" width="8.7109375" customWidth="1"/>
    <col min="26" max="26" width="13.28515625" customWidth="1"/>
  </cols>
  <sheetData>
    <row r="1" spans="1:26" ht="12.75" customHeight="1" x14ac:dyDescent="0.4"/>
    <row r="2" spans="1:26" ht="12.75" customHeight="1" x14ac:dyDescent="0.4">
      <c r="C2" s="8" t="s">
        <v>0</v>
      </c>
      <c r="D2" s="8" t="s">
        <v>1</v>
      </c>
    </row>
    <row r="3" spans="1:26" ht="12.75" customHeight="1" x14ac:dyDescent="0.4">
      <c r="C3" s="8" t="s">
        <v>2</v>
      </c>
      <c r="D3" s="8" t="s">
        <v>1</v>
      </c>
    </row>
    <row r="4" spans="1:26" ht="12.75" customHeight="1" x14ac:dyDescent="0.4">
      <c r="C4" s="8" t="s">
        <v>3</v>
      </c>
      <c r="D4" s="8" t="s">
        <v>4</v>
      </c>
    </row>
    <row r="5" spans="1:26" ht="12.75" customHeight="1" x14ac:dyDescent="0.4">
      <c r="C5" s="8"/>
      <c r="D5" s="8"/>
    </row>
    <row r="6" spans="1:26" ht="12.75" customHeight="1" x14ac:dyDescent="0.4">
      <c r="C6" s="8"/>
      <c r="D6" s="8"/>
    </row>
    <row r="7" spans="1:26" ht="12.75" customHeight="1" x14ac:dyDescent="0.4">
      <c r="C7" s="8"/>
      <c r="D7" s="8"/>
    </row>
    <row r="8" spans="1:26" ht="12.75" customHeight="1" x14ac:dyDescent="0.4">
      <c r="C8" s="8"/>
      <c r="D8" s="8"/>
    </row>
    <row r="9" spans="1:26" ht="12.75" customHeight="1" x14ac:dyDescent="0.4">
      <c r="C9" s="8" t="s">
        <v>168</v>
      </c>
      <c r="D9" s="8" t="s">
        <v>215</v>
      </c>
    </row>
    <row r="10" spans="1:26" ht="12.75" customHeight="1" x14ac:dyDescent="0.4"/>
    <row r="11" spans="1:26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  <c r="T11" s="1"/>
      <c r="U11" s="1"/>
      <c r="V11" s="1"/>
      <c r="W11" s="1"/>
      <c r="X11" s="2"/>
    </row>
    <row r="12" spans="1:26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90" t="s">
        <v>7</v>
      </c>
    </row>
    <row r="13" spans="1:26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13" t="s">
        <v>188</v>
      </c>
      <c r="V13" s="13" t="s">
        <v>189</v>
      </c>
      <c r="W13" s="13" t="s">
        <v>190</v>
      </c>
      <c r="X13" s="13" t="s">
        <v>191</v>
      </c>
      <c r="Y13" s="13" t="s">
        <v>192</v>
      </c>
      <c r="Z13" s="80"/>
    </row>
    <row r="14" spans="1:26" ht="12.75" customHeight="1" x14ac:dyDescent="0.4">
      <c r="A14" s="15"/>
      <c r="B14" s="75" t="s">
        <v>10</v>
      </c>
      <c r="C14" s="66"/>
      <c r="D14" s="16" t="s">
        <v>11</v>
      </c>
      <c r="E14" s="16">
        <v>124</v>
      </c>
      <c r="F14" s="16">
        <v>127</v>
      </c>
      <c r="G14" s="16">
        <v>113</v>
      </c>
      <c r="H14" s="16">
        <v>117</v>
      </c>
      <c r="I14" s="16">
        <v>117</v>
      </c>
      <c r="J14" s="16">
        <v>146</v>
      </c>
      <c r="K14" s="16">
        <v>142</v>
      </c>
      <c r="L14" s="16">
        <v>125</v>
      </c>
      <c r="M14" s="16">
        <v>117</v>
      </c>
      <c r="N14" s="16">
        <v>115</v>
      </c>
      <c r="O14" s="16">
        <v>133</v>
      </c>
      <c r="P14" s="16">
        <v>145</v>
      </c>
      <c r="Q14" s="16">
        <v>139</v>
      </c>
      <c r="R14" s="16">
        <v>124</v>
      </c>
      <c r="S14" s="16">
        <v>142</v>
      </c>
      <c r="T14" s="16">
        <v>138</v>
      </c>
      <c r="U14" s="16">
        <v>134</v>
      </c>
      <c r="V14" s="16">
        <v>133</v>
      </c>
      <c r="W14" s="16">
        <v>124</v>
      </c>
      <c r="X14" s="16">
        <v>126</v>
      </c>
      <c r="Y14" s="16">
        <v>131</v>
      </c>
      <c r="Z14" s="13">
        <f t="shared" ref="Z14:Z16" si="0">SUM(E14:Y14)</f>
        <v>2712</v>
      </c>
    </row>
    <row r="15" spans="1:26" ht="12.75" customHeight="1" x14ac:dyDescent="0.4">
      <c r="A15" s="15"/>
      <c r="B15" s="76"/>
      <c r="C15" s="77"/>
      <c r="D15" s="16" t="s">
        <v>12</v>
      </c>
      <c r="E15" s="16">
        <v>150</v>
      </c>
      <c r="F15" s="16">
        <v>138</v>
      </c>
      <c r="G15" s="16">
        <v>145</v>
      </c>
      <c r="H15" s="16">
        <v>131</v>
      </c>
      <c r="I15" s="16">
        <v>133</v>
      </c>
      <c r="J15" s="16">
        <v>145</v>
      </c>
      <c r="K15" s="16">
        <v>154</v>
      </c>
      <c r="L15" s="16">
        <v>150</v>
      </c>
      <c r="M15" s="16">
        <v>130</v>
      </c>
      <c r="N15" s="16">
        <v>144</v>
      </c>
      <c r="O15" s="16">
        <v>156</v>
      </c>
      <c r="P15" s="16">
        <v>147</v>
      </c>
      <c r="Q15" s="16">
        <v>146</v>
      </c>
      <c r="R15" s="16">
        <v>133</v>
      </c>
      <c r="S15" s="16">
        <v>150</v>
      </c>
      <c r="T15" s="16">
        <v>156</v>
      </c>
      <c r="U15" s="16">
        <v>161</v>
      </c>
      <c r="V15" s="16">
        <v>152</v>
      </c>
      <c r="W15" s="16">
        <v>145</v>
      </c>
      <c r="X15" s="16">
        <v>134</v>
      </c>
      <c r="Y15" s="16">
        <v>167</v>
      </c>
      <c r="Z15" s="13">
        <f t="shared" si="0"/>
        <v>3067</v>
      </c>
    </row>
    <row r="16" spans="1:26" ht="12.75" customHeight="1" x14ac:dyDescent="0.4">
      <c r="A16" s="18"/>
      <c r="B16" s="73"/>
      <c r="C16" s="69"/>
      <c r="D16" s="13" t="s">
        <v>13</v>
      </c>
      <c r="E16" s="13">
        <f t="shared" ref="E16:Y16" si="1">SUM(E14:E15)</f>
        <v>274</v>
      </c>
      <c r="F16" s="13">
        <f t="shared" si="1"/>
        <v>265</v>
      </c>
      <c r="G16" s="13">
        <f t="shared" si="1"/>
        <v>258</v>
      </c>
      <c r="H16" s="13">
        <f t="shared" si="1"/>
        <v>248</v>
      </c>
      <c r="I16" s="13">
        <f t="shared" si="1"/>
        <v>250</v>
      </c>
      <c r="J16" s="13">
        <f t="shared" si="1"/>
        <v>291</v>
      </c>
      <c r="K16" s="13">
        <f t="shared" si="1"/>
        <v>296</v>
      </c>
      <c r="L16" s="13">
        <f t="shared" si="1"/>
        <v>275</v>
      </c>
      <c r="M16" s="13">
        <f t="shared" si="1"/>
        <v>247</v>
      </c>
      <c r="N16" s="13">
        <f t="shared" si="1"/>
        <v>259</v>
      </c>
      <c r="O16" s="13">
        <f t="shared" si="1"/>
        <v>289</v>
      </c>
      <c r="P16" s="13">
        <f t="shared" si="1"/>
        <v>292</v>
      </c>
      <c r="Q16" s="13">
        <f t="shared" si="1"/>
        <v>285</v>
      </c>
      <c r="R16" s="13">
        <f t="shared" si="1"/>
        <v>257</v>
      </c>
      <c r="S16" s="13">
        <f t="shared" si="1"/>
        <v>292</v>
      </c>
      <c r="T16" s="13">
        <f t="shared" si="1"/>
        <v>294</v>
      </c>
      <c r="U16" s="13">
        <f t="shared" si="1"/>
        <v>295</v>
      </c>
      <c r="V16" s="13">
        <f t="shared" si="1"/>
        <v>285</v>
      </c>
      <c r="W16" s="13">
        <f t="shared" si="1"/>
        <v>269</v>
      </c>
      <c r="X16" s="13">
        <f t="shared" si="1"/>
        <v>260</v>
      </c>
      <c r="Y16" s="13">
        <f t="shared" si="1"/>
        <v>298</v>
      </c>
      <c r="Z16" s="13">
        <f t="shared" si="0"/>
        <v>5779</v>
      </c>
    </row>
    <row r="17" spans="1:26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16"/>
      <c r="U17" s="16"/>
      <c r="V17" s="16"/>
      <c r="W17" s="16"/>
      <c r="X17" s="48"/>
      <c r="Y17" s="48"/>
      <c r="Z17" s="49"/>
    </row>
    <row r="18" spans="1:26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16"/>
      <c r="U18" s="16"/>
      <c r="V18" s="16"/>
      <c r="W18" s="16"/>
      <c r="X18" s="48"/>
      <c r="Y18" s="48"/>
      <c r="Z18" s="49"/>
    </row>
    <row r="19" spans="1:26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83</v>
      </c>
      <c r="F19" s="16">
        <v>74</v>
      </c>
      <c r="G19" s="16">
        <v>82</v>
      </c>
      <c r="H19" s="16">
        <v>85</v>
      </c>
      <c r="I19" s="16">
        <v>89</v>
      </c>
      <c r="J19" s="16">
        <v>108</v>
      </c>
      <c r="K19" s="16">
        <v>100</v>
      </c>
      <c r="L19" s="16">
        <v>96</v>
      </c>
      <c r="M19" s="16">
        <v>80</v>
      </c>
      <c r="N19" s="16">
        <v>82</v>
      </c>
      <c r="O19" s="16">
        <v>100</v>
      </c>
      <c r="P19" s="16">
        <v>99</v>
      </c>
      <c r="Q19" s="16">
        <v>97</v>
      </c>
      <c r="R19" s="16">
        <v>86</v>
      </c>
      <c r="S19" s="16">
        <v>87</v>
      </c>
      <c r="T19" s="16">
        <v>96</v>
      </c>
      <c r="U19" s="16">
        <v>103</v>
      </c>
      <c r="V19" s="16">
        <v>103</v>
      </c>
      <c r="W19" s="16">
        <v>83</v>
      </c>
      <c r="X19" s="16">
        <v>71</v>
      </c>
      <c r="Y19" s="16">
        <v>86</v>
      </c>
      <c r="Z19" s="13">
        <f t="shared" ref="Z19:Z30" si="2">SUM(E19:Y19)</f>
        <v>1890</v>
      </c>
    </row>
    <row r="20" spans="1:26" ht="12.75" customHeight="1" x14ac:dyDescent="0.4">
      <c r="A20" s="21"/>
      <c r="B20" s="77"/>
      <c r="C20" s="79"/>
      <c r="D20" s="16" t="s">
        <v>12</v>
      </c>
      <c r="E20" s="16">
        <v>118</v>
      </c>
      <c r="F20" s="16">
        <v>104</v>
      </c>
      <c r="G20" s="16">
        <v>123</v>
      </c>
      <c r="H20" s="16">
        <v>104</v>
      </c>
      <c r="I20" s="16">
        <v>98</v>
      </c>
      <c r="J20" s="16">
        <v>112</v>
      </c>
      <c r="K20" s="16">
        <v>120</v>
      </c>
      <c r="L20" s="16">
        <v>107</v>
      </c>
      <c r="M20" s="16">
        <v>99</v>
      </c>
      <c r="N20" s="16">
        <v>112</v>
      </c>
      <c r="O20" s="16">
        <v>124</v>
      </c>
      <c r="P20" s="16">
        <v>121</v>
      </c>
      <c r="Q20" s="16">
        <v>117</v>
      </c>
      <c r="R20" s="16">
        <v>99</v>
      </c>
      <c r="S20" s="16">
        <v>109</v>
      </c>
      <c r="T20" s="16">
        <v>122</v>
      </c>
      <c r="U20" s="16">
        <v>129</v>
      </c>
      <c r="V20" s="16">
        <v>126</v>
      </c>
      <c r="W20" s="16">
        <v>110</v>
      </c>
      <c r="X20" s="16">
        <v>84</v>
      </c>
      <c r="Y20" s="16">
        <v>113</v>
      </c>
      <c r="Z20" s="13">
        <f t="shared" si="2"/>
        <v>2351</v>
      </c>
    </row>
    <row r="21" spans="1:26" ht="12.75" customHeight="1" x14ac:dyDescent="0.4">
      <c r="A21" s="22"/>
      <c r="B21" s="69"/>
      <c r="C21" s="80"/>
      <c r="D21" s="13" t="s">
        <v>13</v>
      </c>
      <c r="E21" s="13">
        <f t="shared" ref="E21:Y21" si="3">SUM(E19:E20)</f>
        <v>201</v>
      </c>
      <c r="F21" s="13">
        <f t="shared" si="3"/>
        <v>178</v>
      </c>
      <c r="G21" s="13">
        <f t="shared" si="3"/>
        <v>205</v>
      </c>
      <c r="H21" s="13">
        <f t="shared" si="3"/>
        <v>189</v>
      </c>
      <c r="I21" s="13">
        <f t="shared" si="3"/>
        <v>187</v>
      </c>
      <c r="J21" s="13">
        <f t="shared" si="3"/>
        <v>220</v>
      </c>
      <c r="K21" s="13">
        <f t="shared" si="3"/>
        <v>220</v>
      </c>
      <c r="L21" s="13">
        <f t="shared" si="3"/>
        <v>203</v>
      </c>
      <c r="M21" s="13">
        <f t="shared" si="3"/>
        <v>179</v>
      </c>
      <c r="N21" s="13">
        <f t="shared" si="3"/>
        <v>194</v>
      </c>
      <c r="O21" s="13">
        <f t="shared" si="3"/>
        <v>224</v>
      </c>
      <c r="P21" s="13">
        <f t="shared" si="3"/>
        <v>220</v>
      </c>
      <c r="Q21" s="13">
        <f t="shared" si="3"/>
        <v>214</v>
      </c>
      <c r="R21" s="13">
        <f t="shared" si="3"/>
        <v>185</v>
      </c>
      <c r="S21" s="13">
        <f t="shared" si="3"/>
        <v>196</v>
      </c>
      <c r="T21" s="13">
        <f t="shared" si="3"/>
        <v>218</v>
      </c>
      <c r="U21" s="13">
        <f t="shared" si="3"/>
        <v>232</v>
      </c>
      <c r="V21" s="13">
        <f t="shared" si="3"/>
        <v>229</v>
      </c>
      <c r="W21" s="13">
        <f t="shared" si="3"/>
        <v>193</v>
      </c>
      <c r="X21" s="13">
        <f t="shared" si="3"/>
        <v>155</v>
      </c>
      <c r="Y21" s="13">
        <f t="shared" si="3"/>
        <v>199</v>
      </c>
      <c r="Z21" s="13">
        <f t="shared" si="2"/>
        <v>4241</v>
      </c>
    </row>
    <row r="22" spans="1:26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1</v>
      </c>
      <c r="F22" s="16">
        <v>0</v>
      </c>
      <c r="G22" s="16">
        <v>2</v>
      </c>
      <c r="H22" s="16">
        <v>0</v>
      </c>
      <c r="I22" s="16">
        <v>0</v>
      </c>
      <c r="J22" s="16">
        <v>1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3">
        <f t="shared" si="2"/>
        <v>5</v>
      </c>
    </row>
    <row r="23" spans="1:26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4</v>
      </c>
      <c r="H23" s="16">
        <v>0</v>
      </c>
      <c r="I23" s="16">
        <v>0</v>
      </c>
      <c r="J23" s="16">
        <v>1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1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1</v>
      </c>
      <c r="Y23" s="16">
        <v>0</v>
      </c>
      <c r="Z23" s="13">
        <f t="shared" si="2"/>
        <v>7</v>
      </c>
    </row>
    <row r="24" spans="1:26" ht="12.75" customHeight="1" x14ac:dyDescent="0.4">
      <c r="A24" s="22"/>
      <c r="B24" s="69"/>
      <c r="C24" s="80"/>
      <c r="D24" s="13" t="s">
        <v>13</v>
      </c>
      <c r="E24" s="13">
        <f t="shared" ref="E24:Y24" si="4">SUM(E22:E23)</f>
        <v>1</v>
      </c>
      <c r="F24" s="13">
        <f t="shared" si="4"/>
        <v>0</v>
      </c>
      <c r="G24" s="13">
        <f t="shared" si="4"/>
        <v>6</v>
      </c>
      <c r="H24" s="13">
        <f t="shared" si="4"/>
        <v>0</v>
      </c>
      <c r="I24" s="13">
        <f t="shared" si="4"/>
        <v>0</v>
      </c>
      <c r="J24" s="13">
        <f t="shared" si="4"/>
        <v>2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1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2</v>
      </c>
      <c r="Y24" s="13">
        <f t="shared" si="4"/>
        <v>0</v>
      </c>
      <c r="Z24" s="13">
        <f t="shared" si="2"/>
        <v>12</v>
      </c>
    </row>
    <row r="25" spans="1:26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0</v>
      </c>
      <c r="F25" s="16">
        <v>4</v>
      </c>
      <c r="G25" s="16">
        <v>5</v>
      </c>
      <c r="H25" s="16">
        <v>2</v>
      </c>
      <c r="I25" s="16">
        <v>1</v>
      </c>
      <c r="J25" s="16">
        <v>1</v>
      </c>
      <c r="K25" s="16">
        <v>1</v>
      </c>
      <c r="L25" s="16">
        <v>3</v>
      </c>
      <c r="M25" s="16">
        <v>2</v>
      </c>
      <c r="N25" s="16">
        <v>3</v>
      </c>
      <c r="O25" s="16">
        <v>2</v>
      </c>
      <c r="P25" s="16">
        <v>5</v>
      </c>
      <c r="Q25" s="16">
        <v>1</v>
      </c>
      <c r="R25" s="16">
        <v>2</v>
      </c>
      <c r="S25" s="16">
        <v>2</v>
      </c>
      <c r="T25" s="16">
        <v>1</v>
      </c>
      <c r="U25" s="16">
        <v>3</v>
      </c>
      <c r="V25" s="16">
        <v>3</v>
      </c>
      <c r="W25" s="16">
        <v>5</v>
      </c>
      <c r="X25" s="16">
        <v>11</v>
      </c>
      <c r="Y25" s="16">
        <v>3</v>
      </c>
      <c r="Z25" s="13">
        <f t="shared" si="2"/>
        <v>60</v>
      </c>
    </row>
    <row r="26" spans="1:26" ht="12.75" customHeight="1" x14ac:dyDescent="0.4">
      <c r="A26" s="21"/>
      <c r="B26" s="77"/>
      <c r="C26" s="79"/>
      <c r="D26" s="16" t="s">
        <v>12</v>
      </c>
      <c r="E26" s="16">
        <v>1</v>
      </c>
      <c r="F26" s="16">
        <v>4</v>
      </c>
      <c r="G26" s="16">
        <v>1</v>
      </c>
      <c r="H26" s="16">
        <v>1</v>
      </c>
      <c r="I26" s="16">
        <v>1</v>
      </c>
      <c r="J26" s="16">
        <v>4</v>
      </c>
      <c r="K26" s="16">
        <v>1</v>
      </c>
      <c r="L26" s="16">
        <v>2</v>
      </c>
      <c r="M26" s="16">
        <v>5</v>
      </c>
      <c r="N26" s="16">
        <v>2</v>
      </c>
      <c r="O26" s="16">
        <v>1</v>
      </c>
      <c r="P26" s="16">
        <v>5</v>
      </c>
      <c r="Q26" s="16">
        <v>3</v>
      </c>
      <c r="R26" s="16">
        <v>2</v>
      </c>
      <c r="S26" s="16">
        <v>5</v>
      </c>
      <c r="T26" s="16">
        <v>1</v>
      </c>
      <c r="U26" s="16">
        <v>3</v>
      </c>
      <c r="V26" s="16">
        <v>1</v>
      </c>
      <c r="W26" s="16">
        <v>4</v>
      </c>
      <c r="X26" s="16">
        <v>8</v>
      </c>
      <c r="Y26" s="16">
        <v>4</v>
      </c>
      <c r="Z26" s="13">
        <f t="shared" si="2"/>
        <v>59</v>
      </c>
    </row>
    <row r="27" spans="1:26" ht="12.75" customHeight="1" x14ac:dyDescent="0.4">
      <c r="A27" s="22"/>
      <c r="B27" s="69"/>
      <c r="C27" s="80"/>
      <c r="D27" s="13" t="s">
        <v>13</v>
      </c>
      <c r="E27" s="13">
        <f t="shared" ref="E27:Y27" si="5">SUM(E25:E26)</f>
        <v>1</v>
      </c>
      <c r="F27" s="13">
        <f t="shared" si="5"/>
        <v>8</v>
      </c>
      <c r="G27" s="13">
        <f t="shared" si="5"/>
        <v>6</v>
      </c>
      <c r="H27" s="13">
        <f t="shared" si="5"/>
        <v>3</v>
      </c>
      <c r="I27" s="13">
        <f t="shared" si="5"/>
        <v>2</v>
      </c>
      <c r="J27" s="13">
        <f t="shared" si="5"/>
        <v>5</v>
      </c>
      <c r="K27" s="13">
        <f t="shared" si="5"/>
        <v>2</v>
      </c>
      <c r="L27" s="13">
        <f t="shared" si="5"/>
        <v>5</v>
      </c>
      <c r="M27" s="13">
        <f t="shared" si="5"/>
        <v>7</v>
      </c>
      <c r="N27" s="13">
        <f t="shared" si="5"/>
        <v>5</v>
      </c>
      <c r="O27" s="13">
        <f t="shared" si="5"/>
        <v>3</v>
      </c>
      <c r="P27" s="13">
        <f t="shared" si="5"/>
        <v>10</v>
      </c>
      <c r="Q27" s="13">
        <f t="shared" si="5"/>
        <v>4</v>
      </c>
      <c r="R27" s="13">
        <f t="shared" si="5"/>
        <v>4</v>
      </c>
      <c r="S27" s="13">
        <f t="shared" si="5"/>
        <v>7</v>
      </c>
      <c r="T27" s="13">
        <f t="shared" si="5"/>
        <v>2</v>
      </c>
      <c r="U27" s="13">
        <f t="shared" si="5"/>
        <v>6</v>
      </c>
      <c r="V27" s="13">
        <f t="shared" si="5"/>
        <v>4</v>
      </c>
      <c r="W27" s="13">
        <f t="shared" si="5"/>
        <v>9</v>
      </c>
      <c r="X27" s="13">
        <f t="shared" si="5"/>
        <v>19</v>
      </c>
      <c r="Y27" s="13">
        <f t="shared" si="5"/>
        <v>7</v>
      </c>
      <c r="Z27" s="13">
        <f t="shared" si="2"/>
        <v>119</v>
      </c>
    </row>
    <row r="28" spans="1:26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Y28" si="6">SUM(E19,E22,E25)</f>
        <v>84</v>
      </c>
      <c r="F28" s="13">
        <f t="shared" si="6"/>
        <v>78</v>
      </c>
      <c r="G28" s="13">
        <f t="shared" si="6"/>
        <v>89</v>
      </c>
      <c r="H28" s="13">
        <f t="shared" si="6"/>
        <v>87</v>
      </c>
      <c r="I28" s="13">
        <f t="shared" si="6"/>
        <v>90</v>
      </c>
      <c r="J28" s="13">
        <f t="shared" si="6"/>
        <v>110</v>
      </c>
      <c r="K28" s="13">
        <f t="shared" si="6"/>
        <v>101</v>
      </c>
      <c r="L28" s="13">
        <f t="shared" si="6"/>
        <v>99</v>
      </c>
      <c r="M28" s="13">
        <f t="shared" si="6"/>
        <v>82</v>
      </c>
      <c r="N28" s="13">
        <f t="shared" si="6"/>
        <v>85</v>
      </c>
      <c r="O28" s="13">
        <f t="shared" si="6"/>
        <v>102</v>
      </c>
      <c r="P28" s="13">
        <f t="shared" si="6"/>
        <v>104</v>
      </c>
      <c r="Q28" s="13">
        <f t="shared" si="6"/>
        <v>98</v>
      </c>
      <c r="R28" s="13">
        <f t="shared" si="6"/>
        <v>88</v>
      </c>
      <c r="S28" s="13">
        <f t="shared" si="6"/>
        <v>89</v>
      </c>
      <c r="T28" s="13">
        <f t="shared" si="6"/>
        <v>97</v>
      </c>
      <c r="U28" s="13">
        <f t="shared" si="6"/>
        <v>106</v>
      </c>
      <c r="V28" s="13">
        <f t="shared" si="6"/>
        <v>106</v>
      </c>
      <c r="W28" s="13">
        <f t="shared" si="6"/>
        <v>88</v>
      </c>
      <c r="X28" s="13">
        <f t="shared" si="6"/>
        <v>83</v>
      </c>
      <c r="Y28" s="13">
        <f t="shared" si="6"/>
        <v>89</v>
      </c>
      <c r="Z28" s="13">
        <f t="shared" si="2"/>
        <v>1955</v>
      </c>
    </row>
    <row r="29" spans="1:26" ht="12.75" customHeight="1" x14ac:dyDescent="0.4">
      <c r="A29" s="22"/>
      <c r="B29" s="77"/>
      <c r="C29" s="79"/>
      <c r="D29" s="13" t="s">
        <v>12</v>
      </c>
      <c r="E29" s="13">
        <f t="shared" ref="E29:Y29" si="7">SUM(E20,E23,E26)</f>
        <v>119</v>
      </c>
      <c r="F29" s="13">
        <f t="shared" si="7"/>
        <v>108</v>
      </c>
      <c r="G29" s="13">
        <f t="shared" si="7"/>
        <v>128</v>
      </c>
      <c r="H29" s="13">
        <f t="shared" si="7"/>
        <v>105</v>
      </c>
      <c r="I29" s="13">
        <f t="shared" si="7"/>
        <v>99</v>
      </c>
      <c r="J29" s="13">
        <f t="shared" si="7"/>
        <v>117</v>
      </c>
      <c r="K29" s="13">
        <f t="shared" si="7"/>
        <v>121</v>
      </c>
      <c r="L29" s="13">
        <f t="shared" si="7"/>
        <v>109</v>
      </c>
      <c r="M29" s="13">
        <f t="shared" si="7"/>
        <v>104</v>
      </c>
      <c r="N29" s="13">
        <f t="shared" si="7"/>
        <v>114</v>
      </c>
      <c r="O29" s="13">
        <f t="shared" si="7"/>
        <v>125</v>
      </c>
      <c r="P29" s="13">
        <f t="shared" si="7"/>
        <v>127</v>
      </c>
      <c r="Q29" s="13">
        <f t="shared" si="7"/>
        <v>120</v>
      </c>
      <c r="R29" s="13">
        <f t="shared" si="7"/>
        <v>101</v>
      </c>
      <c r="S29" s="13">
        <f t="shared" si="7"/>
        <v>114</v>
      </c>
      <c r="T29" s="13">
        <f t="shared" si="7"/>
        <v>123</v>
      </c>
      <c r="U29" s="13">
        <f t="shared" si="7"/>
        <v>132</v>
      </c>
      <c r="V29" s="13">
        <f t="shared" si="7"/>
        <v>127</v>
      </c>
      <c r="W29" s="13">
        <f t="shared" si="7"/>
        <v>114</v>
      </c>
      <c r="X29" s="13">
        <f t="shared" si="7"/>
        <v>93</v>
      </c>
      <c r="Y29" s="13">
        <f t="shared" si="7"/>
        <v>117</v>
      </c>
      <c r="Z29" s="13">
        <f t="shared" si="2"/>
        <v>2417</v>
      </c>
    </row>
    <row r="30" spans="1:26" ht="12.75" customHeight="1" x14ac:dyDescent="0.4">
      <c r="A30" s="22"/>
      <c r="B30" s="69"/>
      <c r="C30" s="80"/>
      <c r="D30" s="13" t="s">
        <v>13</v>
      </c>
      <c r="E30" s="13">
        <f t="shared" ref="E30:Y30" si="8">SUM(E28:E29)</f>
        <v>203</v>
      </c>
      <c r="F30" s="13">
        <f t="shared" si="8"/>
        <v>186</v>
      </c>
      <c r="G30" s="13">
        <f t="shared" si="8"/>
        <v>217</v>
      </c>
      <c r="H30" s="13">
        <f t="shared" si="8"/>
        <v>192</v>
      </c>
      <c r="I30" s="13">
        <f t="shared" si="8"/>
        <v>189</v>
      </c>
      <c r="J30" s="13">
        <f t="shared" si="8"/>
        <v>227</v>
      </c>
      <c r="K30" s="13">
        <f t="shared" si="8"/>
        <v>222</v>
      </c>
      <c r="L30" s="13">
        <f t="shared" si="8"/>
        <v>208</v>
      </c>
      <c r="M30" s="13">
        <f t="shared" si="8"/>
        <v>186</v>
      </c>
      <c r="N30" s="13">
        <f t="shared" si="8"/>
        <v>199</v>
      </c>
      <c r="O30" s="13">
        <f t="shared" si="8"/>
        <v>227</v>
      </c>
      <c r="P30" s="13">
        <f t="shared" si="8"/>
        <v>231</v>
      </c>
      <c r="Q30" s="13">
        <f t="shared" si="8"/>
        <v>218</v>
      </c>
      <c r="R30" s="13">
        <f t="shared" si="8"/>
        <v>189</v>
      </c>
      <c r="S30" s="13">
        <f t="shared" si="8"/>
        <v>203</v>
      </c>
      <c r="T30" s="13">
        <f t="shared" si="8"/>
        <v>220</v>
      </c>
      <c r="U30" s="13">
        <f t="shared" si="8"/>
        <v>238</v>
      </c>
      <c r="V30" s="13">
        <f t="shared" si="8"/>
        <v>233</v>
      </c>
      <c r="W30" s="13">
        <f t="shared" si="8"/>
        <v>202</v>
      </c>
      <c r="X30" s="13">
        <f t="shared" si="8"/>
        <v>176</v>
      </c>
      <c r="Y30" s="13">
        <f t="shared" si="8"/>
        <v>206</v>
      </c>
      <c r="Z30" s="13">
        <f t="shared" si="2"/>
        <v>4372</v>
      </c>
    </row>
    <row r="31" spans="1:26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16"/>
      <c r="U31" s="16"/>
      <c r="V31" s="16"/>
      <c r="W31" s="16"/>
      <c r="X31" s="48"/>
      <c r="Y31" s="48"/>
      <c r="Z31" s="49"/>
    </row>
    <row r="32" spans="1:26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13"/>
      <c r="U32" s="13"/>
      <c r="V32" s="13"/>
      <c r="W32" s="13"/>
      <c r="X32" s="50"/>
      <c r="Y32" s="50"/>
      <c r="Z32" s="49"/>
    </row>
    <row r="33" spans="1:26" ht="12.75" customHeight="1" x14ac:dyDescent="0.4">
      <c r="A33" s="16">
        <v>1</v>
      </c>
      <c r="B33" s="74" t="s">
        <v>26</v>
      </c>
      <c r="C33" s="61"/>
      <c r="D33" s="62"/>
      <c r="E33" s="16">
        <v>279</v>
      </c>
      <c r="F33" s="16">
        <v>266</v>
      </c>
      <c r="G33" s="16">
        <v>266</v>
      </c>
      <c r="H33" s="16">
        <v>253</v>
      </c>
      <c r="I33" s="16">
        <v>255</v>
      </c>
      <c r="J33" s="16">
        <v>290</v>
      </c>
      <c r="K33" s="16">
        <v>300</v>
      </c>
      <c r="L33" s="16">
        <v>281</v>
      </c>
      <c r="M33" s="16">
        <v>247</v>
      </c>
      <c r="N33" s="16">
        <v>261</v>
      </c>
      <c r="O33" s="16">
        <v>295</v>
      </c>
      <c r="P33" s="16">
        <v>298</v>
      </c>
      <c r="Q33" s="16">
        <v>286</v>
      </c>
      <c r="R33" s="16">
        <v>249</v>
      </c>
      <c r="S33" s="16">
        <v>295</v>
      </c>
      <c r="T33" s="16">
        <v>300</v>
      </c>
      <c r="U33" s="16">
        <v>296</v>
      </c>
      <c r="V33" s="16">
        <v>286</v>
      </c>
      <c r="W33" s="16">
        <v>270</v>
      </c>
      <c r="X33" s="16">
        <v>266</v>
      </c>
      <c r="Y33" s="16">
        <v>299</v>
      </c>
      <c r="Z33" s="13">
        <f t="shared" ref="Z33:Z36" si="9">SUM(E33:Y33)</f>
        <v>5838</v>
      </c>
    </row>
    <row r="34" spans="1:26" ht="12.75" customHeight="1" x14ac:dyDescent="0.4">
      <c r="A34" s="16">
        <v>2</v>
      </c>
      <c r="B34" s="74" t="s">
        <v>27</v>
      </c>
      <c r="C34" s="61"/>
      <c r="D34" s="62"/>
      <c r="E34" s="13">
        <v>203</v>
      </c>
      <c r="F34" s="13">
        <v>186</v>
      </c>
      <c r="G34" s="13">
        <v>217</v>
      </c>
      <c r="H34" s="13">
        <v>192</v>
      </c>
      <c r="I34" s="13">
        <v>189</v>
      </c>
      <c r="J34" s="13">
        <v>227</v>
      </c>
      <c r="K34" s="13">
        <v>222</v>
      </c>
      <c r="L34" s="13">
        <v>208</v>
      </c>
      <c r="M34" s="13">
        <v>186</v>
      </c>
      <c r="N34" s="13">
        <v>199</v>
      </c>
      <c r="O34" s="13">
        <v>227</v>
      </c>
      <c r="P34" s="13">
        <v>231</v>
      </c>
      <c r="Q34" s="13">
        <v>218</v>
      </c>
      <c r="R34" s="13">
        <v>189</v>
      </c>
      <c r="S34" s="13">
        <v>203</v>
      </c>
      <c r="T34" s="13">
        <v>220</v>
      </c>
      <c r="U34" s="13">
        <v>238</v>
      </c>
      <c r="V34" s="13">
        <v>233</v>
      </c>
      <c r="W34" s="13">
        <v>202</v>
      </c>
      <c r="X34" s="13">
        <v>176</v>
      </c>
      <c r="Y34" s="13">
        <v>206</v>
      </c>
      <c r="Z34" s="13">
        <f t="shared" si="9"/>
        <v>4372</v>
      </c>
    </row>
    <row r="35" spans="1:26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2</v>
      </c>
      <c r="G35" s="16">
        <v>1</v>
      </c>
      <c r="H35" s="16">
        <v>1</v>
      </c>
      <c r="I35" s="16">
        <v>0</v>
      </c>
      <c r="J35" s="16">
        <v>1</v>
      </c>
      <c r="K35" s="16">
        <v>2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17</v>
      </c>
      <c r="U35" s="16">
        <v>0</v>
      </c>
      <c r="V35" s="16">
        <v>2</v>
      </c>
      <c r="W35" s="16">
        <v>0</v>
      </c>
      <c r="X35" s="16">
        <v>0</v>
      </c>
      <c r="Y35" s="16">
        <v>0</v>
      </c>
      <c r="Z35" s="13">
        <f t="shared" si="9"/>
        <v>26</v>
      </c>
    </row>
    <row r="36" spans="1:26" ht="12.75" customHeight="1" x14ac:dyDescent="0.4">
      <c r="A36" s="16">
        <v>4</v>
      </c>
      <c r="B36" s="74" t="s">
        <v>29</v>
      </c>
      <c r="C36" s="61"/>
      <c r="D36" s="62"/>
      <c r="E36" s="13">
        <f t="shared" ref="E36:Y36" si="10">E33-(E34+E35)</f>
        <v>76</v>
      </c>
      <c r="F36" s="13">
        <f t="shared" si="10"/>
        <v>78</v>
      </c>
      <c r="G36" s="13">
        <f t="shared" si="10"/>
        <v>48</v>
      </c>
      <c r="H36" s="13">
        <f t="shared" si="10"/>
        <v>60</v>
      </c>
      <c r="I36" s="13">
        <f t="shared" si="10"/>
        <v>66</v>
      </c>
      <c r="J36" s="13">
        <f t="shared" si="10"/>
        <v>62</v>
      </c>
      <c r="K36" s="13">
        <f t="shared" si="10"/>
        <v>76</v>
      </c>
      <c r="L36" s="13">
        <f t="shared" si="10"/>
        <v>73</v>
      </c>
      <c r="M36" s="13">
        <f t="shared" si="10"/>
        <v>61</v>
      </c>
      <c r="N36" s="13">
        <f t="shared" si="10"/>
        <v>62</v>
      </c>
      <c r="O36" s="13">
        <f t="shared" si="10"/>
        <v>68</v>
      </c>
      <c r="P36" s="13">
        <f t="shared" si="10"/>
        <v>67</v>
      </c>
      <c r="Q36" s="13">
        <f t="shared" si="10"/>
        <v>68</v>
      </c>
      <c r="R36" s="13">
        <f t="shared" si="10"/>
        <v>60</v>
      </c>
      <c r="S36" s="13">
        <f t="shared" si="10"/>
        <v>92</v>
      </c>
      <c r="T36" s="13">
        <f t="shared" si="10"/>
        <v>63</v>
      </c>
      <c r="U36" s="13">
        <f t="shared" si="10"/>
        <v>58</v>
      </c>
      <c r="V36" s="13">
        <f t="shared" si="10"/>
        <v>51</v>
      </c>
      <c r="W36" s="13">
        <f t="shared" si="10"/>
        <v>68</v>
      </c>
      <c r="X36" s="13">
        <f t="shared" si="10"/>
        <v>90</v>
      </c>
      <c r="Y36" s="13">
        <f t="shared" si="10"/>
        <v>93</v>
      </c>
      <c r="Z36" s="13">
        <f t="shared" si="9"/>
        <v>1440</v>
      </c>
    </row>
    <row r="37" spans="1:26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16"/>
      <c r="U37" s="16"/>
      <c r="V37" s="16"/>
      <c r="W37" s="16"/>
      <c r="X37" s="48"/>
      <c r="Y37" s="51"/>
      <c r="Z37" s="49"/>
    </row>
    <row r="38" spans="1:26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13"/>
      <c r="U38" s="13"/>
      <c r="V38" s="13"/>
      <c r="W38" s="13"/>
      <c r="X38" s="50"/>
      <c r="Y38" s="50"/>
      <c r="Z38" s="49"/>
    </row>
    <row r="39" spans="1:26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2</v>
      </c>
      <c r="Z39" s="13">
        <f t="shared" ref="Z39:Z41" si="11">SUM(E39:Y39)</f>
        <v>2</v>
      </c>
    </row>
    <row r="40" spans="1:26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1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3">
        <f t="shared" si="11"/>
        <v>1</v>
      </c>
    </row>
    <row r="41" spans="1:26" ht="12.75" customHeight="1" x14ac:dyDescent="0.4">
      <c r="A41" s="25"/>
      <c r="B41" s="68"/>
      <c r="C41" s="69"/>
      <c r="D41" s="13" t="s">
        <v>13</v>
      </c>
      <c r="E41" s="13">
        <f t="shared" ref="E41:Y41" si="12">SUM(E39:E40)</f>
        <v>0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0</v>
      </c>
      <c r="M41" s="13">
        <f t="shared" si="12"/>
        <v>0</v>
      </c>
      <c r="N41" s="13">
        <f t="shared" si="12"/>
        <v>1</v>
      </c>
      <c r="O41" s="13">
        <f t="shared" si="12"/>
        <v>0</v>
      </c>
      <c r="P41" s="13">
        <f t="shared" si="12"/>
        <v>0</v>
      </c>
      <c r="Q41" s="13">
        <f t="shared" si="12"/>
        <v>0</v>
      </c>
      <c r="R41" s="13">
        <f t="shared" si="12"/>
        <v>0</v>
      </c>
      <c r="S41" s="13">
        <f t="shared" si="12"/>
        <v>0</v>
      </c>
      <c r="T41" s="13">
        <f t="shared" si="12"/>
        <v>0</v>
      </c>
      <c r="U41" s="13">
        <f t="shared" si="12"/>
        <v>0</v>
      </c>
      <c r="V41" s="13">
        <f t="shared" si="12"/>
        <v>0</v>
      </c>
      <c r="W41" s="13">
        <f t="shared" si="12"/>
        <v>0</v>
      </c>
      <c r="X41" s="13">
        <f t="shared" si="12"/>
        <v>0</v>
      </c>
      <c r="Y41" s="13">
        <f t="shared" si="12"/>
        <v>2</v>
      </c>
      <c r="Z41" s="13">
        <f t="shared" si="11"/>
        <v>3</v>
      </c>
    </row>
    <row r="42" spans="1:26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16"/>
      <c r="U42" s="16"/>
      <c r="V42" s="16"/>
      <c r="W42" s="16"/>
      <c r="X42" s="48"/>
      <c r="Y42" s="16"/>
      <c r="Z42" s="13"/>
    </row>
    <row r="43" spans="1:26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13"/>
      <c r="U43" s="13"/>
      <c r="V43" s="13"/>
      <c r="W43" s="13"/>
      <c r="X43" s="50"/>
      <c r="Y43" s="13"/>
      <c r="Z43" s="13"/>
    </row>
    <row r="44" spans="1:26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16"/>
      <c r="U44" s="16"/>
      <c r="V44" s="16"/>
      <c r="W44" s="16"/>
      <c r="X44" s="48"/>
      <c r="Y44" s="16"/>
      <c r="Z44" s="13"/>
    </row>
    <row r="45" spans="1:26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4</v>
      </c>
      <c r="F45" s="16">
        <v>6</v>
      </c>
      <c r="G45" s="16">
        <v>7</v>
      </c>
      <c r="H45" s="16">
        <v>6</v>
      </c>
      <c r="I45" s="16">
        <v>1</v>
      </c>
      <c r="J45" s="16">
        <v>7</v>
      </c>
      <c r="K45" s="16">
        <v>4</v>
      </c>
      <c r="L45" s="16">
        <v>3</v>
      </c>
      <c r="M45" s="16">
        <v>3</v>
      </c>
      <c r="N45" s="16">
        <v>5</v>
      </c>
      <c r="O45" s="16">
        <v>2</v>
      </c>
      <c r="P45" s="16">
        <v>4</v>
      </c>
      <c r="Q45" s="16">
        <v>6</v>
      </c>
      <c r="R45" s="16">
        <v>8</v>
      </c>
      <c r="S45" s="16">
        <v>2</v>
      </c>
      <c r="T45" s="16">
        <v>3</v>
      </c>
      <c r="U45" s="16">
        <v>6</v>
      </c>
      <c r="V45" s="16">
        <v>2</v>
      </c>
      <c r="W45" s="16">
        <v>2</v>
      </c>
      <c r="X45" s="16">
        <v>2</v>
      </c>
      <c r="Y45" s="16">
        <v>6</v>
      </c>
      <c r="Z45" s="13">
        <f t="shared" ref="Z45:Z54" si="13">SUM(E45:Y45)</f>
        <v>89</v>
      </c>
    </row>
    <row r="46" spans="1:26" ht="12.75" customHeight="1" x14ac:dyDescent="0.4">
      <c r="A46" s="20" t="s">
        <v>38</v>
      </c>
      <c r="B46" s="28"/>
      <c r="C46" s="29" t="s">
        <v>39</v>
      </c>
      <c r="D46" s="30"/>
      <c r="E46" s="16">
        <v>2</v>
      </c>
      <c r="F46" s="16">
        <v>1</v>
      </c>
      <c r="G46" s="16">
        <v>0</v>
      </c>
      <c r="H46" s="16">
        <v>5</v>
      </c>
      <c r="I46" s="16">
        <v>5</v>
      </c>
      <c r="J46" s="16">
        <v>13</v>
      </c>
      <c r="K46" s="16">
        <v>3</v>
      </c>
      <c r="L46" s="16">
        <v>1</v>
      </c>
      <c r="M46" s="16">
        <v>3</v>
      </c>
      <c r="N46" s="16">
        <v>3</v>
      </c>
      <c r="O46" s="16">
        <v>6</v>
      </c>
      <c r="P46" s="16">
        <v>2</v>
      </c>
      <c r="Q46" s="16">
        <v>6</v>
      </c>
      <c r="R46" s="16">
        <v>2</v>
      </c>
      <c r="S46" s="16">
        <v>2</v>
      </c>
      <c r="T46" s="16">
        <v>18</v>
      </c>
      <c r="U46" s="16">
        <v>1</v>
      </c>
      <c r="V46" s="16">
        <v>5</v>
      </c>
      <c r="W46" s="16">
        <v>3</v>
      </c>
      <c r="X46" s="16">
        <v>1</v>
      </c>
      <c r="Y46" s="16">
        <v>1</v>
      </c>
      <c r="Z46" s="13">
        <f t="shared" si="13"/>
        <v>83</v>
      </c>
    </row>
    <row r="47" spans="1:26" ht="12.75" customHeight="1" x14ac:dyDescent="0.4">
      <c r="A47" s="15"/>
      <c r="B47" s="28"/>
      <c r="C47" s="29" t="s">
        <v>40</v>
      </c>
      <c r="D47" s="30"/>
      <c r="E47" s="16">
        <v>6</v>
      </c>
      <c r="F47" s="16">
        <v>3</v>
      </c>
      <c r="G47" s="16">
        <v>9</v>
      </c>
      <c r="H47" s="16">
        <v>6</v>
      </c>
      <c r="I47" s="16">
        <v>5</v>
      </c>
      <c r="J47" s="16">
        <v>3</v>
      </c>
      <c r="K47" s="16">
        <v>7</v>
      </c>
      <c r="L47" s="16">
        <v>4</v>
      </c>
      <c r="M47" s="16">
        <v>5</v>
      </c>
      <c r="N47" s="16">
        <v>1</v>
      </c>
      <c r="O47" s="16">
        <v>2</v>
      </c>
      <c r="P47" s="16">
        <v>2</v>
      </c>
      <c r="Q47" s="16">
        <v>2</v>
      </c>
      <c r="R47" s="16">
        <v>0</v>
      </c>
      <c r="S47" s="16">
        <v>4</v>
      </c>
      <c r="T47" s="16">
        <v>2</v>
      </c>
      <c r="U47" s="16">
        <v>2</v>
      </c>
      <c r="V47" s="16">
        <v>1</v>
      </c>
      <c r="W47" s="16">
        <v>1</v>
      </c>
      <c r="X47" s="16">
        <v>0</v>
      </c>
      <c r="Y47" s="16">
        <v>0</v>
      </c>
      <c r="Z47" s="13">
        <f t="shared" si="13"/>
        <v>65</v>
      </c>
    </row>
    <row r="48" spans="1:26" ht="12.75" customHeight="1" x14ac:dyDescent="0.4">
      <c r="A48" s="15"/>
      <c r="B48" s="28"/>
      <c r="C48" s="29" t="s">
        <v>41</v>
      </c>
      <c r="D48" s="30"/>
      <c r="E48" s="16">
        <v>1</v>
      </c>
      <c r="F48" s="16">
        <v>0</v>
      </c>
      <c r="G48" s="16">
        <v>1</v>
      </c>
      <c r="H48" s="16">
        <v>0</v>
      </c>
      <c r="I48" s="16">
        <v>0</v>
      </c>
      <c r="J48" s="16">
        <v>1</v>
      </c>
      <c r="K48" s="16">
        <v>0</v>
      </c>
      <c r="L48" s="16">
        <v>1</v>
      </c>
      <c r="M48" s="16">
        <v>0</v>
      </c>
      <c r="N48" s="16">
        <v>4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0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3">
        <f t="shared" si="13"/>
        <v>8</v>
      </c>
    </row>
    <row r="49" spans="1:26" ht="12.75" customHeight="1" x14ac:dyDescent="0.4">
      <c r="A49" s="15"/>
      <c r="B49" s="28"/>
      <c r="C49" s="29" t="s">
        <v>42</v>
      </c>
      <c r="D49" s="30"/>
      <c r="E49" s="16">
        <v>1</v>
      </c>
      <c r="F49" s="16">
        <v>0</v>
      </c>
      <c r="G49" s="16">
        <v>0</v>
      </c>
      <c r="H49" s="16">
        <v>0</v>
      </c>
      <c r="I49" s="16">
        <v>0</v>
      </c>
      <c r="J49" s="16">
        <v>1</v>
      </c>
      <c r="K49" s="16">
        <v>1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2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3">
        <f t="shared" si="13"/>
        <v>5</v>
      </c>
    </row>
    <row r="50" spans="1:26" ht="12.75" customHeight="1" x14ac:dyDescent="0.4">
      <c r="A50" s="15"/>
      <c r="B50" s="28"/>
      <c r="C50" s="29" t="s">
        <v>43</v>
      </c>
      <c r="D50" s="30"/>
      <c r="E50" s="16">
        <v>1</v>
      </c>
      <c r="F50" s="16">
        <v>0</v>
      </c>
      <c r="G50" s="16">
        <v>1</v>
      </c>
      <c r="H50" s="16">
        <v>1</v>
      </c>
      <c r="I50" s="16">
        <v>0</v>
      </c>
      <c r="J50" s="16">
        <v>1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1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3">
        <f t="shared" si="13"/>
        <v>5</v>
      </c>
    </row>
    <row r="51" spans="1:26" ht="12.75" customHeight="1" x14ac:dyDescent="0.4">
      <c r="A51" s="15"/>
      <c r="B51" s="28"/>
      <c r="C51" s="29" t="s">
        <v>44</v>
      </c>
      <c r="D51" s="30"/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1</v>
      </c>
      <c r="N51" s="16">
        <v>0</v>
      </c>
      <c r="O51" s="16">
        <v>0</v>
      </c>
      <c r="P51" s="16">
        <v>0</v>
      </c>
      <c r="Q51" s="16">
        <v>1</v>
      </c>
      <c r="R51" s="16">
        <v>0</v>
      </c>
      <c r="S51" s="16">
        <v>0</v>
      </c>
      <c r="T51" s="16">
        <v>0</v>
      </c>
      <c r="U51" s="16">
        <v>0</v>
      </c>
      <c r="V51" s="16">
        <v>0</v>
      </c>
      <c r="W51" s="16">
        <v>0</v>
      </c>
      <c r="X51" s="16">
        <v>1</v>
      </c>
      <c r="Y51" s="16">
        <v>0</v>
      </c>
      <c r="Z51" s="13">
        <f t="shared" si="13"/>
        <v>4</v>
      </c>
    </row>
    <row r="52" spans="1:26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13">
        <f t="shared" si="13"/>
        <v>0</v>
      </c>
    </row>
    <row r="53" spans="1:26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13">
        <f t="shared" si="13"/>
        <v>0</v>
      </c>
    </row>
    <row r="54" spans="1:26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13">
        <f t="shared" si="13"/>
        <v>0</v>
      </c>
    </row>
    <row r="55" spans="1:26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Z55" si="14">SUM(E45:E54)</f>
        <v>16</v>
      </c>
      <c r="F55" s="13">
        <f t="shared" si="14"/>
        <v>10</v>
      </c>
      <c r="G55" s="13">
        <f t="shared" si="14"/>
        <v>18</v>
      </c>
      <c r="H55" s="13">
        <f t="shared" si="14"/>
        <v>18</v>
      </c>
      <c r="I55" s="13">
        <f t="shared" si="14"/>
        <v>11</v>
      </c>
      <c r="J55" s="13">
        <f t="shared" si="14"/>
        <v>26</v>
      </c>
      <c r="K55" s="13">
        <f t="shared" si="14"/>
        <v>15</v>
      </c>
      <c r="L55" s="13">
        <f t="shared" si="14"/>
        <v>9</v>
      </c>
      <c r="M55" s="13">
        <f t="shared" si="14"/>
        <v>12</v>
      </c>
      <c r="N55" s="13">
        <f t="shared" si="14"/>
        <v>13</v>
      </c>
      <c r="O55" s="13">
        <f t="shared" si="14"/>
        <v>10</v>
      </c>
      <c r="P55" s="13">
        <f t="shared" si="14"/>
        <v>9</v>
      </c>
      <c r="Q55" s="13">
        <f t="shared" si="14"/>
        <v>15</v>
      </c>
      <c r="R55" s="13">
        <f t="shared" si="14"/>
        <v>12</v>
      </c>
      <c r="S55" s="13">
        <f t="shared" si="14"/>
        <v>8</v>
      </c>
      <c r="T55" s="13">
        <f t="shared" si="14"/>
        <v>23</v>
      </c>
      <c r="U55" s="13">
        <f t="shared" si="14"/>
        <v>9</v>
      </c>
      <c r="V55" s="13">
        <f t="shared" si="14"/>
        <v>8</v>
      </c>
      <c r="W55" s="13">
        <f t="shared" si="14"/>
        <v>6</v>
      </c>
      <c r="X55" s="13">
        <f t="shared" si="14"/>
        <v>4</v>
      </c>
      <c r="Y55" s="13">
        <f t="shared" si="14"/>
        <v>7</v>
      </c>
      <c r="Z55" s="13">
        <f t="shared" si="14"/>
        <v>259</v>
      </c>
    </row>
    <row r="56" spans="1:26" ht="12.75" customHeight="1" x14ac:dyDescent="0.4">
      <c r="A56" s="86"/>
      <c r="B56" s="68"/>
      <c r="C56" s="68"/>
      <c r="D56" s="68"/>
      <c r="E56" s="68"/>
      <c r="Z56" s="13"/>
    </row>
    <row r="57" spans="1:26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8</v>
      </c>
      <c r="F57" s="16">
        <v>8</v>
      </c>
      <c r="G57" s="16">
        <v>4</v>
      </c>
      <c r="H57" s="16">
        <v>5</v>
      </c>
      <c r="I57" s="16">
        <v>8</v>
      </c>
      <c r="J57" s="16">
        <v>9</v>
      </c>
      <c r="K57" s="16">
        <v>7</v>
      </c>
      <c r="L57" s="16">
        <v>2</v>
      </c>
      <c r="M57" s="16">
        <v>4</v>
      </c>
      <c r="N57" s="16">
        <v>8</v>
      </c>
      <c r="O57" s="16">
        <v>8</v>
      </c>
      <c r="P57" s="16">
        <v>9</v>
      </c>
      <c r="Q57" s="16">
        <v>4</v>
      </c>
      <c r="R57" s="16">
        <v>11</v>
      </c>
      <c r="S57" s="16">
        <v>8</v>
      </c>
      <c r="T57" s="16">
        <v>5</v>
      </c>
      <c r="U57" s="16">
        <v>5</v>
      </c>
      <c r="V57" s="16">
        <v>0</v>
      </c>
      <c r="W57" s="16">
        <v>6</v>
      </c>
      <c r="X57" s="16">
        <v>5</v>
      </c>
      <c r="Y57" s="16">
        <v>19</v>
      </c>
      <c r="Z57" s="13">
        <f t="shared" ref="Z57:Z66" si="15">SUM(E57:Y57)</f>
        <v>143</v>
      </c>
    </row>
    <row r="58" spans="1:26" ht="12.75" customHeight="1" x14ac:dyDescent="0.4">
      <c r="A58" s="20" t="s">
        <v>38</v>
      </c>
      <c r="B58" s="28"/>
      <c r="C58" s="29" t="s">
        <v>47</v>
      </c>
      <c r="D58" s="30"/>
      <c r="E58" s="16">
        <v>3</v>
      </c>
      <c r="F58" s="16">
        <v>5</v>
      </c>
      <c r="G58" s="16">
        <v>2</v>
      </c>
      <c r="H58" s="16">
        <v>1</v>
      </c>
      <c r="I58" s="16">
        <v>9</v>
      </c>
      <c r="J58" s="16">
        <v>3</v>
      </c>
      <c r="K58" s="16">
        <v>2</v>
      </c>
      <c r="L58" s="16">
        <v>7</v>
      </c>
      <c r="M58" s="16">
        <v>10</v>
      </c>
      <c r="N58" s="16">
        <v>3</v>
      </c>
      <c r="O58" s="16">
        <v>7</v>
      </c>
      <c r="P58" s="16">
        <v>3</v>
      </c>
      <c r="Q58" s="16">
        <v>3</v>
      </c>
      <c r="R58" s="16">
        <v>6</v>
      </c>
      <c r="S58" s="16">
        <v>3</v>
      </c>
      <c r="T58" s="16">
        <v>4</v>
      </c>
      <c r="U58" s="16">
        <v>2</v>
      </c>
      <c r="V58" s="16">
        <v>2</v>
      </c>
      <c r="W58" s="16">
        <v>2</v>
      </c>
      <c r="X58" s="16">
        <v>4</v>
      </c>
      <c r="Y58" s="16">
        <v>5</v>
      </c>
      <c r="Z58" s="13">
        <f t="shared" si="15"/>
        <v>86</v>
      </c>
    </row>
    <row r="59" spans="1:26" ht="12.75" customHeight="1" x14ac:dyDescent="0.4">
      <c r="A59" s="15"/>
      <c r="B59" s="28"/>
      <c r="C59" s="29" t="s">
        <v>48</v>
      </c>
      <c r="D59" s="30"/>
      <c r="E59" s="16">
        <v>3</v>
      </c>
      <c r="F59" s="16">
        <v>2</v>
      </c>
      <c r="G59" s="16">
        <v>1</v>
      </c>
      <c r="H59" s="16">
        <v>0</v>
      </c>
      <c r="I59" s="16">
        <v>2</v>
      </c>
      <c r="J59" s="16">
        <v>2</v>
      </c>
      <c r="K59" s="16">
        <v>3</v>
      </c>
      <c r="L59" s="16">
        <v>0</v>
      </c>
      <c r="M59" s="16">
        <v>1</v>
      </c>
      <c r="N59" s="16">
        <v>2</v>
      </c>
      <c r="O59" s="16">
        <v>0</v>
      </c>
      <c r="P59" s="16">
        <v>5</v>
      </c>
      <c r="Q59" s="16">
        <v>2</v>
      </c>
      <c r="R59" s="16">
        <v>1</v>
      </c>
      <c r="S59" s="16">
        <v>1</v>
      </c>
      <c r="T59" s="16">
        <v>0</v>
      </c>
      <c r="U59" s="16">
        <v>3</v>
      </c>
      <c r="V59" s="16">
        <v>3</v>
      </c>
      <c r="W59" s="16">
        <v>0</v>
      </c>
      <c r="X59" s="16">
        <v>0</v>
      </c>
      <c r="Y59" s="16">
        <v>2</v>
      </c>
      <c r="Z59" s="13">
        <f t="shared" si="15"/>
        <v>33</v>
      </c>
    </row>
    <row r="60" spans="1:26" ht="12.75" customHeight="1" x14ac:dyDescent="0.4">
      <c r="A60" s="15"/>
      <c r="B60" s="28"/>
      <c r="C60" s="29" t="s">
        <v>49</v>
      </c>
      <c r="D60" s="30"/>
      <c r="E60" s="16">
        <v>0</v>
      </c>
      <c r="F60" s="16">
        <v>3</v>
      </c>
      <c r="G60" s="16">
        <v>3</v>
      </c>
      <c r="H60" s="16">
        <v>0</v>
      </c>
      <c r="I60" s="16">
        <v>1</v>
      </c>
      <c r="J60" s="16">
        <v>7</v>
      </c>
      <c r="K60" s="16">
        <v>3</v>
      </c>
      <c r="L60" s="16">
        <v>1</v>
      </c>
      <c r="M60" s="16">
        <v>0</v>
      </c>
      <c r="N60" s="16">
        <v>4</v>
      </c>
      <c r="O60" s="16">
        <v>1</v>
      </c>
      <c r="P60" s="16">
        <v>5</v>
      </c>
      <c r="Q60" s="16">
        <v>2</v>
      </c>
      <c r="R60" s="16">
        <v>2</v>
      </c>
      <c r="S60" s="16">
        <v>0</v>
      </c>
      <c r="T60" s="16">
        <v>3</v>
      </c>
      <c r="U60" s="16">
        <v>1</v>
      </c>
      <c r="V60" s="16">
        <v>4</v>
      </c>
      <c r="W60" s="16">
        <v>1</v>
      </c>
      <c r="X60" s="16">
        <v>0</v>
      </c>
      <c r="Y60" s="16">
        <v>0</v>
      </c>
      <c r="Z60" s="13">
        <f t="shared" si="15"/>
        <v>41</v>
      </c>
    </row>
    <row r="61" spans="1:26" ht="12.75" customHeight="1" x14ac:dyDescent="0.4">
      <c r="A61" s="15"/>
      <c r="B61" s="28"/>
      <c r="C61" s="29" t="s">
        <v>50</v>
      </c>
      <c r="D61" s="30"/>
      <c r="E61" s="16">
        <v>0</v>
      </c>
      <c r="F61" s="16">
        <v>1</v>
      </c>
      <c r="G61" s="16">
        <v>1</v>
      </c>
      <c r="H61" s="16">
        <v>1</v>
      </c>
      <c r="I61" s="16">
        <v>2</v>
      </c>
      <c r="J61" s="16">
        <v>0</v>
      </c>
      <c r="K61" s="16">
        <v>1</v>
      </c>
      <c r="L61" s="16">
        <v>0</v>
      </c>
      <c r="M61" s="16">
        <v>1</v>
      </c>
      <c r="N61" s="16">
        <v>2</v>
      </c>
      <c r="O61" s="16">
        <v>1</v>
      </c>
      <c r="P61" s="16">
        <v>6</v>
      </c>
      <c r="Q61" s="16">
        <v>0</v>
      </c>
      <c r="R61" s="16">
        <v>0</v>
      </c>
      <c r="S61" s="16">
        <v>1</v>
      </c>
      <c r="T61" s="16">
        <v>5</v>
      </c>
      <c r="U61" s="16">
        <v>0</v>
      </c>
      <c r="V61" s="16">
        <v>0</v>
      </c>
      <c r="W61" s="16">
        <v>0</v>
      </c>
      <c r="X61" s="16">
        <v>0</v>
      </c>
      <c r="Y61" s="16">
        <v>6</v>
      </c>
      <c r="Z61" s="13">
        <f t="shared" si="15"/>
        <v>28</v>
      </c>
    </row>
    <row r="62" spans="1:26" ht="12.75" customHeight="1" x14ac:dyDescent="0.4">
      <c r="A62" s="15"/>
      <c r="B62" s="28"/>
      <c r="C62" s="29" t="s">
        <v>51</v>
      </c>
      <c r="D62" s="30"/>
      <c r="E62" s="16">
        <v>0</v>
      </c>
      <c r="F62" s="16">
        <v>0</v>
      </c>
      <c r="G62" s="16">
        <v>1</v>
      </c>
      <c r="H62" s="16">
        <v>0</v>
      </c>
      <c r="I62" s="16">
        <v>1</v>
      </c>
      <c r="J62" s="16">
        <v>0</v>
      </c>
      <c r="K62" s="16">
        <v>1</v>
      </c>
      <c r="L62" s="16">
        <v>2</v>
      </c>
      <c r="M62" s="16">
        <v>2</v>
      </c>
      <c r="N62" s="16">
        <v>0</v>
      </c>
      <c r="O62" s="16">
        <v>0</v>
      </c>
      <c r="P62" s="16">
        <v>2</v>
      </c>
      <c r="Q62" s="16">
        <v>3</v>
      </c>
      <c r="R62" s="16">
        <v>1</v>
      </c>
      <c r="S62" s="16">
        <v>0</v>
      </c>
      <c r="T62" s="16">
        <v>1</v>
      </c>
      <c r="U62" s="16">
        <v>4</v>
      </c>
      <c r="V62" s="16">
        <v>1</v>
      </c>
      <c r="W62" s="16">
        <v>2</v>
      </c>
      <c r="X62" s="16">
        <v>1</v>
      </c>
      <c r="Y62" s="16">
        <v>0</v>
      </c>
      <c r="Z62" s="13">
        <f t="shared" si="15"/>
        <v>22</v>
      </c>
    </row>
    <row r="63" spans="1:26" ht="12.75" customHeight="1" x14ac:dyDescent="0.4">
      <c r="A63" s="15"/>
      <c r="B63" s="28"/>
      <c r="C63" s="29" t="s">
        <v>52</v>
      </c>
      <c r="D63" s="30"/>
      <c r="E63" s="16">
        <v>1</v>
      </c>
      <c r="F63" s="16">
        <v>0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0</v>
      </c>
      <c r="M63" s="16">
        <v>0</v>
      </c>
      <c r="N63" s="16">
        <v>2</v>
      </c>
      <c r="O63" s="16">
        <v>0</v>
      </c>
      <c r="P63" s="16">
        <v>0</v>
      </c>
      <c r="Q63" s="16">
        <v>1</v>
      </c>
      <c r="R63" s="16">
        <v>0</v>
      </c>
      <c r="S63" s="16">
        <v>1</v>
      </c>
      <c r="T63" s="16">
        <v>0</v>
      </c>
      <c r="U63" s="16">
        <v>0</v>
      </c>
      <c r="V63" s="16">
        <v>0</v>
      </c>
      <c r="W63" s="16">
        <v>1</v>
      </c>
      <c r="X63" s="16">
        <v>0</v>
      </c>
      <c r="Y63" s="16">
        <v>0</v>
      </c>
      <c r="Z63" s="13">
        <f t="shared" si="15"/>
        <v>6</v>
      </c>
    </row>
    <row r="64" spans="1:26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13">
        <f t="shared" si="15"/>
        <v>0</v>
      </c>
    </row>
    <row r="65" spans="1:26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13">
        <f t="shared" si="15"/>
        <v>0</v>
      </c>
    </row>
    <row r="66" spans="1:26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13">
        <f t="shared" si="15"/>
        <v>0</v>
      </c>
    </row>
    <row r="67" spans="1:26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Z67" si="16">SUM(E57:E66)</f>
        <v>15</v>
      </c>
      <c r="F67" s="13">
        <f t="shared" si="16"/>
        <v>19</v>
      </c>
      <c r="G67" s="13">
        <f t="shared" si="16"/>
        <v>12</v>
      </c>
      <c r="H67" s="13">
        <f t="shared" si="16"/>
        <v>7</v>
      </c>
      <c r="I67" s="13">
        <f t="shared" si="16"/>
        <v>23</v>
      </c>
      <c r="J67" s="13">
        <f t="shared" si="16"/>
        <v>21</v>
      </c>
      <c r="K67" s="13">
        <f t="shared" si="16"/>
        <v>17</v>
      </c>
      <c r="L67" s="13">
        <f t="shared" si="16"/>
        <v>12</v>
      </c>
      <c r="M67" s="13">
        <f t="shared" si="16"/>
        <v>18</v>
      </c>
      <c r="N67" s="13">
        <f t="shared" si="16"/>
        <v>21</v>
      </c>
      <c r="O67" s="13">
        <f t="shared" si="16"/>
        <v>17</v>
      </c>
      <c r="P67" s="13">
        <f t="shared" si="16"/>
        <v>30</v>
      </c>
      <c r="Q67" s="13">
        <f t="shared" si="16"/>
        <v>15</v>
      </c>
      <c r="R67" s="13">
        <f t="shared" si="16"/>
        <v>21</v>
      </c>
      <c r="S67" s="13">
        <f t="shared" si="16"/>
        <v>14</v>
      </c>
      <c r="T67" s="13">
        <f t="shared" si="16"/>
        <v>18</v>
      </c>
      <c r="U67" s="13">
        <f t="shared" si="16"/>
        <v>15</v>
      </c>
      <c r="V67" s="13">
        <f t="shared" si="16"/>
        <v>10</v>
      </c>
      <c r="W67" s="13">
        <f t="shared" si="16"/>
        <v>12</v>
      </c>
      <c r="X67" s="13">
        <f t="shared" si="16"/>
        <v>10</v>
      </c>
      <c r="Y67" s="13">
        <f t="shared" si="16"/>
        <v>32</v>
      </c>
      <c r="Z67" s="13">
        <f t="shared" si="16"/>
        <v>359</v>
      </c>
    </row>
    <row r="68" spans="1:26" ht="12.75" customHeight="1" x14ac:dyDescent="0.4">
      <c r="A68" s="86"/>
      <c r="B68" s="68"/>
      <c r="C68" s="68"/>
      <c r="D68" s="68"/>
      <c r="E68" s="68"/>
    </row>
    <row r="69" spans="1:26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13</v>
      </c>
      <c r="F69" s="16">
        <v>4</v>
      </c>
      <c r="G69" s="16">
        <v>10</v>
      </c>
      <c r="H69" s="16">
        <v>6</v>
      </c>
      <c r="I69" s="16">
        <v>10</v>
      </c>
      <c r="J69" s="16">
        <v>12</v>
      </c>
      <c r="K69" s="16">
        <v>9</v>
      </c>
      <c r="L69" s="16">
        <v>8</v>
      </c>
      <c r="M69" s="16">
        <v>6</v>
      </c>
      <c r="N69" s="16">
        <v>4</v>
      </c>
      <c r="O69" s="16">
        <v>4</v>
      </c>
      <c r="P69" s="16">
        <v>8</v>
      </c>
      <c r="Q69" s="16">
        <v>5</v>
      </c>
      <c r="R69" s="16">
        <v>5</v>
      </c>
      <c r="S69" s="16">
        <v>9</v>
      </c>
      <c r="T69" s="16">
        <v>2</v>
      </c>
      <c r="U69" s="16">
        <v>10</v>
      </c>
      <c r="V69" s="16">
        <v>5</v>
      </c>
      <c r="W69" s="16">
        <v>11</v>
      </c>
      <c r="X69" s="16">
        <v>5</v>
      </c>
      <c r="Y69" s="16">
        <v>10</v>
      </c>
      <c r="Z69" s="13">
        <f t="shared" ref="Z69:Z78" si="17">SUM(E69:Y69)</f>
        <v>156</v>
      </c>
    </row>
    <row r="70" spans="1:26" ht="12.75" customHeight="1" x14ac:dyDescent="0.4">
      <c r="A70" s="20" t="s">
        <v>38</v>
      </c>
      <c r="B70" s="28"/>
      <c r="C70" s="29" t="s">
        <v>54</v>
      </c>
      <c r="D70" s="30"/>
      <c r="E70" s="16">
        <v>14</v>
      </c>
      <c r="F70" s="16">
        <v>5</v>
      </c>
      <c r="G70" s="16">
        <v>2</v>
      </c>
      <c r="H70" s="16">
        <v>2</v>
      </c>
      <c r="I70" s="16">
        <v>3</v>
      </c>
      <c r="J70" s="16">
        <v>4</v>
      </c>
      <c r="K70" s="16">
        <v>7</v>
      </c>
      <c r="L70" s="16">
        <v>9</v>
      </c>
      <c r="M70" s="16">
        <v>0</v>
      </c>
      <c r="N70" s="16">
        <v>3</v>
      </c>
      <c r="O70" s="16">
        <v>2</v>
      </c>
      <c r="P70" s="16">
        <v>6</v>
      </c>
      <c r="Q70" s="16">
        <v>3</v>
      </c>
      <c r="R70" s="16">
        <v>2</v>
      </c>
      <c r="S70" s="16">
        <v>4</v>
      </c>
      <c r="T70" s="16">
        <v>2</v>
      </c>
      <c r="U70" s="16">
        <v>5</v>
      </c>
      <c r="V70" s="16">
        <v>1</v>
      </c>
      <c r="W70" s="16">
        <v>10</v>
      </c>
      <c r="X70" s="16">
        <v>0</v>
      </c>
      <c r="Y70" s="16">
        <v>5</v>
      </c>
      <c r="Z70" s="13">
        <f t="shared" si="17"/>
        <v>89</v>
      </c>
    </row>
    <row r="71" spans="1:26" ht="12.75" customHeight="1" x14ac:dyDescent="0.4">
      <c r="A71" s="15"/>
      <c r="B71" s="28"/>
      <c r="C71" s="29" t="s">
        <v>55</v>
      </c>
      <c r="D71" s="30"/>
      <c r="E71" s="16">
        <v>5</v>
      </c>
      <c r="F71" s="16">
        <v>5</v>
      </c>
      <c r="G71" s="16">
        <v>4</v>
      </c>
      <c r="H71" s="16">
        <v>1</v>
      </c>
      <c r="I71" s="16">
        <v>12</v>
      </c>
      <c r="J71" s="16">
        <v>6</v>
      </c>
      <c r="K71" s="16">
        <v>2</v>
      </c>
      <c r="L71" s="16">
        <v>1</v>
      </c>
      <c r="M71" s="16">
        <v>1</v>
      </c>
      <c r="N71" s="16">
        <v>5</v>
      </c>
      <c r="O71" s="16">
        <v>8</v>
      </c>
      <c r="P71" s="16">
        <v>3</v>
      </c>
      <c r="Q71" s="16">
        <v>5</v>
      </c>
      <c r="R71" s="16">
        <v>2</v>
      </c>
      <c r="S71" s="16">
        <v>6</v>
      </c>
      <c r="T71" s="16">
        <v>2</v>
      </c>
      <c r="U71" s="16">
        <v>14</v>
      </c>
      <c r="V71" s="16">
        <v>1</v>
      </c>
      <c r="W71" s="16">
        <v>4</v>
      </c>
      <c r="X71" s="16">
        <v>1</v>
      </c>
      <c r="Y71" s="16">
        <v>2</v>
      </c>
      <c r="Z71" s="13">
        <f t="shared" si="17"/>
        <v>90</v>
      </c>
    </row>
    <row r="72" spans="1:26" ht="12.75" customHeight="1" x14ac:dyDescent="0.4">
      <c r="A72" s="15"/>
      <c r="B72" s="28"/>
      <c r="C72" s="29" t="s">
        <v>56</v>
      </c>
      <c r="D72" s="30"/>
      <c r="E72" s="16">
        <v>1</v>
      </c>
      <c r="F72" s="16">
        <v>5</v>
      </c>
      <c r="G72" s="16">
        <v>2</v>
      </c>
      <c r="H72" s="16">
        <v>8</v>
      </c>
      <c r="I72" s="16">
        <v>4</v>
      </c>
      <c r="J72" s="16">
        <v>4</v>
      </c>
      <c r="K72" s="16">
        <v>3</v>
      </c>
      <c r="L72" s="16">
        <v>8</v>
      </c>
      <c r="M72" s="16">
        <v>3</v>
      </c>
      <c r="N72" s="16">
        <v>7</v>
      </c>
      <c r="O72" s="16">
        <v>5</v>
      </c>
      <c r="P72" s="16">
        <v>3</v>
      </c>
      <c r="Q72" s="16">
        <v>3</v>
      </c>
      <c r="R72" s="16">
        <v>8</v>
      </c>
      <c r="S72" s="16">
        <v>10</v>
      </c>
      <c r="T72" s="16">
        <v>3</v>
      </c>
      <c r="U72" s="16">
        <v>8</v>
      </c>
      <c r="V72" s="16">
        <v>4</v>
      </c>
      <c r="W72" s="16">
        <v>8</v>
      </c>
      <c r="X72" s="16">
        <v>9</v>
      </c>
      <c r="Y72" s="16">
        <v>8</v>
      </c>
      <c r="Z72" s="13">
        <f t="shared" si="17"/>
        <v>114</v>
      </c>
    </row>
    <row r="73" spans="1:26" ht="12.75" customHeight="1" x14ac:dyDescent="0.4">
      <c r="A73" s="15"/>
      <c r="B73" s="28"/>
      <c r="C73" s="29" t="s">
        <v>57</v>
      </c>
      <c r="D73" s="30"/>
      <c r="E73" s="16">
        <v>0</v>
      </c>
      <c r="F73" s="16">
        <v>4</v>
      </c>
      <c r="G73" s="16">
        <v>1</v>
      </c>
      <c r="H73" s="16">
        <v>2</v>
      </c>
      <c r="I73" s="16">
        <v>0</v>
      </c>
      <c r="J73" s="16">
        <v>1</v>
      </c>
      <c r="K73" s="16">
        <v>1</v>
      </c>
      <c r="L73" s="16">
        <v>2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2</v>
      </c>
      <c r="T73" s="16">
        <v>0</v>
      </c>
      <c r="U73" s="16">
        <v>1</v>
      </c>
      <c r="V73" s="16">
        <v>1</v>
      </c>
      <c r="W73" s="16">
        <v>1</v>
      </c>
      <c r="X73" s="16">
        <v>0</v>
      </c>
      <c r="Y73" s="16">
        <v>3</v>
      </c>
      <c r="Z73" s="13">
        <f t="shared" si="17"/>
        <v>21</v>
      </c>
    </row>
    <row r="74" spans="1:26" ht="12.75" customHeight="1" x14ac:dyDescent="0.4">
      <c r="A74" s="15"/>
      <c r="B74" s="28"/>
      <c r="C74" s="29" t="s">
        <v>58</v>
      </c>
      <c r="D74" s="30"/>
      <c r="E74" s="16">
        <v>11</v>
      </c>
      <c r="F74" s="16">
        <v>4</v>
      </c>
      <c r="G74" s="16">
        <v>11</v>
      </c>
      <c r="H74" s="16">
        <v>3</v>
      </c>
      <c r="I74" s="16">
        <v>1</v>
      </c>
      <c r="J74" s="16">
        <v>12</v>
      </c>
      <c r="K74" s="16">
        <v>1</v>
      </c>
      <c r="L74" s="16">
        <v>4</v>
      </c>
      <c r="M74" s="16">
        <v>2</v>
      </c>
      <c r="N74" s="16">
        <v>9</v>
      </c>
      <c r="O74" s="16">
        <v>10</v>
      </c>
      <c r="P74" s="16">
        <v>8</v>
      </c>
      <c r="Q74" s="16">
        <v>15</v>
      </c>
      <c r="R74" s="16">
        <v>8</v>
      </c>
      <c r="S74" s="16">
        <v>10</v>
      </c>
      <c r="T74" s="16">
        <v>3</v>
      </c>
      <c r="U74" s="16">
        <v>14</v>
      </c>
      <c r="V74" s="16">
        <v>8</v>
      </c>
      <c r="W74" s="16">
        <v>3</v>
      </c>
      <c r="X74" s="16">
        <v>12</v>
      </c>
      <c r="Y74" s="16">
        <v>14</v>
      </c>
      <c r="Z74" s="13">
        <f t="shared" si="17"/>
        <v>163</v>
      </c>
    </row>
    <row r="75" spans="1:26" ht="12.75" customHeight="1" x14ac:dyDescent="0.4">
      <c r="A75" s="15"/>
      <c r="B75" s="28"/>
      <c r="C75" s="29" t="s">
        <v>59</v>
      </c>
      <c r="D75" s="30"/>
      <c r="E75" s="16">
        <v>0</v>
      </c>
      <c r="F75" s="16">
        <v>2</v>
      </c>
      <c r="G75" s="16">
        <v>3</v>
      </c>
      <c r="H75" s="16">
        <v>7</v>
      </c>
      <c r="I75" s="16">
        <v>1</v>
      </c>
      <c r="J75" s="16">
        <v>4</v>
      </c>
      <c r="K75" s="16">
        <v>11</v>
      </c>
      <c r="L75" s="16">
        <v>5</v>
      </c>
      <c r="M75" s="16">
        <v>6</v>
      </c>
      <c r="N75" s="16">
        <v>6</v>
      </c>
      <c r="O75" s="16">
        <v>4</v>
      </c>
      <c r="P75" s="16">
        <v>6</v>
      </c>
      <c r="Q75" s="16">
        <v>4</v>
      </c>
      <c r="R75" s="16">
        <v>3</v>
      </c>
      <c r="S75" s="16">
        <v>8</v>
      </c>
      <c r="T75" s="16">
        <v>4</v>
      </c>
      <c r="U75" s="16">
        <v>3</v>
      </c>
      <c r="V75" s="16">
        <v>4</v>
      </c>
      <c r="W75" s="16">
        <v>3</v>
      </c>
      <c r="X75" s="16">
        <v>8</v>
      </c>
      <c r="Y75" s="16">
        <v>1</v>
      </c>
      <c r="Z75" s="13">
        <f t="shared" si="17"/>
        <v>93</v>
      </c>
    </row>
    <row r="76" spans="1:26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13">
        <f t="shared" si="17"/>
        <v>0</v>
      </c>
    </row>
    <row r="77" spans="1:26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13">
        <f t="shared" si="17"/>
        <v>0</v>
      </c>
    </row>
    <row r="78" spans="1:26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13">
        <f t="shared" si="17"/>
        <v>0</v>
      </c>
    </row>
    <row r="79" spans="1:26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Z79" si="18">SUM(E69:E78)</f>
        <v>44</v>
      </c>
      <c r="F79" s="13">
        <f t="shared" si="18"/>
        <v>29</v>
      </c>
      <c r="G79" s="13">
        <f t="shared" si="18"/>
        <v>33</v>
      </c>
      <c r="H79" s="13">
        <f t="shared" si="18"/>
        <v>29</v>
      </c>
      <c r="I79" s="13">
        <f t="shared" si="18"/>
        <v>31</v>
      </c>
      <c r="J79" s="13">
        <f t="shared" si="18"/>
        <v>43</v>
      </c>
      <c r="K79" s="13">
        <f t="shared" si="18"/>
        <v>34</v>
      </c>
      <c r="L79" s="13">
        <f t="shared" si="18"/>
        <v>37</v>
      </c>
      <c r="M79" s="13">
        <f t="shared" si="18"/>
        <v>18</v>
      </c>
      <c r="N79" s="13">
        <f t="shared" si="18"/>
        <v>34</v>
      </c>
      <c r="O79" s="13">
        <f t="shared" si="18"/>
        <v>34</v>
      </c>
      <c r="P79" s="13">
        <f t="shared" si="18"/>
        <v>34</v>
      </c>
      <c r="Q79" s="13">
        <f t="shared" si="18"/>
        <v>35</v>
      </c>
      <c r="R79" s="13">
        <f t="shared" si="18"/>
        <v>29</v>
      </c>
      <c r="S79" s="13">
        <f t="shared" si="18"/>
        <v>49</v>
      </c>
      <c r="T79" s="13">
        <f t="shared" si="18"/>
        <v>16</v>
      </c>
      <c r="U79" s="13">
        <f t="shared" si="18"/>
        <v>55</v>
      </c>
      <c r="V79" s="13">
        <f t="shared" si="18"/>
        <v>24</v>
      </c>
      <c r="W79" s="13">
        <f t="shared" si="18"/>
        <v>40</v>
      </c>
      <c r="X79" s="13">
        <f t="shared" si="18"/>
        <v>35</v>
      </c>
      <c r="Y79" s="13">
        <f t="shared" si="18"/>
        <v>43</v>
      </c>
      <c r="Z79" s="13">
        <f t="shared" si="18"/>
        <v>726</v>
      </c>
    </row>
    <row r="80" spans="1:26" ht="12.75" customHeight="1" x14ac:dyDescent="0.4">
      <c r="A80" s="86"/>
      <c r="B80" s="68"/>
      <c r="C80" s="68"/>
      <c r="D80" s="68"/>
      <c r="E80" s="68"/>
    </row>
    <row r="81" spans="1:26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4</v>
      </c>
      <c r="F81" s="16">
        <v>1</v>
      </c>
      <c r="G81" s="16">
        <v>8</v>
      </c>
      <c r="H81" s="16">
        <v>10</v>
      </c>
      <c r="I81" s="16">
        <v>6</v>
      </c>
      <c r="J81" s="16">
        <v>10</v>
      </c>
      <c r="K81" s="16">
        <v>5</v>
      </c>
      <c r="L81" s="16">
        <v>5</v>
      </c>
      <c r="M81" s="16">
        <v>5</v>
      </c>
      <c r="N81" s="16">
        <v>5</v>
      </c>
      <c r="O81" s="16">
        <v>3</v>
      </c>
      <c r="P81" s="16">
        <v>3</v>
      </c>
      <c r="Q81" s="16">
        <v>6</v>
      </c>
      <c r="R81" s="16">
        <v>5</v>
      </c>
      <c r="S81" s="16">
        <v>5</v>
      </c>
      <c r="T81" s="16">
        <v>3</v>
      </c>
      <c r="U81" s="16">
        <v>4</v>
      </c>
      <c r="V81" s="16">
        <v>4</v>
      </c>
      <c r="W81" s="16">
        <v>2</v>
      </c>
      <c r="X81" s="16">
        <v>1</v>
      </c>
      <c r="Y81" s="16">
        <v>8</v>
      </c>
      <c r="Z81" s="13">
        <f t="shared" ref="Z81:Z90" si="19">SUM(E81:Y81)</f>
        <v>103</v>
      </c>
    </row>
    <row r="82" spans="1:26" ht="12.75" customHeight="1" x14ac:dyDescent="0.4">
      <c r="A82" s="20" t="s">
        <v>38</v>
      </c>
      <c r="B82" s="28"/>
      <c r="C82" s="29" t="s">
        <v>61</v>
      </c>
      <c r="D82" s="30"/>
      <c r="E82" s="16">
        <v>2</v>
      </c>
      <c r="F82" s="16">
        <v>1</v>
      </c>
      <c r="G82" s="16">
        <v>2</v>
      </c>
      <c r="H82" s="16">
        <v>3</v>
      </c>
      <c r="I82" s="16">
        <v>24</v>
      </c>
      <c r="J82" s="16">
        <v>1</v>
      </c>
      <c r="K82" s="16">
        <v>3</v>
      </c>
      <c r="L82" s="16">
        <v>13</v>
      </c>
      <c r="M82" s="16">
        <v>4</v>
      </c>
      <c r="N82" s="16">
        <v>9</v>
      </c>
      <c r="O82" s="16">
        <v>5</v>
      </c>
      <c r="P82" s="16">
        <v>4</v>
      </c>
      <c r="Q82" s="16">
        <v>56</v>
      </c>
      <c r="R82" s="16">
        <v>11</v>
      </c>
      <c r="S82" s="16">
        <v>6</v>
      </c>
      <c r="T82" s="16">
        <v>7</v>
      </c>
      <c r="U82" s="16">
        <v>4</v>
      </c>
      <c r="V82" s="16">
        <v>7</v>
      </c>
      <c r="W82" s="16">
        <v>9</v>
      </c>
      <c r="X82" s="16">
        <v>5</v>
      </c>
      <c r="Y82" s="16">
        <v>3</v>
      </c>
      <c r="Z82" s="13">
        <f t="shared" si="19"/>
        <v>179</v>
      </c>
    </row>
    <row r="83" spans="1:26" ht="12.75" customHeight="1" x14ac:dyDescent="0.4">
      <c r="A83" s="15"/>
      <c r="B83" s="28"/>
      <c r="C83" s="29" t="s">
        <v>62</v>
      </c>
      <c r="D83" s="30"/>
      <c r="E83" s="16">
        <v>2</v>
      </c>
      <c r="F83" s="16">
        <v>2</v>
      </c>
      <c r="G83" s="16">
        <v>0</v>
      </c>
      <c r="H83" s="16">
        <v>3</v>
      </c>
      <c r="I83" s="16">
        <v>0</v>
      </c>
      <c r="J83" s="16">
        <v>1</v>
      </c>
      <c r="K83" s="16">
        <v>1</v>
      </c>
      <c r="L83" s="16">
        <v>0</v>
      </c>
      <c r="M83" s="16">
        <v>1</v>
      </c>
      <c r="N83" s="16">
        <v>0</v>
      </c>
      <c r="O83" s="16">
        <v>0</v>
      </c>
      <c r="P83" s="16">
        <v>0</v>
      </c>
      <c r="Q83" s="16">
        <v>1</v>
      </c>
      <c r="R83" s="16">
        <v>0</v>
      </c>
      <c r="S83" s="16">
        <v>1</v>
      </c>
      <c r="T83" s="16">
        <v>2</v>
      </c>
      <c r="U83" s="16">
        <v>1</v>
      </c>
      <c r="V83" s="16">
        <v>0</v>
      </c>
      <c r="W83" s="16">
        <v>2</v>
      </c>
      <c r="X83" s="16">
        <v>0</v>
      </c>
      <c r="Y83" s="16">
        <v>0</v>
      </c>
      <c r="Z83" s="13">
        <f t="shared" si="19"/>
        <v>17</v>
      </c>
    </row>
    <row r="84" spans="1:26" ht="12.75" customHeight="1" x14ac:dyDescent="0.4">
      <c r="A84" s="15"/>
      <c r="B84" s="28"/>
      <c r="C84" s="29" t="s">
        <v>63</v>
      </c>
      <c r="D84" s="30"/>
      <c r="E84" s="16">
        <v>1</v>
      </c>
      <c r="F84" s="16">
        <v>1</v>
      </c>
      <c r="G84" s="16">
        <v>0</v>
      </c>
      <c r="H84" s="16">
        <v>1</v>
      </c>
      <c r="I84" s="16">
        <v>1</v>
      </c>
      <c r="J84" s="16">
        <v>0</v>
      </c>
      <c r="K84" s="16">
        <v>0</v>
      </c>
      <c r="L84" s="16">
        <v>2</v>
      </c>
      <c r="M84" s="16">
        <v>1</v>
      </c>
      <c r="N84" s="16">
        <v>0</v>
      </c>
      <c r="O84" s="16">
        <v>1</v>
      </c>
      <c r="P84" s="16">
        <v>0</v>
      </c>
      <c r="Q84" s="16">
        <v>0</v>
      </c>
      <c r="R84" s="16">
        <v>0</v>
      </c>
      <c r="S84" s="16">
        <v>1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3">
        <f t="shared" si="19"/>
        <v>9</v>
      </c>
    </row>
    <row r="85" spans="1:26" ht="12.75" customHeight="1" x14ac:dyDescent="0.4">
      <c r="A85" s="15"/>
      <c r="B85" s="28"/>
      <c r="C85" s="29" t="s">
        <v>64</v>
      </c>
      <c r="D85" s="30"/>
      <c r="E85" s="16">
        <v>49</v>
      </c>
      <c r="F85" s="16">
        <v>18</v>
      </c>
      <c r="G85" s="16">
        <v>16</v>
      </c>
      <c r="H85" s="16">
        <v>16</v>
      </c>
      <c r="I85" s="16">
        <v>1</v>
      </c>
      <c r="J85" s="16">
        <v>2</v>
      </c>
      <c r="K85" s="16">
        <v>15</v>
      </c>
      <c r="L85" s="16">
        <v>1</v>
      </c>
      <c r="M85" s="16">
        <v>37</v>
      </c>
      <c r="N85" s="16">
        <v>42</v>
      </c>
      <c r="O85" s="16">
        <v>6</v>
      </c>
      <c r="P85" s="16">
        <v>5</v>
      </c>
      <c r="Q85" s="16">
        <v>5</v>
      </c>
      <c r="R85" s="16">
        <v>0</v>
      </c>
      <c r="S85" s="16">
        <v>3</v>
      </c>
      <c r="T85" s="16">
        <v>3</v>
      </c>
      <c r="U85" s="16">
        <v>7</v>
      </c>
      <c r="V85" s="16">
        <v>8</v>
      </c>
      <c r="W85" s="16">
        <v>21</v>
      </c>
      <c r="X85" s="16">
        <v>0</v>
      </c>
      <c r="Y85" s="16">
        <v>8</v>
      </c>
      <c r="Z85" s="13">
        <f t="shared" si="19"/>
        <v>263</v>
      </c>
    </row>
    <row r="86" spans="1:26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0</v>
      </c>
      <c r="K86" s="16">
        <v>1</v>
      </c>
      <c r="L86" s="16">
        <v>1</v>
      </c>
      <c r="M86" s="16">
        <v>0</v>
      </c>
      <c r="N86" s="16">
        <v>1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2</v>
      </c>
      <c r="V86" s="16">
        <v>0</v>
      </c>
      <c r="W86" s="16">
        <v>0</v>
      </c>
      <c r="X86" s="16">
        <v>1</v>
      </c>
      <c r="Y86" s="16">
        <v>1</v>
      </c>
      <c r="Z86" s="13">
        <f t="shared" si="19"/>
        <v>7</v>
      </c>
    </row>
    <row r="87" spans="1:26" ht="12.75" customHeight="1" x14ac:dyDescent="0.4">
      <c r="A87" s="15"/>
      <c r="B87" s="28"/>
      <c r="C87" s="29" t="s">
        <v>66</v>
      </c>
      <c r="D87" s="30"/>
      <c r="E87" s="16">
        <v>0</v>
      </c>
      <c r="F87" s="16">
        <v>4</v>
      </c>
      <c r="G87" s="16">
        <v>2</v>
      </c>
      <c r="H87" s="16">
        <v>4</v>
      </c>
      <c r="I87" s="16">
        <v>1</v>
      </c>
      <c r="J87" s="16">
        <v>4</v>
      </c>
      <c r="K87" s="16">
        <v>3</v>
      </c>
      <c r="L87" s="16">
        <v>4</v>
      </c>
      <c r="M87" s="16">
        <v>3</v>
      </c>
      <c r="N87" s="16">
        <v>2</v>
      </c>
      <c r="O87" s="16">
        <v>1</v>
      </c>
      <c r="P87" s="16">
        <v>7</v>
      </c>
      <c r="Q87" s="16">
        <v>1</v>
      </c>
      <c r="R87" s="16">
        <v>1</v>
      </c>
      <c r="S87" s="16">
        <v>2</v>
      </c>
      <c r="T87" s="16">
        <v>6</v>
      </c>
      <c r="U87" s="16">
        <v>3</v>
      </c>
      <c r="V87" s="16">
        <v>3</v>
      </c>
      <c r="W87" s="16">
        <v>1</v>
      </c>
      <c r="X87" s="16">
        <v>2</v>
      </c>
      <c r="Y87" s="16">
        <v>1</v>
      </c>
      <c r="Z87" s="13">
        <f t="shared" si="19"/>
        <v>55</v>
      </c>
    </row>
    <row r="88" spans="1:26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13">
        <f t="shared" si="19"/>
        <v>0</v>
      </c>
    </row>
    <row r="89" spans="1:26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13">
        <f t="shared" si="19"/>
        <v>0</v>
      </c>
    </row>
    <row r="90" spans="1:26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13">
        <f t="shared" si="19"/>
        <v>0</v>
      </c>
    </row>
    <row r="91" spans="1:26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Z91" si="20">SUM(E81:E90)</f>
        <v>58</v>
      </c>
      <c r="F91" s="13">
        <f t="shared" si="20"/>
        <v>27</v>
      </c>
      <c r="G91" s="13">
        <f t="shared" si="20"/>
        <v>28</v>
      </c>
      <c r="H91" s="13">
        <f t="shared" si="20"/>
        <v>37</v>
      </c>
      <c r="I91" s="13">
        <f t="shared" si="20"/>
        <v>33</v>
      </c>
      <c r="J91" s="13">
        <f t="shared" si="20"/>
        <v>18</v>
      </c>
      <c r="K91" s="13">
        <f t="shared" si="20"/>
        <v>28</v>
      </c>
      <c r="L91" s="13">
        <f t="shared" si="20"/>
        <v>26</v>
      </c>
      <c r="M91" s="13">
        <f t="shared" si="20"/>
        <v>51</v>
      </c>
      <c r="N91" s="13">
        <f t="shared" si="20"/>
        <v>59</v>
      </c>
      <c r="O91" s="13">
        <f t="shared" si="20"/>
        <v>16</v>
      </c>
      <c r="P91" s="13">
        <f t="shared" si="20"/>
        <v>19</v>
      </c>
      <c r="Q91" s="13">
        <f t="shared" si="20"/>
        <v>69</v>
      </c>
      <c r="R91" s="13">
        <f t="shared" si="20"/>
        <v>17</v>
      </c>
      <c r="S91" s="13">
        <f t="shared" si="20"/>
        <v>18</v>
      </c>
      <c r="T91" s="13">
        <f t="shared" si="20"/>
        <v>21</v>
      </c>
      <c r="U91" s="13">
        <f t="shared" si="20"/>
        <v>21</v>
      </c>
      <c r="V91" s="13">
        <f t="shared" si="20"/>
        <v>22</v>
      </c>
      <c r="W91" s="13">
        <f t="shared" si="20"/>
        <v>35</v>
      </c>
      <c r="X91" s="13">
        <f t="shared" si="20"/>
        <v>9</v>
      </c>
      <c r="Y91" s="13">
        <f t="shared" si="20"/>
        <v>21</v>
      </c>
      <c r="Z91" s="13">
        <f t="shared" si="20"/>
        <v>633</v>
      </c>
    </row>
    <row r="92" spans="1:26" ht="12.75" customHeight="1" x14ac:dyDescent="0.4">
      <c r="A92" s="86"/>
      <c r="B92" s="68"/>
      <c r="C92" s="68"/>
      <c r="D92" s="68"/>
      <c r="E92" s="68"/>
    </row>
    <row r="93" spans="1:26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0</v>
      </c>
      <c r="F93" s="16">
        <v>0</v>
      </c>
      <c r="G93" s="16">
        <v>2</v>
      </c>
      <c r="H93" s="16">
        <v>2</v>
      </c>
      <c r="I93" s="16">
        <v>1</v>
      </c>
      <c r="J93" s="16">
        <v>0</v>
      </c>
      <c r="K93" s="16">
        <v>0</v>
      </c>
      <c r="L93" s="16">
        <v>1</v>
      </c>
      <c r="M93" s="16">
        <v>3</v>
      </c>
      <c r="N93" s="16">
        <v>2</v>
      </c>
      <c r="O93" s="16">
        <v>1</v>
      </c>
      <c r="P93" s="16">
        <v>2</v>
      </c>
      <c r="Q93" s="16">
        <v>0</v>
      </c>
      <c r="R93" s="16">
        <v>3</v>
      </c>
      <c r="S93" s="16">
        <v>4</v>
      </c>
      <c r="T93" s="16">
        <v>3</v>
      </c>
      <c r="U93" s="16">
        <v>0</v>
      </c>
      <c r="V93" s="16">
        <v>0</v>
      </c>
      <c r="W93" s="16">
        <v>1</v>
      </c>
      <c r="X93" s="16">
        <v>4</v>
      </c>
      <c r="Y93" s="16">
        <v>4</v>
      </c>
      <c r="Z93" s="13">
        <f t="shared" ref="Z93:Z102" si="21">SUM(E93:Y93)</f>
        <v>33</v>
      </c>
    </row>
    <row r="94" spans="1:26" ht="12.75" customHeight="1" x14ac:dyDescent="0.4">
      <c r="A94" s="20" t="s">
        <v>38</v>
      </c>
      <c r="B94" s="28"/>
      <c r="C94" s="29" t="s">
        <v>69</v>
      </c>
      <c r="D94" s="30"/>
      <c r="E94" s="16">
        <v>2</v>
      </c>
      <c r="F94" s="16">
        <v>2</v>
      </c>
      <c r="G94" s="16">
        <v>2</v>
      </c>
      <c r="H94" s="16">
        <v>4</v>
      </c>
      <c r="I94" s="16">
        <v>0</v>
      </c>
      <c r="J94" s="16">
        <v>0</v>
      </c>
      <c r="K94" s="16">
        <v>1</v>
      </c>
      <c r="L94" s="16">
        <v>4</v>
      </c>
      <c r="M94" s="16">
        <v>1</v>
      </c>
      <c r="N94" s="16">
        <v>0</v>
      </c>
      <c r="O94" s="16">
        <v>3</v>
      </c>
      <c r="P94" s="16">
        <v>1</v>
      </c>
      <c r="Q94" s="16">
        <v>1</v>
      </c>
      <c r="R94" s="16">
        <v>2</v>
      </c>
      <c r="S94" s="16">
        <v>2</v>
      </c>
      <c r="T94" s="16">
        <v>1</v>
      </c>
      <c r="U94" s="16">
        <v>0</v>
      </c>
      <c r="V94" s="16">
        <v>2</v>
      </c>
      <c r="W94" s="16">
        <v>1</v>
      </c>
      <c r="X94" s="16">
        <v>1</v>
      </c>
      <c r="Y94" s="16">
        <v>0</v>
      </c>
      <c r="Z94" s="13">
        <f t="shared" si="21"/>
        <v>30</v>
      </c>
    </row>
    <row r="95" spans="1:26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1</v>
      </c>
      <c r="G95" s="16">
        <v>1</v>
      </c>
      <c r="H95" s="16">
        <v>0</v>
      </c>
      <c r="I95" s="16">
        <v>2</v>
      </c>
      <c r="J95" s="16">
        <v>1</v>
      </c>
      <c r="K95" s="16">
        <v>1</v>
      </c>
      <c r="L95" s="16">
        <v>1</v>
      </c>
      <c r="M95" s="16">
        <v>0</v>
      </c>
      <c r="N95" s="16">
        <v>4</v>
      </c>
      <c r="O95" s="16">
        <v>2</v>
      </c>
      <c r="P95" s="16">
        <v>0</v>
      </c>
      <c r="Q95" s="16">
        <v>1</v>
      </c>
      <c r="R95" s="16">
        <v>1</v>
      </c>
      <c r="S95" s="16">
        <v>3</v>
      </c>
      <c r="T95" s="16">
        <v>3</v>
      </c>
      <c r="U95" s="16">
        <v>2</v>
      </c>
      <c r="V95" s="16">
        <v>6</v>
      </c>
      <c r="W95" s="16">
        <v>0</v>
      </c>
      <c r="X95" s="16">
        <v>1</v>
      </c>
      <c r="Y95" s="16">
        <v>0</v>
      </c>
      <c r="Z95" s="13">
        <f t="shared" si="21"/>
        <v>30</v>
      </c>
    </row>
    <row r="96" spans="1:26" ht="12.75" customHeight="1" x14ac:dyDescent="0.4">
      <c r="A96" s="15"/>
      <c r="B96" s="28"/>
      <c r="C96" s="29" t="s">
        <v>71</v>
      </c>
      <c r="D96" s="30"/>
      <c r="E96" s="16">
        <v>1</v>
      </c>
      <c r="F96" s="16">
        <v>2</v>
      </c>
      <c r="G96" s="16">
        <v>0</v>
      </c>
      <c r="H96" s="16">
        <v>1</v>
      </c>
      <c r="I96" s="16">
        <v>7</v>
      </c>
      <c r="J96" s="16">
        <v>3</v>
      </c>
      <c r="K96" s="16">
        <v>4</v>
      </c>
      <c r="L96" s="16">
        <v>2</v>
      </c>
      <c r="M96" s="16">
        <v>4</v>
      </c>
      <c r="N96" s="16">
        <v>2</v>
      </c>
      <c r="O96" s="16">
        <v>4</v>
      </c>
      <c r="P96" s="16">
        <v>6</v>
      </c>
      <c r="Q96" s="16">
        <v>2</v>
      </c>
      <c r="R96" s="16">
        <v>0</v>
      </c>
      <c r="S96" s="16">
        <v>4</v>
      </c>
      <c r="T96" s="16">
        <v>1</v>
      </c>
      <c r="U96" s="16">
        <v>2</v>
      </c>
      <c r="V96" s="16">
        <v>2</v>
      </c>
      <c r="W96" s="16">
        <v>2</v>
      </c>
      <c r="X96" s="16">
        <v>2</v>
      </c>
      <c r="Y96" s="16">
        <v>3</v>
      </c>
      <c r="Z96" s="13">
        <f t="shared" si="21"/>
        <v>54</v>
      </c>
    </row>
    <row r="97" spans="1:26" ht="12.75" customHeight="1" x14ac:dyDescent="0.4">
      <c r="A97" s="15"/>
      <c r="B97" s="28"/>
      <c r="C97" s="29" t="s">
        <v>72</v>
      </c>
      <c r="D97" s="30"/>
      <c r="E97" s="16">
        <v>0</v>
      </c>
      <c r="F97" s="16">
        <v>0</v>
      </c>
      <c r="G97" s="16">
        <v>2</v>
      </c>
      <c r="H97" s="16">
        <v>0</v>
      </c>
      <c r="I97" s="16">
        <v>0</v>
      </c>
      <c r="J97" s="16">
        <v>2</v>
      </c>
      <c r="K97" s="16">
        <v>0</v>
      </c>
      <c r="L97" s="16">
        <v>5</v>
      </c>
      <c r="M97" s="16">
        <v>8</v>
      </c>
      <c r="N97" s="16">
        <v>0</v>
      </c>
      <c r="O97" s="16">
        <v>2</v>
      </c>
      <c r="P97" s="16">
        <v>1</v>
      </c>
      <c r="Q97" s="16">
        <v>0</v>
      </c>
      <c r="R97" s="16">
        <v>25</v>
      </c>
      <c r="S97" s="16">
        <v>21</v>
      </c>
      <c r="T97" s="16">
        <v>6</v>
      </c>
      <c r="U97" s="16">
        <v>3</v>
      </c>
      <c r="V97" s="16">
        <v>0</v>
      </c>
      <c r="W97" s="16">
        <v>4</v>
      </c>
      <c r="X97" s="16">
        <v>4</v>
      </c>
      <c r="Y97" s="16">
        <v>0</v>
      </c>
      <c r="Z97" s="13">
        <f t="shared" si="21"/>
        <v>83</v>
      </c>
    </row>
    <row r="98" spans="1:26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1</v>
      </c>
      <c r="G98" s="16">
        <v>1</v>
      </c>
      <c r="H98" s="16">
        <v>0</v>
      </c>
      <c r="I98" s="16">
        <v>0</v>
      </c>
      <c r="J98" s="16">
        <v>28</v>
      </c>
      <c r="K98" s="16">
        <v>2</v>
      </c>
      <c r="L98" s="16">
        <v>0</v>
      </c>
      <c r="M98" s="16">
        <v>2</v>
      </c>
      <c r="N98" s="16">
        <v>0</v>
      </c>
      <c r="O98" s="16">
        <v>3</v>
      </c>
      <c r="P98" s="16">
        <v>5</v>
      </c>
      <c r="Q98" s="16">
        <v>0</v>
      </c>
      <c r="R98" s="16">
        <v>0</v>
      </c>
      <c r="S98" s="16">
        <v>2</v>
      </c>
      <c r="T98" s="16">
        <v>2</v>
      </c>
      <c r="U98" s="16">
        <v>3</v>
      </c>
      <c r="V98" s="16">
        <v>0</v>
      </c>
      <c r="W98" s="16">
        <v>1</v>
      </c>
      <c r="X98" s="16">
        <v>0</v>
      </c>
      <c r="Y98" s="16">
        <v>2</v>
      </c>
      <c r="Z98" s="13">
        <f t="shared" si="21"/>
        <v>52</v>
      </c>
    </row>
    <row r="99" spans="1:26" ht="12.75" customHeight="1" x14ac:dyDescent="0.4">
      <c r="A99" s="15"/>
      <c r="B99" s="28"/>
      <c r="C99" s="29" t="s">
        <v>74</v>
      </c>
      <c r="D99" s="30"/>
      <c r="E99" s="16">
        <v>1</v>
      </c>
      <c r="F99" s="16">
        <v>1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2</v>
      </c>
      <c r="M99" s="16">
        <v>0</v>
      </c>
      <c r="N99" s="16">
        <v>1</v>
      </c>
      <c r="O99" s="16">
        <v>0</v>
      </c>
      <c r="P99" s="16">
        <v>4</v>
      </c>
      <c r="Q99" s="16">
        <v>0</v>
      </c>
      <c r="R99" s="16">
        <v>1</v>
      </c>
      <c r="S99" s="16">
        <v>0</v>
      </c>
      <c r="T99" s="16">
        <v>3</v>
      </c>
      <c r="U99" s="16">
        <v>2</v>
      </c>
      <c r="V99" s="16">
        <v>0</v>
      </c>
      <c r="W99" s="16">
        <v>0</v>
      </c>
      <c r="X99" s="16">
        <v>1</v>
      </c>
      <c r="Y99" s="16">
        <v>8</v>
      </c>
      <c r="Z99" s="13">
        <f t="shared" si="21"/>
        <v>24</v>
      </c>
    </row>
    <row r="100" spans="1:26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13">
        <f t="shared" si="21"/>
        <v>0</v>
      </c>
    </row>
    <row r="101" spans="1:26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13">
        <f t="shared" si="21"/>
        <v>0</v>
      </c>
    </row>
    <row r="102" spans="1:26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13">
        <f t="shared" si="21"/>
        <v>0</v>
      </c>
    </row>
    <row r="103" spans="1:26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Z103" si="22">SUM(E93:E102)</f>
        <v>4</v>
      </c>
      <c r="F103" s="13">
        <f t="shared" si="22"/>
        <v>7</v>
      </c>
      <c r="G103" s="13">
        <f t="shared" si="22"/>
        <v>8</v>
      </c>
      <c r="H103" s="13">
        <f t="shared" si="22"/>
        <v>7</v>
      </c>
      <c r="I103" s="13">
        <f t="shared" si="22"/>
        <v>10</v>
      </c>
      <c r="J103" s="13">
        <f t="shared" si="22"/>
        <v>34</v>
      </c>
      <c r="K103" s="13">
        <f t="shared" si="22"/>
        <v>8</v>
      </c>
      <c r="L103" s="13">
        <f t="shared" si="22"/>
        <v>15</v>
      </c>
      <c r="M103" s="13">
        <f t="shared" si="22"/>
        <v>18</v>
      </c>
      <c r="N103" s="13">
        <f t="shared" si="22"/>
        <v>9</v>
      </c>
      <c r="O103" s="13">
        <f t="shared" si="22"/>
        <v>15</v>
      </c>
      <c r="P103" s="13">
        <f t="shared" si="22"/>
        <v>19</v>
      </c>
      <c r="Q103" s="13">
        <f t="shared" si="22"/>
        <v>4</v>
      </c>
      <c r="R103" s="13">
        <f t="shared" si="22"/>
        <v>32</v>
      </c>
      <c r="S103" s="13">
        <f t="shared" si="22"/>
        <v>36</v>
      </c>
      <c r="T103" s="13">
        <f t="shared" si="22"/>
        <v>19</v>
      </c>
      <c r="U103" s="13">
        <f t="shared" si="22"/>
        <v>12</v>
      </c>
      <c r="V103" s="13">
        <f t="shared" si="22"/>
        <v>10</v>
      </c>
      <c r="W103" s="13">
        <f t="shared" si="22"/>
        <v>9</v>
      </c>
      <c r="X103" s="13">
        <f t="shared" si="22"/>
        <v>13</v>
      </c>
      <c r="Y103" s="13">
        <f t="shared" si="22"/>
        <v>17</v>
      </c>
      <c r="Z103" s="13">
        <f t="shared" si="22"/>
        <v>306</v>
      </c>
    </row>
    <row r="104" spans="1:26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 spans="1:26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1</v>
      </c>
      <c r="H105" s="16">
        <v>0</v>
      </c>
      <c r="I105" s="16">
        <v>1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2</v>
      </c>
      <c r="Q105" s="16">
        <v>1</v>
      </c>
      <c r="R105" s="16">
        <v>0</v>
      </c>
      <c r="S105" s="16">
        <v>1</v>
      </c>
      <c r="T105" s="16">
        <v>0</v>
      </c>
      <c r="U105" s="16">
        <v>3</v>
      </c>
      <c r="V105" s="16">
        <v>1</v>
      </c>
      <c r="W105" s="16">
        <v>0</v>
      </c>
      <c r="X105" s="16">
        <v>0</v>
      </c>
      <c r="Y105" s="16">
        <v>0</v>
      </c>
      <c r="Z105" s="13">
        <f t="shared" ref="Z105:Z114" si="23">SUM(E105:Y105)</f>
        <v>11</v>
      </c>
    </row>
    <row r="106" spans="1:26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3</v>
      </c>
      <c r="G106" s="16">
        <v>0</v>
      </c>
      <c r="H106" s="16">
        <v>0</v>
      </c>
      <c r="I106" s="16">
        <v>1</v>
      </c>
      <c r="J106" s="16">
        <v>1</v>
      </c>
      <c r="K106" s="16">
        <v>0</v>
      </c>
      <c r="L106" s="16">
        <v>1</v>
      </c>
      <c r="M106" s="16">
        <v>0</v>
      </c>
      <c r="N106" s="16">
        <v>0</v>
      </c>
      <c r="O106" s="16">
        <v>0</v>
      </c>
      <c r="P106" s="16">
        <v>1</v>
      </c>
      <c r="Q106" s="16">
        <v>1</v>
      </c>
      <c r="R106" s="16">
        <v>1</v>
      </c>
      <c r="S106" s="16">
        <v>2</v>
      </c>
      <c r="T106" s="16">
        <v>1</v>
      </c>
      <c r="U106" s="16">
        <v>1</v>
      </c>
      <c r="V106" s="16">
        <v>1</v>
      </c>
      <c r="W106" s="16">
        <v>0</v>
      </c>
      <c r="X106" s="16">
        <v>0</v>
      </c>
      <c r="Y106" s="16">
        <v>0</v>
      </c>
      <c r="Z106" s="13">
        <f t="shared" si="23"/>
        <v>14</v>
      </c>
    </row>
    <row r="107" spans="1:26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13">
        <f t="shared" si="23"/>
        <v>0</v>
      </c>
    </row>
    <row r="108" spans="1:26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13">
        <f t="shared" si="23"/>
        <v>0</v>
      </c>
    </row>
    <row r="109" spans="1:26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13">
        <f t="shared" si="23"/>
        <v>0</v>
      </c>
    </row>
    <row r="110" spans="1:26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13">
        <f t="shared" si="23"/>
        <v>0</v>
      </c>
    </row>
    <row r="111" spans="1:26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13">
        <f t="shared" si="23"/>
        <v>0</v>
      </c>
    </row>
    <row r="112" spans="1:26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13">
        <f t="shared" si="23"/>
        <v>0</v>
      </c>
    </row>
    <row r="113" spans="1:26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13">
        <f t="shared" si="23"/>
        <v>0</v>
      </c>
    </row>
    <row r="114" spans="1:26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13">
        <f t="shared" si="23"/>
        <v>0</v>
      </c>
    </row>
    <row r="115" spans="1:26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Z115" si="24">SUM(E105:E114)</f>
        <v>0</v>
      </c>
      <c r="F115" s="13">
        <f t="shared" si="24"/>
        <v>3</v>
      </c>
      <c r="G115" s="13">
        <f t="shared" si="24"/>
        <v>1</v>
      </c>
      <c r="H115" s="13">
        <f t="shared" si="24"/>
        <v>0</v>
      </c>
      <c r="I115" s="13">
        <f t="shared" si="24"/>
        <v>2</v>
      </c>
      <c r="J115" s="13">
        <f t="shared" si="24"/>
        <v>1</v>
      </c>
      <c r="K115" s="13">
        <f t="shared" si="24"/>
        <v>1</v>
      </c>
      <c r="L115" s="13">
        <f t="shared" si="24"/>
        <v>1</v>
      </c>
      <c r="M115" s="13">
        <f t="shared" si="24"/>
        <v>0</v>
      </c>
      <c r="N115" s="13">
        <f t="shared" si="24"/>
        <v>0</v>
      </c>
      <c r="O115" s="13">
        <f t="shared" si="24"/>
        <v>0</v>
      </c>
      <c r="P115" s="13">
        <f t="shared" si="24"/>
        <v>3</v>
      </c>
      <c r="Q115" s="13">
        <f t="shared" si="24"/>
        <v>2</v>
      </c>
      <c r="R115" s="13">
        <f t="shared" si="24"/>
        <v>1</v>
      </c>
      <c r="S115" s="13">
        <f t="shared" si="24"/>
        <v>3</v>
      </c>
      <c r="T115" s="13">
        <f t="shared" si="24"/>
        <v>1</v>
      </c>
      <c r="U115" s="13">
        <f t="shared" si="24"/>
        <v>4</v>
      </c>
      <c r="V115" s="13">
        <f t="shared" si="24"/>
        <v>2</v>
      </c>
      <c r="W115" s="13">
        <f t="shared" si="24"/>
        <v>0</v>
      </c>
      <c r="X115" s="13">
        <f t="shared" si="24"/>
        <v>0</v>
      </c>
      <c r="Y115" s="13">
        <f t="shared" si="24"/>
        <v>0</v>
      </c>
      <c r="Z115" s="13">
        <f t="shared" si="24"/>
        <v>25</v>
      </c>
    </row>
    <row r="116" spans="1:26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13"/>
    </row>
    <row r="117" spans="1:26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0</v>
      </c>
      <c r="F117" s="16">
        <v>1</v>
      </c>
      <c r="G117" s="16">
        <v>1</v>
      </c>
      <c r="H117" s="16">
        <v>1</v>
      </c>
      <c r="I117" s="16">
        <v>0</v>
      </c>
      <c r="J117" s="16">
        <v>1</v>
      </c>
      <c r="K117" s="16">
        <v>0</v>
      </c>
      <c r="L117" s="16">
        <v>0</v>
      </c>
      <c r="M117" s="16">
        <v>1</v>
      </c>
      <c r="N117" s="16">
        <v>0</v>
      </c>
      <c r="O117" s="16">
        <v>0</v>
      </c>
      <c r="P117" s="16">
        <v>1</v>
      </c>
      <c r="Q117" s="16">
        <v>0</v>
      </c>
      <c r="R117" s="16">
        <v>0</v>
      </c>
      <c r="S117" s="16">
        <v>0</v>
      </c>
      <c r="T117" s="16">
        <v>0</v>
      </c>
      <c r="U117" s="16">
        <v>2</v>
      </c>
      <c r="V117" s="16">
        <v>0</v>
      </c>
      <c r="W117" s="16">
        <v>0</v>
      </c>
      <c r="X117" s="16">
        <v>2</v>
      </c>
      <c r="Y117" s="16">
        <v>0</v>
      </c>
      <c r="Z117" s="13">
        <f t="shared" ref="Z117:Z126" si="25">SUM(E117:Y117)</f>
        <v>10</v>
      </c>
    </row>
    <row r="118" spans="1:26" ht="12.75" customHeight="1" x14ac:dyDescent="0.4">
      <c r="A118" s="20" t="s">
        <v>38</v>
      </c>
      <c r="B118" s="28"/>
      <c r="C118" s="29" t="s">
        <v>80</v>
      </c>
      <c r="D118" s="30"/>
      <c r="E118" s="16">
        <v>0</v>
      </c>
      <c r="F118" s="16">
        <v>1</v>
      </c>
      <c r="G118" s="16">
        <v>0</v>
      </c>
      <c r="H118" s="16">
        <v>0</v>
      </c>
      <c r="I118" s="16">
        <v>0</v>
      </c>
      <c r="J118" s="16">
        <v>2</v>
      </c>
      <c r="K118" s="16">
        <v>4</v>
      </c>
      <c r="L118" s="16">
        <v>3</v>
      </c>
      <c r="M118" s="16">
        <v>1</v>
      </c>
      <c r="N118" s="16">
        <v>0</v>
      </c>
      <c r="O118" s="16">
        <v>0</v>
      </c>
      <c r="P118" s="16">
        <v>5</v>
      </c>
      <c r="Q118" s="16">
        <v>0</v>
      </c>
      <c r="R118" s="16">
        <v>1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2</v>
      </c>
      <c r="Y118" s="16">
        <v>1</v>
      </c>
      <c r="Z118" s="13">
        <f t="shared" si="25"/>
        <v>20</v>
      </c>
    </row>
    <row r="119" spans="1:26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0</v>
      </c>
      <c r="O119" s="16">
        <v>1</v>
      </c>
      <c r="P119" s="16">
        <v>0</v>
      </c>
      <c r="Q119" s="16">
        <v>0</v>
      </c>
      <c r="R119" s="16">
        <v>0</v>
      </c>
      <c r="S119" s="16">
        <v>0</v>
      </c>
      <c r="T119" s="16">
        <v>1</v>
      </c>
      <c r="U119" s="16">
        <v>0</v>
      </c>
      <c r="V119" s="16">
        <v>1</v>
      </c>
      <c r="W119" s="16">
        <v>0</v>
      </c>
      <c r="X119" s="16">
        <v>1</v>
      </c>
      <c r="Y119" s="16">
        <v>0</v>
      </c>
      <c r="Z119" s="13">
        <f t="shared" si="25"/>
        <v>4</v>
      </c>
    </row>
    <row r="120" spans="1:26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1</v>
      </c>
      <c r="U120" s="16">
        <v>2</v>
      </c>
      <c r="V120" s="16">
        <v>0</v>
      </c>
      <c r="W120" s="16">
        <v>0</v>
      </c>
      <c r="X120" s="16">
        <v>0</v>
      </c>
      <c r="Y120" s="16">
        <v>0</v>
      </c>
      <c r="Z120" s="13">
        <f t="shared" si="25"/>
        <v>3</v>
      </c>
    </row>
    <row r="121" spans="1:26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1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3">
        <v>0</v>
      </c>
      <c r="Y121" s="53">
        <v>0</v>
      </c>
      <c r="Z121" s="13">
        <f t="shared" si="25"/>
        <v>1</v>
      </c>
    </row>
    <row r="122" spans="1:26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0</v>
      </c>
      <c r="G122" s="53">
        <v>0</v>
      </c>
      <c r="H122" s="53">
        <v>2</v>
      </c>
      <c r="I122" s="53">
        <v>1</v>
      </c>
      <c r="J122" s="53">
        <v>1</v>
      </c>
      <c r="K122" s="53">
        <v>3</v>
      </c>
      <c r="L122" s="53">
        <v>3</v>
      </c>
      <c r="M122" s="53">
        <v>0</v>
      </c>
      <c r="N122" s="53">
        <v>1</v>
      </c>
      <c r="O122" s="53">
        <v>2</v>
      </c>
      <c r="P122" s="16">
        <v>6</v>
      </c>
      <c r="Q122" s="53">
        <v>0</v>
      </c>
      <c r="R122" s="53">
        <v>1</v>
      </c>
      <c r="S122" s="53">
        <v>0</v>
      </c>
      <c r="T122" s="53">
        <v>2</v>
      </c>
      <c r="U122" s="53">
        <v>13</v>
      </c>
      <c r="V122" s="53">
        <v>11</v>
      </c>
      <c r="W122" s="53">
        <v>0</v>
      </c>
      <c r="X122" s="53">
        <v>1</v>
      </c>
      <c r="Y122" s="53">
        <v>1</v>
      </c>
      <c r="Z122" s="13">
        <f t="shared" si="25"/>
        <v>48</v>
      </c>
    </row>
    <row r="123" spans="1:26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41">
        <v>0</v>
      </c>
      <c r="M123" s="41">
        <v>0</v>
      </c>
      <c r="N123" s="41">
        <v>0</v>
      </c>
      <c r="O123" s="41">
        <v>0</v>
      </c>
      <c r="P123" s="16">
        <v>1</v>
      </c>
      <c r="Q123" s="41">
        <v>0</v>
      </c>
      <c r="R123" s="41">
        <v>0</v>
      </c>
      <c r="S123" s="41">
        <v>0</v>
      </c>
      <c r="T123" s="41">
        <v>0</v>
      </c>
      <c r="U123" s="41">
        <v>0</v>
      </c>
      <c r="V123" s="41">
        <v>0</v>
      </c>
      <c r="W123" s="41">
        <v>0</v>
      </c>
      <c r="X123" s="41">
        <v>0</v>
      </c>
      <c r="Y123" s="41">
        <v>0</v>
      </c>
      <c r="Z123" s="13">
        <f t="shared" si="25"/>
        <v>1</v>
      </c>
    </row>
    <row r="124" spans="1:26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13">
        <f t="shared" si="25"/>
        <v>0</v>
      </c>
    </row>
    <row r="125" spans="1:26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13">
        <f t="shared" si="25"/>
        <v>0</v>
      </c>
    </row>
    <row r="126" spans="1:26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13">
        <f t="shared" si="25"/>
        <v>0</v>
      </c>
    </row>
    <row r="127" spans="1:26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Z127" si="26">SUM(E117:E126)</f>
        <v>0</v>
      </c>
      <c r="F127" s="13">
        <f t="shared" si="26"/>
        <v>2</v>
      </c>
      <c r="G127" s="13">
        <f t="shared" si="26"/>
        <v>1</v>
      </c>
      <c r="H127" s="13">
        <f t="shared" si="26"/>
        <v>4</v>
      </c>
      <c r="I127" s="13">
        <f t="shared" si="26"/>
        <v>1</v>
      </c>
      <c r="J127" s="13">
        <f t="shared" si="26"/>
        <v>4</v>
      </c>
      <c r="K127" s="13">
        <f t="shared" si="26"/>
        <v>7</v>
      </c>
      <c r="L127" s="13">
        <f t="shared" si="26"/>
        <v>6</v>
      </c>
      <c r="M127" s="13">
        <f t="shared" si="26"/>
        <v>2</v>
      </c>
      <c r="N127" s="13">
        <f t="shared" si="26"/>
        <v>1</v>
      </c>
      <c r="O127" s="13">
        <f t="shared" si="26"/>
        <v>3</v>
      </c>
      <c r="P127" s="13">
        <f t="shared" si="26"/>
        <v>13</v>
      </c>
      <c r="Q127" s="13">
        <f t="shared" si="26"/>
        <v>0</v>
      </c>
      <c r="R127" s="13">
        <f t="shared" si="26"/>
        <v>2</v>
      </c>
      <c r="S127" s="13">
        <f t="shared" si="26"/>
        <v>0</v>
      </c>
      <c r="T127" s="13">
        <f t="shared" si="26"/>
        <v>4</v>
      </c>
      <c r="U127" s="13">
        <f t="shared" si="26"/>
        <v>17</v>
      </c>
      <c r="V127" s="13">
        <f t="shared" si="26"/>
        <v>12</v>
      </c>
      <c r="W127" s="13">
        <f t="shared" si="26"/>
        <v>0</v>
      </c>
      <c r="X127" s="13">
        <f t="shared" si="26"/>
        <v>6</v>
      </c>
      <c r="Y127" s="13">
        <f t="shared" si="26"/>
        <v>2</v>
      </c>
      <c r="Z127" s="13">
        <f t="shared" si="26"/>
        <v>87</v>
      </c>
    </row>
    <row r="128" spans="1:26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 spans="1:26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3</v>
      </c>
      <c r="F129" s="16">
        <v>2</v>
      </c>
      <c r="G129" s="16">
        <v>3</v>
      </c>
      <c r="H129" s="16">
        <v>6</v>
      </c>
      <c r="I129" s="16">
        <v>3</v>
      </c>
      <c r="J129" s="16">
        <v>6</v>
      </c>
      <c r="K129" s="16">
        <v>2</v>
      </c>
      <c r="L129" s="16">
        <v>6</v>
      </c>
      <c r="M129" s="16">
        <v>2</v>
      </c>
      <c r="N129" s="16">
        <v>5</v>
      </c>
      <c r="O129" s="16">
        <v>5</v>
      </c>
      <c r="P129" s="16">
        <v>4</v>
      </c>
      <c r="Q129" s="16">
        <v>3</v>
      </c>
      <c r="R129" s="16">
        <v>8</v>
      </c>
      <c r="S129" s="16">
        <v>3</v>
      </c>
      <c r="T129" s="16">
        <v>6</v>
      </c>
      <c r="U129" s="16">
        <v>8</v>
      </c>
      <c r="V129" s="16">
        <v>10</v>
      </c>
      <c r="W129" s="16">
        <v>3</v>
      </c>
      <c r="X129" s="16">
        <v>10</v>
      </c>
      <c r="Y129" s="16">
        <v>1</v>
      </c>
      <c r="Z129" s="13">
        <f t="shared" ref="Z129:Z138" si="27">SUM(E129:Y129)</f>
        <v>99</v>
      </c>
    </row>
    <row r="130" spans="1:26" ht="12.75" customHeight="1" x14ac:dyDescent="0.4">
      <c r="A130" s="20" t="s">
        <v>38</v>
      </c>
      <c r="B130" s="28"/>
      <c r="C130" s="29" t="s">
        <v>88</v>
      </c>
      <c r="D130" s="30"/>
      <c r="E130" s="16">
        <v>4</v>
      </c>
      <c r="F130" s="16">
        <v>28</v>
      </c>
      <c r="G130" s="16">
        <v>54</v>
      </c>
      <c r="H130" s="16">
        <v>31</v>
      </c>
      <c r="I130" s="16">
        <v>13</v>
      </c>
      <c r="J130" s="16">
        <v>11</v>
      </c>
      <c r="K130" s="16">
        <v>43</v>
      </c>
      <c r="L130" s="16">
        <v>6</v>
      </c>
      <c r="M130" s="16">
        <v>6</v>
      </c>
      <c r="N130" s="16">
        <v>9</v>
      </c>
      <c r="O130" s="16">
        <v>14</v>
      </c>
      <c r="P130" s="16">
        <v>23</v>
      </c>
      <c r="Q130" s="16">
        <v>34</v>
      </c>
      <c r="R130" s="16">
        <v>8</v>
      </c>
      <c r="S130" s="16">
        <v>12</v>
      </c>
      <c r="T130" s="16">
        <v>9</v>
      </c>
      <c r="U130" s="16">
        <v>25</v>
      </c>
      <c r="V130" s="16">
        <v>47</v>
      </c>
      <c r="W130" s="16">
        <v>24</v>
      </c>
      <c r="X130" s="16">
        <v>5</v>
      </c>
      <c r="Y130" s="16">
        <v>5</v>
      </c>
      <c r="Z130" s="13">
        <f t="shared" si="27"/>
        <v>411</v>
      </c>
    </row>
    <row r="131" spans="1:26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1</v>
      </c>
      <c r="K131" s="16">
        <v>0</v>
      </c>
      <c r="L131" s="16">
        <v>0</v>
      </c>
      <c r="M131" s="16">
        <v>2</v>
      </c>
      <c r="N131" s="16">
        <v>0</v>
      </c>
      <c r="O131" s="16">
        <v>4</v>
      </c>
      <c r="P131" s="16">
        <v>1</v>
      </c>
      <c r="Q131" s="16">
        <v>2</v>
      </c>
      <c r="R131" s="16">
        <v>0</v>
      </c>
      <c r="S131" s="16">
        <v>0</v>
      </c>
      <c r="T131" s="16">
        <v>10</v>
      </c>
      <c r="U131" s="16">
        <v>0</v>
      </c>
      <c r="V131" s="16">
        <v>5</v>
      </c>
      <c r="W131" s="16">
        <v>0</v>
      </c>
      <c r="X131" s="16">
        <v>0</v>
      </c>
      <c r="Y131" s="16">
        <v>0</v>
      </c>
      <c r="Z131" s="13">
        <f t="shared" si="27"/>
        <v>25</v>
      </c>
    </row>
    <row r="132" spans="1:26" ht="12.75" customHeight="1" x14ac:dyDescent="0.4">
      <c r="A132" s="15"/>
      <c r="B132" s="28"/>
      <c r="C132" s="29" t="s">
        <v>90</v>
      </c>
      <c r="D132" s="30"/>
      <c r="E132" s="16">
        <v>1</v>
      </c>
      <c r="F132" s="16">
        <v>1</v>
      </c>
      <c r="G132" s="16">
        <v>0</v>
      </c>
      <c r="H132" s="16">
        <v>4</v>
      </c>
      <c r="I132" s="16">
        <v>2</v>
      </c>
      <c r="J132" s="16">
        <v>2</v>
      </c>
      <c r="K132" s="16">
        <v>0</v>
      </c>
      <c r="L132" s="16">
        <v>1</v>
      </c>
      <c r="M132" s="16">
        <v>0</v>
      </c>
      <c r="N132" s="16">
        <v>2</v>
      </c>
      <c r="O132" s="16">
        <v>1</v>
      </c>
      <c r="P132" s="16">
        <v>1</v>
      </c>
      <c r="Q132" s="16">
        <v>0</v>
      </c>
      <c r="R132" s="16">
        <v>2</v>
      </c>
      <c r="S132" s="16">
        <v>2</v>
      </c>
      <c r="T132" s="16">
        <v>3</v>
      </c>
      <c r="U132" s="16">
        <v>1</v>
      </c>
      <c r="V132" s="16">
        <v>5</v>
      </c>
      <c r="W132" s="16">
        <v>0</v>
      </c>
      <c r="X132" s="16">
        <v>0</v>
      </c>
      <c r="Y132" s="16">
        <v>1</v>
      </c>
      <c r="Z132" s="13">
        <f t="shared" si="27"/>
        <v>29</v>
      </c>
    </row>
    <row r="133" spans="1:26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2</v>
      </c>
      <c r="G133" s="16">
        <v>1</v>
      </c>
      <c r="H133" s="16">
        <v>3</v>
      </c>
      <c r="I133" s="16">
        <v>0</v>
      </c>
      <c r="J133" s="16">
        <v>1</v>
      </c>
      <c r="K133" s="16">
        <v>1</v>
      </c>
      <c r="L133" s="16">
        <v>0</v>
      </c>
      <c r="M133" s="16">
        <v>0</v>
      </c>
      <c r="N133" s="16">
        <v>0</v>
      </c>
      <c r="O133" s="16">
        <v>2</v>
      </c>
      <c r="P133" s="16">
        <v>2</v>
      </c>
      <c r="Q133" s="16">
        <v>0</v>
      </c>
      <c r="R133" s="16">
        <v>0</v>
      </c>
      <c r="S133" s="16">
        <v>0</v>
      </c>
      <c r="T133" s="16">
        <v>0</v>
      </c>
      <c r="U133" s="16">
        <v>1</v>
      </c>
      <c r="V133" s="16">
        <v>1</v>
      </c>
      <c r="W133" s="16">
        <v>0</v>
      </c>
      <c r="X133" s="16">
        <v>2</v>
      </c>
      <c r="Y133" s="16">
        <v>0</v>
      </c>
      <c r="Z133" s="13">
        <f t="shared" si="27"/>
        <v>16</v>
      </c>
    </row>
    <row r="134" spans="1:26" ht="12.75" customHeight="1" x14ac:dyDescent="0.4">
      <c r="A134" s="15"/>
      <c r="B134" s="28"/>
      <c r="C134" s="29" t="s">
        <v>92</v>
      </c>
      <c r="D134" s="30"/>
      <c r="E134" s="16">
        <v>1</v>
      </c>
      <c r="F134" s="16">
        <v>0</v>
      </c>
      <c r="G134" s="16">
        <v>2</v>
      </c>
      <c r="H134" s="16">
        <v>0</v>
      </c>
      <c r="I134" s="16">
        <v>0</v>
      </c>
      <c r="J134" s="16">
        <v>2</v>
      </c>
      <c r="K134" s="16">
        <v>2</v>
      </c>
      <c r="L134" s="16">
        <v>2</v>
      </c>
      <c r="M134" s="16">
        <v>4</v>
      </c>
      <c r="N134" s="16">
        <v>0</v>
      </c>
      <c r="O134" s="16">
        <v>9</v>
      </c>
      <c r="P134" s="16">
        <v>0</v>
      </c>
      <c r="Q134" s="16">
        <v>1</v>
      </c>
      <c r="R134" s="16">
        <v>1</v>
      </c>
      <c r="S134" s="16">
        <v>0</v>
      </c>
      <c r="T134" s="16">
        <v>2</v>
      </c>
      <c r="U134" s="16">
        <v>2</v>
      </c>
      <c r="V134" s="16">
        <v>0</v>
      </c>
      <c r="W134" s="16">
        <v>3</v>
      </c>
      <c r="X134" s="16">
        <v>3</v>
      </c>
      <c r="Y134" s="16">
        <v>1</v>
      </c>
      <c r="Z134" s="13">
        <f t="shared" si="27"/>
        <v>35</v>
      </c>
    </row>
    <row r="135" spans="1:26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1</v>
      </c>
      <c r="G135" s="16">
        <v>0</v>
      </c>
      <c r="H135" s="16">
        <v>0</v>
      </c>
      <c r="I135" s="16">
        <v>0</v>
      </c>
      <c r="J135" s="16">
        <v>4</v>
      </c>
      <c r="K135" s="16">
        <v>1</v>
      </c>
      <c r="L135" s="16">
        <v>2</v>
      </c>
      <c r="M135" s="16">
        <v>0</v>
      </c>
      <c r="N135" s="16">
        <v>0</v>
      </c>
      <c r="O135" s="16">
        <v>0</v>
      </c>
      <c r="P135" s="16">
        <v>1</v>
      </c>
      <c r="Q135" s="16">
        <v>1</v>
      </c>
      <c r="R135" s="16">
        <v>0</v>
      </c>
      <c r="S135" s="16">
        <v>0</v>
      </c>
      <c r="T135" s="16">
        <v>0</v>
      </c>
      <c r="U135" s="16">
        <v>2</v>
      </c>
      <c r="V135" s="16">
        <v>5</v>
      </c>
      <c r="W135" s="16">
        <v>2</v>
      </c>
      <c r="X135" s="16">
        <v>0</v>
      </c>
      <c r="Y135" s="16">
        <v>1</v>
      </c>
      <c r="Z135" s="13">
        <f t="shared" si="27"/>
        <v>20</v>
      </c>
    </row>
    <row r="136" spans="1:26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13">
        <f t="shared" si="27"/>
        <v>0</v>
      </c>
    </row>
    <row r="137" spans="1:26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13">
        <f t="shared" si="27"/>
        <v>0</v>
      </c>
    </row>
    <row r="138" spans="1:26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13">
        <f t="shared" si="27"/>
        <v>0</v>
      </c>
    </row>
    <row r="139" spans="1:26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Z139" si="28">SUM(E129:E138)</f>
        <v>9</v>
      </c>
      <c r="F139" s="13">
        <f t="shared" si="28"/>
        <v>34</v>
      </c>
      <c r="G139" s="13">
        <f t="shared" si="28"/>
        <v>60</v>
      </c>
      <c r="H139" s="13">
        <f t="shared" si="28"/>
        <v>44</v>
      </c>
      <c r="I139" s="13">
        <f t="shared" si="28"/>
        <v>18</v>
      </c>
      <c r="J139" s="13">
        <f t="shared" si="28"/>
        <v>27</v>
      </c>
      <c r="K139" s="13">
        <f t="shared" si="28"/>
        <v>49</v>
      </c>
      <c r="L139" s="13">
        <f t="shared" si="28"/>
        <v>17</v>
      </c>
      <c r="M139" s="13">
        <f t="shared" si="28"/>
        <v>14</v>
      </c>
      <c r="N139" s="13">
        <f t="shared" si="28"/>
        <v>16</v>
      </c>
      <c r="O139" s="13">
        <f t="shared" si="28"/>
        <v>35</v>
      </c>
      <c r="P139" s="13">
        <f t="shared" si="28"/>
        <v>32</v>
      </c>
      <c r="Q139" s="13">
        <f t="shared" si="28"/>
        <v>41</v>
      </c>
      <c r="R139" s="13">
        <f t="shared" si="28"/>
        <v>19</v>
      </c>
      <c r="S139" s="13">
        <f t="shared" si="28"/>
        <v>17</v>
      </c>
      <c r="T139" s="13">
        <f t="shared" si="28"/>
        <v>30</v>
      </c>
      <c r="U139" s="13">
        <f t="shared" si="28"/>
        <v>39</v>
      </c>
      <c r="V139" s="13">
        <f t="shared" si="28"/>
        <v>73</v>
      </c>
      <c r="W139" s="13">
        <f t="shared" si="28"/>
        <v>32</v>
      </c>
      <c r="X139" s="13">
        <f t="shared" si="28"/>
        <v>20</v>
      </c>
      <c r="Y139" s="13">
        <f t="shared" si="28"/>
        <v>9</v>
      </c>
      <c r="Z139" s="13">
        <f t="shared" si="28"/>
        <v>635</v>
      </c>
    </row>
    <row r="140" spans="1:26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 spans="1:26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3">
        <f t="shared" ref="Z141:Z150" si="29">SUM(E141:Y141)</f>
        <v>0</v>
      </c>
    </row>
    <row r="142" spans="1:26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1</v>
      </c>
      <c r="P142" s="16">
        <v>0</v>
      </c>
      <c r="Q142" s="16">
        <v>1</v>
      </c>
      <c r="R142" s="16">
        <v>0</v>
      </c>
      <c r="S142" s="16">
        <v>0</v>
      </c>
      <c r="T142" s="16">
        <v>0</v>
      </c>
      <c r="U142" s="16">
        <v>1</v>
      </c>
      <c r="V142" s="16">
        <v>0</v>
      </c>
      <c r="W142" s="16">
        <v>0</v>
      </c>
      <c r="X142" s="16">
        <v>0</v>
      </c>
      <c r="Y142" s="16">
        <v>0</v>
      </c>
      <c r="Z142" s="13">
        <f t="shared" si="29"/>
        <v>3</v>
      </c>
    </row>
    <row r="143" spans="1:26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13">
        <f t="shared" si="29"/>
        <v>0</v>
      </c>
    </row>
    <row r="144" spans="1:26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13">
        <f t="shared" si="29"/>
        <v>0</v>
      </c>
    </row>
    <row r="145" spans="1:26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13">
        <f t="shared" si="29"/>
        <v>0</v>
      </c>
    </row>
    <row r="146" spans="1:26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13">
        <f t="shared" si="29"/>
        <v>0</v>
      </c>
    </row>
    <row r="147" spans="1:26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13">
        <f t="shared" si="29"/>
        <v>0</v>
      </c>
    </row>
    <row r="148" spans="1:26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13">
        <f t="shared" si="29"/>
        <v>0</v>
      </c>
    </row>
    <row r="149" spans="1:26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13">
        <f t="shared" si="29"/>
        <v>0</v>
      </c>
    </row>
    <row r="150" spans="1:26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13">
        <f t="shared" si="29"/>
        <v>0</v>
      </c>
    </row>
    <row r="151" spans="1:26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Z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0</v>
      </c>
      <c r="M151" s="13">
        <f t="shared" si="30"/>
        <v>0</v>
      </c>
      <c r="N151" s="13">
        <f t="shared" si="30"/>
        <v>0</v>
      </c>
      <c r="O151" s="13">
        <f t="shared" si="30"/>
        <v>1</v>
      </c>
      <c r="P151" s="13">
        <f t="shared" si="30"/>
        <v>0</v>
      </c>
      <c r="Q151" s="13">
        <f t="shared" si="30"/>
        <v>1</v>
      </c>
      <c r="R151" s="13">
        <f t="shared" si="30"/>
        <v>0</v>
      </c>
      <c r="S151" s="13">
        <f t="shared" si="30"/>
        <v>0</v>
      </c>
      <c r="T151" s="13">
        <f t="shared" si="30"/>
        <v>0</v>
      </c>
      <c r="U151" s="13">
        <f t="shared" si="30"/>
        <v>1</v>
      </c>
      <c r="V151" s="13">
        <f t="shared" si="30"/>
        <v>0</v>
      </c>
      <c r="W151" s="13">
        <f t="shared" si="30"/>
        <v>0</v>
      </c>
      <c r="X151" s="13">
        <f t="shared" si="30"/>
        <v>0</v>
      </c>
      <c r="Y151" s="13">
        <f t="shared" si="30"/>
        <v>0</v>
      </c>
      <c r="Z151" s="13">
        <f t="shared" si="30"/>
        <v>3</v>
      </c>
    </row>
    <row r="152" spans="1:26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13"/>
    </row>
    <row r="153" spans="1:26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0</v>
      </c>
      <c r="F153" s="16">
        <v>0</v>
      </c>
      <c r="G153" s="16">
        <v>0</v>
      </c>
      <c r="H153" s="16">
        <v>1</v>
      </c>
      <c r="I153" s="16">
        <v>0</v>
      </c>
      <c r="J153" s="16">
        <v>0</v>
      </c>
      <c r="K153" s="16">
        <v>0</v>
      </c>
      <c r="L153" s="16">
        <v>1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0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2</v>
      </c>
      <c r="Z153" s="13">
        <f t="shared" ref="Z153:Z162" si="31">SUM(E153:Y153)</f>
        <v>4</v>
      </c>
    </row>
    <row r="154" spans="1:26" ht="12.75" customHeight="1" x14ac:dyDescent="0.4">
      <c r="A154" s="42" t="s">
        <v>38</v>
      </c>
      <c r="B154" s="28"/>
      <c r="C154" s="29" t="s">
        <v>99</v>
      </c>
      <c r="D154" s="30"/>
      <c r="E154" s="55">
        <v>0</v>
      </c>
      <c r="F154" s="16">
        <v>0</v>
      </c>
      <c r="G154" s="16">
        <v>0</v>
      </c>
      <c r="H154" s="16">
        <v>2</v>
      </c>
      <c r="I154" s="16">
        <v>0</v>
      </c>
      <c r="J154" s="16">
        <v>5</v>
      </c>
      <c r="K154" s="16">
        <v>1</v>
      </c>
      <c r="L154" s="16">
        <v>3</v>
      </c>
      <c r="M154" s="16">
        <v>0</v>
      </c>
      <c r="N154" s="16">
        <v>0</v>
      </c>
      <c r="O154" s="16">
        <v>2</v>
      </c>
      <c r="P154" s="16">
        <v>0</v>
      </c>
      <c r="Q154" s="16">
        <v>0</v>
      </c>
      <c r="R154" s="16">
        <v>0</v>
      </c>
      <c r="S154" s="16">
        <v>0</v>
      </c>
      <c r="T154" s="16">
        <v>0</v>
      </c>
      <c r="U154" s="16">
        <v>2</v>
      </c>
      <c r="V154" s="16">
        <v>0</v>
      </c>
      <c r="W154" s="16">
        <v>2</v>
      </c>
      <c r="X154" s="16">
        <v>0</v>
      </c>
      <c r="Y154" s="16">
        <v>3</v>
      </c>
      <c r="Z154" s="13">
        <f t="shared" si="31"/>
        <v>20</v>
      </c>
    </row>
    <row r="155" spans="1:26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0</v>
      </c>
      <c r="T155" s="16">
        <v>0</v>
      </c>
      <c r="U155" s="16">
        <v>0</v>
      </c>
      <c r="V155" s="16">
        <v>0</v>
      </c>
      <c r="W155" s="16">
        <v>0</v>
      </c>
      <c r="X155" s="16">
        <v>0</v>
      </c>
      <c r="Y155" s="16">
        <v>0</v>
      </c>
      <c r="Z155" s="13">
        <f t="shared" si="31"/>
        <v>0</v>
      </c>
    </row>
    <row r="156" spans="1:26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1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0</v>
      </c>
      <c r="T156" s="16">
        <v>0</v>
      </c>
      <c r="U156" s="16">
        <v>1</v>
      </c>
      <c r="V156" s="16">
        <v>0</v>
      </c>
      <c r="W156" s="16">
        <v>0</v>
      </c>
      <c r="X156" s="16">
        <v>0</v>
      </c>
      <c r="Y156" s="16">
        <v>0</v>
      </c>
      <c r="Z156" s="13">
        <f t="shared" si="31"/>
        <v>2</v>
      </c>
    </row>
    <row r="157" spans="1:26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1</v>
      </c>
      <c r="J157" s="16">
        <v>0</v>
      </c>
      <c r="K157" s="16">
        <v>0</v>
      </c>
      <c r="L157" s="16">
        <v>0</v>
      </c>
      <c r="M157" s="16">
        <v>1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0</v>
      </c>
      <c r="U157" s="16">
        <v>1</v>
      </c>
      <c r="V157" s="16">
        <v>0</v>
      </c>
      <c r="W157" s="16">
        <v>0</v>
      </c>
      <c r="X157" s="16">
        <v>0</v>
      </c>
      <c r="Y157" s="16">
        <v>0</v>
      </c>
      <c r="Z157" s="13">
        <f t="shared" si="31"/>
        <v>3</v>
      </c>
    </row>
    <row r="158" spans="1:26" ht="12.75" customHeight="1" x14ac:dyDescent="0.4">
      <c r="A158" s="52"/>
      <c r="B158" s="28"/>
      <c r="C158" s="29" t="s">
        <v>103</v>
      </c>
      <c r="D158" s="30"/>
      <c r="E158" s="56">
        <v>0</v>
      </c>
      <c r="F158" s="53">
        <v>1</v>
      </c>
      <c r="G158" s="53">
        <v>0</v>
      </c>
      <c r="H158" s="53">
        <v>1</v>
      </c>
      <c r="I158" s="53">
        <v>0</v>
      </c>
      <c r="J158" s="53">
        <v>2</v>
      </c>
      <c r="K158" s="53">
        <v>0</v>
      </c>
      <c r="L158" s="53">
        <v>0</v>
      </c>
      <c r="M158" s="53">
        <v>3</v>
      </c>
      <c r="N158" s="53">
        <v>1</v>
      </c>
      <c r="O158" s="53">
        <v>3</v>
      </c>
      <c r="P158" s="16">
        <v>1</v>
      </c>
      <c r="Q158" s="53">
        <v>0</v>
      </c>
      <c r="R158" s="53">
        <v>0</v>
      </c>
      <c r="S158" s="53">
        <v>2</v>
      </c>
      <c r="T158" s="53">
        <v>1</v>
      </c>
      <c r="U158" s="53">
        <v>3</v>
      </c>
      <c r="V158" s="53">
        <v>0</v>
      </c>
      <c r="W158" s="53">
        <v>1</v>
      </c>
      <c r="X158" s="53">
        <v>1</v>
      </c>
      <c r="Y158" s="53">
        <v>6</v>
      </c>
      <c r="Z158" s="13">
        <f t="shared" si="31"/>
        <v>26</v>
      </c>
    </row>
    <row r="159" spans="1:26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0</v>
      </c>
      <c r="Y159" s="53">
        <v>0</v>
      </c>
      <c r="Z159" s="13">
        <f t="shared" si="31"/>
        <v>0</v>
      </c>
    </row>
    <row r="160" spans="1:26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13">
        <f t="shared" si="31"/>
        <v>0</v>
      </c>
    </row>
    <row r="161" spans="1:26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13">
        <f t="shared" si="31"/>
        <v>0</v>
      </c>
    </row>
    <row r="162" spans="1:26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13">
        <f t="shared" si="31"/>
        <v>0</v>
      </c>
    </row>
    <row r="163" spans="1:26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Z163" si="32">SUM(E153:E162)</f>
        <v>0</v>
      </c>
      <c r="F163" s="13">
        <f t="shared" si="32"/>
        <v>1</v>
      </c>
      <c r="G163" s="13">
        <f t="shared" si="32"/>
        <v>0</v>
      </c>
      <c r="H163" s="13">
        <f t="shared" si="32"/>
        <v>4</v>
      </c>
      <c r="I163" s="13">
        <f t="shared" si="32"/>
        <v>1</v>
      </c>
      <c r="J163" s="13">
        <f t="shared" si="32"/>
        <v>7</v>
      </c>
      <c r="K163" s="13">
        <f t="shared" si="32"/>
        <v>1</v>
      </c>
      <c r="L163" s="13">
        <f t="shared" si="32"/>
        <v>5</v>
      </c>
      <c r="M163" s="13">
        <f t="shared" si="32"/>
        <v>4</v>
      </c>
      <c r="N163" s="13">
        <f t="shared" si="32"/>
        <v>1</v>
      </c>
      <c r="O163" s="13">
        <f t="shared" si="32"/>
        <v>5</v>
      </c>
      <c r="P163" s="13">
        <f t="shared" si="32"/>
        <v>1</v>
      </c>
      <c r="Q163" s="13">
        <f t="shared" si="32"/>
        <v>0</v>
      </c>
      <c r="R163" s="13">
        <f t="shared" si="32"/>
        <v>0</v>
      </c>
      <c r="S163" s="13">
        <f t="shared" si="32"/>
        <v>2</v>
      </c>
      <c r="T163" s="13">
        <f t="shared" si="32"/>
        <v>1</v>
      </c>
      <c r="U163" s="13">
        <f t="shared" si="32"/>
        <v>7</v>
      </c>
      <c r="V163" s="13">
        <f t="shared" si="32"/>
        <v>0</v>
      </c>
      <c r="W163" s="13">
        <f t="shared" si="32"/>
        <v>3</v>
      </c>
      <c r="X163" s="13">
        <f t="shared" si="32"/>
        <v>1</v>
      </c>
      <c r="Y163" s="13">
        <f t="shared" si="32"/>
        <v>11</v>
      </c>
      <c r="Z163" s="13">
        <f t="shared" si="32"/>
        <v>55</v>
      </c>
    </row>
    <row r="164" spans="1:26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 spans="1:26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1</v>
      </c>
      <c r="G165" s="16">
        <v>1</v>
      </c>
      <c r="H165" s="16">
        <v>1</v>
      </c>
      <c r="I165" s="16">
        <v>2</v>
      </c>
      <c r="J165" s="16">
        <v>0</v>
      </c>
      <c r="K165" s="16">
        <v>1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1</v>
      </c>
      <c r="R165" s="16">
        <v>0</v>
      </c>
      <c r="S165" s="16">
        <v>2</v>
      </c>
      <c r="T165" s="16">
        <v>1</v>
      </c>
      <c r="U165" s="16">
        <v>0</v>
      </c>
      <c r="V165" s="16">
        <v>0</v>
      </c>
      <c r="W165" s="16">
        <v>0</v>
      </c>
      <c r="X165" s="16">
        <v>2</v>
      </c>
      <c r="Y165" s="16">
        <v>0</v>
      </c>
      <c r="Z165" s="13">
        <f t="shared" ref="Z165:Z174" si="33">SUM(E165:Y165)</f>
        <v>12</v>
      </c>
    </row>
    <row r="166" spans="1:26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13">
        <f t="shared" si="33"/>
        <v>0</v>
      </c>
    </row>
    <row r="167" spans="1:26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13">
        <f t="shared" si="33"/>
        <v>0</v>
      </c>
    </row>
    <row r="168" spans="1:26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13">
        <f t="shared" si="33"/>
        <v>0</v>
      </c>
    </row>
    <row r="169" spans="1:26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13">
        <f t="shared" si="33"/>
        <v>0</v>
      </c>
    </row>
    <row r="170" spans="1:26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13">
        <f t="shared" si="33"/>
        <v>0</v>
      </c>
    </row>
    <row r="171" spans="1:26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13">
        <f t="shared" si="33"/>
        <v>0</v>
      </c>
    </row>
    <row r="172" spans="1:26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13">
        <f t="shared" si="33"/>
        <v>0</v>
      </c>
    </row>
    <row r="173" spans="1:26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13">
        <f t="shared" si="33"/>
        <v>0</v>
      </c>
    </row>
    <row r="174" spans="1:26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13">
        <f t="shared" si="33"/>
        <v>0</v>
      </c>
    </row>
    <row r="175" spans="1:26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Z175" si="34">SUM(E165:E174)</f>
        <v>0</v>
      </c>
      <c r="F175" s="13">
        <f t="shared" si="34"/>
        <v>1</v>
      </c>
      <c r="G175" s="13">
        <f t="shared" si="34"/>
        <v>1</v>
      </c>
      <c r="H175" s="13">
        <f t="shared" si="34"/>
        <v>1</v>
      </c>
      <c r="I175" s="13">
        <f t="shared" si="34"/>
        <v>2</v>
      </c>
      <c r="J175" s="13">
        <f t="shared" si="34"/>
        <v>0</v>
      </c>
      <c r="K175" s="13">
        <f t="shared" si="34"/>
        <v>1</v>
      </c>
      <c r="L175" s="13">
        <f t="shared" si="34"/>
        <v>0</v>
      </c>
      <c r="M175" s="13">
        <f t="shared" si="34"/>
        <v>0</v>
      </c>
      <c r="N175" s="13">
        <f t="shared" si="34"/>
        <v>0</v>
      </c>
      <c r="O175" s="13">
        <f t="shared" si="34"/>
        <v>0</v>
      </c>
      <c r="P175" s="13">
        <f t="shared" si="34"/>
        <v>0</v>
      </c>
      <c r="Q175" s="13">
        <f t="shared" si="34"/>
        <v>1</v>
      </c>
      <c r="R175" s="13">
        <f t="shared" si="34"/>
        <v>0</v>
      </c>
      <c r="S175" s="13">
        <f t="shared" si="34"/>
        <v>2</v>
      </c>
      <c r="T175" s="13">
        <f t="shared" si="34"/>
        <v>1</v>
      </c>
      <c r="U175" s="13">
        <f t="shared" si="34"/>
        <v>0</v>
      </c>
      <c r="V175" s="13">
        <f t="shared" si="34"/>
        <v>0</v>
      </c>
      <c r="W175" s="13">
        <f t="shared" si="34"/>
        <v>0</v>
      </c>
      <c r="X175" s="13">
        <f t="shared" si="34"/>
        <v>2</v>
      </c>
      <c r="Y175" s="13">
        <f t="shared" si="34"/>
        <v>0</v>
      </c>
      <c r="Z175" s="13">
        <f t="shared" si="34"/>
        <v>12</v>
      </c>
    </row>
    <row r="176" spans="1:26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 spans="1:26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0</v>
      </c>
      <c r="F177" s="16">
        <v>2</v>
      </c>
      <c r="G177" s="16">
        <v>0</v>
      </c>
      <c r="H177" s="16">
        <v>1</v>
      </c>
      <c r="I177" s="16">
        <v>1</v>
      </c>
      <c r="J177" s="16">
        <v>0</v>
      </c>
      <c r="K177" s="16">
        <v>1</v>
      </c>
      <c r="L177" s="16">
        <v>2</v>
      </c>
      <c r="M177" s="16">
        <v>1</v>
      </c>
      <c r="N177" s="16">
        <v>0</v>
      </c>
      <c r="O177" s="16">
        <v>1</v>
      </c>
      <c r="P177" s="16">
        <v>2</v>
      </c>
      <c r="Q177" s="16">
        <v>0</v>
      </c>
      <c r="R177" s="16">
        <v>2</v>
      </c>
      <c r="S177" s="16">
        <v>0</v>
      </c>
      <c r="T177" s="16">
        <v>1</v>
      </c>
      <c r="U177" s="16">
        <v>0</v>
      </c>
      <c r="V177" s="16">
        <v>1</v>
      </c>
      <c r="W177" s="16">
        <v>0</v>
      </c>
      <c r="X177" s="16">
        <v>0</v>
      </c>
      <c r="Y177" s="16">
        <v>0</v>
      </c>
      <c r="Z177" s="13">
        <f t="shared" ref="Z177:Z186" si="35">SUM(E177:Y177)</f>
        <v>15</v>
      </c>
    </row>
    <row r="178" spans="1:26" ht="12.75" customHeight="1" x14ac:dyDescent="0.4">
      <c r="A178" s="20" t="s">
        <v>38</v>
      </c>
      <c r="B178" s="28"/>
      <c r="C178" s="29" t="s">
        <v>109</v>
      </c>
      <c r="D178" s="30"/>
      <c r="E178" s="16">
        <v>0</v>
      </c>
      <c r="F178" s="16">
        <v>0</v>
      </c>
      <c r="G178" s="16">
        <v>1</v>
      </c>
      <c r="H178" s="16">
        <v>0</v>
      </c>
      <c r="I178" s="16">
        <v>1</v>
      </c>
      <c r="J178" s="16">
        <v>0</v>
      </c>
      <c r="K178" s="16">
        <v>0</v>
      </c>
      <c r="L178" s="16">
        <v>0</v>
      </c>
      <c r="M178" s="16">
        <v>1</v>
      </c>
      <c r="N178" s="16">
        <v>2</v>
      </c>
      <c r="O178" s="16">
        <v>4</v>
      </c>
      <c r="P178" s="16">
        <v>1</v>
      </c>
      <c r="Q178" s="16">
        <v>0</v>
      </c>
      <c r="R178" s="16">
        <v>2</v>
      </c>
      <c r="S178" s="16">
        <v>1</v>
      </c>
      <c r="T178" s="16">
        <v>4</v>
      </c>
      <c r="U178" s="16">
        <v>1</v>
      </c>
      <c r="V178" s="16">
        <v>2</v>
      </c>
      <c r="W178" s="16">
        <v>1</v>
      </c>
      <c r="X178" s="16">
        <v>3</v>
      </c>
      <c r="Y178" s="16">
        <v>0</v>
      </c>
      <c r="Z178" s="13">
        <f t="shared" si="35"/>
        <v>24</v>
      </c>
    </row>
    <row r="179" spans="1:26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0</v>
      </c>
      <c r="G179" s="16">
        <v>1</v>
      </c>
      <c r="H179" s="16">
        <v>0</v>
      </c>
      <c r="I179" s="16">
        <v>1</v>
      </c>
      <c r="J179" s="16">
        <v>1</v>
      </c>
      <c r="K179" s="16">
        <v>0</v>
      </c>
      <c r="L179" s="16">
        <v>2</v>
      </c>
      <c r="M179" s="16">
        <v>0</v>
      </c>
      <c r="N179" s="16">
        <v>3</v>
      </c>
      <c r="O179" s="16">
        <v>1</v>
      </c>
      <c r="P179" s="16">
        <v>3</v>
      </c>
      <c r="Q179" s="16">
        <v>0</v>
      </c>
      <c r="R179" s="16">
        <v>1</v>
      </c>
      <c r="S179" s="16">
        <v>0</v>
      </c>
      <c r="T179" s="16">
        <v>0</v>
      </c>
      <c r="U179" s="16">
        <v>4</v>
      </c>
      <c r="V179" s="16">
        <v>0</v>
      </c>
      <c r="W179" s="16">
        <v>1</v>
      </c>
      <c r="X179" s="16">
        <v>0</v>
      </c>
      <c r="Y179" s="16">
        <v>0</v>
      </c>
      <c r="Z179" s="13">
        <f t="shared" si="35"/>
        <v>18</v>
      </c>
    </row>
    <row r="180" spans="1:26" ht="12.75" customHeight="1" x14ac:dyDescent="0.4">
      <c r="A180" s="15"/>
      <c r="B180" s="28"/>
      <c r="C180" s="29" t="s">
        <v>111</v>
      </c>
      <c r="D180" s="30"/>
      <c r="E180" s="16">
        <v>1</v>
      </c>
      <c r="F180" s="16">
        <v>0</v>
      </c>
      <c r="G180" s="16">
        <v>0</v>
      </c>
      <c r="H180" s="16">
        <v>0</v>
      </c>
      <c r="I180" s="16">
        <v>1</v>
      </c>
      <c r="J180" s="16">
        <v>1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1</v>
      </c>
      <c r="Q180" s="16">
        <v>0</v>
      </c>
      <c r="R180" s="16">
        <v>0</v>
      </c>
      <c r="S180" s="16">
        <v>0</v>
      </c>
      <c r="T180" s="16">
        <v>0</v>
      </c>
      <c r="U180" s="16">
        <v>1</v>
      </c>
      <c r="V180" s="16">
        <v>0</v>
      </c>
      <c r="W180" s="16">
        <v>1</v>
      </c>
      <c r="X180" s="16">
        <v>0</v>
      </c>
      <c r="Y180" s="16">
        <v>0</v>
      </c>
      <c r="Z180" s="13">
        <f t="shared" si="35"/>
        <v>6</v>
      </c>
    </row>
    <row r="181" spans="1:26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1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3">
        <f t="shared" si="35"/>
        <v>1</v>
      </c>
    </row>
    <row r="182" spans="1:26" ht="12.75" customHeight="1" x14ac:dyDescent="0.4">
      <c r="A182" s="15"/>
      <c r="B182" s="28"/>
      <c r="C182" s="29" t="s">
        <v>113</v>
      </c>
      <c r="D182" s="30"/>
      <c r="E182" s="16">
        <v>1</v>
      </c>
      <c r="F182" s="16">
        <v>2</v>
      </c>
      <c r="G182" s="16">
        <v>0</v>
      </c>
      <c r="H182" s="16">
        <v>1</v>
      </c>
      <c r="I182" s="16">
        <v>0</v>
      </c>
      <c r="J182" s="16">
        <v>0</v>
      </c>
      <c r="K182" s="16">
        <v>0</v>
      </c>
      <c r="L182" s="16">
        <v>0</v>
      </c>
      <c r="M182" s="16">
        <v>1</v>
      </c>
      <c r="N182" s="16">
        <v>0</v>
      </c>
      <c r="O182" s="16">
        <v>0</v>
      </c>
      <c r="P182" s="16">
        <v>1</v>
      </c>
      <c r="Q182" s="16">
        <v>0</v>
      </c>
      <c r="R182" s="16">
        <v>0</v>
      </c>
      <c r="S182" s="16">
        <v>0</v>
      </c>
      <c r="T182" s="16">
        <v>0</v>
      </c>
      <c r="U182" s="16">
        <v>1</v>
      </c>
      <c r="V182" s="16">
        <v>0</v>
      </c>
      <c r="W182" s="16">
        <v>0</v>
      </c>
      <c r="X182" s="16">
        <v>0</v>
      </c>
      <c r="Y182" s="16">
        <v>0</v>
      </c>
      <c r="Z182" s="13">
        <f t="shared" si="35"/>
        <v>7</v>
      </c>
    </row>
    <row r="183" spans="1:26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1</v>
      </c>
      <c r="Z183" s="13">
        <f t="shared" si="35"/>
        <v>1</v>
      </c>
    </row>
    <row r="184" spans="1:26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13">
        <f t="shared" si="35"/>
        <v>0</v>
      </c>
    </row>
    <row r="185" spans="1:26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13">
        <f t="shared" si="35"/>
        <v>0</v>
      </c>
    </row>
    <row r="186" spans="1:26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13">
        <f t="shared" si="35"/>
        <v>0</v>
      </c>
    </row>
    <row r="187" spans="1:26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Z187" si="36">SUM(E177:E186)</f>
        <v>2</v>
      </c>
      <c r="F187" s="13">
        <f t="shared" si="36"/>
        <v>4</v>
      </c>
      <c r="G187" s="13">
        <f t="shared" si="36"/>
        <v>2</v>
      </c>
      <c r="H187" s="13">
        <f t="shared" si="36"/>
        <v>2</v>
      </c>
      <c r="I187" s="13">
        <f t="shared" si="36"/>
        <v>4</v>
      </c>
      <c r="J187" s="13">
        <f t="shared" si="36"/>
        <v>2</v>
      </c>
      <c r="K187" s="13">
        <f t="shared" si="36"/>
        <v>1</v>
      </c>
      <c r="L187" s="13">
        <f t="shared" si="36"/>
        <v>4</v>
      </c>
      <c r="M187" s="13">
        <f t="shared" si="36"/>
        <v>3</v>
      </c>
      <c r="N187" s="13">
        <f t="shared" si="36"/>
        <v>5</v>
      </c>
      <c r="O187" s="13">
        <f t="shared" si="36"/>
        <v>7</v>
      </c>
      <c r="P187" s="13">
        <f t="shared" si="36"/>
        <v>8</v>
      </c>
      <c r="Q187" s="13">
        <f t="shared" si="36"/>
        <v>0</v>
      </c>
      <c r="R187" s="13">
        <f t="shared" si="36"/>
        <v>5</v>
      </c>
      <c r="S187" s="13">
        <f t="shared" si="36"/>
        <v>1</v>
      </c>
      <c r="T187" s="13">
        <f t="shared" si="36"/>
        <v>5</v>
      </c>
      <c r="U187" s="13">
        <f t="shared" si="36"/>
        <v>7</v>
      </c>
      <c r="V187" s="13">
        <f t="shared" si="36"/>
        <v>3</v>
      </c>
      <c r="W187" s="13">
        <f t="shared" si="36"/>
        <v>3</v>
      </c>
      <c r="X187" s="13">
        <f t="shared" si="36"/>
        <v>3</v>
      </c>
      <c r="Y187" s="13">
        <f t="shared" si="36"/>
        <v>1</v>
      </c>
      <c r="Z187" s="13">
        <f t="shared" si="36"/>
        <v>72</v>
      </c>
    </row>
    <row r="188" spans="1:26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T188" s="54"/>
      <c r="U188" s="54"/>
      <c r="V188" s="54"/>
      <c r="W188" s="54"/>
      <c r="X188" s="54"/>
      <c r="Z188" s="13"/>
    </row>
    <row r="189" spans="1:26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1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3">
        <f t="shared" ref="Z189:Z198" si="37">SUM(E189:Y189)</f>
        <v>1</v>
      </c>
    </row>
    <row r="190" spans="1:26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1</v>
      </c>
      <c r="N190" s="16">
        <v>1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1</v>
      </c>
      <c r="W190" s="16">
        <v>0</v>
      </c>
      <c r="X190" s="16">
        <v>0</v>
      </c>
      <c r="Y190" s="16">
        <v>0</v>
      </c>
      <c r="Z190" s="13">
        <f t="shared" si="37"/>
        <v>3</v>
      </c>
    </row>
    <row r="191" spans="1:26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1</v>
      </c>
      <c r="V191" s="16">
        <v>0</v>
      </c>
      <c r="W191" s="16">
        <v>0</v>
      </c>
      <c r="X191" s="16">
        <v>0</v>
      </c>
      <c r="Y191" s="16">
        <v>0</v>
      </c>
      <c r="Z191" s="13">
        <f t="shared" si="37"/>
        <v>1</v>
      </c>
    </row>
    <row r="192" spans="1:26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1</v>
      </c>
      <c r="G192" s="16">
        <v>1</v>
      </c>
      <c r="H192" s="16">
        <v>1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3">
        <f t="shared" si="37"/>
        <v>3</v>
      </c>
    </row>
    <row r="193" spans="1:26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3">
        <f t="shared" si="37"/>
        <v>0</v>
      </c>
    </row>
    <row r="194" spans="1:26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2</v>
      </c>
      <c r="J194" s="16">
        <v>0</v>
      </c>
      <c r="K194" s="16">
        <v>2</v>
      </c>
      <c r="L194" s="16">
        <v>1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3">
        <f t="shared" si="37"/>
        <v>5</v>
      </c>
    </row>
    <row r="195" spans="1:26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2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1</v>
      </c>
      <c r="N195" s="16">
        <v>0</v>
      </c>
      <c r="O195" s="16">
        <v>0</v>
      </c>
      <c r="P195" s="16">
        <v>0</v>
      </c>
      <c r="Q195" s="16">
        <v>0</v>
      </c>
      <c r="R195" s="16">
        <v>2</v>
      </c>
      <c r="S195" s="16">
        <v>0</v>
      </c>
      <c r="T195" s="16">
        <v>0</v>
      </c>
      <c r="U195" s="16">
        <v>0</v>
      </c>
      <c r="V195" s="16">
        <v>1</v>
      </c>
      <c r="W195" s="16">
        <v>0</v>
      </c>
      <c r="X195" s="16">
        <v>0</v>
      </c>
      <c r="Y195" s="16">
        <v>0</v>
      </c>
      <c r="Z195" s="13">
        <f t="shared" si="37"/>
        <v>6</v>
      </c>
    </row>
    <row r="196" spans="1:26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13">
        <f t="shared" si="37"/>
        <v>0</v>
      </c>
    </row>
    <row r="197" spans="1:26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13">
        <f t="shared" si="37"/>
        <v>0</v>
      </c>
    </row>
    <row r="198" spans="1:26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13">
        <f t="shared" si="37"/>
        <v>0</v>
      </c>
    </row>
    <row r="199" spans="1:26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Z199" si="38">SUM(E189:E198)</f>
        <v>0</v>
      </c>
      <c r="F199" s="13">
        <f t="shared" si="38"/>
        <v>3</v>
      </c>
      <c r="G199" s="13">
        <f t="shared" si="38"/>
        <v>1</v>
      </c>
      <c r="H199" s="13">
        <f t="shared" si="38"/>
        <v>1</v>
      </c>
      <c r="I199" s="13">
        <f t="shared" si="38"/>
        <v>2</v>
      </c>
      <c r="J199" s="13">
        <f t="shared" si="38"/>
        <v>0</v>
      </c>
      <c r="K199" s="13">
        <f t="shared" si="38"/>
        <v>3</v>
      </c>
      <c r="L199" s="13">
        <f t="shared" si="38"/>
        <v>1</v>
      </c>
      <c r="M199" s="13">
        <f t="shared" si="38"/>
        <v>2</v>
      </c>
      <c r="N199" s="13">
        <f t="shared" si="38"/>
        <v>1</v>
      </c>
      <c r="O199" s="13">
        <f t="shared" si="38"/>
        <v>0</v>
      </c>
      <c r="P199" s="13">
        <f t="shared" si="38"/>
        <v>0</v>
      </c>
      <c r="Q199" s="13">
        <f t="shared" si="38"/>
        <v>0</v>
      </c>
      <c r="R199" s="13">
        <f t="shared" si="38"/>
        <v>2</v>
      </c>
      <c r="S199" s="13">
        <f t="shared" si="38"/>
        <v>0</v>
      </c>
      <c r="T199" s="13">
        <f t="shared" si="38"/>
        <v>0</v>
      </c>
      <c r="U199" s="13">
        <f t="shared" si="38"/>
        <v>1</v>
      </c>
      <c r="V199" s="13">
        <f t="shared" si="38"/>
        <v>2</v>
      </c>
      <c r="W199" s="13">
        <f t="shared" si="38"/>
        <v>0</v>
      </c>
      <c r="X199" s="13">
        <f t="shared" si="38"/>
        <v>0</v>
      </c>
      <c r="Y199" s="13">
        <f t="shared" si="38"/>
        <v>0</v>
      </c>
      <c r="Z199" s="13">
        <f t="shared" si="38"/>
        <v>19</v>
      </c>
    </row>
    <row r="200" spans="1:26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 spans="1:26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3</v>
      </c>
      <c r="F201" s="16">
        <v>2</v>
      </c>
      <c r="G201" s="16">
        <v>1</v>
      </c>
      <c r="H201" s="16">
        <v>0</v>
      </c>
      <c r="I201" s="16">
        <v>10</v>
      </c>
      <c r="J201" s="16">
        <v>8</v>
      </c>
      <c r="K201" s="16">
        <v>3</v>
      </c>
      <c r="L201" s="16">
        <v>10</v>
      </c>
      <c r="M201" s="16">
        <v>2</v>
      </c>
      <c r="N201" s="16">
        <v>3</v>
      </c>
      <c r="O201" s="16">
        <v>1</v>
      </c>
      <c r="P201" s="16">
        <v>3</v>
      </c>
      <c r="Q201" s="16">
        <v>1</v>
      </c>
      <c r="R201" s="16">
        <v>3</v>
      </c>
      <c r="S201" s="16">
        <v>1</v>
      </c>
      <c r="T201" s="16">
        <v>1</v>
      </c>
      <c r="U201" s="16">
        <v>3</v>
      </c>
      <c r="V201" s="16">
        <v>2</v>
      </c>
      <c r="W201" s="16">
        <v>0</v>
      </c>
      <c r="X201" s="16">
        <v>9</v>
      </c>
      <c r="Y201" s="16">
        <v>5</v>
      </c>
      <c r="Z201" s="13">
        <f t="shared" ref="Z201:Z210" si="39">SUM(E201:Y201)</f>
        <v>71</v>
      </c>
    </row>
    <row r="202" spans="1:26" ht="12.75" customHeight="1" x14ac:dyDescent="0.4">
      <c r="A202" s="20" t="s">
        <v>38</v>
      </c>
      <c r="B202" s="28"/>
      <c r="C202" s="29" t="s">
        <v>125</v>
      </c>
      <c r="D202" s="30"/>
      <c r="E202" s="16">
        <v>4</v>
      </c>
      <c r="F202" s="16">
        <v>9</v>
      </c>
      <c r="G202" s="16">
        <v>3</v>
      </c>
      <c r="H202" s="16">
        <v>4</v>
      </c>
      <c r="I202" s="16">
        <v>5</v>
      </c>
      <c r="J202" s="16">
        <v>2</v>
      </c>
      <c r="K202" s="16">
        <v>3</v>
      </c>
      <c r="L202" s="16">
        <v>3</v>
      </c>
      <c r="M202" s="16">
        <v>3</v>
      </c>
      <c r="N202" s="16">
        <v>1</v>
      </c>
      <c r="O202" s="16">
        <v>7</v>
      </c>
      <c r="P202" s="16">
        <v>7</v>
      </c>
      <c r="Q202" s="16">
        <v>2</v>
      </c>
      <c r="R202" s="16">
        <v>4</v>
      </c>
      <c r="S202" s="16">
        <v>5</v>
      </c>
      <c r="T202" s="16">
        <v>7</v>
      </c>
      <c r="U202" s="16">
        <v>2</v>
      </c>
      <c r="V202" s="16">
        <v>2</v>
      </c>
      <c r="W202" s="16">
        <v>4</v>
      </c>
      <c r="X202" s="16">
        <v>2</v>
      </c>
      <c r="Y202" s="16">
        <v>23</v>
      </c>
      <c r="Z202" s="13">
        <f t="shared" si="39"/>
        <v>102</v>
      </c>
    </row>
    <row r="203" spans="1:26" ht="12.75" customHeight="1" x14ac:dyDescent="0.4">
      <c r="A203" s="15"/>
      <c r="B203" s="28"/>
      <c r="C203" s="29" t="s">
        <v>126</v>
      </c>
      <c r="D203" s="30"/>
      <c r="E203" s="16">
        <v>4</v>
      </c>
      <c r="F203" s="16">
        <v>2</v>
      </c>
      <c r="G203" s="16">
        <v>3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2</v>
      </c>
      <c r="N203" s="16">
        <v>0</v>
      </c>
      <c r="O203" s="16">
        <v>7</v>
      </c>
      <c r="P203" s="16">
        <v>0</v>
      </c>
      <c r="Q203" s="16">
        <v>0</v>
      </c>
      <c r="R203" s="16">
        <v>6</v>
      </c>
      <c r="S203" s="16">
        <v>1</v>
      </c>
      <c r="T203" s="16">
        <v>2</v>
      </c>
      <c r="U203" s="16">
        <v>3</v>
      </c>
      <c r="V203" s="16">
        <v>0</v>
      </c>
      <c r="W203" s="16">
        <v>10</v>
      </c>
      <c r="X203" s="16">
        <v>5</v>
      </c>
      <c r="Y203" s="16">
        <v>3</v>
      </c>
      <c r="Z203" s="13">
        <f t="shared" si="39"/>
        <v>48</v>
      </c>
    </row>
    <row r="204" spans="1:26" ht="12.75" customHeight="1" x14ac:dyDescent="0.4">
      <c r="A204" s="15"/>
      <c r="B204" s="28"/>
      <c r="C204" s="29" t="s">
        <v>127</v>
      </c>
      <c r="D204" s="30"/>
      <c r="E204" s="16">
        <v>8</v>
      </c>
      <c r="F204" s="16">
        <v>4</v>
      </c>
      <c r="G204" s="16">
        <v>0</v>
      </c>
      <c r="H204" s="16">
        <v>2</v>
      </c>
      <c r="I204" s="16">
        <v>4</v>
      </c>
      <c r="J204" s="16">
        <v>5</v>
      </c>
      <c r="K204" s="16">
        <v>11</v>
      </c>
      <c r="L204" s="16">
        <v>7</v>
      </c>
      <c r="M204" s="16">
        <v>2</v>
      </c>
      <c r="N204" s="16">
        <v>2</v>
      </c>
      <c r="O204" s="16">
        <v>10</v>
      </c>
      <c r="P204" s="16">
        <v>4</v>
      </c>
      <c r="Q204" s="16">
        <v>7</v>
      </c>
      <c r="R204" s="16">
        <v>4</v>
      </c>
      <c r="S204" s="16">
        <v>4</v>
      </c>
      <c r="T204" s="16">
        <v>8</v>
      </c>
      <c r="U204" s="16">
        <v>5</v>
      </c>
      <c r="V204" s="16">
        <v>14</v>
      </c>
      <c r="W204" s="16">
        <v>6</v>
      </c>
      <c r="X204" s="16">
        <v>5</v>
      </c>
      <c r="Y204" s="16">
        <v>0</v>
      </c>
      <c r="Z204" s="13">
        <f t="shared" si="39"/>
        <v>112</v>
      </c>
    </row>
    <row r="205" spans="1:26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2</v>
      </c>
      <c r="H205" s="16">
        <v>1</v>
      </c>
      <c r="I205" s="16">
        <v>0</v>
      </c>
      <c r="J205" s="16">
        <v>0</v>
      </c>
      <c r="K205" s="16">
        <v>0</v>
      </c>
      <c r="L205" s="16">
        <v>0</v>
      </c>
      <c r="M205" s="16">
        <v>1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0</v>
      </c>
      <c r="T205" s="16">
        <v>0</v>
      </c>
      <c r="U205" s="16">
        <v>0</v>
      </c>
      <c r="V205" s="16">
        <v>0</v>
      </c>
      <c r="W205" s="16">
        <v>1</v>
      </c>
      <c r="X205" s="16">
        <v>0</v>
      </c>
      <c r="Y205" s="16">
        <v>1</v>
      </c>
      <c r="Z205" s="13">
        <f t="shared" si="39"/>
        <v>6</v>
      </c>
    </row>
    <row r="206" spans="1:26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0</v>
      </c>
      <c r="M206" s="16">
        <v>0</v>
      </c>
      <c r="N206" s="16">
        <v>0</v>
      </c>
      <c r="O206" s="16">
        <v>0</v>
      </c>
      <c r="P206" s="16">
        <v>1</v>
      </c>
      <c r="Q206" s="16">
        <v>0</v>
      </c>
      <c r="R206" s="16">
        <v>0</v>
      </c>
      <c r="S206" s="16">
        <v>2</v>
      </c>
      <c r="T206" s="16">
        <v>0</v>
      </c>
      <c r="U206" s="16">
        <v>0</v>
      </c>
      <c r="V206" s="16">
        <v>0</v>
      </c>
      <c r="W206" s="16">
        <v>0</v>
      </c>
      <c r="X206" s="16">
        <v>0</v>
      </c>
      <c r="Y206" s="16">
        <v>0</v>
      </c>
      <c r="Z206" s="13">
        <f t="shared" si="39"/>
        <v>3</v>
      </c>
    </row>
    <row r="207" spans="1:26" ht="12.75" customHeight="1" x14ac:dyDescent="0.4">
      <c r="A207" s="15"/>
      <c r="B207" s="28"/>
      <c r="C207" s="29" t="s">
        <v>130</v>
      </c>
      <c r="D207" s="30"/>
      <c r="E207" s="16">
        <v>2</v>
      </c>
      <c r="F207" s="16">
        <v>0</v>
      </c>
      <c r="G207" s="16">
        <v>0</v>
      </c>
      <c r="H207" s="16">
        <v>0</v>
      </c>
      <c r="I207" s="16">
        <v>0</v>
      </c>
      <c r="J207" s="16">
        <v>0</v>
      </c>
      <c r="K207" s="16">
        <v>1</v>
      </c>
      <c r="L207" s="16">
        <v>1</v>
      </c>
      <c r="M207" s="16">
        <v>3</v>
      </c>
      <c r="N207" s="16">
        <v>1</v>
      </c>
      <c r="O207" s="16">
        <v>2</v>
      </c>
      <c r="P207" s="16">
        <v>0</v>
      </c>
      <c r="Q207" s="16">
        <v>1</v>
      </c>
      <c r="R207" s="16">
        <v>0</v>
      </c>
      <c r="S207" s="16">
        <v>1</v>
      </c>
      <c r="T207" s="16">
        <v>0</v>
      </c>
      <c r="U207" s="16">
        <v>1</v>
      </c>
      <c r="V207" s="16">
        <v>0</v>
      </c>
      <c r="W207" s="16">
        <v>0</v>
      </c>
      <c r="X207" s="16">
        <v>1</v>
      </c>
      <c r="Y207" s="16">
        <v>0</v>
      </c>
      <c r="Z207" s="13">
        <f t="shared" si="39"/>
        <v>14</v>
      </c>
    </row>
    <row r="208" spans="1:26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13">
        <f t="shared" si="39"/>
        <v>0</v>
      </c>
    </row>
    <row r="209" spans="1:26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13">
        <f t="shared" si="39"/>
        <v>0</v>
      </c>
    </row>
    <row r="210" spans="1:26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13">
        <f t="shared" si="39"/>
        <v>0</v>
      </c>
    </row>
    <row r="211" spans="1:26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Z211" si="40">SUM(E201:E210)</f>
        <v>21</v>
      </c>
      <c r="F211" s="13">
        <f t="shared" si="40"/>
        <v>17</v>
      </c>
      <c r="G211" s="13">
        <f t="shared" si="40"/>
        <v>9</v>
      </c>
      <c r="H211" s="13">
        <f t="shared" si="40"/>
        <v>7</v>
      </c>
      <c r="I211" s="13">
        <f t="shared" si="40"/>
        <v>19</v>
      </c>
      <c r="J211" s="13">
        <f t="shared" si="40"/>
        <v>15</v>
      </c>
      <c r="K211" s="13">
        <f t="shared" si="40"/>
        <v>18</v>
      </c>
      <c r="L211" s="13">
        <f t="shared" si="40"/>
        <v>21</v>
      </c>
      <c r="M211" s="13">
        <f t="shared" si="40"/>
        <v>13</v>
      </c>
      <c r="N211" s="13">
        <f t="shared" si="40"/>
        <v>7</v>
      </c>
      <c r="O211" s="13">
        <f t="shared" si="40"/>
        <v>27</v>
      </c>
      <c r="P211" s="13">
        <f t="shared" si="40"/>
        <v>15</v>
      </c>
      <c r="Q211" s="13">
        <f t="shared" si="40"/>
        <v>11</v>
      </c>
      <c r="R211" s="13">
        <f t="shared" si="40"/>
        <v>17</v>
      </c>
      <c r="S211" s="13">
        <f t="shared" si="40"/>
        <v>14</v>
      </c>
      <c r="T211" s="13">
        <f t="shared" si="40"/>
        <v>18</v>
      </c>
      <c r="U211" s="13">
        <f t="shared" si="40"/>
        <v>14</v>
      </c>
      <c r="V211" s="13">
        <f t="shared" si="40"/>
        <v>18</v>
      </c>
      <c r="W211" s="13">
        <f t="shared" si="40"/>
        <v>21</v>
      </c>
      <c r="X211" s="13">
        <f t="shared" si="40"/>
        <v>22</v>
      </c>
      <c r="Y211" s="13">
        <f t="shared" si="40"/>
        <v>32</v>
      </c>
      <c r="Z211" s="13">
        <f t="shared" si="40"/>
        <v>356</v>
      </c>
    </row>
    <row r="212" spans="1:26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 spans="1:26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2</v>
      </c>
      <c r="F213" s="16">
        <v>2</v>
      </c>
      <c r="G213" s="16">
        <v>1</v>
      </c>
      <c r="H213" s="16">
        <v>1</v>
      </c>
      <c r="I213" s="16">
        <v>3</v>
      </c>
      <c r="J213" s="16">
        <v>0</v>
      </c>
      <c r="K213" s="16">
        <v>5</v>
      </c>
      <c r="L213" s="16">
        <v>2</v>
      </c>
      <c r="M213" s="16">
        <v>1</v>
      </c>
      <c r="N213" s="16">
        <v>3</v>
      </c>
      <c r="O213" s="16">
        <v>4</v>
      </c>
      <c r="P213" s="16">
        <v>4</v>
      </c>
      <c r="Q213" s="16">
        <v>0</v>
      </c>
      <c r="R213" s="16">
        <v>3</v>
      </c>
      <c r="S213" s="16">
        <v>10</v>
      </c>
      <c r="T213" s="16">
        <v>4</v>
      </c>
      <c r="U213" s="16">
        <v>4</v>
      </c>
      <c r="V213" s="16">
        <v>1</v>
      </c>
      <c r="W213" s="16">
        <v>2</v>
      </c>
      <c r="X213" s="16">
        <v>8</v>
      </c>
      <c r="Y213" s="16">
        <v>5</v>
      </c>
      <c r="Z213" s="13">
        <f t="shared" ref="Z213:Z222" si="41">SUM(E213:Y213)</f>
        <v>65</v>
      </c>
    </row>
    <row r="214" spans="1:26" ht="12.75" customHeight="1" x14ac:dyDescent="0.4">
      <c r="A214" s="20" t="s">
        <v>38</v>
      </c>
      <c r="B214" s="27"/>
      <c r="C214" s="29" t="s">
        <v>133</v>
      </c>
      <c r="D214" s="40"/>
      <c r="E214" s="16">
        <v>1</v>
      </c>
      <c r="F214" s="16">
        <v>0</v>
      </c>
      <c r="G214" s="16">
        <v>1</v>
      </c>
      <c r="H214" s="16">
        <v>1</v>
      </c>
      <c r="I214" s="16">
        <v>0</v>
      </c>
      <c r="J214" s="16">
        <v>2</v>
      </c>
      <c r="K214" s="16">
        <v>3</v>
      </c>
      <c r="L214" s="16">
        <v>2</v>
      </c>
      <c r="M214" s="16">
        <v>1</v>
      </c>
      <c r="N214" s="16">
        <v>2</v>
      </c>
      <c r="O214" s="16">
        <v>2</v>
      </c>
      <c r="P214" s="16">
        <v>4</v>
      </c>
      <c r="Q214" s="16">
        <v>1</v>
      </c>
      <c r="R214" s="16">
        <v>2</v>
      </c>
      <c r="S214" s="16">
        <v>2</v>
      </c>
      <c r="T214" s="16">
        <v>5</v>
      </c>
      <c r="U214" s="16">
        <v>1</v>
      </c>
      <c r="V214" s="16">
        <v>1</v>
      </c>
      <c r="W214" s="16">
        <v>3</v>
      </c>
      <c r="X214" s="16">
        <v>6</v>
      </c>
      <c r="Y214" s="16">
        <v>2</v>
      </c>
      <c r="Z214" s="13">
        <f t="shared" si="41"/>
        <v>42</v>
      </c>
    </row>
    <row r="215" spans="1:26" ht="12.75" customHeight="1" x14ac:dyDescent="0.4">
      <c r="A215" s="15"/>
      <c r="B215" s="27"/>
      <c r="C215" s="29" t="s">
        <v>134</v>
      </c>
      <c r="D215" s="40"/>
      <c r="E215" s="16">
        <v>1</v>
      </c>
      <c r="F215" s="16">
        <v>0</v>
      </c>
      <c r="G215" s="16">
        <v>1</v>
      </c>
      <c r="H215" s="16">
        <v>0</v>
      </c>
      <c r="I215" s="16">
        <v>0</v>
      </c>
      <c r="J215" s="16">
        <v>2</v>
      </c>
      <c r="K215" s="16">
        <v>0</v>
      </c>
      <c r="L215" s="16">
        <v>0</v>
      </c>
      <c r="M215" s="16">
        <v>0</v>
      </c>
      <c r="N215" s="16">
        <v>0</v>
      </c>
      <c r="O215" s="16">
        <v>0</v>
      </c>
      <c r="P215" s="16">
        <v>0</v>
      </c>
      <c r="Q215" s="16">
        <v>2</v>
      </c>
      <c r="R215" s="16">
        <v>1</v>
      </c>
      <c r="S215" s="16">
        <v>0</v>
      </c>
      <c r="T215" s="16">
        <v>1</v>
      </c>
      <c r="U215" s="16">
        <v>0</v>
      </c>
      <c r="V215" s="16">
        <v>1</v>
      </c>
      <c r="W215" s="16">
        <v>0</v>
      </c>
      <c r="X215" s="16">
        <v>0</v>
      </c>
      <c r="Y215" s="16">
        <v>0</v>
      </c>
      <c r="Z215" s="13">
        <f t="shared" si="41"/>
        <v>9</v>
      </c>
    </row>
    <row r="216" spans="1:26" ht="12.75" customHeight="1" x14ac:dyDescent="0.4">
      <c r="A216" s="15"/>
      <c r="B216" s="27"/>
      <c r="C216" s="29" t="s">
        <v>135</v>
      </c>
      <c r="D216" s="40"/>
      <c r="E216" s="16">
        <v>1</v>
      </c>
      <c r="F216" s="16">
        <v>1</v>
      </c>
      <c r="G216" s="16">
        <v>0</v>
      </c>
      <c r="H216" s="16">
        <v>0</v>
      </c>
      <c r="I216" s="16">
        <v>1</v>
      </c>
      <c r="J216" s="16">
        <v>3</v>
      </c>
      <c r="K216" s="16">
        <v>0</v>
      </c>
      <c r="L216" s="16">
        <v>1</v>
      </c>
      <c r="M216" s="16">
        <v>0</v>
      </c>
      <c r="N216" s="16">
        <v>0</v>
      </c>
      <c r="O216" s="16">
        <v>0</v>
      </c>
      <c r="P216" s="16">
        <v>0</v>
      </c>
      <c r="Q216" s="16">
        <v>0</v>
      </c>
      <c r="R216" s="16">
        <v>2</v>
      </c>
      <c r="S216" s="16">
        <v>0</v>
      </c>
      <c r="T216" s="16">
        <v>1</v>
      </c>
      <c r="U216" s="16">
        <v>1</v>
      </c>
      <c r="V216" s="16">
        <v>0</v>
      </c>
      <c r="W216" s="16">
        <v>0</v>
      </c>
      <c r="X216" s="16">
        <v>1</v>
      </c>
      <c r="Y216" s="16">
        <v>0</v>
      </c>
      <c r="Z216" s="13">
        <f t="shared" si="41"/>
        <v>12</v>
      </c>
    </row>
    <row r="217" spans="1:26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0</v>
      </c>
      <c r="I217" s="16">
        <v>1</v>
      </c>
      <c r="J217" s="16">
        <v>0</v>
      </c>
      <c r="K217" s="16">
        <v>0</v>
      </c>
      <c r="L217" s="16">
        <v>0</v>
      </c>
      <c r="M217" s="16">
        <v>0</v>
      </c>
      <c r="N217" s="16">
        <v>0</v>
      </c>
      <c r="O217" s="16">
        <v>0</v>
      </c>
      <c r="P217" s="16">
        <v>0</v>
      </c>
      <c r="Q217" s="16">
        <v>1</v>
      </c>
      <c r="R217" s="16">
        <v>0</v>
      </c>
      <c r="S217" s="16">
        <v>1</v>
      </c>
      <c r="T217" s="16">
        <v>0</v>
      </c>
      <c r="U217" s="16">
        <v>0</v>
      </c>
      <c r="V217" s="16">
        <v>0</v>
      </c>
      <c r="W217" s="16">
        <v>0</v>
      </c>
      <c r="X217" s="16">
        <v>0</v>
      </c>
      <c r="Y217" s="16">
        <v>0</v>
      </c>
      <c r="Z217" s="13">
        <f t="shared" si="41"/>
        <v>3</v>
      </c>
    </row>
    <row r="218" spans="1:26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0</v>
      </c>
      <c r="G218" s="16">
        <v>0</v>
      </c>
      <c r="H218" s="16">
        <v>0</v>
      </c>
      <c r="I218" s="16">
        <v>0</v>
      </c>
      <c r="J218" s="16">
        <v>0</v>
      </c>
      <c r="K218" s="16">
        <v>0</v>
      </c>
      <c r="L218" s="16">
        <v>1</v>
      </c>
      <c r="M218" s="16">
        <v>1</v>
      </c>
      <c r="N218" s="16">
        <v>0</v>
      </c>
      <c r="O218" s="16">
        <v>2</v>
      </c>
      <c r="P218" s="16">
        <v>4</v>
      </c>
      <c r="Q218" s="16">
        <v>0</v>
      </c>
      <c r="R218" s="16">
        <v>0</v>
      </c>
      <c r="S218" s="16">
        <v>1</v>
      </c>
      <c r="T218" s="16">
        <v>1</v>
      </c>
      <c r="U218" s="16">
        <v>1</v>
      </c>
      <c r="V218" s="16">
        <v>0</v>
      </c>
      <c r="W218" s="16">
        <v>2</v>
      </c>
      <c r="X218" s="16">
        <v>0</v>
      </c>
      <c r="Y218" s="16">
        <v>0</v>
      </c>
      <c r="Z218" s="13">
        <f t="shared" si="41"/>
        <v>13</v>
      </c>
    </row>
    <row r="219" spans="1:26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13">
        <f t="shared" si="41"/>
        <v>0</v>
      </c>
    </row>
    <row r="220" spans="1:26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13">
        <f t="shared" si="41"/>
        <v>0</v>
      </c>
    </row>
    <row r="221" spans="1:26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13">
        <f t="shared" si="41"/>
        <v>0</v>
      </c>
    </row>
    <row r="222" spans="1:26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13">
        <f t="shared" si="41"/>
        <v>0</v>
      </c>
    </row>
    <row r="223" spans="1:26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Z223" si="42">SUM(E213:E222)</f>
        <v>5</v>
      </c>
      <c r="F223" s="13">
        <f t="shared" si="42"/>
        <v>3</v>
      </c>
      <c r="G223" s="13">
        <f t="shared" si="42"/>
        <v>3</v>
      </c>
      <c r="H223" s="13">
        <f t="shared" si="42"/>
        <v>2</v>
      </c>
      <c r="I223" s="13">
        <f t="shared" si="42"/>
        <v>5</v>
      </c>
      <c r="J223" s="13">
        <f t="shared" si="42"/>
        <v>7</v>
      </c>
      <c r="K223" s="13">
        <f t="shared" si="42"/>
        <v>8</v>
      </c>
      <c r="L223" s="13">
        <f t="shared" si="42"/>
        <v>6</v>
      </c>
      <c r="M223" s="13">
        <f t="shared" si="42"/>
        <v>3</v>
      </c>
      <c r="N223" s="13">
        <f t="shared" si="42"/>
        <v>5</v>
      </c>
      <c r="O223" s="13">
        <f t="shared" si="42"/>
        <v>8</v>
      </c>
      <c r="P223" s="13">
        <f t="shared" si="42"/>
        <v>12</v>
      </c>
      <c r="Q223" s="13">
        <f t="shared" si="42"/>
        <v>4</v>
      </c>
      <c r="R223" s="13">
        <f t="shared" si="42"/>
        <v>8</v>
      </c>
      <c r="S223" s="13">
        <f t="shared" si="42"/>
        <v>14</v>
      </c>
      <c r="T223" s="13">
        <f t="shared" si="42"/>
        <v>12</v>
      </c>
      <c r="U223" s="13">
        <f t="shared" si="42"/>
        <v>7</v>
      </c>
      <c r="V223" s="13">
        <f t="shared" si="42"/>
        <v>3</v>
      </c>
      <c r="W223" s="13">
        <f t="shared" si="42"/>
        <v>7</v>
      </c>
      <c r="X223" s="13">
        <f t="shared" si="42"/>
        <v>15</v>
      </c>
      <c r="Y223" s="13">
        <f t="shared" si="42"/>
        <v>7</v>
      </c>
      <c r="Z223" s="13">
        <f t="shared" si="42"/>
        <v>144</v>
      </c>
    </row>
    <row r="224" spans="1:26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spans="1:26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2</v>
      </c>
      <c r="F225" s="16">
        <v>0</v>
      </c>
      <c r="G225" s="16">
        <v>2</v>
      </c>
      <c r="H225" s="16">
        <v>0</v>
      </c>
      <c r="I225" s="16">
        <v>0</v>
      </c>
      <c r="J225" s="16">
        <v>0</v>
      </c>
      <c r="K225" s="16">
        <v>2</v>
      </c>
      <c r="L225" s="16">
        <v>2</v>
      </c>
      <c r="M225" s="16">
        <v>1</v>
      </c>
      <c r="N225" s="16">
        <v>1</v>
      </c>
      <c r="O225" s="16">
        <v>0</v>
      </c>
      <c r="P225" s="16">
        <v>0</v>
      </c>
      <c r="Q225" s="16">
        <v>0</v>
      </c>
      <c r="R225" s="16">
        <v>1</v>
      </c>
      <c r="S225" s="16">
        <v>0</v>
      </c>
      <c r="T225" s="16">
        <v>1</v>
      </c>
      <c r="U225" s="16">
        <v>0</v>
      </c>
      <c r="V225" s="16">
        <v>0</v>
      </c>
      <c r="W225" s="16">
        <v>0</v>
      </c>
      <c r="X225" s="16">
        <v>3</v>
      </c>
      <c r="Y225" s="16">
        <v>0</v>
      </c>
      <c r="Z225" s="13">
        <f t="shared" ref="Z225:Z234" si="43">SUM(E225:Y225)</f>
        <v>15</v>
      </c>
    </row>
    <row r="226" spans="1:26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1</v>
      </c>
      <c r="J226" s="16">
        <v>0</v>
      </c>
      <c r="K226" s="16">
        <v>0</v>
      </c>
      <c r="L226" s="16">
        <v>1</v>
      </c>
      <c r="M226" s="16">
        <v>1</v>
      </c>
      <c r="N226" s="16">
        <v>0</v>
      </c>
      <c r="O226" s="16">
        <v>0</v>
      </c>
      <c r="P226" s="16">
        <v>0</v>
      </c>
      <c r="Q226" s="16">
        <v>0</v>
      </c>
      <c r="R226" s="16">
        <v>0</v>
      </c>
      <c r="S226" s="16">
        <v>0</v>
      </c>
      <c r="T226" s="16">
        <v>1</v>
      </c>
      <c r="U226" s="16">
        <v>0</v>
      </c>
      <c r="V226" s="16">
        <v>0</v>
      </c>
      <c r="W226" s="16">
        <v>0</v>
      </c>
      <c r="X226" s="16">
        <v>0</v>
      </c>
      <c r="Y226" s="16">
        <v>0</v>
      </c>
      <c r="Z226" s="13">
        <f t="shared" si="43"/>
        <v>4</v>
      </c>
    </row>
    <row r="227" spans="1:26" ht="12.75" customHeight="1" x14ac:dyDescent="0.4">
      <c r="A227" s="15"/>
      <c r="B227" s="27"/>
      <c r="C227" s="29" t="s">
        <v>141</v>
      </c>
      <c r="D227" s="40"/>
      <c r="E227" s="16">
        <v>0</v>
      </c>
      <c r="F227" s="16">
        <v>0</v>
      </c>
      <c r="G227" s="16">
        <v>0</v>
      </c>
      <c r="H227" s="16">
        <v>1</v>
      </c>
      <c r="I227" s="16">
        <v>0</v>
      </c>
      <c r="J227" s="16">
        <v>1</v>
      </c>
      <c r="K227" s="16">
        <v>0</v>
      </c>
      <c r="L227" s="16">
        <v>0</v>
      </c>
      <c r="M227" s="16">
        <v>2</v>
      </c>
      <c r="N227" s="16">
        <v>0</v>
      </c>
      <c r="O227" s="16">
        <v>0</v>
      </c>
      <c r="P227" s="16">
        <v>0</v>
      </c>
      <c r="Q227" s="16">
        <v>0</v>
      </c>
      <c r="R227" s="16">
        <v>0</v>
      </c>
      <c r="S227" s="16">
        <v>1</v>
      </c>
      <c r="T227" s="16">
        <v>0</v>
      </c>
      <c r="U227" s="16">
        <v>1</v>
      </c>
      <c r="V227" s="16">
        <v>0</v>
      </c>
      <c r="W227" s="16">
        <v>0</v>
      </c>
      <c r="X227" s="16">
        <v>0</v>
      </c>
      <c r="Y227" s="16">
        <v>0</v>
      </c>
      <c r="Z227" s="13">
        <f t="shared" si="43"/>
        <v>6</v>
      </c>
    </row>
    <row r="228" spans="1:26" ht="12.75" customHeight="1" x14ac:dyDescent="0.4">
      <c r="A228" s="15"/>
      <c r="B228" s="27"/>
      <c r="C228" s="29" t="s">
        <v>142</v>
      </c>
      <c r="D228" s="40"/>
      <c r="E228" s="16">
        <v>1</v>
      </c>
      <c r="F228" s="16">
        <v>1</v>
      </c>
      <c r="G228" s="16">
        <v>8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1</v>
      </c>
      <c r="N228" s="16">
        <v>0</v>
      </c>
      <c r="O228" s="16">
        <v>1</v>
      </c>
      <c r="P228" s="16">
        <v>0</v>
      </c>
      <c r="Q228" s="16">
        <v>0</v>
      </c>
      <c r="R228" s="16">
        <v>0</v>
      </c>
      <c r="S228" s="16">
        <v>0</v>
      </c>
      <c r="T228" s="16">
        <v>0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3">
        <f t="shared" si="43"/>
        <v>12</v>
      </c>
    </row>
    <row r="229" spans="1:26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1</v>
      </c>
      <c r="J229" s="16">
        <v>0</v>
      </c>
      <c r="K229" s="16">
        <v>0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1</v>
      </c>
      <c r="S229" s="16">
        <v>1</v>
      </c>
      <c r="T229" s="16">
        <v>0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3">
        <f t="shared" si="43"/>
        <v>3</v>
      </c>
    </row>
    <row r="230" spans="1:26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0</v>
      </c>
      <c r="G230" s="16">
        <v>0</v>
      </c>
      <c r="H230" s="16">
        <v>0</v>
      </c>
      <c r="I230" s="16">
        <v>0</v>
      </c>
      <c r="J230" s="16">
        <v>0</v>
      </c>
      <c r="K230" s="16">
        <v>2</v>
      </c>
      <c r="L230" s="16">
        <v>1</v>
      </c>
      <c r="M230" s="16">
        <v>0</v>
      </c>
      <c r="N230" s="16">
        <v>0</v>
      </c>
      <c r="O230" s="16">
        <v>1</v>
      </c>
      <c r="P230" s="16">
        <v>0</v>
      </c>
      <c r="Q230" s="16">
        <v>0</v>
      </c>
      <c r="R230" s="16">
        <v>0</v>
      </c>
      <c r="S230" s="16">
        <v>0</v>
      </c>
      <c r="T230" s="16">
        <v>2</v>
      </c>
      <c r="U230" s="16">
        <v>1</v>
      </c>
      <c r="V230" s="16">
        <v>1</v>
      </c>
      <c r="W230" s="16">
        <v>1</v>
      </c>
      <c r="X230" s="16">
        <v>0</v>
      </c>
      <c r="Y230" s="16">
        <v>0</v>
      </c>
      <c r="Z230" s="13">
        <f t="shared" si="43"/>
        <v>9</v>
      </c>
    </row>
    <row r="231" spans="1:26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0</v>
      </c>
      <c r="R231" s="16">
        <v>0</v>
      </c>
      <c r="S231" s="16">
        <v>0</v>
      </c>
      <c r="T231" s="16">
        <v>0</v>
      </c>
      <c r="U231" s="16">
        <v>0</v>
      </c>
      <c r="V231" s="16">
        <v>0</v>
      </c>
      <c r="W231" s="16">
        <v>0</v>
      </c>
      <c r="X231" s="16">
        <v>1</v>
      </c>
      <c r="Y231" s="16">
        <v>0</v>
      </c>
      <c r="Z231" s="13">
        <f t="shared" si="43"/>
        <v>1</v>
      </c>
    </row>
    <row r="232" spans="1:26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13">
        <f t="shared" si="43"/>
        <v>0</v>
      </c>
    </row>
    <row r="233" spans="1:26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13">
        <f t="shared" si="43"/>
        <v>0</v>
      </c>
    </row>
    <row r="234" spans="1:26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13">
        <f t="shared" si="43"/>
        <v>0</v>
      </c>
    </row>
    <row r="235" spans="1:26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Z235" si="44">SUM(E225:E234)</f>
        <v>3</v>
      </c>
      <c r="F235" s="13">
        <f t="shared" si="44"/>
        <v>1</v>
      </c>
      <c r="G235" s="13">
        <f t="shared" si="44"/>
        <v>10</v>
      </c>
      <c r="H235" s="13">
        <f t="shared" si="44"/>
        <v>1</v>
      </c>
      <c r="I235" s="13">
        <f t="shared" si="44"/>
        <v>2</v>
      </c>
      <c r="J235" s="13">
        <f t="shared" si="44"/>
        <v>1</v>
      </c>
      <c r="K235" s="13">
        <f t="shared" si="44"/>
        <v>4</v>
      </c>
      <c r="L235" s="13">
        <f t="shared" si="44"/>
        <v>4</v>
      </c>
      <c r="M235" s="13">
        <f t="shared" si="44"/>
        <v>5</v>
      </c>
      <c r="N235" s="13">
        <f t="shared" si="44"/>
        <v>1</v>
      </c>
      <c r="O235" s="13">
        <f t="shared" si="44"/>
        <v>2</v>
      </c>
      <c r="P235" s="13">
        <f t="shared" si="44"/>
        <v>0</v>
      </c>
      <c r="Q235" s="13">
        <f t="shared" si="44"/>
        <v>0</v>
      </c>
      <c r="R235" s="13">
        <f t="shared" si="44"/>
        <v>2</v>
      </c>
      <c r="S235" s="13">
        <f t="shared" si="44"/>
        <v>2</v>
      </c>
      <c r="T235" s="13">
        <f t="shared" si="44"/>
        <v>4</v>
      </c>
      <c r="U235" s="13">
        <f t="shared" si="44"/>
        <v>2</v>
      </c>
      <c r="V235" s="13">
        <f t="shared" si="44"/>
        <v>1</v>
      </c>
      <c r="W235" s="13">
        <f t="shared" si="44"/>
        <v>1</v>
      </c>
      <c r="X235" s="13">
        <f t="shared" si="44"/>
        <v>4</v>
      </c>
      <c r="Y235" s="13">
        <f t="shared" si="44"/>
        <v>0</v>
      </c>
      <c r="Z235" s="13">
        <f t="shared" si="44"/>
        <v>50</v>
      </c>
    </row>
    <row r="236" spans="1:26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spans="1:26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2</v>
      </c>
      <c r="F237" s="16">
        <v>2</v>
      </c>
      <c r="G237" s="16">
        <v>0</v>
      </c>
      <c r="H237" s="16">
        <v>0</v>
      </c>
      <c r="I237" s="16">
        <v>0</v>
      </c>
      <c r="J237" s="16">
        <v>1</v>
      </c>
      <c r="K237" s="16">
        <v>1</v>
      </c>
      <c r="L237" s="16">
        <v>3</v>
      </c>
      <c r="M237" s="16">
        <v>0</v>
      </c>
      <c r="N237" s="16">
        <v>0</v>
      </c>
      <c r="O237" s="16">
        <v>2</v>
      </c>
      <c r="P237" s="16">
        <v>0</v>
      </c>
      <c r="Q237" s="16">
        <v>0</v>
      </c>
      <c r="R237" s="16">
        <v>0</v>
      </c>
      <c r="S237" s="16">
        <v>0</v>
      </c>
      <c r="T237" s="16">
        <v>1</v>
      </c>
      <c r="U237" s="16">
        <v>0</v>
      </c>
      <c r="V237" s="16">
        <v>3</v>
      </c>
      <c r="W237" s="16">
        <v>0</v>
      </c>
      <c r="X237" s="16">
        <v>1</v>
      </c>
      <c r="Y237" s="16">
        <v>0</v>
      </c>
      <c r="Z237" s="13">
        <f t="shared" ref="Z237:Z246" si="45">SUM(E237:Y237)</f>
        <v>16</v>
      </c>
    </row>
    <row r="238" spans="1:26" ht="12.75" customHeight="1" x14ac:dyDescent="0.4">
      <c r="A238" s="20" t="s">
        <v>38</v>
      </c>
      <c r="B238" s="28"/>
      <c r="C238" s="29" t="s">
        <v>148</v>
      </c>
      <c r="D238" s="30"/>
      <c r="E238" s="16">
        <v>2</v>
      </c>
      <c r="F238" s="16">
        <v>0</v>
      </c>
      <c r="G238" s="16">
        <v>1</v>
      </c>
      <c r="H238" s="16">
        <v>0</v>
      </c>
      <c r="I238" s="16">
        <v>1</v>
      </c>
      <c r="J238" s="16">
        <v>0</v>
      </c>
      <c r="K238" s="16">
        <v>0</v>
      </c>
      <c r="L238" s="16">
        <v>0</v>
      </c>
      <c r="M238" s="16">
        <v>1</v>
      </c>
      <c r="N238" s="16">
        <v>0</v>
      </c>
      <c r="O238" s="16">
        <v>0</v>
      </c>
      <c r="P238" s="16">
        <v>0</v>
      </c>
      <c r="Q238" s="16">
        <v>1</v>
      </c>
      <c r="R238" s="16">
        <v>0</v>
      </c>
      <c r="S238" s="16">
        <v>1</v>
      </c>
      <c r="T238" s="16">
        <v>0</v>
      </c>
      <c r="U238" s="16">
        <v>0</v>
      </c>
      <c r="V238" s="16">
        <v>0</v>
      </c>
      <c r="W238" s="16">
        <v>0</v>
      </c>
      <c r="X238" s="16">
        <v>0</v>
      </c>
      <c r="Y238" s="16">
        <v>0</v>
      </c>
      <c r="Z238" s="13">
        <f t="shared" si="45"/>
        <v>7</v>
      </c>
    </row>
    <row r="239" spans="1:26" ht="12.75" customHeight="1" x14ac:dyDescent="0.4">
      <c r="A239" s="15"/>
      <c r="B239" s="28"/>
      <c r="C239" s="29" t="s">
        <v>149</v>
      </c>
      <c r="D239" s="30"/>
      <c r="E239" s="16">
        <v>1</v>
      </c>
      <c r="F239" s="16">
        <v>0</v>
      </c>
      <c r="G239" s="16">
        <v>1</v>
      </c>
      <c r="H239" s="16">
        <v>0</v>
      </c>
      <c r="I239" s="16">
        <v>0</v>
      </c>
      <c r="J239" s="16">
        <v>0</v>
      </c>
      <c r="K239" s="16">
        <v>0</v>
      </c>
      <c r="L239" s="16">
        <v>0</v>
      </c>
      <c r="M239" s="16">
        <v>1</v>
      </c>
      <c r="N239" s="16">
        <v>0</v>
      </c>
      <c r="O239" s="16">
        <v>0</v>
      </c>
      <c r="P239" s="16">
        <v>0</v>
      </c>
      <c r="Q239" s="16">
        <v>0</v>
      </c>
      <c r="R239" s="16">
        <v>2</v>
      </c>
      <c r="S239" s="16">
        <v>1</v>
      </c>
      <c r="T239" s="16">
        <v>0</v>
      </c>
      <c r="U239" s="16">
        <v>0</v>
      </c>
      <c r="V239" s="16">
        <v>0</v>
      </c>
      <c r="W239" s="16">
        <v>0</v>
      </c>
      <c r="X239" s="16">
        <v>0</v>
      </c>
      <c r="Y239" s="16">
        <v>0</v>
      </c>
      <c r="Z239" s="13">
        <f t="shared" si="45"/>
        <v>6</v>
      </c>
    </row>
    <row r="240" spans="1:26" ht="12.75" customHeight="1" x14ac:dyDescent="0.4">
      <c r="A240" s="15"/>
      <c r="B240" s="28"/>
      <c r="C240" s="29" t="s">
        <v>150</v>
      </c>
      <c r="D240" s="30"/>
      <c r="E240" s="16">
        <v>3</v>
      </c>
      <c r="F240" s="16">
        <v>5</v>
      </c>
      <c r="G240" s="16">
        <v>7</v>
      </c>
      <c r="H240" s="16">
        <v>9</v>
      </c>
      <c r="I240" s="16">
        <v>1</v>
      </c>
      <c r="J240" s="16">
        <v>4</v>
      </c>
      <c r="K240" s="16">
        <v>1</v>
      </c>
      <c r="L240" s="16">
        <v>5</v>
      </c>
      <c r="M240" s="16">
        <v>2</v>
      </c>
      <c r="N240" s="16">
        <v>0</v>
      </c>
      <c r="O240" s="16">
        <v>12</v>
      </c>
      <c r="P240" s="16">
        <v>5</v>
      </c>
      <c r="Q240" s="16">
        <v>1</v>
      </c>
      <c r="R240" s="16">
        <v>0</v>
      </c>
      <c r="S240" s="16">
        <v>2</v>
      </c>
      <c r="T240" s="16">
        <v>2</v>
      </c>
      <c r="U240" s="16">
        <v>2</v>
      </c>
      <c r="V240" s="16">
        <v>4</v>
      </c>
      <c r="W240" s="16">
        <v>2</v>
      </c>
      <c r="X240" s="16">
        <v>7</v>
      </c>
      <c r="Y240" s="16">
        <v>2</v>
      </c>
      <c r="Z240" s="13">
        <f t="shared" si="45"/>
        <v>76</v>
      </c>
    </row>
    <row r="241" spans="1:26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6">
        <v>0</v>
      </c>
      <c r="N241" s="16">
        <v>0</v>
      </c>
      <c r="O241" s="16">
        <v>0</v>
      </c>
      <c r="P241" s="16">
        <v>0</v>
      </c>
      <c r="Q241" s="16">
        <v>0</v>
      </c>
      <c r="R241" s="16">
        <v>0</v>
      </c>
      <c r="S241" s="16">
        <v>0</v>
      </c>
      <c r="T241" s="16">
        <v>1</v>
      </c>
      <c r="U241" s="16">
        <v>0</v>
      </c>
      <c r="V241" s="16">
        <v>0</v>
      </c>
      <c r="W241" s="16">
        <v>1</v>
      </c>
      <c r="X241" s="16">
        <v>0</v>
      </c>
      <c r="Y241" s="16">
        <v>0</v>
      </c>
      <c r="Z241" s="13">
        <f t="shared" si="45"/>
        <v>2</v>
      </c>
    </row>
    <row r="242" spans="1:26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1</v>
      </c>
      <c r="N242" s="16">
        <v>0</v>
      </c>
      <c r="O242" s="16">
        <v>0</v>
      </c>
      <c r="P242" s="16">
        <v>0</v>
      </c>
      <c r="Q242" s="16">
        <v>0</v>
      </c>
      <c r="R242" s="16">
        <v>0</v>
      </c>
      <c r="S242" s="16">
        <v>0</v>
      </c>
      <c r="T242" s="16">
        <v>0</v>
      </c>
      <c r="U242" s="16">
        <v>0</v>
      </c>
      <c r="V242" s="16">
        <v>0</v>
      </c>
      <c r="W242" s="16">
        <v>0</v>
      </c>
      <c r="X242" s="16">
        <v>0</v>
      </c>
      <c r="Y242" s="16">
        <v>0</v>
      </c>
      <c r="Z242" s="13">
        <f t="shared" si="45"/>
        <v>1</v>
      </c>
    </row>
    <row r="243" spans="1:26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1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  <c r="R243" s="16">
        <v>0</v>
      </c>
      <c r="S243" s="16">
        <v>1</v>
      </c>
      <c r="T243" s="16">
        <v>0</v>
      </c>
      <c r="U243" s="16">
        <v>0</v>
      </c>
      <c r="V243" s="16">
        <v>0</v>
      </c>
      <c r="W243" s="16">
        <v>0</v>
      </c>
      <c r="X243" s="16">
        <v>1</v>
      </c>
      <c r="Y243" s="16">
        <v>0</v>
      </c>
      <c r="Z243" s="13">
        <f t="shared" si="45"/>
        <v>3</v>
      </c>
    </row>
    <row r="244" spans="1:26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13">
        <f t="shared" si="45"/>
        <v>0</v>
      </c>
    </row>
    <row r="245" spans="1:26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13">
        <f t="shared" si="45"/>
        <v>0</v>
      </c>
    </row>
    <row r="246" spans="1:26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13">
        <f t="shared" si="45"/>
        <v>0</v>
      </c>
    </row>
    <row r="247" spans="1:26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Z247" si="46">SUM(E237:E246)</f>
        <v>8</v>
      </c>
      <c r="F247" s="13">
        <f t="shared" si="46"/>
        <v>7</v>
      </c>
      <c r="G247" s="13">
        <f t="shared" si="46"/>
        <v>10</v>
      </c>
      <c r="H247" s="13">
        <f t="shared" si="46"/>
        <v>9</v>
      </c>
      <c r="I247" s="13">
        <f t="shared" si="46"/>
        <v>2</v>
      </c>
      <c r="J247" s="13">
        <f t="shared" si="46"/>
        <v>5</v>
      </c>
      <c r="K247" s="13">
        <f t="shared" si="46"/>
        <v>2</v>
      </c>
      <c r="L247" s="13">
        <f t="shared" si="46"/>
        <v>8</v>
      </c>
      <c r="M247" s="13">
        <f t="shared" si="46"/>
        <v>5</v>
      </c>
      <c r="N247" s="13">
        <f t="shared" si="46"/>
        <v>0</v>
      </c>
      <c r="O247" s="13">
        <f t="shared" si="46"/>
        <v>14</v>
      </c>
      <c r="P247" s="13">
        <f t="shared" si="46"/>
        <v>5</v>
      </c>
      <c r="Q247" s="13">
        <f t="shared" si="46"/>
        <v>2</v>
      </c>
      <c r="R247" s="13">
        <f t="shared" si="46"/>
        <v>2</v>
      </c>
      <c r="S247" s="13">
        <f t="shared" si="46"/>
        <v>5</v>
      </c>
      <c r="T247" s="13">
        <f t="shared" si="46"/>
        <v>4</v>
      </c>
      <c r="U247" s="13">
        <f t="shared" si="46"/>
        <v>2</v>
      </c>
      <c r="V247" s="13">
        <f t="shared" si="46"/>
        <v>7</v>
      </c>
      <c r="W247" s="13">
        <f t="shared" si="46"/>
        <v>3</v>
      </c>
      <c r="X247" s="13">
        <f t="shared" si="46"/>
        <v>9</v>
      </c>
      <c r="Y247" s="13">
        <f t="shared" si="46"/>
        <v>2</v>
      </c>
      <c r="Z247" s="13">
        <f t="shared" si="46"/>
        <v>111</v>
      </c>
    </row>
    <row r="248" spans="1:26" ht="12.75" customHeight="1" x14ac:dyDescent="0.4">
      <c r="A248" s="63"/>
      <c r="B248" s="61"/>
      <c r="C248" s="61"/>
      <c r="D248" s="61"/>
      <c r="E248" s="62"/>
    </row>
    <row r="249" spans="1:26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2</v>
      </c>
      <c r="G249" s="16">
        <v>1</v>
      </c>
      <c r="H249" s="16">
        <v>0</v>
      </c>
      <c r="I249" s="16">
        <v>0</v>
      </c>
      <c r="J249" s="16">
        <v>1</v>
      </c>
      <c r="K249" s="16">
        <v>0</v>
      </c>
      <c r="L249" s="16">
        <v>5</v>
      </c>
      <c r="M249" s="16">
        <v>1</v>
      </c>
      <c r="N249" s="16">
        <v>0</v>
      </c>
      <c r="O249" s="16">
        <v>1</v>
      </c>
      <c r="P249" s="16">
        <v>1</v>
      </c>
      <c r="Q249" s="16">
        <v>0</v>
      </c>
      <c r="R249" s="16">
        <v>0</v>
      </c>
      <c r="S249" s="16">
        <v>0</v>
      </c>
      <c r="T249" s="16">
        <v>0</v>
      </c>
      <c r="U249" s="16">
        <v>0</v>
      </c>
      <c r="V249" s="16">
        <v>2</v>
      </c>
      <c r="W249" s="16">
        <v>2</v>
      </c>
      <c r="X249" s="16">
        <v>2</v>
      </c>
      <c r="Y249" s="16">
        <v>0</v>
      </c>
      <c r="Z249" s="13">
        <f t="shared" ref="Z249:Z258" si="47">SUM(E249:Y249)</f>
        <v>18</v>
      </c>
    </row>
    <row r="250" spans="1:26" ht="12.75" customHeight="1" x14ac:dyDescent="0.4">
      <c r="A250" s="20" t="s">
        <v>38</v>
      </c>
      <c r="B250" s="27"/>
      <c r="C250" s="29" t="s">
        <v>156</v>
      </c>
      <c r="D250" s="40"/>
      <c r="E250" s="16">
        <v>0</v>
      </c>
      <c r="F250" s="16">
        <v>1</v>
      </c>
      <c r="G250" s="16">
        <v>1</v>
      </c>
      <c r="H250" s="16">
        <v>1</v>
      </c>
      <c r="I250" s="16">
        <v>2</v>
      </c>
      <c r="J250" s="16">
        <v>4</v>
      </c>
      <c r="K250" s="16">
        <v>4</v>
      </c>
      <c r="L250" s="16">
        <v>8</v>
      </c>
      <c r="M250" s="16">
        <v>4</v>
      </c>
      <c r="N250" s="16">
        <v>6</v>
      </c>
      <c r="O250" s="16">
        <v>18</v>
      </c>
      <c r="P250" s="16">
        <v>10</v>
      </c>
      <c r="Q250" s="16">
        <v>3</v>
      </c>
      <c r="R250" s="16">
        <v>3</v>
      </c>
      <c r="S250" s="16">
        <v>6</v>
      </c>
      <c r="T250" s="16">
        <v>7</v>
      </c>
      <c r="U250" s="16">
        <v>2</v>
      </c>
      <c r="V250" s="16">
        <v>13</v>
      </c>
      <c r="W250" s="16">
        <v>3</v>
      </c>
      <c r="X250" s="16">
        <v>6</v>
      </c>
      <c r="Y250" s="16">
        <v>0</v>
      </c>
      <c r="Z250" s="13">
        <f t="shared" si="47"/>
        <v>102</v>
      </c>
    </row>
    <row r="251" spans="1:26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2</v>
      </c>
      <c r="K251" s="16">
        <v>1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6">
        <v>0</v>
      </c>
      <c r="T251" s="16">
        <v>0</v>
      </c>
      <c r="U251" s="16">
        <v>0</v>
      </c>
      <c r="V251" s="16">
        <v>0</v>
      </c>
      <c r="W251" s="16">
        <v>1</v>
      </c>
      <c r="X251" s="16">
        <v>0</v>
      </c>
      <c r="Y251" s="16">
        <v>0</v>
      </c>
      <c r="Z251" s="13">
        <f t="shared" si="47"/>
        <v>4</v>
      </c>
    </row>
    <row r="252" spans="1:26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6">
        <v>0</v>
      </c>
      <c r="T252" s="16">
        <v>0</v>
      </c>
      <c r="U252" s="16">
        <v>0</v>
      </c>
      <c r="V252" s="16">
        <v>0</v>
      </c>
      <c r="W252" s="16">
        <v>0</v>
      </c>
      <c r="X252" s="16">
        <v>0</v>
      </c>
      <c r="Y252" s="16">
        <v>0</v>
      </c>
      <c r="Z252" s="13">
        <f t="shared" si="47"/>
        <v>0</v>
      </c>
    </row>
    <row r="253" spans="1:26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1</v>
      </c>
      <c r="L253" s="16">
        <v>0</v>
      </c>
      <c r="M253" s="16">
        <v>1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6">
        <v>0</v>
      </c>
      <c r="U253" s="16">
        <v>0</v>
      </c>
      <c r="V253" s="16">
        <v>0</v>
      </c>
      <c r="W253" s="16">
        <v>0</v>
      </c>
      <c r="X253" s="16">
        <v>0</v>
      </c>
      <c r="Y253" s="16">
        <v>0</v>
      </c>
      <c r="Z253" s="13">
        <f t="shared" si="47"/>
        <v>2</v>
      </c>
    </row>
    <row r="254" spans="1:26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13">
        <f t="shared" si="47"/>
        <v>0</v>
      </c>
    </row>
    <row r="255" spans="1:26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13">
        <f t="shared" si="47"/>
        <v>0</v>
      </c>
    </row>
    <row r="256" spans="1:26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13">
        <f t="shared" si="47"/>
        <v>0</v>
      </c>
    </row>
    <row r="257" spans="1:26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13">
        <f t="shared" si="47"/>
        <v>0</v>
      </c>
    </row>
    <row r="258" spans="1:26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13">
        <f t="shared" si="47"/>
        <v>0</v>
      </c>
    </row>
    <row r="259" spans="1:26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Z259" si="48">SUM(E249:E258)</f>
        <v>0</v>
      </c>
      <c r="F259" s="13">
        <f t="shared" si="48"/>
        <v>3</v>
      </c>
      <c r="G259" s="13">
        <f t="shared" si="48"/>
        <v>2</v>
      </c>
      <c r="H259" s="13">
        <f t="shared" si="48"/>
        <v>1</v>
      </c>
      <c r="I259" s="13">
        <f t="shared" si="48"/>
        <v>2</v>
      </c>
      <c r="J259" s="13">
        <f t="shared" si="48"/>
        <v>7</v>
      </c>
      <c r="K259" s="13">
        <f t="shared" si="48"/>
        <v>6</v>
      </c>
      <c r="L259" s="13">
        <f t="shared" si="48"/>
        <v>13</v>
      </c>
      <c r="M259" s="13">
        <f t="shared" si="48"/>
        <v>6</v>
      </c>
      <c r="N259" s="13">
        <f t="shared" si="48"/>
        <v>6</v>
      </c>
      <c r="O259" s="13">
        <f t="shared" si="48"/>
        <v>19</v>
      </c>
      <c r="P259" s="13">
        <f t="shared" si="48"/>
        <v>11</v>
      </c>
      <c r="Q259" s="13">
        <f t="shared" si="48"/>
        <v>3</v>
      </c>
      <c r="R259" s="13">
        <f t="shared" si="48"/>
        <v>3</v>
      </c>
      <c r="S259" s="13">
        <f t="shared" si="48"/>
        <v>6</v>
      </c>
      <c r="T259" s="13">
        <f t="shared" si="48"/>
        <v>7</v>
      </c>
      <c r="U259" s="13">
        <f t="shared" si="48"/>
        <v>2</v>
      </c>
      <c r="V259" s="13">
        <f t="shared" si="48"/>
        <v>15</v>
      </c>
      <c r="W259" s="13">
        <f t="shared" si="48"/>
        <v>6</v>
      </c>
      <c r="X259" s="13">
        <f t="shared" si="48"/>
        <v>8</v>
      </c>
      <c r="Y259" s="13">
        <f t="shared" si="48"/>
        <v>0</v>
      </c>
      <c r="Z259" s="13">
        <f t="shared" si="48"/>
        <v>126</v>
      </c>
    </row>
    <row r="260" spans="1:26" ht="12.75" customHeight="1" x14ac:dyDescent="0.4"/>
    <row r="261" spans="1:26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13"/>
      <c r="U261" s="13"/>
      <c r="V261" s="13"/>
      <c r="W261" s="13"/>
      <c r="X261" s="50"/>
      <c r="Y261" s="50"/>
      <c r="Z261" s="13"/>
    </row>
    <row r="262" spans="1:26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Y262" si="49">E55+E67+E79+E91+E103+E115+E127+E139+E151+E163+E175+E187+E199+E211+E223+E235+E247+E259</f>
        <v>185</v>
      </c>
      <c r="F262" s="16">
        <f t="shared" si="49"/>
        <v>171</v>
      </c>
      <c r="G262" s="16">
        <f t="shared" si="49"/>
        <v>199</v>
      </c>
      <c r="H262" s="16">
        <f t="shared" si="49"/>
        <v>174</v>
      </c>
      <c r="I262" s="16">
        <f t="shared" si="49"/>
        <v>168</v>
      </c>
      <c r="J262" s="16">
        <f t="shared" si="49"/>
        <v>218</v>
      </c>
      <c r="K262" s="16">
        <f t="shared" si="49"/>
        <v>203</v>
      </c>
      <c r="L262" s="16">
        <f t="shared" si="49"/>
        <v>185</v>
      </c>
      <c r="M262" s="16">
        <f t="shared" si="49"/>
        <v>174</v>
      </c>
      <c r="N262" s="16">
        <f t="shared" si="49"/>
        <v>179</v>
      </c>
      <c r="O262" s="16">
        <f t="shared" si="49"/>
        <v>213</v>
      </c>
      <c r="P262" s="16">
        <f t="shared" si="49"/>
        <v>211</v>
      </c>
      <c r="Q262" s="16">
        <f t="shared" si="49"/>
        <v>203</v>
      </c>
      <c r="R262" s="16">
        <f t="shared" si="49"/>
        <v>172</v>
      </c>
      <c r="S262" s="16">
        <f t="shared" si="49"/>
        <v>191</v>
      </c>
      <c r="T262" s="16">
        <f t="shared" si="49"/>
        <v>184</v>
      </c>
      <c r="U262" s="16">
        <f t="shared" si="49"/>
        <v>215</v>
      </c>
      <c r="V262" s="16">
        <f t="shared" si="49"/>
        <v>210</v>
      </c>
      <c r="W262" s="16">
        <f t="shared" si="49"/>
        <v>178</v>
      </c>
      <c r="X262" s="16">
        <f t="shared" si="49"/>
        <v>161</v>
      </c>
      <c r="Y262" s="16">
        <f t="shared" si="49"/>
        <v>184</v>
      </c>
      <c r="Z262" s="13">
        <f t="shared" ref="Z262:Z264" si="50">SUM(E262:Y262)</f>
        <v>3978</v>
      </c>
    </row>
    <row r="263" spans="1:26" ht="12.75" customHeight="1" x14ac:dyDescent="0.4">
      <c r="A263" s="22"/>
      <c r="B263" s="45" t="s">
        <v>164</v>
      </c>
      <c r="C263" s="71" t="s">
        <v>165</v>
      </c>
      <c r="D263" s="62"/>
      <c r="E263" s="16">
        <v>18</v>
      </c>
      <c r="F263" s="16">
        <v>15</v>
      </c>
      <c r="G263" s="16">
        <v>18</v>
      </c>
      <c r="H263" s="16">
        <v>18</v>
      </c>
      <c r="I263" s="16">
        <v>21</v>
      </c>
      <c r="J263" s="16">
        <v>9</v>
      </c>
      <c r="K263" s="16">
        <v>19</v>
      </c>
      <c r="L263" s="16">
        <v>23</v>
      </c>
      <c r="M263" s="16">
        <v>12</v>
      </c>
      <c r="N263" s="16">
        <v>20</v>
      </c>
      <c r="O263" s="16">
        <v>14</v>
      </c>
      <c r="P263" s="16">
        <v>20</v>
      </c>
      <c r="Q263" s="16">
        <v>15</v>
      </c>
      <c r="R263" s="16">
        <v>17</v>
      </c>
      <c r="S263" s="16">
        <v>12</v>
      </c>
      <c r="T263" s="16">
        <v>36</v>
      </c>
      <c r="U263" s="16">
        <v>23</v>
      </c>
      <c r="V263" s="16">
        <v>23</v>
      </c>
      <c r="W263" s="16">
        <v>24</v>
      </c>
      <c r="X263" s="16">
        <v>15</v>
      </c>
      <c r="Y263" s="16">
        <v>22</v>
      </c>
      <c r="Z263" s="13">
        <f t="shared" si="50"/>
        <v>394</v>
      </c>
    </row>
    <row r="264" spans="1:26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Y264" si="51">SUM(E262:E263)</f>
        <v>203</v>
      </c>
      <c r="F264" s="13">
        <f t="shared" si="51"/>
        <v>186</v>
      </c>
      <c r="G264" s="13">
        <f t="shared" si="51"/>
        <v>217</v>
      </c>
      <c r="H264" s="13">
        <f t="shared" si="51"/>
        <v>192</v>
      </c>
      <c r="I264" s="13">
        <f t="shared" si="51"/>
        <v>189</v>
      </c>
      <c r="J264" s="13">
        <f t="shared" si="51"/>
        <v>227</v>
      </c>
      <c r="K264" s="13">
        <f t="shared" si="51"/>
        <v>222</v>
      </c>
      <c r="L264" s="13">
        <f t="shared" si="51"/>
        <v>208</v>
      </c>
      <c r="M264" s="13">
        <f t="shared" si="51"/>
        <v>186</v>
      </c>
      <c r="N264" s="13">
        <f t="shared" si="51"/>
        <v>199</v>
      </c>
      <c r="O264" s="13">
        <f t="shared" si="51"/>
        <v>227</v>
      </c>
      <c r="P264" s="13">
        <f t="shared" si="51"/>
        <v>231</v>
      </c>
      <c r="Q264" s="13">
        <f t="shared" si="51"/>
        <v>218</v>
      </c>
      <c r="R264" s="13">
        <f t="shared" si="51"/>
        <v>189</v>
      </c>
      <c r="S264" s="13">
        <f t="shared" si="51"/>
        <v>203</v>
      </c>
      <c r="T264" s="13">
        <f t="shared" si="51"/>
        <v>220</v>
      </c>
      <c r="U264" s="13">
        <f t="shared" si="51"/>
        <v>238</v>
      </c>
      <c r="V264" s="13">
        <f t="shared" si="51"/>
        <v>233</v>
      </c>
      <c r="W264" s="13">
        <f t="shared" si="51"/>
        <v>202</v>
      </c>
      <c r="X264" s="13">
        <f t="shared" si="51"/>
        <v>176</v>
      </c>
      <c r="Y264" s="13">
        <f t="shared" si="51"/>
        <v>206</v>
      </c>
      <c r="Z264" s="13">
        <f t="shared" si="50"/>
        <v>4372</v>
      </c>
    </row>
    <row r="265" spans="1:26" ht="12.75" customHeight="1" x14ac:dyDescent="0.4"/>
    <row r="266" spans="1:26" ht="12.75" customHeight="1" x14ac:dyDescent="0.4"/>
    <row r="267" spans="1:26" ht="12.75" customHeight="1" x14ac:dyDescent="0.4"/>
    <row r="268" spans="1:26" ht="12.75" customHeight="1" x14ac:dyDescent="0.4"/>
    <row r="269" spans="1:26" ht="12.75" customHeight="1" x14ac:dyDescent="0.4"/>
    <row r="270" spans="1:26" ht="12.75" customHeight="1" x14ac:dyDescent="0.4"/>
    <row r="271" spans="1:26" ht="12.75" customHeight="1" x14ac:dyDescent="0.4"/>
    <row r="272" spans="1:26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Y12"/>
    <mergeCell ref="Z12:Z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3:Y13">
    <cfRule type="expression" dxfId="85" priority="29">
      <formula>E30=E264</formula>
    </cfRule>
  </conditionalFormatting>
  <conditionalFormatting sqref="E14:Y15">
    <cfRule type="containsBlanks" dxfId="84" priority="1">
      <formula>LEN(TRIM(E14))=0</formula>
    </cfRule>
  </conditionalFormatting>
  <conditionalFormatting sqref="E19:Y20">
    <cfRule type="containsBlanks" dxfId="83" priority="2">
      <formula>LEN(TRIM(E19))=0</formula>
    </cfRule>
  </conditionalFormatting>
  <conditionalFormatting sqref="E22:Y23 E25:Y26 E33:Y33 E35:Y35 E39:Y40">
    <cfRule type="containsBlanks" dxfId="82" priority="3">
      <formula>LEN(TRIM(E22))=0</formula>
    </cfRule>
  </conditionalFormatting>
  <conditionalFormatting sqref="E30:Y30">
    <cfRule type="expression" dxfId="81" priority="4">
      <formula>E30&lt;&gt;E47</formula>
    </cfRule>
    <cfRule type="expression" dxfId="80" priority="5">
      <formula>E30&lt;&gt;E34</formula>
    </cfRule>
  </conditionalFormatting>
  <conditionalFormatting sqref="E34:Y34">
    <cfRule type="expression" dxfId="79" priority="6">
      <formula>E30&lt;&gt;E34</formula>
    </cfRule>
    <cfRule type="expression" dxfId="78" priority="7">
      <formula>E30=E34</formula>
    </cfRule>
    <cfRule type="expression" dxfId="77" priority="8">
      <formula>E34&lt;&gt;E30</formula>
    </cfRule>
    <cfRule type="expression" dxfId="76" priority="9">
      <formula>E34&lt;&gt;E64</formula>
    </cfRule>
  </conditionalFormatting>
  <conditionalFormatting sqref="E45:Y54">
    <cfRule type="containsBlanks" dxfId="75" priority="10">
      <formula>LEN(TRIM(E45))=0</formula>
    </cfRule>
  </conditionalFormatting>
  <conditionalFormatting sqref="E57:Y66">
    <cfRule type="containsBlanks" dxfId="74" priority="11">
      <formula>LEN(TRIM(E57))=0</formula>
    </cfRule>
  </conditionalFormatting>
  <conditionalFormatting sqref="E69:Y78">
    <cfRule type="containsBlanks" dxfId="73" priority="12">
      <formula>LEN(TRIM(E69))=0</formula>
    </cfRule>
  </conditionalFormatting>
  <conditionalFormatting sqref="E81:Y90">
    <cfRule type="containsBlanks" dxfId="72" priority="13">
      <formula>LEN(TRIM(E81))=0</formula>
    </cfRule>
  </conditionalFormatting>
  <conditionalFormatting sqref="E93:Y102">
    <cfRule type="containsBlanks" dxfId="71" priority="14">
      <formula>LEN(TRIM(E93))=0</formula>
    </cfRule>
  </conditionalFormatting>
  <conditionalFormatting sqref="E105:Y114">
    <cfRule type="containsBlanks" dxfId="70" priority="15">
      <formula>LEN(TRIM(E105))=0</formula>
    </cfRule>
  </conditionalFormatting>
  <conditionalFormatting sqref="E117:Y126">
    <cfRule type="containsBlanks" dxfId="69" priority="16">
      <formula>LEN(TRIM(E117))=0</formula>
    </cfRule>
  </conditionalFormatting>
  <conditionalFormatting sqref="E129:Y138">
    <cfRule type="containsBlanks" dxfId="68" priority="17">
      <formula>LEN(TRIM(E129))=0</formula>
    </cfRule>
  </conditionalFormatting>
  <conditionalFormatting sqref="E141:Y150">
    <cfRule type="containsBlanks" dxfId="67" priority="18">
      <formula>LEN(TRIM(E141))=0</formula>
    </cfRule>
  </conditionalFormatting>
  <conditionalFormatting sqref="E153:Y162">
    <cfRule type="containsBlanks" dxfId="66" priority="19">
      <formula>LEN(TRIM(E153))=0</formula>
    </cfRule>
  </conditionalFormatting>
  <conditionalFormatting sqref="E165:Y174">
    <cfRule type="containsBlanks" dxfId="65" priority="20">
      <formula>LEN(TRIM(E165))=0</formula>
    </cfRule>
  </conditionalFormatting>
  <conditionalFormatting sqref="E177:Y186">
    <cfRule type="containsBlanks" dxfId="64" priority="21">
      <formula>LEN(TRIM(E177))=0</formula>
    </cfRule>
  </conditionalFormatting>
  <conditionalFormatting sqref="E189:Y198">
    <cfRule type="containsBlanks" dxfId="63" priority="22">
      <formula>LEN(TRIM(E189))=0</formula>
    </cfRule>
  </conditionalFormatting>
  <conditionalFormatting sqref="E201:Y210">
    <cfRule type="containsBlanks" dxfId="62" priority="23">
      <formula>LEN(TRIM(E201))=0</formula>
    </cfRule>
  </conditionalFormatting>
  <conditionalFormatting sqref="E213:Y222">
    <cfRule type="containsBlanks" dxfId="61" priority="24">
      <formula>LEN(TRIM(E213))=0</formula>
    </cfRule>
  </conditionalFormatting>
  <conditionalFormatting sqref="E225:Y234">
    <cfRule type="containsBlanks" dxfId="60" priority="25">
      <formula>LEN(TRIM(E225))=0</formula>
    </cfRule>
  </conditionalFormatting>
  <conditionalFormatting sqref="E237:Y246">
    <cfRule type="containsBlanks" dxfId="59" priority="26">
      <formula>LEN(TRIM(E237))=0</formula>
    </cfRule>
  </conditionalFormatting>
  <conditionalFormatting sqref="E249:Y258">
    <cfRule type="containsBlanks" dxfId="58" priority="27">
      <formula>LEN(TRIM(E249))=0</formula>
    </cfRule>
  </conditionalFormatting>
  <conditionalFormatting sqref="E262:Y263">
    <cfRule type="containsBlanks" dxfId="57" priority="28">
      <formula>LEN(TRIM(E262))=0</formula>
    </cfRule>
  </conditionalFormatting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A1:L1000"/>
  <sheetViews>
    <sheetView workbookViewId="0"/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11" width="8.7109375" customWidth="1"/>
    <col min="12" max="12" width="13.28515625" customWidth="1"/>
    <col min="13" max="26" width="8.7109375" customWidth="1"/>
  </cols>
  <sheetData>
    <row r="1" spans="1:12" ht="12.75" customHeight="1" x14ac:dyDescent="0.4"/>
    <row r="2" spans="1:12" ht="12.75" customHeight="1" x14ac:dyDescent="0.4">
      <c r="C2" s="8" t="s">
        <v>0</v>
      </c>
      <c r="D2" s="8" t="s">
        <v>1</v>
      </c>
    </row>
    <row r="3" spans="1:12" ht="12.75" customHeight="1" x14ac:dyDescent="0.4">
      <c r="C3" s="8" t="s">
        <v>2</v>
      </c>
      <c r="D3" s="8" t="s">
        <v>1</v>
      </c>
    </row>
    <row r="4" spans="1:12" ht="12.75" customHeight="1" x14ac:dyDescent="0.4">
      <c r="C4" s="8" t="s">
        <v>3</v>
      </c>
      <c r="D4" s="8" t="s">
        <v>4</v>
      </c>
    </row>
    <row r="5" spans="1:12" ht="12.75" customHeight="1" x14ac:dyDescent="0.4">
      <c r="C5" s="8"/>
      <c r="D5" s="8"/>
    </row>
    <row r="6" spans="1:12" ht="12.75" customHeight="1" x14ac:dyDescent="0.4">
      <c r="C6" s="8"/>
      <c r="D6" s="8"/>
    </row>
    <row r="7" spans="1:12" ht="12.75" customHeight="1" x14ac:dyDescent="0.4">
      <c r="C7" s="8"/>
      <c r="D7" s="8"/>
    </row>
    <row r="8" spans="1:12" ht="12.75" customHeight="1" x14ac:dyDescent="0.4">
      <c r="C8" s="8"/>
      <c r="D8" s="8"/>
    </row>
    <row r="9" spans="1:12" ht="12.75" customHeight="1" x14ac:dyDescent="0.4">
      <c r="C9" s="8" t="s">
        <v>168</v>
      </c>
      <c r="D9" s="8" t="s">
        <v>216</v>
      </c>
    </row>
    <row r="10" spans="1:12" ht="12.75" customHeight="1" x14ac:dyDescent="0.4"/>
    <row r="11" spans="1:12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</row>
    <row r="12" spans="1:12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90" t="s">
        <v>7</v>
      </c>
    </row>
    <row r="13" spans="1:12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80"/>
    </row>
    <row r="14" spans="1:12" ht="12.75" customHeight="1" x14ac:dyDescent="0.4">
      <c r="A14" s="15"/>
      <c r="B14" s="75" t="s">
        <v>10</v>
      </c>
      <c r="C14" s="66"/>
      <c r="D14" s="16" t="s">
        <v>11</v>
      </c>
      <c r="E14" s="16">
        <v>127</v>
      </c>
      <c r="F14" s="16">
        <v>92</v>
      </c>
      <c r="G14" s="16">
        <v>112</v>
      </c>
      <c r="H14" s="16">
        <v>127</v>
      </c>
      <c r="I14" s="16">
        <v>102</v>
      </c>
      <c r="J14" s="16">
        <v>109</v>
      </c>
      <c r="K14" s="16">
        <v>135</v>
      </c>
      <c r="L14" s="13">
        <f t="shared" ref="L14:L16" si="0">SUM(E14:K14)</f>
        <v>804</v>
      </c>
    </row>
    <row r="15" spans="1:12" ht="12.75" customHeight="1" x14ac:dyDescent="0.4">
      <c r="A15" s="15"/>
      <c r="B15" s="76"/>
      <c r="C15" s="77"/>
      <c r="D15" s="16" t="s">
        <v>12</v>
      </c>
      <c r="E15" s="16">
        <v>127</v>
      </c>
      <c r="F15" s="16">
        <v>99</v>
      </c>
      <c r="G15" s="16">
        <v>98</v>
      </c>
      <c r="H15" s="16">
        <v>129</v>
      </c>
      <c r="I15" s="16">
        <v>106</v>
      </c>
      <c r="J15" s="16">
        <v>117</v>
      </c>
      <c r="K15" s="16">
        <v>130</v>
      </c>
      <c r="L15" s="13">
        <f t="shared" si="0"/>
        <v>806</v>
      </c>
    </row>
    <row r="16" spans="1:12" ht="12.75" customHeight="1" x14ac:dyDescent="0.4">
      <c r="A16" s="18"/>
      <c r="B16" s="73"/>
      <c r="C16" s="69"/>
      <c r="D16" s="13" t="s">
        <v>13</v>
      </c>
      <c r="E16" s="13">
        <f t="shared" ref="E16:K16" si="1">SUM(E14:E15)</f>
        <v>254</v>
      </c>
      <c r="F16" s="13">
        <f t="shared" si="1"/>
        <v>191</v>
      </c>
      <c r="G16" s="13">
        <f t="shared" si="1"/>
        <v>210</v>
      </c>
      <c r="H16" s="13">
        <f t="shared" si="1"/>
        <v>256</v>
      </c>
      <c r="I16" s="13">
        <f t="shared" si="1"/>
        <v>208</v>
      </c>
      <c r="J16" s="13">
        <f t="shared" si="1"/>
        <v>226</v>
      </c>
      <c r="K16" s="13">
        <f t="shared" si="1"/>
        <v>265</v>
      </c>
      <c r="L16" s="13">
        <f t="shared" si="0"/>
        <v>1610</v>
      </c>
    </row>
    <row r="17" spans="1:12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49"/>
    </row>
    <row r="18" spans="1:12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49"/>
    </row>
    <row r="19" spans="1:12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99</v>
      </c>
      <c r="F19" s="16">
        <v>70</v>
      </c>
      <c r="G19" s="16">
        <v>78</v>
      </c>
      <c r="H19" s="16">
        <v>86</v>
      </c>
      <c r="I19" s="16">
        <v>77</v>
      </c>
      <c r="J19" s="16">
        <v>81</v>
      </c>
      <c r="K19" s="16">
        <v>97</v>
      </c>
      <c r="L19" s="13">
        <f t="shared" ref="L19:L30" si="2">SUM(E19:K19)</f>
        <v>588</v>
      </c>
    </row>
    <row r="20" spans="1:12" ht="12.75" customHeight="1" x14ac:dyDescent="0.4">
      <c r="A20" s="21"/>
      <c r="B20" s="77"/>
      <c r="C20" s="79"/>
      <c r="D20" s="16" t="s">
        <v>12</v>
      </c>
      <c r="E20" s="16">
        <v>104</v>
      </c>
      <c r="F20" s="16">
        <v>86</v>
      </c>
      <c r="G20" s="16">
        <v>77</v>
      </c>
      <c r="H20" s="16">
        <v>104</v>
      </c>
      <c r="I20" s="16">
        <v>90</v>
      </c>
      <c r="J20" s="16">
        <v>92</v>
      </c>
      <c r="K20" s="16">
        <v>112</v>
      </c>
      <c r="L20" s="13">
        <f t="shared" si="2"/>
        <v>665</v>
      </c>
    </row>
    <row r="21" spans="1:12" ht="12.75" customHeight="1" x14ac:dyDescent="0.4">
      <c r="A21" s="22"/>
      <c r="B21" s="69"/>
      <c r="C21" s="80"/>
      <c r="D21" s="13" t="s">
        <v>13</v>
      </c>
      <c r="E21" s="13">
        <f t="shared" ref="E21:K21" si="3">SUM(E19:E20)</f>
        <v>203</v>
      </c>
      <c r="F21" s="13">
        <f t="shared" si="3"/>
        <v>156</v>
      </c>
      <c r="G21" s="13">
        <f t="shared" si="3"/>
        <v>155</v>
      </c>
      <c r="H21" s="13">
        <f t="shared" si="3"/>
        <v>190</v>
      </c>
      <c r="I21" s="13">
        <f t="shared" si="3"/>
        <v>167</v>
      </c>
      <c r="J21" s="13">
        <f t="shared" si="3"/>
        <v>173</v>
      </c>
      <c r="K21" s="13">
        <f t="shared" si="3"/>
        <v>209</v>
      </c>
      <c r="L21" s="13">
        <f t="shared" si="2"/>
        <v>1253</v>
      </c>
    </row>
    <row r="22" spans="1:12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3">
        <f t="shared" si="2"/>
        <v>0</v>
      </c>
    </row>
    <row r="23" spans="1:12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3">
        <f t="shared" si="2"/>
        <v>0</v>
      </c>
    </row>
    <row r="24" spans="1:12" ht="12.75" customHeight="1" x14ac:dyDescent="0.4">
      <c r="A24" s="22"/>
      <c r="B24" s="69"/>
      <c r="C24" s="80"/>
      <c r="D24" s="13" t="s">
        <v>13</v>
      </c>
      <c r="E24" s="13">
        <f t="shared" ref="E24:K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0</v>
      </c>
      <c r="J24" s="13">
        <f t="shared" si="4"/>
        <v>0</v>
      </c>
      <c r="K24" s="13">
        <f t="shared" si="4"/>
        <v>0</v>
      </c>
      <c r="L24" s="13">
        <f t="shared" si="2"/>
        <v>0</v>
      </c>
    </row>
    <row r="25" spans="1:12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4</v>
      </c>
      <c r="F25" s="16">
        <v>2</v>
      </c>
      <c r="G25" s="16">
        <v>3</v>
      </c>
      <c r="H25" s="16">
        <v>6</v>
      </c>
      <c r="I25" s="16">
        <v>1</v>
      </c>
      <c r="J25" s="16">
        <v>2</v>
      </c>
      <c r="K25" s="16">
        <v>1</v>
      </c>
      <c r="L25" s="13">
        <f t="shared" si="2"/>
        <v>19</v>
      </c>
    </row>
    <row r="26" spans="1:12" ht="12.75" customHeight="1" x14ac:dyDescent="0.4">
      <c r="A26" s="21"/>
      <c r="B26" s="77"/>
      <c r="C26" s="79"/>
      <c r="D26" s="16" t="s">
        <v>12</v>
      </c>
      <c r="E26" s="16">
        <v>6</v>
      </c>
      <c r="F26" s="16">
        <v>3</v>
      </c>
      <c r="G26" s="16">
        <v>4</v>
      </c>
      <c r="H26" s="16">
        <v>6</v>
      </c>
      <c r="I26" s="16">
        <v>1</v>
      </c>
      <c r="J26" s="16">
        <v>1</v>
      </c>
      <c r="K26" s="16">
        <v>1</v>
      </c>
      <c r="L26" s="13">
        <f t="shared" si="2"/>
        <v>22</v>
      </c>
    </row>
    <row r="27" spans="1:12" ht="12.75" customHeight="1" x14ac:dyDescent="0.4">
      <c r="A27" s="22"/>
      <c r="B27" s="69"/>
      <c r="C27" s="80"/>
      <c r="D27" s="13" t="s">
        <v>13</v>
      </c>
      <c r="E27" s="13">
        <f t="shared" ref="E27:K27" si="5">SUM(E25:E26)</f>
        <v>10</v>
      </c>
      <c r="F27" s="13">
        <f t="shared" si="5"/>
        <v>5</v>
      </c>
      <c r="G27" s="13">
        <f t="shared" si="5"/>
        <v>7</v>
      </c>
      <c r="H27" s="13">
        <f t="shared" si="5"/>
        <v>12</v>
      </c>
      <c r="I27" s="13">
        <f t="shared" si="5"/>
        <v>2</v>
      </c>
      <c r="J27" s="13">
        <f t="shared" si="5"/>
        <v>3</v>
      </c>
      <c r="K27" s="13">
        <f t="shared" si="5"/>
        <v>2</v>
      </c>
      <c r="L27" s="13">
        <f t="shared" si="2"/>
        <v>41</v>
      </c>
    </row>
    <row r="28" spans="1:12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K28" si="6">SUM(E19,E22,E25)</f>
        <v>103</v>
      </c>
      <c r="F28" s="13">
        <f t="shared" si="6"/>
        <v>72</v>
      </c>
      <c r="G28" s="13">
        <f t="shared" si="6"/>
        <v>81</v>
      </c>
      <c r="H28" s="13">
        <f t="shared" si="6"/>
        <v>92</v>
      </c>
      <c r="I28" s="13">
        <f t="shared" si="6"/>
        <v>78</v>
      </c>
      <c r="J28" s="13">
        <f t="shared" si="6"/>
        <v>83</v>
      </c>
      <c r="K28" s="13">
        <f t="shared" si="6"/>
        <v>98</v>
      </c>
      <c r="L28" s="13">
        <f t="shared" si="2"/>
        <v>607</v>
      </c>
    </row>
    <row r="29" spans="1:12" ht="12.75" customHeight="1" x14ac:dyDescent="0.4">
      <c r="A29" s="22"/>
      <c r="B29" s="77"/>
      <c r="C29" s="79"/>
      <c r="D29" s="13" t="s">
        <v>12</v>
      </c>
      <c r="E29" s="13">
        <f t="shared" ref="E29:K29" si="7">SUM(E20,E23,E26)</f>
        <v>110</v>
      </c>
      <c r="F29" s="13">
        <f t="shared" si="7"/>
        <v>89</v>
      </c>
      <c r="G29" s="13">
        <f t="shared" si="7"/>
        <v>81</v>
      </c>
      <c r="H29" s="13">
        <f t="shared" si="7"/>
        <v>110</v>
      </c>
      <c r="I29" s="13">
        <f t="shared" si="7"/>
        <v>91</v>
      </c>
      <c r="J29" s="13">
        <f t="shared" si="7"/>
        <v>93</v>
      </c>
      <c r="K29" s="13">
        <f t="shared" si="7"/>
        <v>113</v>
      </c>
      <c r="L29" s="13">
        <f t="shared" si="2"/>
        <v>687</v>
      </c>
    </row>
    <row r="30" spans="1:12" ht="12.75" customHeight="1" x14ac:dyDescent="0.4">
      <c r="A30" s="22"/>
      <c r="B30" s="69"/>
      <c r="C30" s="80"/>
      <c r="D30" s="13" t="s">
        <v>13</v>
      </c>
      <c r="E30" s="13">
        <f t="shared" ref="E30:K30" si="8">SUM(E28:E29)</f>
        <v>213</v>
      </c>
      <c r="F30" s="13">
        <f t="shared" si="8"/>
        <v>161</v>
      </c>
      <c r="G30" s="13">
        <f t="shared" si="8"/>
        <v>162</v>
      </c>
      <c r="H30" s="13">
        <f t="shared" si="8"/>
        <v>202</v>
      </c>
      <c r="I30" s="13">
        <f t="shared" si="8"/>
        <v>169</v>
      </c>
      <c r="J30" s="13">
        <f t="shared" si="8"/>
        <v>176</v>
      </c>
      <c r="K30" s="13">
        <f t="shared" si="8"/>
        <v>211</v>
      </c>
      <c r="L30" s="13">
        <f t="shared" si="2"/>
        <v>1294</v>
      </c>
    </row>
    <row r="31" spans="1:12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49"/>
    </row>
    <row r="32" spans="1:12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49"/>
    </row>
    <row r="33" spans="1:12" ht="12.75" customHeight="1" x14ac:dyDescent="0.4">
      <c r="A33" s="16">
        <v>1</v>
      </c>
      <c r="B33" s="74" t="s">
        <v>26</v>
      </c>
      <c r="C33" s="61"/>
      <c r="D33" s="62"/>
      <c r="E33" s="16">
        <v>256</v>
      </c>
      <c r="F33" s="16">
        <v>195</v>
      </c>
      <c r="G33" s="16">
        <v>201</v>
      </c>
      <c r="H33" s="16">
        <v>250</v>
      </c>
      <c r="I33" s="16">
        <v>210</v>
      </c>
      <c r="J33" s="16">
        <v>227</v>
      </c>
      <c r="K33" s="16">
        <v>267</v>
      </c>
      <c r="L33" s="13">
        <f t="shared" ref="L33:L36" si="9">SUM(E33:K33)</f>
        <v>1606</v>
      </c>
    </row>
    <row r="34" spans="1:12" ht="12.75" customHeight="1" x14ac:dyDescent="0.4">
      <c r="A34" s="16">
        <v>2</v>
      </c>
      <c r="B34" s="74" t="s">
        <v>27</v>
      </c>
      <c r="C34" s="61"/>
      <c r="D34" s="62"/>
      <c r="E34" s="13">
        <v>213</v>
      </c>
      <c r="F34" s="13">
        <v>161</v>
      </c>
      <c r="G34" s="13">
        <v>162</v>
      </c>
      <c r="H34" s="13">
        <v>202</v>
      </c>
      <c r="I34" s="13">
        <v>169</v>
      </c>
      <c r="J34" s="13">
        <v>176</v>
      </c>
      <c r="K34" s="13">
        <v>211</v>
      </c>
      <c r="L34" s="13">
        <f t="shared" si="9"/>
        <v>1294</v>
      </c>
    </row>
    <row r="35" spans="1:12" ht="12.75" customHeight="1" x14ac:dyDescent="0.4">
      <c r="A35" s="16">
        <v>3</v>
      </c>
      <c r="B35" s="74" t="s">
        <v>28</v>
      </c>
      <c r="C35" s="61"/>
      <c r="D35" s="62"/>
      <c r="E35" s="16">
        <v>1</v>
      </c>
      <c r="F35" s="16">
        <v>0</v>
      </c>
      <c r="G35" s="16">
        <v>1</v>
      </c>
      <c r="H35" s="16">
        <v>0</v>
      </c>
      <c r="I35" s="16">
        <v>0</v>
      </c>
      <c r="J35" s="16">
        <v>1</v>
      </c>
      <c r="K35" s="16">
        <v>0</v>
      </c>
      <c r="L35" s="13">
        <f t="shared" si="9"/>
        <v>3</v>
      </c>
    </row>
    <row r="36" spans="1:12" ht="12.75" customHeight="1" x14ac:dyDescent="0.4">
      <c r="A36" s="16">
        <v>4</v>
      </c>
      <c r="B36" s="74" t="s">
        <v>29</v>
      </c>
      <c r="C36" s="61"/>
      <c r="D36" s="62"/>
      <c r="E36" s="13">
        <f t="shared" ref="E36:K36" si="10">E33-(E34+E35)</f>
        <v>42</v>
      </c>
      <c r="F36" s="13">
        <f t="shared" si="10"/>
        <v>34</v>
      </c>
      <c r="G36" s="13">
        <f t="shared" si="10"/>
        <v>38</v>
      </c>
      <c r="H36" s="13">
        <f t="shared" si="10"/>
        <v>48</v>
      </c>
      <c r="I36" s="13">
        <f t="shared" si="10"/>
        <v>41</v>
      </c>
      <c r="J36" s="13">
        <f t="shared" si="10"/>
        <v>50</v>
      </c>
      <c r="K36" s="13">
        <f t="shared" si="10"/>
        <v>56</v>
      </c>
      <c r="L36" s="13">
        <f t="shared" si="9"/>
        <v>309</v>
      </c>
    </row>
    <row r="37" spans="1:12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49"/>
    </row>
    <row r="38" spans="1:12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49"/>
    </row>
    <row r="39" spans="1:12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3">
        <f t="shared" ref="L39:L41" si="11">SUM(E39:K39)</f>
        <v>0</v>
      </c>
    </row>
    <row r="40" spans="1:12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3">
        <f t="shared" si="11"/>
        <v>0</v>
      </c>
    </row>
    <row r="41" spans="1:12" ht="12.75" customHeight="1" x14ac:dyDescent="0.4">
      <c r="A41" s="25"/>
      <c r="B41" s="68"/>
      <c r="C41" s="69"/>
      <c r="D41" s="13" t="s">
        <v>13</v>
      </c>
      <c r="E41" s="13">
        <f t="shared" ref="E41:K41" si="12">SUM(E39:E40)</f>
        <v>0</v>
      </c>
      <c r="F41" s="13">
        <f t="shared" si="12"/>
        <v>0</v>
      </c>
      <c r="G41" s="13">
        <f t="shared" si="12"/>
        <v>0</v>
      </c>
      <c r="H41" s="13">
        <f t="shared" si="12"/>
        <v>0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1"/>
        <v>0</v>
      </c>
    </row>
    <row r="42" spans="1:12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3"/>
    </row>
    <row r="43" spans="1:12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</row>
    <row r="44" spans="1:12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3"/>
    </row>
    <row r="45" spans="1:12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11</v>
      </c>
      <c r="F45" s="16">
        <v>2</v>
      </c>
      <c r="G45" s="16">
        <v>3</v>
      </c>
      <c r="H45" s="16">
        <v>2</v>
      </c>
      <c r="I45" s="16">
        <v>4</v>
      </c>
      <c r="J45" s="16">
        <v>3</v>
      </c>
      <c r="K45" s="16">
        <v>3</v>
      </c>
      <c r="L45" s="13">
        <f t="shared" ref="L45:L54" si="13">SUM(E45:K45)</f>
        <v>28</v>
      </c>
    </row>
    <row r="46" spans="1:12" ht="12.75" customHeight="1" x14ac:dyDescent="0.4">
      <c r="A46" s="20" t="s">
        <v>38</v>
      </c>
      <c r="B46" s="28"/>
      <c r="C46" s="29" t="s">
        <v>39</v>
      </c>
      <c r="D46" s="30"/>
      <c r="E46" s="16">
        <v>17</v>
      </c>
      <c r="F46" s="16">
        <v>9</v>
      </c>
      <c r="G46" s="16">
        <v>3</v>
      </c>
      <c r="H46" s="16">
        <v>6</v>
      </c>
      <c r="I46" s="16">
        <v>5</v>
      </c>
      <c r="J46" s="16">
        <v>1</v>
      </c>
      <c r="K46" s="16">
        <v>4</v>
      </c>
      <c r="L46" s="13">
        <f t="shared" si="13"/>
        <v>45</v>
      </c>
    </row>
    <row r="47" spans="1:12" ht="12.75" customHeight="1" x14ac:dyDescent="0.4">
      <c r="A47" s="15"/>
      <c r="B47" s="28"/>
      <c r="C47" s="29" t="s">
        <v>40</v>
      </c>
      <c r="D47" s="30"/>
      <c r="E47" s="16">
        <v>15</v>
      </c>
      <c r="F47" s="16">
        <v>2</v>
      </c>
      <c r="G47" s="16">
        <v>6</v>
      </c>
      <c r="H47" s="16">
        <v>5</v>
      </c>
      <c r="I47" s="16">
        <v>4</v>
      </c>
      <c r="J47" s="16">
        <v>1</v>
      </c>
      <c r="K47" s="16">
        <v>2</v>
      </c>
      <c r="L47" s="13">
        <f t="shared" si="13"/>
        <v>35</v>
      </c>
    </row>
    <row r="48" spans="1:12" ht="12.75" customHeight="1" x14ac:dyDescent="0.4">
      <c r="A48" s="15"/>
      <c r="B48" s="28"/>
      <c r="C48" s="29" t="s">
        <v>41</v>
      </c>
      <c r="D48" s="30"/>
      <c r="E48" s="16">
        <v>2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3">
        <f t="shared" si="13"/>
        <v>2</v>
      </c>
    </row>
    <row r="49" spans="1:12" ht="12.75" customHeight="1" x14ac:dyDescent="0.4">
      <c r="A49" s="15"/>
      <c r="B49" s="28"/>
      <c r="C49" s="29" t="s">
        <v>42</v>
      </c>
      <c r="D49" s="30"/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1</v>
      </c>
      <c r="K49" s="16">
        <v>0</v>
      </c>
      <c r="L49" s="13">
        <f t="shared" si="13"/>
        <v>1</v>
      </c>
    </row>
    <row r="50" spans="1:12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1</v>
      </c>
      <c r="I50" s="16">
        <v>0</v>
      </c>
      <c r="J50" s="16">
        <v>0</v>
      </c>
      <c r="K50" s="16">
        <v>0</v>
      </c>
      <c r="L50" s="13">
        <f t="shared" si="13"/>
        <v>1</v>
      </c>
    </row>
    <row r="51" spans="1:12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0</v>
      </c>
      <c r="I51" s="16">
        <v>1</v>
      </c>
      <c r="J51" s="16">
        <v>0</v>
      </c>
      <c r="K51" s="16">
        <v>1</v>
      </c>
      <c r="L51" s="13">
        <f t="shared" si="13"/>
        <v>2</v>
      </c>
    </row>
    <row r="52" spans="1:12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13">
        <f t="shared" si="13"/>
        <v>0</v>
      </c>
    </row>
    <row r="53" spans="1:12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13">
        <f t="shared" si="13"/>
        <v>0</v>
      </c>
    </row>
    <row r="54" spans="1:12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13">
        <f t="shared" si="13"/>
        <v>0</v>
      </c>
    </row>
    <row r="55" spans="1:12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L55" si="14">SUM(E45:E54)</f>
        <v>45</v>
      </c>
      <c r="F55" s="13">
        <f t="shared" si="14"/>
        <v>13</v>
      </c>
      <c r="G55" s="13">
        <f t="shared" si="14"/>
        <v>12</v>
      </c>
      <c r="H55" s="13">
        <f t="shared" si="14"/>
        <v>14</v>
      </c>
      <c r="I55" s="13">
        <f t="shared" si="14"/>
        <v>14</v>
      </c>
      <c r="J55" s="13">
        <f t="shared" si="14"/>
        <v>6</v>
      </c>
      <c r="K55" s="13">
        <f t="shared" si="14"/>
        <v>10</v>
      </c>
      <c r="L55" s="13">
        <f t="shared" si="14"/>
        <v>114</v>
      </c>
    </row>
    <row r="56" spans="1:12" ht="12.75" customHeight="1" x14ac:dyDescent="0.4">
      <c r="A56" s="86"/>
      <c r="B56" s="68"/>
      <c r="C56" s="68"/>
      <c r="D56" s="68"/>
      <c r="E56" s="68"/>
      <c r="L56" s="13"/>
    </row>
    <row r="57" spans="1:12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8</v>
      </c>
      <c r="F57" s="16">
        <v>8</v>
      </c>
      <c r="G57" s="16">
        <v>5</v>
      </c>
      <c r="H57" s="16">
        <v>0</v>
      </c>
      <c r="I57" s="16">
        <v>3</v>
      </c>
      <c r="J57" s="16">
        <v>6</v>
      </c>
      <c r="K57" s="16">
        <v>6</v>
      </c>
      <c r="L57" s="13">
        <f t="shared" ref="L57:L66" si="15">SUM(E57:K57)</f>
        <v>36</v>
      </c>
    </row>
    <row r="58" spans="1:12" ht="12.75" customHeight="1" x14ac:dyDescent="0.4">
      <c r="A58" s="20" t="s">
        <v>38</v>
      </c>
      <c r="B58" s="28"/>
      <c r="C58" s="29" t="s">
        <v>47</v>
      </c>
      <c r="D58" s="30"/>
      <c r="E58" s="16">
        <v>2</v>
      </c>
      <c r="F58" s="16">
        <v>1</v>
      </c>
      <c r="G58" s="16">
        <v>3</v>
      </c>
      <c r="H58" s="16">
        <v>12</v>
      </c>
      <c r="I58" s="16">
        <v>6</v>
      </c>
      <c r="J58" s="16">
        <v>10</v>
      </c>
      <c r="K58" s="16">
        <v>5</v>
      </c>
      <c r="L58" s="13">
        <f t="shared" si="15"/>
        <v>39</v>
      </c>
    </row>
    <row r="59" spans="1:12" ht="12.75" customHeight="1" x14ac:dyDescent="0.4">
      <c r="A59" s="15"/>
      <c r="B59" s="28"/>
      <c r="C59" s="29" t="s">
        <v>48</v>
      </c>
      <c r="D59" s="30"/>
      <c r="E59" s="16">
        <v>1</v>
      </c>
      <c r="F59" s="16">
        <v>2</v>
      </c>
      <c r="G59" s="16">
        <v>0</v>
      </c>
      <c r="H59" s="16">
        <v>1</v>
      </c>
      <c r="I59" s="16">
        <v>3</v>
      </c>
      <c r="J59" s="16">
        <v>2</v>
      </c>
      <c r="K59" s="16">
        <v>2</v>
      </c>
      <c r="L59" s="13">
        <f t="shared" si="15"/>
        <v>11</v>
      </c>
    </row>
    <row r="60" spans="1:12" ht="12.75" customHeight="1" x14ac:dyDescent="0.4">
      <c r="A60" s="15"/>
      <c r="B60" s="28"/>
      <c r="C60" s="29" t="s">
        <v>49</v>
      </c>
      <c r="D60" s="30"/>
      <c r="E60" s="16">
        <v>0</v>
      </c>
      <c r="F60" s="16">
        <v>4</v>
      </c>
      <c r="G60" s="16">
        <v>3</v>
      </c>
      <c r="H60" s="16">
        <v>1</v>
      </c>
      <c r="I60" s="16">
        <v>1</v>
      </c>
      <c r="J60" s="16">
        <v>1</v>
      </c>
      <c r="K60" s="16">
        <v>4</v>
      </c>
      <c r="L60" s="13">
        <f t="shared" si="15"/>
        <v>14</v>
      </c>
    </row>
    <row r="61" spans="1:12" ht="12.75" customHeight="1" x14ac:dyDescent="0.4">
      <c r="A61" s="15"/>
      <c r="B61" s="28"/>
      <c r="C61" s="29" t="s">
        <v>50</v>
      </c>
      <c r="D61" s="30"/>
      <c r="E61" s="16">
        <v>1</v>
      </c>
      <c r="F61" s="16">
        <v>2</v>
      </c>
      <c r="G61" s="16">
        <v>1</v>
      </c>
      <c r="H61" s="16">
        <v>0</v>
      </c>
      <c r="I61" s="16">
        <v>0</v>
      </c>
      <c r="J61" s="16">
        <v>1</v>
      </c>
      <c r="K61" s="16">
        <v>0</v>
      </c>
      <c r="L61" s="13">
        <f t="shared" si="15"/>
        <v>5</v>
      </c>
    </row>
    <row r="62" spans="1:12" ht="12.75" customHeight="1" x14ac:dyDescent="0.4">
      <c r="A62" s="15"/>
      <c r="B62" s="28"/>
      <c r="C62" s="29" t="s">
        <v>51</v>
      </c>
      <c r="D62" s="30"/>
      <c r="E62" s="16">
        <v>1</v>
      </c>
      <c r="F62" s="16">
        <v>1</v>
      </c>
      <c r="G62" s="16">
        <v>1</v>
      </c>
      <c r="H62" s="16">
        <v>0</v>
      </c>
      <c r="I62" s="16">
        <v>1</v>
      </c>
      <c r="J62" s="16">
        <v>1</v>
      </c>
      <c r="K62" s="16">
        <v>1</v>
      </c>
      <c r="L62" s="13">
        <f t="shared" si="15"/>
        <v>6</v>
      </c>
    </row>
    <row r="63" spans="1:12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0</v>
      </c>
      <c r="G63" s="16">
        <v>1</v>
      </c>
      <c r="H63" s="16">
        <v>0</v>
      </c>
      <c r="I63" s="16">
        <v>0</v>
      </c>
      <c r="J63" s="16">
        <v>0</v>
      </c>
      <c r="K63" s="16">
        <v>0</v>
      </c>
      <c r="L63" s="13">
        <f t="shared" si="15"/>
        <v>1</v>
      </c>
    </row>
    <row r="64" spans="1:12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13">
        <f t="shared" si="15"/>
        <v>0</v>
      </c>
    </row>
    <row r="65" spans="1:12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13">
        <f t="shared" si="15"/>
        <v>0</v>
      </c>
    </row>
    <row r="66" spans="1:12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13">
        <f t="shared" si="15"/>
        <v>0</v>
      </c>
    </row>
    <row r="67" spans="1:12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L67" si="16">SUM(E57:E66)</f>
        <v>13</v>
      </c>
      <c r="F67" s="13">
        <f t="shared" si="16"/>
        <v>18</v>
      </c>
      <c r="G67" s="13">
        <f t="shared" si="16"/>
        <v>14</v>
      </c>
      <c r="H67" s="13">
        <f t="shared" si="16"/>
        <v>14</v>
      </c>
      <c r="I67" s="13">
        <f t="shared" si="16"/>
        <v>14</v>
      </c>
      <c r="J67" s="13">
        <f t="shared" si="16"/>
        <v>21</v>
      </c>
      <c r="K67" s="13">
        <f t="shared" si="16"/>
        <v>18</v>
      </c>
      <c r="L67" s="13">
        <f t="shared" si="16"/>
        <v>112</v>
      </c>
    </row>
    <row r="68" spans="1:12" ht="12.75" customHeight="1" x14ac:dyDescent="0.4">
      <c r="A68" s="86"/>
      <c r="B68" s="68"/>
      <c r="C68" s="68"/>
      <c r="D68" s="68"/>
      <c r="E68" s="68"/>
    </row>
    <row r="69" spans="1:12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20</v>
      </c>
      <c r="F69" s="16">
        <v>7</v>
      </c>
      <c r="G69" s="16">
        <v>12</v>
      </c>
      <c r="H69" s="16">
        <v>14</v>
      </c>
      <c r="I69" s="16">
        <v>6</v>
      </c>
      <c r="J69" s="16">
        <v>4</v>
      </c>
      <c r="K69" s="16">
        <v>5</v>
      </c>
      <c r="L69" s="13">
        <f t="shared" ref="L69:L78" si="17">SUM(E69:K69)</f>
        <v>68</v>
      </c>
    </row>
    <row r="70" spans="1:12" ht="12.75" customHeight="1" x14ac:dyDescent="0.4">
      <c r="A70" s="20" t="s">
        <v>38</v>
      </c>
      <c r="B70" s="28"/>
      <c r="C70" s="29" t="s">
        <v>54</v>
      </c>
      <c r="D70" s="30"/>
      <c r="E70" s="16">
        <v>3</v>
      </c>
      <c r="F70" s="16">
        <v>5</v>
      </c>
      <c r="G70" s="16">
        <v>2</v>
      </c>
      <c r="H70" s="16">
        <v>6</v>
      </c>
      <c r="I70" s="16">
        <v>13</v>
      </c>
      <c r="J70" s="16">
        <v>8</v>
      </c>
      <c r="K70" s="16">
        <v>3</v>
      </c>
      <c r="L70" s="13">
        <f t="shared" si="17"/>
        <v>40</v>
      </c>
    </row>
    <row r="71" spans="1:12" ht="12.75" customHeight="1" x14ac:dyDescent="0.4">
      <c r="A71" s="15"/>
      <c r="B71" s="28"/>
      <c r="C71" s="29" t="s">
        <v>55</v>
      </c>
      <c r="D71" s="30"/>
      <c r="E71" s="16">
        <v>4</v>
      </c>
      <c r="F71" s="16">
        <v>5</v>
      </c>
      <c r="G71" s="16">
        <v>4</v>
      </c>
      <c r="H71" s="16">
        <v>21</v>
      </c>
      <c r="I71" s="16">
        <v>9</v>
      </c>
      <c r="J71" s="16">
        <v>1</v>
      </c>
      <c r="K71" s="16">
        <v>3</v>
      </c>
      <c r="L71" s="13">
        <f t="shared" si="17"/>
        <v>47</v>
      </c>
    </row>
    <row r="72" spans="1:12" ht="12.75" customHeight="1" x14ac:dyDescent="0.4">
      <c r="A72" s="15"/>
      <c r="B72" s="28"/>
      <c r="C72" s="29" t="s">
        <v>56</v>
      </c>
      <c r="D72" s="30"/>
      <c r="E72" s="16">
        <v>20</v>
      </c>
      <c r="F72" s="16">
        <v>12</v>
      </c>
      <c r="G72" s="16">
        <v>25</v>
      </c>
      <c r="H72" s="16">
        <v>40</v>
      </c>
      <c r="I72" s="16">
        <v>31</v>
      </c>
      <c r="J72" s="16">
        <v>9</v>
      </c>
      <c r="K72" s="16">
        <v>22</v>
      </c>
      <c r="L72" s="13">
        <f t="shared" si="17"/>
        <v>159</v>
      </c>
    </row>
    <row r="73" spans="1:12" ht="12.75" customHeight="1" x14ac:dyDescent="0.4">
      <c r="A73" s="15"/>
      <c r="B73" s="28"/>
      <c r="C73" s="29" t="s">
        <v>57</v>
      </c>
      <c r="D73" s="30"/>
      <c r="E73" s="16">
        <v>1</v>
      </c>
      <c r="F73" s="16">
        <v>5</v>
      </c>
      <c r="G73" s="16">
        <v>4</v>
      </c>
      <c r="H73" s="16">
        <v>4</v>
      </c>
      <c r="I73" s="16">
        <v>1</v>
      </c>
      <c r="J73" s="16">
        <v>5</v>
      </c>
      <c r="K73" s="16">
        <v>0</v>
      </c>
      <c r="L73" s="13">
        <f t="shared" si="17"/>
        <v>20</v>
      </c>
    </row>
    <row r="74" spans="1:12" ht="12.75" customHeight="1" x14ac:dyDescent="0.4">
      <c r="A74" s="15"/>
      <c r="B74" s="28"/>
      <c r="C74" s="29" t="s">
        <v>58</v>
      </c>
      <c r="D74" s="30"/>
      <c r="E74" s="16">
        <v>0</v>
      </c>
      <c r="F74" s="16">
        <v>4</v>
      </c>
      <c r="G74" s="16">
        <v>0</v>
      </c>
      <c r="H74" s="16">
        <v>0</v>
      </c>
      <c r="I74" s="16">
        <v>0</v>
      </c>
      <c r="J74" s="16">
        <v>3</v>
      </c>
      <c r="K74" s="16">
        <v>9</v>
      </c>
      <c r="L74" s="13">
        <f t="shared" si="17"/>
        <v>16</v>
      </c>
    </row>
    <row r="75" spans="1:12" ht="12.75" customHeight="1" x14ac:dyDescent="0.4">
      <c r="A75" s="15"/>
      <c r="B75" s="28"/>
      <c r="C75" s="29" t="s">
        <v>59</v>
      </c>
      <c r="D75" s="30"/>
      <c r="E75" s="16">
        <v>2</v>
      </c>
      <c r="F75" s="16">
        <v>1</v>
      </c>
      <c r="G75" s="16">
        <v>2</v>
      </c>
      <c r="H75" s="16">
        <v>6</v>
      </c>
      <c r="I75" s="16">
        <v>5</v>
      </c>
      <c r="J75" s="16">
        <v>12</v>
      </c>
      <c r="K75" s="16">
        <v>2</v>
      </c>
      <c r="L75" s="13">
        <f t="shared" si="17"/>
        <v>30</v>
      </c>
    </row>
    <row r="76" spans="1:12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13">
        <f t="shared" si="17"/>
        <v>0</v>
      </c>
    </row>
    <row r="77" spans="1:12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13">
        <f t="shared" si="17"/>
        <v>0</v>
      </c>
    </row>
    <row r="78" spans="1:12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13">
        <f t="shared" si="17"/>
        <v>0</v>
      </c>
    </row>
    <row r="79" spans="1:12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L79" si="18">SUM(E69:E78)</f>
        <v>50</v>
      </c>
      <c r="F79" s="13">
        <f t="shared" si="18"/>
        <v>39</v>
      </c>
      <c r="G79" s="13">
        <f t="shared" si="18"/>
        <v>49</v>
      </c>
      <c r="H79" s="13">
        <f t="shared" si="18"/>
        <v>91</v>
      </c>
      <c r="I79" s="13">
        <f t="shared" si="18"/>
        <v>65</v>
      </c>
      <c r="J79" s="13">
        <f t="shared" si="18"/>
        <v>42</v>
      </c>
      <c r="K79" s="13">
        <f t="shared" si="18"/>
        <v>44</v>
      </c>
      <c r="L79" s="13">
        <f t="shared" si="18"/>
        <v>380</v>
      </c>
    </row>
    <row r="80" spans="1:12" ht="12.75" customHeight="1" x14ac:dyDescent="0.4">
      <c r="A80" s="86"/>
      <c r="B80" s="68"/>
      <c r="C80" s="68"/>
      <c r="D80" s="68"/>
      <c r="E80" s="68"/>
    </row>
    <row r="81" spans="1:12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4</v>
      </c>
      <c r="F81" s="16">
        <v>2</v>
      </c>
      <c r="G81" s="16">
        <v>2</v>
      </c>
      <c r="H81" s="16">
        <v>1</v>
      </c>
      <c r="I81" s="16">
        <v>2</v>
      </c>
      <c r="J81" s="16">
        <v>2</v>
      </c>
      <c r="K81" s="16">
        <v>5</v>
      </c>
      <c r="L81" s="13">
        <f t="shared" ref="L81:L90" si="19">SUM(E81:K81)</f>
        <v>18</v>
      </c>
    </row>
    <row r="82" spans="1:12" ht="12.75" customHeight="1" x14ac:dyDescent="0.4">
      <c r="A82" s="20" t="s">
        <v>38</v>
      </c>
      <c r="B82" s="28"/>
      <c r="C82" s="29" t="s">
        <v>61</v>
      </c>
      <c r="D82" s="30"/>
      <c r="E82" s="16">
        <v>2</v>
      </c>
      <c r="F82" s="16">
        <v>4</v>
      </c>
      <c r="G82" s="16">
        <v>7</v>
      </c>
      <c r="H82" s="16">
        <v>5</v>
      </c>
      <c r="I82" s="16">
        <v>7</v>
      </c>
      <c r="J82" s="16">
        <v>12</v>
      </c>
      <c r="K82" s="16">
        <v>14</v>
      </c>
      <c r="L82" s="13">
        <f t="shared" si="19"/>
        <v>51</v>
      </c>
    </row>
    <row r="83" spans="1:12" ht="12.75" customHeight="1" x14ac:dyDescent="0.4">
      <c r="A83" s="15"/>
      <c r="B83" s="28"/>
      <c r="C83" s="29" t="s">
        <v>62</v>
      </c>
      <c r="D83" s="30"/>
      <c r="E83" s="16">
        <v>0</v>
      </c>
      <c r="F83" s="16">
        <v>1</v>
      </c>
      <c r="G83" s="16">
        <v>0</v>
      </c>
      <c r="H83" s="16">
        <v>0</v>
      </c>
      <c r="I83" s="16">
        <v>0</v>
      </c>
      <c r="J83" s="16">
        <v>0</v>
      </c>
      <c r="K83" s="16">
        <v>0</v>
      </c>
      <c r="L83" s="13">
        <f t="shared" si="19"/>
        <v>1</v>
      </c>
    </row>
    <row r="84" spans="1:12" ht="12.75" customHeight="1" x14ac:dyDescent="0.4">
      <c r="A84" s="15"/>
      <c r="B84" s="28"/>
      <c r="C84" s="29" t="s">
        <v>63</v>
      </c>
      <c r="D84" s="30"/>
      <c r="E84" s="16">
        <v>1</v>
      </c>
      <c r="F84" s="16">
        <v>0</v>
      </c>
      <c r="G84" s="16">
        <v>1</v>
      </c>
      <c r="H84" s="16">
        <v>1</v>
      </c>
      <c r="I84" s="16">
        <v>1</v>
      </c>
      <c r="J84" s="16">
        <v>0</v>
      </c>
      <c r="K84" s="16">
        <v>0</v>
      </c>
      <c r="L84" s="13">
        <f t="shared" si="19"/>
        <v>4</v>
      </c>
    </row>
    <row r="85" spans="1:12" ht="12.75" customHeight="1" x14ac:dyDescent="0.4">
      <c r="A85" s="15"/>
      <c r="B85" s="28"/>
      <c r="C85" s="29" t="s">
        <v>64</v>
      </c>
      <c r="D85" s="30"/>
      <c r="E85" s="16">
        <v>1</v>
      </c>
      <c r="F85" s="16">
        <v>0</v>
      </c>
      <c r="G85" s="16">
        <v>0</v>
      </c>
      <c r="H85" s="16">
        <v>1</v>
      </c>
      <c r="I85" s="16">
        <v>1</v>
      </c>
      <c r="J85" s="16">
        <v>0</v>
      </c>
      <c r="K85" s="16">
        <v>1</v>
      </c>
      <c r="L85" s="13">
        <f t="shared" si="19"/>
        <v>4</v>
      </c>
    </row>
    <row r="86" spans="1:12" ht="12.75" customHeight="1" x14ac:dyDescent="0.4">
      <c r="A86" s="15"/>
      <c r="B86" s="28"/>
      <c r="C86" s="29" t="s">
        <v>65</v>
      </c>
      <c r="D86" s="30"/>
      <c r="E86" s="16">
        <v>1</v>
      </c>
      <c r="F86" s="16">
        <v>0</v>
      </c>
      <c r="G86" s="16">
        <v>0</v>
      </c>
      <c r="H86" s="16">
        <v>1</v>
      </c>
      <c r="I86" s="16">
        <v>0</v>
      </c>
      <c r="J86" s="16">
        <v>1</v>
      </c>
      <c r="K86" s="16">
        <v>1</v>
      </c>
      <c r="L86" s="13">
        <f t="shared" si="19"/>
        <v>4</v>
      </c>
    </row>
    <row r="87" spans="1:12" ht="12.75" customHeight="1" x14ac:dyDescent="0.4">
      <c r="A87" s="15"/>
      <c r="B87" s="28"/>
      <c r="C87" s="29" t="s">
        <v>66</v>
      </c>
      <c r="D87" s="30"/>
      <c r="E87" s="16">
        <v>3</v>
      </c>
      <c r="F87" s="16">
        <v>3</v>
      </c>
      <c r="G87" s="16">
        <v>1</v>
      </c>
      <c r="H87" s="16">
        <v>0</v>
      </c>
      <c r="I87" s="16">
        <v>1</v>
      </c>
      <c r="J87" s="16">
        <v>3</v>
      </c>
      <c r="K87" s="16">
        <v>1</v>
      </c>
      <c r="L87" s="13">
        <f t="shared" si="19"/>
        <v>12</v>
      </c>
    </row>
    <row r="88" spans="1:12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13">
        <f t="shared" si="19"/>
        <v>0</v>
      </c>
    </row>
    <row r="89" spans="1:12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13">
        <f t="shared" si="19"/>
        <v>0</v>
      </c>
    </row>
    <row r="90" spans="1:12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13">
        <f t="shared" si="19"/>
        <v>0</v>
      </c>
    </row>
    <row r="91" spans="1:12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L91" si="20">SUM(E81:E90)</f>
        <v>12</v>
      </c>
      <c r="F91" s="13">
        <f t="shared" si="20"/>
        <v>10</v>
      </c>
      <c r="G91" s="13">
        <f t="shared" si="20"/>
        <v>11</v>
      </c>
      <c r="H91" s="13">
        <f t="shared" si="20"/>
        <v>9</v>
      </c>
      <c r="I91" s="13">
        <f t="shared" si="20"/>
        <v>12</v>
      </c>
      <c r="J91" s="13">
        <f t="shared" si="20"/>
        <v>18</v>
      </c>
      <c r="K91" s="13">
        <f t="shared" si="20"/>
        <v>22</v>
      </c>
      <c r="L91" s="13">
        <f t="shared" si="20"/>
        <v>94</v>
      </c>
    </row>
    <row r="92" spans="1:12" ht="12.75" customHeight="1" x14ac:dyDescent="0.4">
      <c r="A92" s="86"/>
      <c r="B92" s="68"/>
      <c r="C92" s="68"/>
      <c r="D92" s="68"/>
      <c r="E92" s="68"/>
    </row>
    <row r="93" spans="1:12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3</v>
      </c>
      <c r="F93" s="16">
        <v>0</v>
      </c>
      <c r="G93" s="16">
        <v>0</v>
      </c>
      <c r="H93" s="16">
        <v>3</v>
      </c>
      <c r="I93" s="16">
        <v>0</v>
      </c>
      <c r="J93" s="16">
        <v>0</v>
      </c>
      <c r="K93" s="16">
        <v>0</v>
      </c>
      <c r="L93" s="13">
        <f t="shared" ref="L93:L102" si="21">SUM(E93:K93)</f>
        <v>6</v>
      </c>
    </row>
    <row r="94" spans="1:12" ht="12.75" customHeight="1" x14ac:dyDescent="0.4">
      <c r="A94" s="20" t="s">
        <v>38</v>
      </c>
      <c r="B94" s="28"/>
      <c r="C94" s="29" t="s">
        <v>69</v>
      </c>
      <c r="D94" s="30"/>
      <c r="E94" s="16">
        <v>1</v>
      </c>
      <c r="F94" s="16">
        <v>0</v>
      </c>
      <c r="G94" s="16">
        <v>1</v>
      </c>
      <c r="H94" s="16">
        <v>3</v>
      </c>
      <c r="I94" s="16">
        <v>1</v>
      </c>
      <c r="J94" s="16">
        <v>1</v>
      </c>
      <c r="K94" s="16">
        <v>1</v>
      </c>
      <c r="L94" s="13">
        <f t="shared" si="21"/>
        <v>8</v>
      </c>
    </row>
    <row r="95" spans="1:12" ht="12.75" customHeight="1" x14ac:dyDescent="0.4">
      <c r="A95" s="15"/>
      <c r="B95" s="28"/>
      <c r="C95" s="29" t="s">
        <v>70</v>
      </c>
      <c r="D95" s="30"/>
      <c r="E95" s="16">
        <v>0</v>
      </c>
      <c r="F95" s="16">
        <v>0</v>
      </c>
      <c r="G95" s="16">
        <v>2</v>
      </c>
      <c r="H95" s="16">
        <v>0</v>
      </c>
      <c r="I95" s="16">
        <v>0</v>
      </c>
      <c r="J95" s="16">
        <v>0</v>
      </c>
      <c r="K95" s="16">
        <v>0</v>
      </c>
      <c r="L95" s="13">
        <f t="shared" si="21"/>
        <v>2</v>
      </c>
    </row>
    <row r="96" spans="1:12" ht="12.75" customHeight="1" x14ac:dyDescent="0.4">
      <c r="A96" s="15"/>
      <c r="B96" s="28"/>
      <c r="C96" s="29" t="s">
        <v>71</v>
      </c>
      <c r="D96" s="30"/>
      <c r="E96" s="16">
        <v>2</v>
      </c>
      <c r="F96" s="16">
        <v>2</v>
      </c>
      <c r="G96" s="16">
        <v>0</v>
      </c>
      <c r="H96" s="16">
        <v>0</v>
      </c>
      <c r="I96" s="16">
        <v>3</v>
      </c>
      <c r="J96" s="16">
        <v>1</v>
      </c>
      <c r="K96" s="16">
        <v>2</v>
      </c>
      <c r="L96" s="13">
        <f t="shared" si="21"/>
        <v>10</v>
      </c>
    </row>
    <row r="97" spans="1:12" ht="12.75" customHeight="1" x14ac:dyDescent="0.4">
      <c r="A97" s="15"/>
      <c r="B97" s="28"/>
      <c r="C97" s="29" t="s">
        <v>72</v>
      </c>
      <c r="D97" s="30"/>
      <c r="E97" s="16">
        <v>1</v>
      </c>
      <c r="F97" s="16">
        <v>0</v>
      </c>
      <c r="G97" s="16">
        <v>1</v>
      </c>
      <c r="H97" s="16">
        <v>1</v>
      </c>
      <c r="I97" s="16">
        <v>1</v>
      </c>
      <c r="J97" s="16">
        <v>2</v>
      </c>
      <c r="K97" s="16">
        <v>0</v>
      </c>
      <c r="L97" s="13">
        <f t="shared" si="21"/>
        <v>6</v>
      </c>
    </row>
    <row r="98" spans="1:12" ht="12.75" customHeight="1" x14ac:dyDescent="0.4">
      <c r="A98" s="15"/>
      <c r="B98" s="28"/>
      <c r="C98" s="29" t="s">
        <v>73</v>
      </c>
      <c r="D98" s="30"/>
      <c r="E98" s="16">
        <v>0</v>
      </c>
      <c r="F98" s="16">
        <v>1</v>
      </c>
      <c r="G98" s="16">
        <v>0</v>
      </c>
      <c r="H98" s="16">
        <v>0</v>
      </c>
      <c r="I98" s="16">
        <v>0</v>
      </c>
      <c r="J98" s="16">
        <v>0</v>
      </c>
      <c r="K98" s="16">
        <v>1</v>
      </c>
      <c r="L98" s="13">
        <f t="shared" si="21"/>
        <v>2</v>
      </c>
    </row>
    <row r="99" spans="1:12" ht="12.75" customHeight="1" x14ac:dyDescent="0.4">
      <c r="A99" s="15"/>
      <c r="B99" s="28"/>
      <c r="C99" s="29" t="s">
        <v>74</v>
      </c>
      <c r="D99" s="30"/>
      <c r="E99" s="16">
        <v>2</v>
      </c>
      <c r="F99" s="16">
        <v>0</v>
      </c>
      <c r="G99" s="16">
        <v>0</v>
      </c>
      <c r="H99" s="16">
        <v>0</v>
      </c>
      <c r="I99" s="16">
        <v>1</v>
      </c>
      <c r="J99" s="16">
        <v>0</v>
      </c>
      <c r="K99" s="16">
        <v>0</v>
      </c>
      <c r="L99" s="13">
        <f t="shared" si="21"/>
        <v>3</v>
      </c>
    </row>
    <row r="100" spans="1:12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13">
        <f t="shared" si="21"/>
        <v>0</v>
      </c>
    </row>
    <row r="101" spans="1:12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13">
        <f t="shared" si="21"/>
        <v>0</v>
      </c>
    </row>
    <row r="102" spans="1:12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13">
        <f t="shared" si="21"/>
        <v>0</v>
      </c>
    </row>
    <row r="103" spans="1:12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L103" si="22">SUM(E93:E102)</f>
        <v>9</v>
      </c>
      <c r="F103" s="13">
        <f t="shared" si="22"/>
        <v>3</v>
      </c>
      <c r="G103" s="13">
        <f t="shared" si="22"/>
        <v>4</v>
      </c>
      <c r="H103" s="13">
        <f t="shared" si="22"/>
        <v>7</v>
      </c>
      <c r="I103" s="13">
        <f t="shared" si="22"/>
        <v>6</v>
      </c>
      <c r="J103" s="13">
        <f t="shared" si="22"/>
        <v>4</v>
      </c>
      <c r="K103" s="13">
        <f t="shared" si="22"/>
        <v>4</v>
      </c>
      <c r="L103" s="13">
        <f t="shared" si="22"/>
        <v>37</v>
      </c>
    </row>
    <row r="104" spans="1:12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</row>
    <row r="105" spans="1:12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0</v>
      </c>
      <c r="H105" s="16">
        <v>2</v>
      </c>
      <c r="I105" s="16">
        <v>0</v>
      </c>
      <c r="J105" s="16">
        <v>1</v>
      </c>
      <c r="K105" s="16">
        <v>0</v>
      </c>
      <c r="L105" s="13">
        <f t="shared" ref="L105:L114" si="23">SUM(E105:K105)</f>
        <v>3</v>
      </c>
    </row>
    <row r="106" spans="1:12" ht="12.75" customHeight="1" x14ac:dyDescent="0.4">
      <c r="A106" s="20" t="s">
        <v>38</v>
      </c>
      <c r="B106" s="28"/>
      <c r="C106" s="29" t="s">
        <v>77</v>
      </c>
      <c r="D106" s="40"/>
      <c r="E106" s="16">
        <v>0</v>
      </c>
      <c r="F106" s="16">
        <v>0</v>
      </c>
      <c r="G106" s="16">
        <v>0</v>
      </c>
      <c r="H106" s="16">
        <v>3</v>
      </c>
      <c r="I106" s="16">
        <v>0</v>
      </c>
      <c r="J106" s="16">
        <v>0</v>
      </c>
      <c r="K106" s="16">
        <v>0</v>
      </c>
      <c r="L106" s="13">
        <f t="shared" si="23"/>
        <v>3</v>
      </c>
    </row>
    <row r="107" spans="1:12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13">
        <f t="shared" si="23"/>
        <v>0</v>
      </c>
    </row>
    <row r="108" spans="1:12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13">
        <f t="shared" si="23"/>
        <v>0</v>
      </c>
    </row>
    <row r="109" spans="1:12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13">
        <f t="shared" si="23"/>
        <v>0</v>
      </c>
    </row>
    <row r="110" spans="1:12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13">
        <f t="shared" si="23"/>
        <v>0</v>
      </c>
    </row>
    <row r="111" spans="1:12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13">
        <f t="shared" si="23"/>
        <v>0</v>
      </c>
    </row>
    <row r="112" spans="1:12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13">
        <f t="shared" si="23"/>
        <v>0</v>
      </c>
    </row>
    <row r="113" spans="1:12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13">
        <f t="shared" si="23"/>
        <v>0</v>
      </c>
    </row>
    <row r="114" spans="1:12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13">
        <f t="shared" si="23"/>
        <v>0</v>
      </c>
    </row>
    <row r="115" spans="1:12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L115" si="24">SUM(E105:E114)</f>
        <v>0</v>
      </c>
      <c r="F115" s="13">
        <f t="shared" si="24"/>
        <v>0</v>
      </c>
      <c r="G115" s="13">
        <f t="shared" si="24"/>
        <v>0</v>
      </c>
      <c r="H115" s="13">
        <f t="shared" si="24"/>
        <v>5</v>
      </c>
      <c r="I115" s="13">
        <f t="shared" si="24"/>
        <v>0</v>
      </c>
      <c r="J115" s="13">
        <f t="shared" si="24"/>
        <v>1</v>
      </c>
      <c r="K115" s="13">
        <f t="shared" si="24"/>
        <v>0</v>
      </c>
      <c r="L115" s="13">
        <f t="shared" si="24"/>
        <v>6</v>
      </c>
    </row>
    <row r="116" spans="1:12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13"/>
    </row>
    <row r="117" spans="1:12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1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3">
        <f t="shared" ref="L117:L126" si="25">SUM(E117:K117)</f>
        <v>1</v>
      </c>
    </row>
    <row r="118" spans="1:12" ht="12.75" customHeight="1" x14ac:dyDescent="0.4">
      <c r="A118" s="20" t="s">
        <v>38</v>
      </c>
      <c r="B118" s="28"/>
      <c r="C118" s="29" t="s">
        <v>80</v>
      </c>
      <c r="D118" s="30"/>
      <c r="E118" s="16">
        <v>0</v>
      </c>
      <c r="F118" s="16">
        <v>0</v>
      </c>
      <c r="G118" s="16">
        <v>1</v>
      </c>
      <c r="H118" s="16">
        <v>0</v>
      </c>
      <c r="I118" s="16">
        <v>0</v>
      </c>
      <c r="J118" s="16">
        <v>0</v>
      </c>
      <c r="K118" s="16">
        <v>0</v>
      </c>
      <c r="L118" s="13">
        <f t="shared" si="25"/>
        <v>1</v>
      </c>
    </row>
    <row r="119" spans="1:12" ht="12.75" customHeight="1" x14ac:dyDescent="0.4">
      <c r="A119" s="15"/>
      <c r="B119" s="28"/>
      <c r="C119" s="29" t="s">
        <v>81</v>
      </c>
      <c r="D119" s="30"/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1</v>
      </c>
      <c r="K119" s="16">
        <v>0</v>
      </c>
      <c r="L119" s="13">
        <f t="shared" si="25"/>
        <v>1</v>
      </c>
    </row>
    <row r="120" spans="1:12" ht="12.75" customHeight="1" x14ac:dyDescent="0.4">
      <c r="A120" s="15"/>
      <c r="B120" s="28"/>
      <c r="C120" s="29" t="s">
        <v>82</v>
      </c>
      <c r="D120" s="30"/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3">
        <f t="shared" si="25"/>
        <v>0</v>
      </c>
    </row>
    <row r="121" spans="1:12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13">
        <f t="shared" si="25"/>
        <v>0</v>
      </c>
    </row>
    <row r="122" spans="1:12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0</v>
      </c>
      <c r="G122" s="53">
        <v>0</v>
      </c>
      <c r="H122" s="53">
        <v>0</v>
      </c>
      <c r="I122" s="53">
        <v>2</v>
      </c>
      <c r="J122" s="53">
        <v>0</v>
      </c>
      <c r="K122" s="53">
        <v>0</v>
      </c>
      <c r="L122" s="13">
        <f t="shared" si="25"/>
        <v>2</v>
      </c>
    </row>
    <row r="123" spans="1:12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0</v>
      </c>
      <c r="K123" s="41">
        <v>0</v>
      </c>
      <c r="L123" s="13">
        <f t="shared" si="25"/>
        <v>0</v>
      </c>
    </row>
    <row r="124" spans="1:12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13">
        <f t="shared" si="25"/>
        <v>0</v>
      </c>
    </row>
    <row r="125" spans="1:12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13">
        <f t="shared" si="25"/>
        <v>0</v>
      </c>
    </row>
    <row r="126" spans="1:12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13">
        <f t="shared" si="25"/>
        <v>0</v>
      </c>
    </row>
    <row r="127" spans="1:12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L127" si="26">SUM(E117:E126)</f>
        <v>1</v>
      </c>
      <c r="F127" s="13">
        <f t="shared" si="26"/>
        <v>0</v>
      </c>
      <c r="G127" s="13">
        <f t="shared" si="26"/>
        <v>1</v>
      </c>
      <c r="H127" s="13">
        <f t="shared" si="26"/>
        <v>0</v>
      </c>
      <c r="I127" s="13">
        <f t="shared" si="26"/>
        <v>2</v>
      </c>
      <c r="J127" s="13">
        <f t="shared" si="26"/>
        <v>1</v>
      </c>
      <c r="K127" s="13">
        <f t="shared" si="26"/>
        <v>0</v>
      </c>
      <c r="L127" s="13">
        <f t="shared" si="26"/>
        <v>5</v>
      </c>
    </row>
    <row r="128" spans="1:12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</row>
    <row r="129" spans="1:12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3</v>
      </c>
      <c r="F129" s="16">
        <v>2</v>
      </c>
      <c r="G129" s="16">
        <v>3</v>
      </c>
      <c r="H129" s="16">
        <v>3</v>
      </c>
      <c r="I129" s="16">
        <v>2</v>
      </c>
      <c r="J129" s="16">
        <v>0</v>
      </c>
      <c r="K129" s="16">
        <v>5</v>
      </c>
      <c r="L129" s="13">
        <f t="shared" ref="L129:L138" si="27">SUM(E129:K129)</f>
        <v>18</v>
      </c>
    </row>
    <row r="130" spans="1:12" ht="12.75" customHeight="1" x14ac:dyDescent="0.4">
      <c r="A130" s="20" t="s">
        <v>38</v>
      </c>
      <c r="B130" s="28"/>
      <c r="C130" s="29" t="s">
        <v>88</v>
      </c>
      <c r="D130" s="30"/>
      <c r="E130" s="16">
        <v>2</v>
      </c>
      <c r="F130" s="16">
        <v>1</v>
      </c>
      <c r="G130" s="16">
        <v>16</v>
      </c>
      <c r="H130" s="16">
        <v>2</v>
      </c>
      <c r="I130" s="16">
        <v>4</v>
      </c>
      <c r="J130" s="16">
        <v>2</v>
      </c>
      <c r="K130" s="16">
        <v>7</v>
      </c>
      <c r="L130" s="13">
        <f t="shared" si="27"/>
        <v>34</v>
      </c>
    </row>
    <row r="131" spans="1:12" ht="12.75" customHeight="1" x14ac:dyDescent="0.4">
      <c r="A131" s="15"/>
      <c r="B131" s="28"/>
      <c r="C131" s="29" t="s">
        <v>89</v>
      </c>
      <c r="D131" s="30"/>
      <c r="E131" s="16">
        <v>2</v>
      </c>
      <c r="F131" s="16">
        <v>0</v>
      </c>
      <c r="G131" s="16">
        <v>1</v>
      </c>
      <c r="H131" s="16">
        <v>0</v>
      </c>
      <c r="I131" s="16">
        <v>3</v>
      </c>
      <c r="J131" s="16">
        <v>0</v>
      </c>
      <c r="K131" s="16">
        <v>0</v>
      </c>
      <c r="L131" s="13">
        <f t="shared" si="27"/>
        <v>6</v>
      </c>
    </row>
    <row r="132" spans="1:12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0</v>
      </c>
      <c r="G132" s="16">
        <v>0</v>
      </c>
      <c r="H132" s="16">
        <v>1</v>
      </c>
      <c r="I132" s="16">
        <v>0</v>
      </c>
      <c r="J132" s="16">
        <v>0</v>
      </c>
      <c r="K132" s="16">
        <v>1</v>
      </c>
      <c r="L132" s="13">
        <f t="shared" si="27"/>
        <v>2</v>
      </c>
    </row>
    <row r="133" spans="1:12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0</v>
      </c>
      <c r="G133" s="16">
        <v>0</v>
      </c>
      <c r="H133" s="16">
        <v>1</v>
      </c>
      <c r="I133" s="16">
        <v>0</v>
      </c>
      <c r="J133" s="16">
        <v>0</v>
      </c>
      <c r="K133" s="16">
        <v>0</v>
      </c>
      <c r="L133" s="13">
        <f t="shared" si="27"/>
        <v>1</v>
      </c>
    </row>
    <row r="134" spans="1:12" ht="12.75" customHeight="1" x14ac:dyDescent="0.4">
      <c r="A134" s="15"/>
      <c r="B134" s="28"/>
      <c r="C134" s="29" t="s">
        <v>92</v>
      </c>
      <c r="D134" s="30"/>
      <c r="E134" s="16">
        <v>1</v>
      </c>
      <c r="F134" s="16">
        <v>0</v>
      </c>
      <c r="G134" s="16">
        <v>1</v>
      </c>
      <c r="H134" s="16">
        <v>1</v>
      </c>
      <c r="I134" s="16">
        <v>1</v>
      </c>
      <c r="J134" s="16">
        <v>0</v>
      </c>
      <c r="K134" s="16">
        <v>0</v>
      </c>
      <c r="L134" s="13">
        <f t="shared" si="27"/>
        <v>4</v>
      </c>
    </row>
    <row r="135" spans="1:12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3">
        <f t="shared" si="27"/>
        <v>0</v>
      </c>
    </row>
    <row r="136" spans="1:12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13">
        <f t="shared" si="27"/>
        <v>0</v>
      </c>
    </row>
    <row r="137" spans="1:12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13">
        <f t="shared" si="27"/>
        <v>0</v>
      </c>
    </row>
    <row r="138" spans="1:12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13">
        <f t="shared" si="27"/>
        <v>0</v>
      </c>
    </row>
    <row r="139" spans="1:12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L139" si="28">SUM(E129:E138)</f>
        <v>8</v>
      </c>
      <c r="F139" s="13">
        <f t="shared" si="28"/>
        <v>3</v>
      </c>
      <c r="G139" s="13">
        <f t="shared" si="28"/>
        <v>21</v>
      </c>
      <c r="H139" s="13">
        <f t="shared" si="28"/>
        <v>8</v>
      </c>
      <c r="I139" s="13">
        <f t="shared" si="28"/>
        <v>10</v>
      </c>
      <c r="J139" s="13">
        <f t="shared" si="28"/>
        <v>2</v>
      </c>
      <c r="K139" s="13">
        <f t="shared" si="28"/>
        <v>13</v>
      </c>
      <c r="L139" s="13">
        <f t="shared" si="28"/>
        <v>65</v>
      </c>
    </row>
    <row r="140" spans="1:12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</row>
    <row r="141" spans="1:12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3">
        <f t="shared" ref="L141:L150" si="29">SUM(E141:K141)</f>
        <v>0</v>
      </c>
    </row>
    <row r="142" spans="1:12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0</v>
      </c>
      <c r="G142" s="16">
        <v>0</v>
      </c>
      <c r="H142" s="16">
        <v>1</v>
      </c>
      <c r="I142" s="16">
        <v>0</v>
      </c>
      <c r="J142" s="16">
        <v>0</v>
      </c>
      <c r="K142" s="16">
        <v>0</v>
      </c>
      <c r="L142" s="13">
        <f t="shared" si="29"/>
        <v>1</v>
      </c>
    </row>
    <row r="143" spans="1:12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13">
        <f t="shared" si="29"/>
        <v>0</v>
      </c>
    </row>
    <row r="144" spans="1:12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13">
        <f t="shared" si="29"/>
        <v>0</v>
      </c>
    </row>
    <row r="145" spans="1:12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13">
        <f t="shared" si="29"/>
        <v>0</v>
      </c>
    </row>
    <row r="146" spans="1:12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13">
        <f t="shared" si="29"/>
        <v>0</v>
      </c>
    </row>
    <row r="147" spans="1:12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13">
        <f t="shared" si="29"/>
        <v>0</v>
      </c>
    </row>
    <row r="148" spans="1:12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13">
        <f t="shared" si="29"/>
        <v>0</v>
      </c>
    </row>
    <row r="149" spans="1:12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13">
        <f t="shared" si="29"/>
        <v>0</v>
      </c>
    </row>
    <row r="150" spans="1:12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13">
        <f t="shared" si="29"/>
        <v>0</v>
      </c>
    </row>
    <row r="151" spans="1:12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L151" si="30">SUM(E141:E150)</f>
        <v>0</v>
      </c>
      <c r="F151" s="13">
        <f t="shared" si="30"/>
        <v>0</v>
      </c>
      <c r="G151" s="13">
        <f t="shared" si="30"/>
        <v>0</v>
      </c>
      <c r="H151" s="13">
        <f t="shared" si="30"/>
        <v>1</v>
      </c>
      <c r="I151" s="13">
        <f t="shared" si="30"/>
        <v>0</v>
      </c>
      <c r="J151" s="13">
        <f t="shared" si="30"/>
        <v>0</v>
      </c>
      <c r="K151" s="13">
        <f t="shared" si="30"/>
        <v>0</v>
      </c>
      <c r="L151" s="13">
        <f t="shared" si="30"/>
        <v>1</v>
      </c>
    </row>
    <row r="152" spans="1:12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13"/>
    </row>
    <row r="153" spans="1:12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1</v>
      </c>
      <c r="F153" s="16">
        <v>0</v>
      </c>
      <c r="G153" s="16">
        <v>0</v>
      </c>
      <c r="H153" s="16">
        <v>1</v>
      </c>
      <c r="I153" s="16">
        <v>0</v>
      </c>
      <c r="J153" s="16">
        <v>0</v>
      </c>
      <c r="K153" s="16">
        <v>1</v>
      </c>
      <c r="L153" s="13">
        <f t="shared" ref="L153:L162" si="31">SUM(E153:K153)</f>
        <v>3</v>
      </c>
    </row>
    <row r="154" spans="1:12" ht="12.75" customHeight="1" x14ac:dyDescent="0.4">
      <c r="A154" s="42" t="s">
        <v>38</v>
      </c>
      <c r="B154" s="28"/>
      <c r="C154" s="29" t="s">
        <v>99</v>
      </c>
      <c r="D154" s="30"/>
      <c r="E154" s="55">
        <v>3</v>
      </c>
      <c r="F154" s="16">
        <v>0</v>
      </c>
      <c r="G154" s="16">
        <v>0</v>
      </c>
      <c r="H154" s="16">
        <v>0</v>
      </c>
      <c r="I154" s="16">
        <v>0</v>
      </c>
      <c r="J154" s="16">
        <v>2</v>
      </c>
      <c r="K154" s="16">
        <v>0</v>
      </c>
      <c r="L154" s="13">
        <f t="shared" si="31"/>
        <v>5</v>
      </c>
    </row>
    <row r="155" spans="1:12" ht="12.75" customHeight="1" x14ac:dyDescent="0.4">
      <c r="A155" s="15"/>
      <c r="B155" s="28"/>
      <c r="C155" s="29" t="s">
        <v>100</v>
      </c>
      <c r="D155" s="30"/>
      <c r="E155" s="55">
        <v>1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3">
        <f t="shared" si="31"/>
        <v>1</v>
      </c>
    </row>
    <row r="156" spans="1:12" ht="12.75" customHeight="1" x14ac:dyDescent="0.4">
      <c r="A156" s="15"/>
      <c r="B156" s="28"/>
      <c r="C156" s="29" t="s">
        <v>101</v>
      </c>
      <c r="D156" s="30"/>
      <c r="E156" s="55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3">
        <f t="shared" si="31"/>
        <v>0</v>
      </c>
    </row>
    <row r="157" spans="1:12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3">
        <f t="shared" si="31"/>
        <v>0</v>
      </c>
    </row>
    <row r="158" spans="1:12" ht="12.75" customHeight="1" x14ac:dyDescent="0.4">
      <c r="A158" s="52"/>
      <c r="B158" s="28"/>
      <c r="C158" s="29" t="s">
        <v>103</v>
      </c>
      <c r="D158" s="30"/>
      <c r="E158" s="56">
        <v>4</v>
      </c>
      <c r="F158" s="53">
        <v>0</v>
      </c>
      <c r="G158" s="53">
        <v>0</v>
      </c>
      <c r="H158" s="53">
        <v>1</v>
      </c>
      <c r="I158" s="53">
        <v>0</v>
      </c>
      <c r="J158" s="53">
        <v>0</v>
      </c>
      <c r="K158" s="53">
        <v>0</v>
      </c>
      <c r="L158" s="13">
        <f t="shared" si="31"/>
        <v>5</v>
      </c>
    </row>
    <row r="159" spans="1:12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1</v>
      </c>
      <c r="K159" s="53">
        <v>0</v>
      </c>
      <c r="L159" s="13">
        <f t="shared" si="31"/>
        <v>1</v>
      </c>
    </row>
    <row r="160" spans="1:12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13">
        <f t="shared" si="31"/>
        <v>0</v>
      </c>
    </row>
    <row r="161" spans="1:12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13">
        <f t="shared" si="31"/>
        <v>0</v>
      </c>
    </row>
    <row r="162" spans="1:12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13">
        <f t="shared" si="31"/>
        <v>0</v>
      </c>
    </row>
    <row r="163" spans="1:12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L163" si="32">SUM(E153:E162)</f>
        <v>9</v>
      </c>
      <c r="F163" s="13">
        <f t="shared" si="32"/>
        <v>0</v>
      </c>
      <c r="G163" s="13">
        <f t="shared" si="32"/>
        <v>0</v>
      </c>
      <c r="H163" s="13">
        <f t="shared" si="32"/>
        <v>2</v>
      </c>
      <c r="I163" s="13">
        <f t="shared" si="32"/>
        <v>0</v>
      </c>
      <c r="J163" s="13">
        <f t="shared" si="32"/>
        <v>3</v>
      </c>
      <c r="K163" s="13">
        <f t="shared" si="32"/>
        <v>1</v>
      </c>
      <c r="L163" s="13">
        <f t="shared" si="32"/>
        <v>15</v>
      </c>
    </row>
    <row r="164" spans="1:12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</row>
    <row r="165" spans="1:12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2</v>
      </c>
      <c r="G165" s="16">
        <v>0</v>
      </c>
      <c r="H165" s="16">
        <v>1</v>
      </c>
      <c r="I165" s="16">
        <v>0</v>
      </c>
      <c r="J165" s="16">
        <v>0</v>
      </c>
      <c r="K165" s="16">
        <v>1</v>
      </c>
      <c r="L165" s="13">
        <f t="shared" ref="L165:L174" si="33">SUM(E165:K165)</f>
        <v>4</v>
      </c>
    </row>
    <row r="166" spans="1:12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13">
        <f t="shared" si="33"/>
        <v>0</v>
      </c>
    </row>
    <row r="167" spans="1:12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13">
        <f t="shared" si="33"/>
        <v>0</v>
      </c>
    </row>
    <row r="168" spans="1:12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13">
        <f t="shared" si="33"/>
        <v>0</v>
      </c>
    </row>
    <row r="169" spans="1:12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13">
        <f t="shared" si="33"/>
        <v>0</v>
      </c>
    </row>
    <row r="170" spans="1:12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13">
        <f t="shared" si="33"/>
        <v>0</v>
      </c>
    </row>
    <row r="171" spans="1:12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13">
        <f t="shared" si="33"/>
        <v>0</v>
      </c>
    </row>
    <row r="172" spans="1:12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13">
        <f t="shared" si="33"/>
        <v>0</v>
      </c>
    </row>
    <row r="173" spans="1:12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13">
        <f t="shared" si="33"/>
        <v>0</v>
      </c>
    </row>
    <row r="174" spans="1:12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13">
        <f t="shared" si="33"/>
        <v>0</v>
      </c>
    </row>
    <row r="175" spans="1:12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L175" si="34">SUM(E165:E174)</f>
        <v>0</v>
      </c>
      <c r="F175" s="13">
        <f t="shared" si="34"/>
        <v>2</v>
      </c>
      <c r="G175" s="13">
        <f t="shared" si="34"/>
        <v>0</v>
      </c>
      <c r="H175" s="13">
        <f t="shared" si="34"/>
        <v>1</v>
      </c>
      <c r="I175" s="13">
        <f t="shared" si="34"/>
        <v>0</v>
      </c>
      <c r="J175" s="13">
        <f t="shared" si="34"/>
        <v>0</v>
      </c>
      <c r="K175" s="13">
        <f t="shared" si="34"/>
        <v>1</v>
      </c>
      <c r="L175" s="13">
        <f t="shared" si="34"/>
        <v>4</v>
      </c>
    </row>
    <row r="176" spans="1:12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</row>
    <row r="177" spans="1:12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0</v>
      </c>
      <c r="F177" s="16">
        <v>0</v>
      </c>
      <c r="G177" s="16">
        <v>2</v>
      </c>
      <c r="H177" s="16">
        <v>1</v>
      </c>
      <c r="I177" s="16">
        <v>0</v>
      </c>
      <c r="J177" s="16">
        <v>0</v>
      </c>
      <c r="K177" s="16">
        <v>0</v>
      </c>
      <c r="L177" s="13">
        <f t="shared" ref="L177:L186" si="35">SUM(E177:K177)</f>
        <v>3</v>
      </c>
    </row>
    <row r="178" spans="1:12" ht="12.75" customHeight="1" x14ac:dyDescent="0.4">
      <c r="A178" s="20" t="s">
        <v>38</v>
      </c>
      <c r="B178" s="28"/>
      <c r="C178" s="29" t="s">
        <v>109</v>
      </c>
      <c r="D178" s="30"/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1</v>
      </c>
      <c r="L178" s="13">
        <f t="shared" si="35"/>
        <v>1</v>
      </c>
    </row>
    <row r="179" spans="1:12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0</v>
      </c>
      <c r="G179" s="16">
        <v>0</v>
      </c>
      <c r="H179" s="16">
        <v>1</v>
      </c>
      <c r="I179" s="16">
        <v>1</v>
      </c>
      <c r="J179" s="16">
        <v>0</v>
      </c>
      <c r="K179" s="16">
        <v>0</v>
      </c>
      <c r="L179" s="13">
        <f t="shared" si="35"/>
        <v>2</v>
      </c>
    </row>
    <row r="180" spans="1:12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0</v>
      </c>
      <c r="G180" s="16">
        <v>0</v>
      </c>
      <c r="H180" s="16">
        <v>1</v>
      </c>
      <c r="I180" s="16">
        <v>0</v>
      </c>
      <c r="J180" s="16">
        <v>0</v>
      </c>
      <c r="K180" s="16">
        <v>0</v>
      </c>
      <c r="L180" s="13">
        <f t="shared" si="35"/>
        <v>1</v>
      </c>
    </row>
    <row r="181" spans="1:12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1</v>
      </c>
      <c r="L181" s="13">
        <f t="shared" si="35"/>
        <v>1</v>
      </c>
    </row>
    <row r="182" spans="1:12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2</v>
      </c>
      <c r="L182" s="13">
        <f t="shared" si="35"/>
        <v>2</v>
      </c>
    </row>
    <row r="183" spans="1:12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3">
        <f t="shared" si="35"/>
        <v>0</v>
      </c>
    </row>
    <row r="184" spans="1:12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13">
        <f t="shared" si="35"/>
        <v>0</v>
      </c>
    </row>
    <row r="185" spans="1:12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13">
        <f t="shared" si="35"/>
        <v>0</v>
      </c>
    </row>
    <row r="186" spans="1:12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13">
        <f t="shared" si="35"/>
        <v>0</v>
      </c>
    </row>
    <row r="187" spans="1:12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L187" si="36">SUM(E177:E186)</f>
        <v>0</v>
      </c>
      <c r="F187" s="13">
        <f t="shared" si="36"/>
        <v>0</v>
      </c>
      <c r="G187" s="13">
        <f t="shared" si="36"/>
        <v>2</v>
      </c>
      <c r="H187" s="13">
        <f t="shared" si="36"/>
        <v>3</v>
      </c>
      <c r="I187" s="13">
        <f t="shared" si="36"/>
        <v>1</v>
      </c>
      <c r="J187" s="13">
        <f t="shared" si="36"/>
        <v>0</v>
      </c>
      <c r="K187" s="13">
        <f t="shared" si="36"/>
        <v>4</v>
      </c>
      <c r="L187" s="13">
        <f t="shared" si="36"/>
        <v>10</v>
      </c>
    </row>
    <row r="188" spans="1:12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13"/>
    </row>
    <row r="189" spans="1:12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0</v>
      </c>
      <c r="F189" s="16">
        <v>1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3">
        <f t="shared" ref="L189:L198" si="37">SUM(E189:K189)</f>
        <v>1</v>
      </c>
    </row>
    <row r="190" spans="1:12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3">
        <f t="shared" si="37"/>
        <v>0</v>
      </c>
    </row>
    <row r="191" spans="1:12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3">
        <f t="shared" si="37"/>
        <v>0</v>
      </c>
    </row>
    <row r="192" spans="1:12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2</v>
      </c>
      <c r="I192" s="16">
        <v>0</v>
      </c>
      <c r="J192" s="16">
        <v>1</v>
      </c>
      <c r="K192" s="16">
        <v>7</v>
      </c>
      <c r="L192" s="13">
        <f t="shared" si="37"/>
        <v>10</v>
      </c>
    </row>
    <row r="193" spans="1:12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3">
        <f t="shared" si="37"/>
        <v>0</v>
      </c>
    </row>
    <row r="194" spans="1:12" ht="12.75" customHeight="1" x14ac:dyDescent="0.4">
      <c r="A194" s="15"/>
      <c r="B194" s="28"/>
      <c r="C194" s="29" t="s">
        <v>121</v>
      </c>
      <c r="D194" s="30"/>
      <c r="E194" s="16">
        <v>1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3">
        <f t="shared" si="37"/>
        <v>1</v>
      </c>
    </row>
    <row r="195" spans="1:12" ht="12.75" customHeight="1" x14ac:dyDescent="0.4">
      <c r="A195" s="15"/>
      <c r="B195" s="28"/>
      <c r="C195" s="29" t="s">
        <v>122</v>
      </c>
      <c r="D195" s="30"/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3">
        <f t="shared" si="37"/>
        <v>0</v>
      </c>
    </row>
    <row r="196" spans="1:12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13">
        <f t="shared" si="37"/>
        <v>0</v>
      </c>
    </row>
    <row r="197" spans="1:12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13">
        <f t="shared" si="37"/>
        <v>0</v>
      </c>
    </row>
    <row r="198" spans="1:12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13">
        <f t="shared" si="37"/>
        <v>0</v>
      </c>
    </row>
    <row r="199" spans="1:12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L199" si="38">SUM(E189:E198)</f>
        <v>1</v>
      </c>
      <c r="F199" s="13">
        <f t="shared" si="38"/>
        <v>1</v>
      </c>
      <c r="G199" s="13">
        <f t="shared" si="38"/>
        <v>0</v>
      </c>
      <c r="H199" s="13">
        <f t="shared" si="38"/>
        <v>2</v>
      </c>
      <c r="I199" s="13">
        <f t="shared" si="38"/>
        <v>0</v>
      </c>
      <c r="J199" s="13">
        <f t="shared" si="38"/>
        <v>1</v>
      </c>
      <c r="K199" s="13">
        <f t="shared" si="38"/>
        <v>7</v>
      </c>
      <c r="L199" s="13">
        <f t="shared" si="38"/>
        <v>12</v>
      </c>
    </row>
    <row r="200" spans="1:12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</row>
    <row r="201" spans="1:12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0</v>
      </c>
      <c r="F201" s="16">
        <v>4</v>
      </c>
      <c r="G201" s="16">
        <v>4</v>
      </c>
      <c r="H201" s="16">
        <v>0</v>
      </c>
      <c r="I201" s="16">
        <v>1</v>
      </c>
      <c r="J201" s="16">
        <v>6</v>
      </c>
      <c r="K201" s="16">
        <v>3</v>
      </c>
      <c r="L201" s="13">
        <f t="shared" ref="L201:L210" si="39">SUM(E201:K201)</f>
        <v>18</v>
      </c>
    </row>
    <row r="202" spans="1:12" ht="12.75" customHeight="1" x14ac:dyDescent="0.4">
      <c r="A202" s="20" t="s">
        <v>38</v>
      </c>
      <c r="B202" s="28"/>
      <c r="C202" s="29" t="s">
        <v>125</v>
      </c>
      <c r="D202" s="30"/>
      <c r="E202" s="16">
        <v>10</v>
      </c>
      <c r="F202" s="16">
        <v>39</v>
      </c>
      <c r="G202" s="16">
        <v>12</v>
      </c>
      <c r="H202" s="16">
        <v>12</v>
      </c>
      <c r="I202" s="16">
        <v>1</v>
      </c>
      <c r="J202" s="16">
        <v>11</v>
      </c>
      <c r="K202" s="16">
        <v>38</v>
      </c>
      <c r="L202" s="13">
        <f t="shared" si="39"/>
        <v>123</v>
      </c>
    </row>
    <row r="203" spans="1:12" ht="12.75" customHeight="1" x14ac:dyDescent="0.4">
      <c r="A203" s="15"/>
      <c r="B203" s="28"/>
      <c r="C203" s="29" t="s">
        <v>126</v>
      </c>
      <c r="D203" s="30"/>
      <c r="E203" s="16">
        <v>1</v>
      </c>
      <c r="F203" s="16">
        <v>3</v>
      </c>
      <c r="G203" s="16">
        <v>1</v>
      </c>
      <c r="H203" s="16">
        <v>0</v>
      </c>
      <c r="I203" s="16">
        <v>1</v>
      </c>
      <c r="J203" s="16">
        <v>0</v>
      </c>
      <c r="K203" s="16">
        <v>3</v>
      </c>
      <c r="L203" s="13">
        <f t="shared" si="39"/>
        <v>9</v>
      </c>
    </row>
    <row r="204" spans="1:12" ht="12.75" customHeight="1" x14ac:dyDescent="0.4">
      <c r="A204" s="15"/>
      <c r="B204" s="28"/>
      <c r="C204" s="29" t="s">
        <v>127</v>
      </c>
      <c r="D204" s="30"/>
      <c r="E204" s="16">
        <v>18</v>
      </c>
      <c r="F204" s="16">
        <v>4</v>
      </c>
      <c r="G204" s="16">
        <v>8</v>
      </c>
      <c r="H204" s="16">
        <v>6</v>
      </c>
      <c r="I204" s="16">
        <v>20</v>
      </c>
      <c r="J204" s="16">
        <v>42</v>
      </c>
      <c r="K204" s="16">
        <v>12</v>
      </c>
      <c r="L204" s="13">
        <f t="shared" si="39"/>
        <v>110</v>
      </c>
    </row>
    <row r="205" spans="1:12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0</v>
      </c>
      <c r="H205" s="16">
        <v>1</v>
      </c>
      <c r="I205" s="16">
        <v>0</v>
      </c>
      <c r="J205" s="16">
        <v>0</v>
      </c>
      <c r="K205" s="16">
        <v>0</v>
      </c>
      <c r="L205" s="13">
        <f t="shared" si="39"/>
        <v>1</v>
      </c>
    </row>
    <row r="206" spans="1:12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1</v>
      </c>
      <c r="G206" s="16">
        <v>0</v>
      </c>
      <c r="H206" s="16">
        <v>0</v>
      </c>
      <c r="I206" s="16">
        <v>0</v>
      </c>
      <c r="J206" s="16">
        <v>0</v>
      </c>
      <c r="K206" s="16">
        <v>1</v>
      </c>
      <c r="L206" s="13">
        <f t="shared" si="39"/>
        <v>2</v>
      </c>
    </row>
    <row r="207" spans="1:12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0</v>
      </c>
      <c r="G207" s="16">
        <v>0</v>
      </c>
      <c r="H207" s="16">
        <v>1</v>
      </c>
      <c r="I207" s="16">
        <v>1</v>
      </c>
      <c r="J207" s="16">
        <v>0</v>
      </c>
      <c r="K207" s="16">
        <v>0</v>
      </c>
      <c r="L207" s="13">
        <f t="shared" si="39"/>
        <v>2</v>
      </c>
    </row>
    <row r="208" spans="1:12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13">
        <f t="shared" si="39"/>
        <v>0</v>
      </c>
    </row>
    <row r="209" spans="1:12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13">
        <f t="shared" si="39"/>
        <v>0</v>
      </c>
    </row>
    <row r="210" spans="1:12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13">
        <f t="shared" si="39"/>
        <v>0</v>
      </c>
    </row>
    <row r="211" spans="1:12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L211" si="40">SUM(E201:E210)</f>
        <v>29</v>
      </c>
      <c r="F211" s="13">
        <f t="shared" si="40"/>
        <v>51</v>
      </c>
      <c r="G211" s="13">
        <f t="shared" si="40"/>
        <v>25</v>
      </c>
      <c r="H211" s="13">
        <f t="shared" si="40"/>
        <v>20</v>
      </c>
      <c r="I211" s="13">
        <f t="shared" si="40"/>
        <v>24</v>
      </c>
      <c r="J211" s="13">
        <f t="shared" si="40"/>
        <v>59</v>
      </c>
      <c r="K211" s="13">
        <f t="shared" si="40"/>
        <v>57</v>
      </c>
      <c r="L211" s="13">
        <f t="shared" si="40"/>
        <v>265</v>
      </c>
    </row>
    <row r="212" spans="1:12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</row>
    <row r="213" spans="1:12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5</v>
      </c>
      <c r="F213" s="16">
        <v>2</v>
      </c>
      <c r="G213" s="16">
        <v>3</v>
      </c>
      <c r="H213" s="16">
        <v>0</v>
      </c>
      <c r="I213" s="16">
        <v>0</v>
      </c>
      <c r="J213" s="16">
        <v>3</v>
      </c>
      <c r="K213" s="16">
        <v>0</v>
      </c>
      <c r="L213" s="13">
        <f t="shared" ref="L213:L222" si="41">SUM(E213:K213)</f>
        <v>13</v>
      </c>
    </row>
    <row r="214" spans="1:12" ht="12.75" customHeight="1" x14ac:dyDescent="0.4">
      <c r="A214" s="20" t="s">
        <v>38</v>
      </c>
      <c r="B214" s="27"/>
      <c r="C214" s="29" t="s">
        <v>133</v>
      </c>
      <c r="D214" s="40"/>
      <c r="E214" s="16">
        <v>2</v>
      </c>
      <c r="F214" s="16">
        <v>0</v>
      </c>
      <c r="G214" s="16">
        <v>0</v>
      </c>
      <c r="H214" s="16">
        <v>3</v>
      </c>
      <c r="I214" s="16">
        <v>1</v>
      </c>
      <c r="J214" s="16">
        <v>0</v>
      </c>
      <c r="K214" s="16">
        <v>3</v>
      </c>
      <c r="L214" s="13">
        <f t="shared" si="41"/>
        <v>9</v>
      </c>
    </row>
    <row r="215" spans="1:12" ht="12.75" customHeight="1" x14ac:dyDescent="0.4">
      <c r="A215" s="15"/>
      <c r="B215" s="27"/>
      <c r="C215" s="29" t="s">
        <v>134</v>
      </c>
      <c r="D215" s="40"/>
      <c r="E215" s="16">
        <v>3</v>
      </c>
      <c r="F215" s="16">
        <v>0</v>
      </c>
      <c r="G215" s="16">
        <v>0</v>
      </c>
      <c r="H215" s="16">
        <v>0</v>
      </c>
      <c r="I215" s="16">
        <v>1</v>
      </c>
      <c r="J215" s="16">
        <v>0</v>
      </c>
      <c r="K215" s="16">
        <v>0</v>
      </c>
      <c r="L215" s="13">
        <f t="shared" si="41"/>
        <v>4</v>
      </c>
    </row>
    <row r="216" spans="1:12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>
        <v>0</v>
      </c>
      <c r="K216" s="16">
        <v>0</v>
      </c>
      <c r="L216" s="13">
        <f t="shared" si="41"/>
        <v>0</v>
      </c>
    </row>
    <row r="217" spans="1:12" ht="12.75" customHeight="1" x14ac:dyDescent="0.4">
      <c r="A217" s="15"/>
      <c r="B217" s="28"/>
      <c r="C217" s="29" t="s">
        <v>136</v>
      </c>
      <c r="D217" s="30"/>
      <c r="E217" s="16">
        <v>1</v>
      </c>
      <c r="F217" s="16">
        <v>0</v>
      </c>
      <c r="G217" s="16">
        <v>1</v>
      </c>
      <c r="H217" s="16">
        <v>0</v>
      </c>
      <c r="I217" s="16">
        <v>0</v>
      </c>
      <c r="J217" s="16">
        <v>0</v>
      </c>
      <c r="K217" s="16">
        <v>0</v>
      </c>
      <c r="L217" s="13">
        <f t="shared" si="41"/>
        <v>2</v>
      </c>
    </row>
    <row r="218" spans="1:12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0</v>
      </c>
      <c r="G218" s="16">
        <v>0</v>
      </c>
      <c r="H218" s="16">
        <v>0</v>
      </c>
      <c r="I218" s="16">
        <v>0</v>
      </c>
      <c r="J218" s="16">
        <v>1</v>
      </c>
      <c r="K218" s="16">
        <v>0</v>
      </c>
      <c r="L218" s="13">
        <f t="shared" si="41"/>
        <v>1</v>
      </c>
    </row>
    <row r="219" spans="1:12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13">
        <f t="shared" si="41"/>
        <v>0</v>
      </c>
    </row>
    <row r="220" spans="1:12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13">
        <f t="shared" si="41"/>
        <v>0</v>
      </c>
    </row>
    <row r="221" spans="1:12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13">
        <f t="shared" si="41"/>
        <v>0</v>
      </c>
    </row>
    <row r="222" spans="1:12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13">
        <f t="shared" si="41"/>
        <v>0</v>
      </c>
    </row>
    <row r="223" spans="1:12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L223" si="42">SUM(E213:E222)</f>
        <v>11</v>
      </c>
      <c r="F223" s="13">
        <f t="shared" si="42"/>
        <v>2</v>
      </c>
      <c r="G223" s="13">
        <f t="shared" si="42"/>
        <v>4</v>
      </c>
      <c r="H223" s="13">
        <f t="shared" si="42"/>
        <v>3</v>
      </c>
      <c r="I223" s="13">
        <f t="shared" si="42"/>
        <v>2</v>
      </c>
      <c r="J223" s="13">
        <f t="shared" si="42"/>
        <v>4</v>
      </c>
      <c r="K223" s="13">
        <f t="shared" si="42"/>
        <v>3</v>
      </c>
      <c r="L223" s="13">
        <f t="shared" si="42"/>
        <v>29</v>
      </c>
    </row>
    <row r="224" spans="1:12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</row>
    <row r="225" spans="1:12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1</v>
      </c>
      <c r="G225" s="16">
        <v>0</v>
      </c>
      <c r="H225" s="16">
        <v>0</v>
      </c>
      <c r="I225" s="16">
        <v>0</v>
      </c>
      <c r="J225" s="16">
        <v>0</v>
      </c>
      <c r="K225" s="16">
        <v>0</v>
      </c>
      <c r="L225" s="13">
        <f t="shared" ref="L225:L234" si="43">SUM(E225:K225)</f>
        <v>1</v>
      </c>
    </row>
    <row r="226" spans="1:12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0</v>
      </c>
      <c r="L226" s="13">
        <f t="shared" si="43"/>
        <v>0</v>
      </c>
    </row>
    <row r="227" spans="1:12" ht="12.75" customHeight="1" x14ac:dyDescent="0.4">
      <c r="A227" s="15"/>
      <c r="B227" s="27"/>
      <c r="C227" s="29" t="s">
        <v>141</v>
      </c>
      <c r="D227" s="40"/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3">
        <f t="shared" si="43"/>
        <v>0</v>
      </c>
    </row>
    <row r="228" spans="1:12" ht="12.75" customHeight="1" x14ac:dyDescent="0.4">
      <c r="A228" s="15"/>
      <c r="B228" s="27"/>
      <c r="C228" s="29" t="s">
        <v>142</v>
      </c>
      <c r="D228" s="40"/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3">
        <f t="shared" si="43"/>
        <v>0</v>
      </c>
    </row>
    <row r="229" spans="1:12" ht="12.75" customHeight="1" x14ac:dyDescent="0.4">
      <c r="A229" s="15"/>
      <c r="B229" s="28"/>
      <c r="C229" s="29" t="s">
        <v>143</v>
      </c>
      <c r="D229" s="30"/>
      <c r="E229" s="16">
        <v>1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3">
        <f t="shared" si="43"/>
        <v>1</v>
      </c>
    </row>
    <row r="230" spans="1:12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2</v>
      </c>
      <c r="G230" s="16">
        <v>1</v>
      </c>
      <c r="H230" s="16">
        <v>0</v>
      </c>
      <c r="I230" s="16">
        <v>0</v>
      </c>
      <c r="J230" s="16">
        <v>0</v>
      </c>
      <c r="K230" s="16">
        <v>2</v>
      </c>
      <c r="L230" s="13">
        <f t="shared" si="43"/>
        <v>5</v>
      </c>
    </row>
    <row r="231" spans="1:12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2</v>
      </c>
      <c r="I231" s="16">
        <v>0</v>
      </c>
      <c r="J231" s="16">
        <v>0</v>
      </c>
      <c r="K231" s="16">
        <v>0</v>
      </c>
      <c r="L231" s="13">
        <f t="shared" si="43"/>
        <v>2</v>
      </c>
    </row>
    <row r="232" spans="1:12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13">
        <f t="shared" si="43"/>
        <v>0</v>
      </c>
    </row>
    <row r="233" spans="1:12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13">
        <f t="shared" si="43"/>
        <v>0</v>
      </c>
    </row>
    <row r="234" spans="1:12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13">
        <f t="shared" si="43"/>
        <v>0</v>
      </c>
    </row>
    <row r="235" spans="1:12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L235" si="44">SUM(E225:E234)</f>
        <v>1</v>
      </c>
      <c r="F235" s="13">
        <f t="shared" si="44"/>
        <v>3</v>
      </c>
      <c r="G235" s="13">
        <f t="shared" si="44"/>
        <v>1</v>
      </c>
      <c r="H235" s="13">
        <f t="shared" si="44"/>
        <v>2</v>
      </c>
      <c r="I235" s="13">
        <f t="shared" si="44"/>
        <v>0</v>
      </c>
      <c r="J235" s="13">
        <f t="shared" si="44"/>
        <v>0</v>
      </c>
      <c r="K235" s="13">
        <f t="shared" si="44"/>
        <v>2</v>
      </c>
      <c r="L235" s="13">
        <f t="shared" si="44"/>
        <v>9</v>
      </c>
    </row>
    <row r="236" spans="1:12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</row>
    <row r="237" spans="1:12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0</v>
      </c>
      <c r="G237" s="16">
        <v>0</v>
      </c>
      <c r="H237" s="16">
        <v>0</v>
      </c>
      <c r="I237" s="16">
        <v>1</v>
      </c>
      <c r="J237" s="16">
        <v>0</v>
      </c>
      <c r="K237" s="16">
        <v>4</v>
      </c>
      <c r="L237" s="13">
        <f t="shared" ref="L237:L246" si="45">SUM(E237:K237)</f>
        <v>5</v>
      </c>
    </row>
    <row r="238" spans="1:12" ht="12.75" customHeight="1" x14ac:dyDescent="0.4">
      <c r="A238" s="20" t="s">
        <v>38</v>
      </c>
      <c r="B238" s="28"/>
      <c r="C238" s="29" t="s">
        <v>148</v>
      </c>
      <c r="D238" s="30"/>
      <c r="E238" s="16">
        <v>1</v>
      </c>
      <c r="F238" s="16">
        <v>0</v>
      </c>
      <c r="G238" s="16">
        <v>0</v>
      </c>
      <c r="H238" s="16">
        <v>0</v>
      </c>
      <c r="I238" s="16">
        <v>0</v>
      </c>
      <c r="J238" s="16">
        <v>0</v>
      </c>
      <c r="K238" s="16">
        <v>0</v>
      </c>
      <c r="L238" s="13">
        <f t="shared" si="45"/>
        <v>1</v>
      </c>
    </row>
    <row r="239" spans="1:12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1</v>
      </c>
      <c r="G239" s="16">
        <v>1</v>
      </c>
      <c r="H239" s="16">
        <v>0</v>
      </c>
      <c r="I239" s="16">
        <v>0</v>
      </c>
      <c r="J239" s="16">
        <v>0</v>
      </c>
      <c r="K239" s="16">
        <v>0</v>
      </c>
      <c r="L239" s="13">
        <f t="shared" si="45"/>
        <v>2</v>
      </c>
    </row>
    <row r="240" spans="1:12" ht="12.75" customHeight="1" x14ac:dyDescent="0.4">
      <c r="A240" s="15"/>
      <c r="B240" s="28"/>
      <c r="C240" s="29" t="s">
        <v>150</v>
      </c>
      <c r="D240" s="30"/>
      <c r="E240" s="16">
        <v>4</v>
      </c>
      <c r="F240" s="16">
        <v>0</v>
      </c>
      <c r="G240" s="16">
        <v>0</v>
      </c>
      <c r="H240" s="16">
        <v>0</v>
      </c>
      <c r="I240" s="16">
        <v>0</v>
      </c>
      <c r="J240" s="16">
        <v>1</v>
      </c>
      <c r="K240" s="16">
        <v>2</v>
      </c>
      <c r="L240" s="13">
        <f t="shared" si="45"/>
        <v>7</v>
      </c>
    </row>
    <row r="241" spans="1:12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0</v>
      </c>
      <c r="G241" s="16">
        <v>0</v>
      </c>
      <c r="H241" s="16">
        <v>0</v>
      </c>
      <c r="I241" s="16">
        <v>1</v>
      </c>
      <c r="J241" s="16">
        <v>0</v>
      </c>
      <c r="K241" s="16">
        <v>1</v>
      </c>
      <c r="L241" s="13">
        <f t="shared" si="45"/>
        <v>2</v>
      </c>
    </row>
    <row r="242" spans="1:12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3">
        <f t="shared" si="45"/>
        <v>0</v>
      </c>
    </row>
    <row r="243" spans="1:12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3">
        <f t="shared" si="45"/>
        <v>0</v>
      </c>
    </row>
    <row r="244" spans="1:12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13">
        <f t="shared" si="45"/>
        <v>0</v>
      </c>
    </row>
    <row r="245" spans="1:12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13">
        <f t="shared" si="45"/>
        <v>0</v>
      </c>
    </row>
    <row r="246" spans="1:12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13">
        <f t="shared" si="45"/>
        <v>0</v>
      </c>
    </row>
    <row r="247" spans="1:12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L247" si="46">SUM(E237:E246)</f>
        <v>5</v>
      </c>
      <c r="F247" s="13">
        <f t="shared" si="46"/>
        <v>1</v>
      </c>
      <c r="G247" s="13">
        <f t="shared" si="46"/>
        <v>1</v>
      </c>
      <c r="H247" s="13">
        <f t="shared" si="46"/>
        <v>0</v>
      </c>
      <c r="I247" s="13">
        <f t="shared" si="46"/>
        <v>2</v>
      </c>
      <c r="J247" s="13">
        <f t="shared" si="46"/>
        <v>1</v>
      </c>
      <c r="K247" s="13">
        <f t="shared" si="46"/>
        <v>7</v>
      </c>
      <c r="L247" s="13">
        <f t="shared" si="46"/>
        <v>17</v>
      </c>
    </row>
    <row r="248" spans="1:12" ht="12.75" customHeight="1" x14ac:dyDescent="0.4">
      <c r="A248" s="63"/>
      <c r="B248" s="61"/>
      <c r="C248" s="61"/>
      <c r="D248" s="61"/>
      <c r="E248" s="62"/>
    </row>
    <row r="249" spans="1:12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0</v>
      </c>
      <c r="G249" s="16">
        <v>0</v>
      </c>
      <c r="H249" s="16">
        <v>0</v>
      </c>
      <c r="I249" s="16">
        <v>1</v>
      </c>
      <c r="J249" s="16">
        <v>0</v>
      </c>
      <c r="K249" s="16">
        <v>0</v>
      </c>
      <c r="L249" s="13">
        <f t="shared" ref="L249:L258" si="47">SUM(E249:K249)</f>
        <v>1</v>
      </c>
    </row>
    <row r="250" spans="1:12" ht="12.75" customHeight="1" x14ac:dyDescent="0.4">
      <c r="A250" s="20" t="s">
        <v>38</v>
      </c>
      <c r="B250" s="27"/>
      <c r="C250" s="29" t="s">
        <v>156</v>
      </c>
      <c r="D250" s="40"/>
      <c r="E250" s="16">
        <v>0</v>
      </c>
      <c r="F250" s="16">
        <v>0</v>
      </c>
      <c r="G250" s="16">
        <v>0</v>
      </c>
      <c r="H250" s="16">
        <v>0</v>
      </c>
      <c r="I250" s="16">
        <v>1</v>
      </c>
      <c r="J250" s="16">
        <v>1</v>
      </c>
      <c r="K250" s="16">
        <v>0</v>
      </c>
      <c r="L250" s="13">
        <f t="shared" si="47"/>
        <v>2</v>
      </c>
    </row>
    <row r="251" spans="1:12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3">
        <f t="shared" si="47"/>
        <v>0</v>
      </c>
    </row>
    <row r="252" spans="1:12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3">
        <f t="shared" si="47"/>
        <v>0</v>
      </c>
    </row>
    <row r="253" spans="1:12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0</v>
      </c>
      <c r="L253" s="13">
        <f t="shared" si="47"/>
        <v>0</v>
      </c>
    </row>
    <row r="254" spans="1:12" ht="12.75" customHeight="1" x14ac:dyDescent="0.4">
      <c r="A254" s="52"/>
      <c r="B254" s="35"/>
      <c r="C254" s="44"/>
      <c r="D254" s="39"/>
      <c r="E254" s="53">
        <v>0</v>
      </c>
      <c r="F254" s="53">
        <v>0</v>
      </c>
      <c r="G254" s="53">
        <v>0</v>
      </c>
      <c r="H254" s="53">
        <v>0</v>
      </c>
      <c r="I254" s="53">
        <v>0</v>
      </c>
      <c r="J254" s="53">
        <v>0</v>
      </c>
      <c r="K254" s="53">
        <v>0</v>
      </c>
      <c r="L254" s="13">
        <f t="shared" si="47"/>
        <v>0</v>
      </c>
    </row>
    <row r="255" spans="1:12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13">
        <f t="shared" si="47"/>
        <v>0</v>
      </c>
    </row>
    <row r="256" spans="1:12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13">
        <f t="shared" si="47"/>
        <v>0</v>
      </c>
    </row>
    <row r="257" spans="1:12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13">
        <f t="shared" si="47"/>
        <v>0</v>
      </c>
    </row>
    <row r="258" spans="1:12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13">
        <f t="shared" si="47"/>
        <v>0</v>
      </c>
    </row>
    <row r="259" spans="1:12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L259" si="48">SUM(E249:E258)</f>
        <v>0</v>
      </c>
      <c r="F259" s="13">
        <f t="shared" si="48"/>
        <v>0</v>
      </c>
      <c r="G259" s="13">
        <f t="shared" si="48"/>
        <v>0</v>
      </c>
      <c r="H259" s="13">
        <f t="shared" si="48"/>
        <v>0</v>
      </c>
      <c r="I259" s="13">
        <f t="shared" si="48"/>
        <v>2</v>
      </c>
      <c r="J259" s="13">
        <f t="shared" si="48"/>
        <v>1</v>
      </c>
      <c r="K259" s="13">
        <f t="shared" si="48"/>
        <v>0</v>
      </c>
      <c r="L259" s="13">
        <f t="shared" si="48"/>
        <v>3</v>
      </c>
    </row>
    <row r="260" spans="1:12" ht="12.75" customHeight="1" x14ac:dyDescent="0.4"/>
    <row r="261" spans="1:12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</row>
    <row r="262" spans="1:12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K262" si="49">E55+E67+E79+E91+E103+E115+E127+E139+E151+E163+E175+E187+E199+E211+E223+E235+E247+E259</f>
        <v>194</v>
      </c>
      <c r="F262" s="16">
        <f t="shared" si="49"/>
        <v>146</v>
      </c>
      <c r="G262" s="16">
        <f t="shared" si="49"/>
        <v>145</v>
      </c>
      <c r="H262" s="16">
        <f t="shared" si="49"/>
        <v>182</v>
      </c>
      <c r="I262" s="16">
        <f t="shared" si="49"/>
        <v>154</v>
      </c>
      <c r="J262" s="16">
        <f t="shared" si="49"/>
        <v>164</v>
      </c>
      <c r="K262" s="16">
        <f t="shared" si="49"/>
        <v>193</v>
      </c>
      <c r="L262" s="13">
        <f t="shared" ref="L262:L264" si="50">SUM(E262:K262)</f>
        <v>1178</v>
      </c>
    </row>
    <row r="263" spans="1:12" ht="12.75" customHeight="1" x14ac:dyDescent="0.4">
      <c r="A263" s="22"/>
      <c r="B263" s="45" t="s">
        <v>164</v>
      </c>
      <c r="C263" s="71" t="s">
        <v>165</v>
      </c>
      <c r="D263" s="62"/>
      <c r="E263" s="16">
        <v>19</v>
      </c>
      <c r="F263" s="16">
        <v>15</v>
      </c>
      <c r="G263" s="16">
        <v>17</v>
      </c>
      <c r="H263" s="16">
        <v>20</v>
      </c>
      <c r="I263" s="16">
        <v>15</v>
      </c>
      <c r="J263" s="16">
        <v>12</v>
      </c>
      <c r="K263" s="16">
        <v>18</v>
      </c>
      <c r="L263" s="13">
        <f t="shared" si="50"/>
        <v>116</v>
      </c>
    </row>
    <row r="264" spans="1:12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K264" si="51">SUM(E262:E263)</f>
        <v>213</v>
      </c>
      <c r="F264" s="13">
        <f t="shared" si="51"/>
        <v>161</v>
      </c>
      <c r="G264" s="13">
        <f t="shared" si="51"/>
        <v>162</v>
      </c>
      <c r="H264" s="13">
        <f t="shared" si="51"/>
        <v>202</v>
      </c>
      <c r="I264" s="13">
        <f t="shared" si="51"/>
        <v>169</v>
      </c>
      <c r="J264" s="13">
        <f t="shared" si="51"/>
        <v>176</v>
      </c>
      <c r="K264" s="13">
        <f t="shared" si="51"/>
        <v>211</v>
      </c>
      <c r="L264" s="13">
        <f t="shared" si="50"/>
        <v>1294</v>
      </c>
    </row>
    <row r="265" spans="1:12" ht="12.75" customHeight="1" x14ac:dyDescent="0.4"/>
    <row r="266" spans="1:12" ht="12.75" customHeight="1" x14ac:dyDescent="0.4"/>
    <row r="267" spans="1:12" ht="12.75" customHeight="1" x14ac:dyDescent="0.4"/>
    <row r="268" spans="1:12" ht="12.75" customHeight="1" x14ac:dyDescent="0.4"/>
    <row r="269" spans="1:12" ht="12.75" customHeight="1" x14ac:dyDescent="0.4"/>
    <row r="270" spans="1:12" ht="12.75" customHeight="1" x14ac:dyDescent="0.4"/>
    <row r="271" spans="1:12" ht="12.75" customHeight="1" x14ac:dyDescent="0.4"/>
    <row r="272" spans="1:12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K12"/>
    <mergeCell ref="L12:L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4:K15">
    <cfRule type="containsBlanks" dxfId="56" priority="1">
      <formula>LEN(TRIM(E14))=0</formula>
    </cfRule>
  </conditionalFormatting>
  <conditionalFormatting sqref="E19:K20">
    <cfRule type="containsBlanks" dxfId="55" priority="2">
      <formula>LEN(TRIM(E19))=0</formula>
    </cfRule>
  </conditionalFormatting>
  <conditionalFormatting sqref="E22:K23 E25:K26 E33:K33 E35:K35 E39:K40">
    <cfRule type="containsBlanks" dxfId="54" priority="3">
      <formula>LEN(TRIM(E22))=0</formula>
    </cfRule>
  </conditionalFormatting>
  <conditionalFormatting sqref="E30:K30">
    <cfRule type="expression" dxfId="53" priority="4">
      <formula>E30&lt;&gt;E47</formula>
    </cfRule>
    <cfRule type="expression" dxfId="52" priority="5">
      <formula>E30&lt;&gt;E34</formula>
    </cfRule>
  </conditionalFormatting>
  <conditionalFormatting sqref="E34:K34">
    <cfRule type="expression" dxfId="51" priority="6">
      <formula>E30&lt;&gt;E34</formula>
    </cfRule>
    <cfRule type="expression" dxfId="50" priority="7">
      <formula>E30=E34</formula>
    </cfRule>
    <cfRule type="expression" dxfId="49" priority="8">
      <formula>E34&lt;&gt;E30</formula>
    </cfRule>
    <cfRule type="expression" dxfId="48" priority="9">
      <formula>E34&lt;&gt;E64</formula>
    </cfRule>
  </conditionalFormatting>
  <conditionalFormatting sqref="E45:K54">
    <cfRule type="containsBlanks" dxfId="47" priority="10">
      <formula>LEN(TRIM(E45))=0</formula>
    </cfRule>
  </conditionalFormatting>
  <conditionalFormatting sqref="E57:K66">
    <cfRule type="containsBlanks" dxfId="46" priority="11">
      <formula>LEN(TRIM(E57))=0</formula>
    </cfRule>
  </conditionalFormatting>
  <conditionalFormatting sqref="E69:K78">
    <cfRule type="containsBlanks" dxfId="45" priority="12">
      <formula>LEN(TRIM(E69))=0</formula>
    </cfRule>
  </conditionalFormatting>
  <conditionalFormatting sqref="E81:K90">
    <cfRule type="containsBlanks" dxfId="44" priority="13">
      <formula>LEN(TRIM(E81))=0</formula>
    </cfRule>
  </conditionalFormatting>
  <conditionalFormatting sqref="E93:K102">
    <cfRule type="containsBlanks" dxfId="43" priority="14">
      <formula>LEN(TRIM(E93))=0</formula>
    </cfRule>
  </conditionalFormatting>
  <conditionalFormatting sqref="E105:K114">
    <cfRule type="containsBlanks" dxfId="42" priority="15">
      <formula>LEN(TRIM(E105))=0</formula>
    </cfRule>
  </conditionalFormatting>
  <conditionalFormatting sqref="E117:K126">
    <cfRule type="containsBlanks" dxfId="41" priority="16">
      <formula>LEN(TRIM(E117))=0</formula>
    </cfRule>
  </conditionalFormatting>
  <conditionalFormatting sqref="E129:K138">
    <cfRule type="containsBlanks" dxfId="40" priority="17">
      <formula>LEN(TRIM(E129))=0</formula>
    </cfRule>
  </conditionalFormatting>
  <conditionalFormatting sqref="E141:K150">
    <cfRule type="containsBlanks" dxfId="39" priority="18">
      <formula>LEN(TRIM(E141))=0</formula>
    </cfRule>
  </conditionalFormatting>
  <conditionalFormatting sqref="E153:K162">
    <cfRule type="containsBlanks" dxfId="38" priority="19">
      <formula>LEN(TRIM(E153))=0</formula>
    </cfRule>
  </conditionalFormatting>
  <conditionalFormatting sqref="E165:K174">
    <cfRule type="containsBlanks" dxfId="37" priority="20">
      <formula>LEN(TRIM(E165))=0</formula>
    </cfRule>
  </conditionalFormatting>
  <conditionalFormatting sqref="E177:K186">
    <cfRule type="containsBlanks" dxfId="36" priority="21">
      <formula>LEN(TRIM(E177))=0</formula>
    </cfRule>
  </conditionalFormatting>
  <conditionalFormatting sqref="E189:K198">
    <cfRule type="containsBlanks" dxfId="35" priority="22">
      <formula>LEN(TRIM(E189))=0</formula>
    </cfRule>
  </conditionalFormatting>
  <conditionalFormatting sqref="E201:K210">
    <cfRule type="containsBlanks" dxfId="34" priority="23">
      <formula>LEN(TRIM(E201))=0</formula>
    </cfRule>
  </conditionalFormatting>
  <conditionalFormatting sqref="E213:K222">
    <cfRule type="containsBlanks" dxfId="33" priority="24">
      <formula>LEN(TRIM(E213))=0</formula>
    </cfRule>
  </conditionalFormatting>
  <conditionalFormatting sqref="E225:K234">
    <cfRule type="containsBlanks" dxfId="32" priority="25">
      <formula>LEN(TRIM(E225))=0</formula>
    </cfRule>
  </conditionalFormatting>
  <conditionalFormatting sqref="E237:K246">
    <cfRule type="containsBlanks" dxfId="31" priority="26">
      <formula>LEN(TRIM(E237))=0</formula>
    </cfRule>
  </conditionalFormatting>
  <conditionalFormatting sqref="E249:K258">
    <cfRule type="containsBlanks" dxfId="30" priority="27">
      <formula>LEN(TRIM(E249))=0</formula>
    </cfRule>
  </conditionalFormatting>
  <conditionalFormatting sqref="E262:K263">
    <cfRule type="containsBlanks" dxfId="29" priority="28">
      <formula>LEN(TRIM(E262))=0</formula>
    </cfRule>
  </conditionalFormatting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</sheetPr>
  <dimension ref="A1:AD1000"/>
  <sheetViews>
    <sheetView topLeftCell="U1" workbookViewId="0">
      <pane ySplit="13" topLeftCell="A223" activePane="bottomLeft" state="frozen"/>
      <selection pane="bottomLeft" activeCell="AB233" sqref="AB233"/>
    </sheetView>
  </sheetViews>
  <sheetFormatPr defaultColWidth="14.42578125" defaultRowHeight="15" customHeight="1" x14ac:dyDescent="0.4"/>
  <cols>
    <col min="1" max="2" width="8.7109375" customWidth="1"/>
    <col min="3" max="3" width="67.140625" customWidth="1"/>
    <col min="4" max="4" width="5.85546875" customWidth="1"/>
    <col min="5" max="29" width="8.7109375" customWidth="1"/>
    <col min="30" max="30" width="13.28515625" customWidth="1"/>
  </cols>
  <sheetData>
    <row r="1" spans="1:30" ht="12.75" customHeight="1" x14ac:dyDescent="0.4"/>
    <row r="2" spans="1:30" ht="12.75" customHeight="1" x14ac:dyDescent="0.4">
      <c r="C2" s="8" t="s">
        <v>0</v>
      </c>
      <c r="D2" s="8" t="s">
        <v>1</v>
      </c>
    </row>
    <row r="3" spans="1:30" ht="12.75" customHeight="1" x14ac:dyDescent="0.4">
      <c r="C3" s="8" t="s">
        <v>2</v>
      </c>
      <c r="D3" s="8" t="s">
        <v>1</v>
      </c>
    </row>
    <row r="4" spans="1:30" ht="12.75" customHeight="1" x14ac:dyDescent="0.4">
      <c r="C4" s="8" t="s">
        <v>3</v>
      </c>
      <c r="D4" s="8" t="s">
        <v>4</v>
      </c>
    </row>
    <row r="5" spans="1:30" ht="12.75" customHeight="1" x14ac:dyDescent="0.4">
      <c r="C5" s="8"/>
      <c r="D5" s="8"/>
    </row>
    <row r="6" spans="1:30" ht="12.75" customHeight="1" x14ac:dyDescent="0.4">
      <c r="C6" s="8"/>
      <c r="D6" s="8"/>
    </row>
    <row r="7" spans="1:30" ht="12.75" customHeight="1" x14ac:dyDescent="0.4">
      <c r="C7" s="8"/>
      <c r="D7" s="8"/>
    </row>
    <row r="8" spans="1:30" ht="12.75" customHeight="1" x14ac:dyDescent="0.4">
      <c r="C8" s="8"/>
      <c r="D8" s="8"/>
    </row>
    <row r="9" spans="1:30" ht="12.75" customHeight="1" x14ac:dyDescent="0.4">
      <c r="C9" s="8" t="s">
        <v>168</v>
      </c>
      <c r="D9" s="8" t="s">
        <v>217</v>
      </c>
    </row>
    <row r="10" spans="1:30" ht="12.75" customHeight="1" x14ac:dyDescent="0.4"/>
    <row r="11" spans="1:30" ht="12.75" customHeight="1" x14ac:dyDescent="0.4">
      <c r="A11" s="1"/>
      <c r="B11" s="12"/>
      <c r="C11" s="12"/>
      <c r="D11" s="12"/>
      <c r="E11" s="1"/>
      <c r="F11" s="1"/>
      <c r="G11" s="1"/>
      <c r="H11" s="1"/>
      <c r="I11" s="1"/>
      <c r="J11" s="1"/>
      <c r="K11" s="1"/>
      <c r="L11" s="1"/>
      <c r="M11" s="1"/>
      <c r="N11" s="2"/>
      <c r="T11" s="1"/>
      <c r="U11" s="1"/>
      <c r="V11" s="1"/>
      <c r="W11" s="1"/>
      <c r="X11" s="2"/>
      <c r="Y11" s="1"/>
      <c r="Z11" s="1"/>
      <c r="AA11" s="1"/>
      <c r="AB11" s="2"/>
    </row>
    <row r="12" spans="1:30" ht="12.75" customHeight="1" x14ac:dyDescent="0.4">
      <c r="A12" s="13" t="s">
        <v>5</v>
      </c>
      <c r="B12" s="70" t="s">
        <v>6</v>
      </c>
      <c r="C12" s="61"/>
      <c r="D12" s="62"/>
      <c r="E12" s="89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90" t="s">
        <v>7</v>
      </c>
    </row>
    <row r="13" spans="1:30" ht="12.75" customHeight="1" x14ac:dyDescent="0.4">
      <c r="A13" s="16" t="s">
        <v>8</v>
      </c>
      <c r="B13" s="74" t="s">
        <v>9</v>
      </c>
      <c r="C13" s="61"/>
      <c r="D13" s="62"/>
      <c r="E13" s="13" t="s">
        <v>170</v>
      </c>
      <c r="F13" s="13" t="s">
        <v>171</v>
      </c>
      <c r="G13" s="13" t="s">
        <v>172</v>
      </c>
      <c r="H13" s="13" t="s">
        <v>173</v>
      </c>
      <c r="I13" s="13" t="s">
        <v>174</v>
      </c>
      <c r="J13" s="13" t="s">
        <v>175</v>
      </c>
      <c r="K13" s="13" t="s">
        <v>176</v>
      </c>
      <c r="L13" s="13" t="s">
        <v>177</v>
      </c>
      <c r="M13" s="13" t="s">
        <v>178</v>
      </c>
      <c r="N13" s="13" t="s">
        <v>179</v>
      </c>
      <c r="O13" s="13" t="s">
        <v>180</v>
      </c>
      <c r="P13" s="13" t="s">
        <v>183</v>
      </c>
      <c r="Q13" s="13" t="s">
        <v>184</v>
      </c>
      <c r="R13" s="13" t="s">
        <v>185</v>
      </c>
      <c r="S13" s="13" t="s">
        <v>186</v>
      </c>
      <c r="T13" s="13" t="s">
        <v>187</v>
      </c>
      <c r="U13" s="13" t="s">
        <v>188</v>
      </c>
      <c r="V13" s="13" t="s">
        <v>189</v>
      </c>
      <c r="W13" s="13" t="s">
        <v>190</v>
      </c>
      <c r="X13" s="13" t="s">
        <v>191</v>
      </c>
      <c r="Y13" s="13" t="s">
        <v>192</v>
      </c>
      <c r="Z13" s="13" t="s">
        <v>193</v>
      </c>
      <c r="AA13" s="13" t="s">
        <v>194</v>
      </c>
      <c r="AB13" s="13" t="s">
        <v>195</v>
      </c>
      <c r="AC13" s="13" t="s">
        <v>196</v>
      </c>
      <c r="AD13" s="80"/>
    </row>
    <row r="14" spans="1:30" ht="12.75" customHeight="1" x14ac:dyDescent="0.4">
      <c r="A14" s="15"/>
      <c r="B14" s="75" t="s">
        <v>10</v>
      </c>
      <c r="C14" s="66"/>
      <c r="D14" s="16" t="s">
        <v>11</v>
      </c>
      <c r="E14" s="16">
        <v>136</v>
      </c>
      <c r="F14" s="16">
        <v>143</v>
      </c>
      <c r="G14" s="16">
        <v>115</v>
      </c>
      <c r="H14" s="16">
        <v>142</v>
      </c>
      <c r="I14" s="16">
        <v>126</v>
      </c>
      <c r="J14" s="16">
        <v>133</v>
      </c>
      <c r="K14" s="16">
        <v>129</v>
      </c>
      <c r="L14" s="16">
        <v>113</v>
      </c>
      <c r="M14" s="16">
        <v>130</v>
      </c>
      <c r="N14" s="16">
        <v>111</v>
      </c>
      <c r="O14" s="16">
        <v>120</v>
      </c>
      <c r="P14" s="16">
        <v>120</v>
      </c>
      <c r="Q14" s="16">
        <v>132</v>
      </c>
      <c r="R14" s="16">
        <v>129</v>
      </c>
      <c r="S14" s="16">
        <v>134</v>
      </c>
      <c r="T14" s="16">
        <v>136</v>
      </c>
      <c r="U14" s="16">
        <v>132</v>
      </c>
      <c r="V14" s="16">
        <v>133</v>
      </c>
      <c r="W14" s="16">
        <v>124</v>
      </c>
      <c r="X14" s="16">
        <v>135</v>
      </c>
      <c r="Y14" s="16">
        <v>127</v>
      </c>
      <c r="Z14" s="16">
        <v>142</v>
      </c>
      <c r="AA14" s="16">
        <v>120</v>
      </c>
      <c r="AB14" s="16">
        <v>148</v>
      </c>
      <c r="AC14" s="16">
        <v>126</v>
      </c>
      <c r="AD14" s="13">
        <f t="shared" ref="AD14:AD16" si="0">SUM(E14:AC14)</f>
        <v>3236</v>
      </c>
    </row>
    <row r="15" spans="1:30" ht="12.75" customHeight="1" x14ac:dyDescent="0.4">
      <c r="A15" s="15"/>
      <c r="B15" s="76"/>
      <c r="C15" s="77"/>
      <c r="D15" s="16" t="s">
        <v>12</v>
      </c>
      <c r="E15" s="16">
        <v>151</v>
      </c>
      <c r="F15" s="16">
        <v>147</v>
      </c>
      <c r="G15" s="16">
        <v>121</v>
      </c>
      <c r="H15" s="16">
        <v>138</v>
      </c>
      <c r="I15" s="16">
        <v>142</v>
      </c>
      <c r="J15" s="16">
        <v>138</v>
      </c>
      <c r="K15" s="16">
        <v>125</v>
      </c>
      <c r="L15" s="16">
        <v>127</v>
      </c>
      <c r="M15" s="16">
        <v>137</v>
      </c>
      <c r="N15" s="16">
        <v>125</v>
      </c>
      <c r="O15" s="16">
        <v>128</v>
      </c>
      <c r="P15" s="16">
        <v>147</v>
      </c>
      <c r="Q15" s="16">
        <v>129</v>
      </c>
      <c r="R15" s="16">
        <v>140</v>
      </c>
      <c r="S15" s="16">
        <v>149</v>
      </c>
      <c r="T15" s="16">
        <v>143</v>
      </c>
      <c r="U15" s="16">
        <v>148</v>
      </c>
      <c r="V15" s="16">
        <v>143</v>
      </c>
      <c r="W15" s="16">
        <v>144</v>
      </c>
      <c r="X15" s="16">
        <v>145</v>
      </c>
      <c r="Y15" s="16">
        <v>133</v>
      </c>
      <c r="Z15" s="16">
        <v>153</v>
      </c>
      <c r="AA15" s="16">
        <v>126</v>
      </c>
      <c r="AB15" s="16">
        <v>129</v>
      </c>
      <c r="AC15" s="16">
        <v>139</v>
      </c>
      <c r="AD15" s="13">
        <f t="shared" si="0"/>
        <v>3447</v>
      </c>
    </row>
    <row r="16" spans="1:30" ht="12.75" customHeight="1" x14ac:dyDescent="0.4">
      <c r="A16" s="18"/>
      <c r="B16" s="73"/>
      <c r="C16" s="69"/>
      <c r="D16" s="13" t="s">
        <v>13</v>
      </c>
      <c r="E16" s="13">
        <f t="shared" ref="E16:AC16" si="1">SUM(E14:E15)</f>
        <v>287</v>
      </c>
      <c r="F16" s="13">
        <f t="shared" si="1"/>
        <v>290</v>
      </c>
      <c r="G16" s="13">
        <f t="shared" si="1"/>
        <v>236</v>
      </c>
      <c r="H16" s="13">
        <f t="shared" si="1"/>
        <v>280</v>
      </c>
      <c r="I16" s="13">
        <f t="shared" si="1"/>
        <v>268</v>
      </c>
      <c r="J16" s="13">
        <f t="shared" si="1"/>
        <v>271</v>
      </c>
      <c r="K16" s="13">
        <f t="shared" si="1"/>
        <v>254</v>
      </c>
      <c r="L16" s="13">
        <f t="shared" si="1"/>
        <v>240</v>
      </c>
      <c r="M16" s="13">
        <f t="shared" si="1"/>
        <v>267</v>
      </c>
      <c r="N16" s="13">
        <f t="shared" si="1"/>
        <v>236</v>
      </c>
      <c r="O16" s="13">
        <f t="shared" si="1"/>
        <v>248</v>
      </c>
      <c r="P16" s="13">
        <f t="shared" si="1"/>
        <v>267</v>
      </c>
      <c r="Q16" s="13">
        <f t="shared" si="1"/>
        <v>261</v>
      </c>
      <c r="R16" s="13">
        <f t="shared" si="1"/>
        <v>269</v>
      </c>
      <c r="S16" s="13">
        <f t="shared" si="1"/>
        <v>283</v>
      </c>
      <c r="T16" s="13">
        <f t="shared" si="1"/>
        <v>279</v>
      </c>
      <c r="U16" s="13">
        <f t="shared" si="1"/>
        <v>280</v>
      </c>
      <c r="V16" s="13">
        <f t="shared" si="1"/>
        <v>276</v>
      </c>
      <c r="W16" s="13">
        <f t="shared" si="1"/>
        <v>268</v>
      </c>
      <c r="X16" s="13">
        <f t="shared" si="1"/>
        <v>280</v>
      </c>
      <c r="Y16" s="13">
        <f t="shared" si="1"/>
        <v>260</v>
      </c>
      <c r="Z16" s="13">
        <f t="shared" si="1"/>
        <v>295</v>
      </c>
      <c r="AA16" s="13">
        <f t="shared" si="1"/>
        <v>246</v>
      </c>
      <c r="AB16" s="13">
        <f t="shared" si="1"/>
        <v>277</v>
      </c>
      <c r="AC16" s="13">
        <f t="shared" si="1"/>
        <v>265</v>
      </c>
      <c r="AD16" s="13">
        <f t="shared" si="0"/>
        <v>6683</v>
      </c>
    </row>
    <row r="17" spans="1:30" ht="12.75" customHeight="1" x14ac:dyDescent="0.4">
      <c r="A17" s="63"/>
      <c r="B17" s="61"/>
      <c r="C17" s="61"/>
      <c r="D17" s="62"/>
      <c r="E17" s="16"/>
      <c r="F17" s="16"/>
      <c r="G17" s="16"/>
      <c r="H17" s="16"/>
      <c r="I17" s="16"/>
      <c r="J17" s="16"/>
      <c r="K17" s="16"/>
      <c r="L17" s="16"/>
      <c r="M17" s="16"/>
      <c r="N17" s="48"/>
      <c r="O17" s="48"/>
      <c r="P17" s="48"/>
      <c r="Q17" s="48"/>
      <c r="R17" s="48"/>
      <c r="S17" s="48"/>
      <c r="T17" s="16"/>
      <c r="U17" s="16"/>
      <c r="V17" s="16"/>
      <c r="W17" s="16"/>
      <c r="X17" s="48"/>
      <c r="Y17" s="16"/>
      <c r="Z17" s="16"/>
      <c r="AA17" s="16"/>
      <c r="AB17" s="48"/>
      <c r="AC17" s="48"/>
      <c r="AD17" s="49"/>
    </row>
    <row r="18" spans="1:30" ht="12.75" customHeight="1" x14ac:dyDescent="0.4">
      <c r="A18" s="20" t="s">
        <v>14</v>
      </c>
      <c r="B18" s="74" t="s">
        <v>15</v>
      </c>
      <c r="C18" s="61"/>
      <c r="D18" s="62"/>
      <c r="E18" s="16"/>
      <c r="F18" s="16"/>
      <c r="G18" s="16"/>
      <c r="H18" s="16"/>
      <c r="I18" s="16"/>
      <c r="J18" s="16"/>
      <c r="K18" s="16"/>
      <c r="L18" s="16"/>
      <c r="M18" s="16"/>
      <c r="N18" s="48"/>
      <c r="O18" s="48"/>
      <c r="P18" s="48"/>
      <c r="Q18" s="48"/>
      <c r="R18" s="48"/>
      <c r="S18" s="48"/>
      <c r="T18" s="16"/>
      <c r="U18" s="16"/>
      <c r="V18" s="16"/>
      <c r="W18" s="16"/>
      <c r="X18" s="48"/>
      <c r="Y18" s="16"/>
      <c r="Z18" s="16"/>
      <c r="AA18" s="16"/>
      <c r="AB18" s="48"/>
      <c r="AC18" s="48"/>
      <c r="AD18" s="49"/>
    </row>
    <row r="19" spans="1:30" ht="12.75" customHeight="1" x14ac:dyDescent="0.4">
      <c r="A19" s="20"/>
      <c r="B19" s="81" t="s">
        <v>16</v>
      </c>
      <c r="C19" s="78" t="s">
        <v>17</v>
      </c>
      <c r="D19" s="16" t="s">
        <v>11</v>
      </c>
      <c r="E19" s="16">
        <v>108</v>
      </c>
      <c r="F19" s="16">
        <v>93</v>
      </c>
      <c r="G19" s="16">
        <v>78</v>
      </c>
      <c r="H19" s="16">
        <v>105</v>
      </c>
      <c r="I19" s="16">
        <v>97</v>
      </c>
      <c r="J19" s="16">
        <v>105</v>
      </c>
      <c r="K19" s="16">
        <v>107</v>
      </c>
      <c r="L19" s="16">
        <v>80</v>
      </c>
      <c r="M19" s="16">
        <v>95</v>
      </c>
      <c r="N19" s="16">
        <v>71</v>
      </c>
      <c r="O19" s="16">
        <v>95</v>
      </c>
      <c r="P19" s="16">
        <v>93</v>
      </c>
      <c r="Q19" s="16">
        <v>97</v>
      </c>
      <c r="R19" s="16">
        <v>100</v>
      </c>
      <c r="S19" s="16">
        <v>93</v>
      </c>
      <c r="T19" s="16">
        <v>106</v>
      </c>
      <c r="U19" s="16">
        <v>96</v>
      </c>
      <c r="V19" s="16">
        <v>98</v>
      </c>
      <c r="W19" s="16">
        <v>87</v>
      </c>
      <c r="X19" s="16">
        <v>94</v>
      </c>
      <c r="Y19" s="16">
        <v>86</v>
      </c>
      <c r="Z19" s="16">
        <v>100</v>
      </c>
      <c r="AA19" s="16">
        <v>86</v>
      </c>
      <c r="AB19" s="16">
        <v>111</v>
      </c>
      <c r="AC19" s="16">
        <v>94</v>
      </c>
      <c r="AD19" s="13">
        <f t="shared" ref="AD19:AD30" si="2">SUM(E19:AC19)</f>
        <v>2375</v>
      </c>
    </row>
    <row r="20" spans="1:30" ht="12.75" customHeight="1" x14ac:dyDescent="0.4">
      <c r="A20" s="21"/>
      <c r="B20" s="77"/>
      <c r="C20" s="79"/>
      <c r="D20" s="16" t="s">
        <v>12</v>
      </c>
      <c r="E20" s="16">
        <v>125</v>
      </c>
      <c r="F20" s="16">
        <v>118</v>
      </c>
      <c r="G20" s="16">
        <v>96</v>
      </c>
      <c r="H20" s="16">
        <v>113</v>
      </c>
      <c r="I20" s="16">
        <v>112</v>
      </c>
      <c r="J20" s="16">
        <v>116</v>
      </c>
      <c r="K20" s="16">
        <v>112</v>
      </c>
      <c r="L20" s="16">
        <v>102</v>
      </c>
      <c r="M20" s="16">
        <v>109</v>
      </c>
      <c r="N20" s="16">
        <v>94</v>
      </c>
      <c r="O20" s="16">
        <v>102</v>
      </c>
      <c r="P20" s="16">
        <v>109</v>
      </c>
      <c r="Q20" s="16">
        <v>107</v>
      </c>
      <c r="R20" s="16">
        <v>115</v>
      </c>
      <c r="S20" s="16">
        <v>107</v>
      </c>
      <c r="T20" s="16">
        <v>123</v>
      </c>
      <c r="U20" s="16">
        <v>121</v>
      </c>
      <c r="V20" s="16">
        <v>115</v>
      </c>
      <c r="W20" s="16">
        <v>108</v>
      </c>
      <c r="X20" s="16">
        <v>112</v>
      </c>
      <c r="Y20" s="16">
        <v>102</v>
      </c>
      <c r="Z20" s="16">
        <v>123</v>
      </c>
      <c r="AA20" s="16">
        <v>97</v>
      </c>
      <c r="AB20" s="16">
        <v>109</v>
      </c>
      <c r="AC20" s="16">
        <v>108</v>
      </c>
      <c r="AD20" s="13">
        <f t="shared" si="2"/>
        <v>2755</v>
      </c>
    </row>
    <row r="21" spans="1:30" ht="12.75" customHeight="1" x14ac:dyDescent="0.4">
      <c r="A21" s="22"/>
      <c r="B21" s="69"/>
      <c r="C21" s="80"/>
      <c r="D21" s="13" t="s">
        <v>13</v>
      </c>
      <c r="E21" s="13">
        <f t="shared" ref="E21:AC21" si="3">SUM(E19:E20)</f>
        <v>233</v>
      </c>
      <c r="F21" s="13">
        <f t="shared" si="3"/>
        <v>211</v>
      </c>
      <c r="G21" s="13">
        <f t="shared" si="3"/>
        <v>174</v>
      </c>
      <c r="H21" s="13">
        <f t="shared" si="3"/>
        <v>218</v>
      </c>
      <c r="I21" s="13">
        <f t="shared" si="3"/>
        <v>209</v>
      </c>
      <c r="J21" s="13">
        <f t="shared" si="3"/>
        <v>221</v>
      </c>
      <c r="K21" s="13">
        <f t="shared" si="3"/>
        <v>219</v>
      </c>
      <c r="L21" s="13">
        <f t="shared" si="3"/>
        <v>182</v>
      </c>
      <c r="M21" s="13">
        <f t="shared" si="3"/>
        <v>204</v>
      </c>
      <c r="N21" s="13">
        <f t="shared" si="3"/>
        <v>165</v>
      </c>
      <c r="O21" s="13">
        <f t="shared" si="3"/>
        <v>197</v>
      </c>
      <c r="P21" s="13">
        <f t="shared" si="3"/>
        <v>202</v>
      </c>
      <c r="Q21" s="13">
        <f t="shared" si="3"/>
        <v>204</v>
      </c>
      <c r="R21" s="13">
        <f t="shared" si="3"/>
        <v>215</v>
      </c>
      <c r="S21" s="13">
        <f t="shared" si="3"/>
        <v>200</v>
      </c>
      <c r="T21" s="13">
        <f t="shared" si="3"/>
        <v>229</v>
      </c>
      <c r="U21" s="13">
        <f t="shared" si="3"/>
        <v>217</v>
      </c>
      <c r="V21" s="13">
        <f t="shared" si="3"/>
        <v>213</v>
      </c>
      <c r="W21" s="13">
        <f t="shared" si="3"/>
        <v>195</v>
      </c>
      <c r="X21" s="13">
        <f t="shared" si="3"/>
        <v>206</v>
      </c>
      <c r="Y21" s="13">
        <f t="shared" si="3"/>
        <v>188</v>
      </c>
      <c r="Z21" s="13">
        <f t="shared" si="3"/>
        <v>223</v>
      </c>
      <c r="AA21" s="13">
        <f t="shared" si="3"/>
        <v>183</v>
      </c>
      <c r="AB21" s="13">
        <f t="shared" si="3"/>
        <v>220</v>
      </c>
      <c r="AC21" s="13">
        <f t="shared" si="3"/>
        <v>202</v>
      </c>
      <c r="AD21" s="13">
        <f t="shared" si="2"/>
        <v>5130</v>
      </c>
    </row>
    <row r="22" spans="1:30" ht="12.75" customHeight="1" x14ac:dyDescent="0.4">
      <c r="A22" s="21"/>
      <c r="B22" s="81" t="s">
        <v>18</v>
      </c>
      <c r="C22" s="78" t="s">
        <v>19</v>
      </c>
      <c r="D22" s="16" t="s">
        <v>11</v>
      </c>
      <c r="E22" s="16">
        <v>0</v>
      </c>
      <c r="F22" s="16">
        <v>0</v>
      </c>
      <c r="G22" s="16">
        <v>0</v>
      </c>
      <c r="H22" s="16">
        <v>0</v>
      </c>
      <c r="I22" s="16">
        <v>1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3">
        <f t="shared" si="2"/>
        <v>1</v>
      </c>
    </row>
    <row r="23" spans="1:30" ht="12.75" customHeight="1" x14ac:dyDescent="0.4">
      <c r="A23" s="21"/>
      <c r="B23" s="77"/>
      <c r="C23" s="79"/>
      <c r="D23" s="16" t="s">
        <v>12</v>
      </c>
      <c r="E23" s="16">
        <v>0</v>
      </c>
      <c r="F23" s="16">
        <v>0</v>
      </c>
      <c r="G23" s="16">
        <v>0</v>
      </c>
      <c r="H23" s="16">
        <v>0</v>
      </c>
      <c r="I23" s="16">
        <v>1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1</v>
      </c>
      <c r="AB23" s="16">
        <v>0</v>
      </c>
      <c r="AC23" s="16">
        <v>0</v>
      </c>
      <c r="AD23" s="13">
        <f t="shared" si="2"/>
        <v>2</v>
      </c>
    </row>
    <row r="24" spans="1:30" ht="12.75" customHeight="1" x14ac:dyDescent="0.4">
      <c r="A24" s="22"/>
      <c r="B24" s="69"/>
      <c r="C24" s="80"/>
      <c r="D24" s="13" t="s">
        <v>13</v>
      </c>
      <c r="E24" s="13">
        <f t="shared" ref="E24:AC24" si="4">SUM(E22:E23)</f>
        <v>0</v>
      </c>
      <c r="F24" s="13">
        <f t="shared" si="4"/>
        <v>0</v>
      </c>
      <c r="G24" s="13">
        <f t="shared" si="4"/>
        <v>0</v>
      </c>
      <c r="H24" s="13">
        <f t="shared" si="4"/>
        <v>0</v>
      </c>
      <c r="I24" s="13">
        <f t="shared" si="4"/>
        <v>2</v>
      </c>
      <c r="J24" s="13">
        <f t="shared" si="4"/>
        <v>0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  <c r="P24" s="13">
        <f t="shared" si="4"/>
        <v>0</v>
      </c>
      <c r="Q24" s="13">
        <f t="shared" si="4"/>
        <v>0</v>
      </c>
      <c r="R24" s="13">
        <f t="shared" si="4"/>
        <v>0</v>
      </c>
      <c r="S24" s="13">
        <f t="shared" si="4"/>
        <v>0</v>
      </c>
      <c r="T24" s="13">
        <f t="shared" si="4"/>
        <v>0</v>
      </c>
      <c r="U24" s="13">
        <f t="shared" si="4"/>
        <v>0</v>
      </c>
      <c r="V24" s="13">
        <f t="shared" si="4"/>
        <v>0</v>
      </c>
      <c r="W24" s="13">
        <f t="shared" si="4"/>
        <v>0</v>
      </c>
      <c r="X24" s="13">
        <f t="shared" si="4"/>
        <v>0</v>
      </c>
      <c r="Y24" s="13">
        <f t="shared" si="4"/>
        <v>0</v>
      </c>
      <c r="Z24" s="13">
        <f t="shared" si="4"/>
        <v>0</v>
      </c>
      <c r="AA24" s="13">
        <f t="shared" si="4"/>
        <v>1</v>
      </c>
      <c r="AB24" s="13">
        <f t="shared" si="4"/>
        <v>0</v>
      </c>
      <c r="AC24" s="13">
        <f t="shared" si="4"/>
        <v>0</v>
      </c>
      <c r="AD24" s="13">
        <f t="shared" si="2"/>
        <v>3</v>
      </c>
    </row>
    <row r="25" spans="1:30" ht="12.75" customHeight="1" x14ac:dyDescent="0.4">
      <c r="A25" s="21"/>
      <c r="B25" s="81" t="s">
        <v>20</v>
      </c>
      <c r="C25" s="78" t="s">
        <v>21</v>
      </c>
      <c r="D25" s="16" t="s">
        <v>11</v>
      </c>
      <c r="E25" s="16">
        <v>1</v>
      </c>
      <c r="F25" s="16">
        <v>2</v>
      </c>
      <c r="G25" s="16">
        <v>6</v>
      </c>
      <c r="H25" s="16">
        <v>1</v>
      </c>
      <c r="I25" s="16">
        <v>3</v>
      </c>
      <c r="J25" s="16">
        <v>0</v>
      </c>
      <c r="K25" s="16">
        <v>2</v>
      </c>
      <c r="L25" s="16">
        <v>0</v>
      </c>
      <c r="M25" s="16">
        <v>2</v>
      </c>
      <c r="N25" s="16">
        <v>0</v>
      </c>
      <c r="O25" s="16">
        <v>2</v>
      </c>
      <c r="P25" s="16">
        <v>6</v>
      </c>
      <c r="Q25" s="16">
        <v>1</v>
      </c>
      <c r="R25" s="16">
        <v>0</v>
      </c>
      <c r="S25" s="16">
        <v>0</v>
      </c>
      <c r="T25" s="16">
        <v>2</v>
      </c>
      <c r="U25" s="16">
        <v>3</v>
      </c>
      <c r="V25" s="16">
        <v>1</v>
      </c>
      <c r="W25" s="16">
        <v>4</v>
      </c>
      <c r="X25" s="16">
        <v>1</v>
      </c>
      <c r="Y25" s="16">
        <v>1</v>
      </c>
      <c r="Z25" s="16">
        <v>8</v>
      </c>
      <c r="AA25" s="16">
        <v>2</v>
      </c>
      <c r="AB25" s="16">
        <v>3</v>
      </c>
      <c r="AC25" s="16">
        <v>2</v>
      </c>
      <c r="AD25" s="13">
        <f t="shared" si="2"/>
        <v>53</v>
      </c>
    </row>
    <row r="26" spans="1:30" ht="12.75" customHeight="1" x14ac:dyDescent="0.4">
      <c r="A26" s="21"/>
      <c r="B26" s="77"/>
      <c r="C26" s="79"/>
      <c r="D26" s="16" t="s">
        <v>12</v>
      </c>
      <c r="E26" s="16">
        <v>5</v>
      </c>
      <c r="F26" s="16">
        <v>3</v>
      </c>
      <c r="G26" s="16">
        <v>4</v>
      </c>
      <c r="H26" s="16">
        <v>0</v>
      </c>
      <c r="I26" s="16">
        <v>1</v>
      </c>
      <c r="J26" s="16">
        <v>1</v>
      </c>
      <c r="K26" s="16">
        <v>2</v>
      </c>
      <c r="L26" s="16">
        <v>2</v>
      </c>
      <c r="M26" s="16">
        <v>1</v>
      </c>
      <c r="N26" s="16">
        <v>0</v>
      </c>
      <c r="O26" s="16">
        <v>3</v>
      </c>
      <c r="P26" s="16">
        <v>4</v>
      </c>
      <c r="Q26" s="16">
        <v>2</v>
      </c>
      <c r="R26" s="16">
        <v>1</v>
      </c>
      <c r="S26" s="16">
        <v>2</v>
      </c>
      <c r="T26" s="16">
        <v>2</v>
      </c>
      <c r="U26" s="16">
        <v>7</v>
      </c>
      <c r="V26" s="16">
        <v>1</v>
      </c>
      <c r="W26" s="16">
        <v>6</v>
      </c>
      <c r="X26" s="16">
        <v>3</v>
      </c>
      <c r="Y26" s="16">
        <v>1</v>
      </c>
      <c r="Z26" s="16">
        <v>10</v>
      </c>
      <c r="AA26" s="16">
        <v>3</v>
      </c>
      <c r="AB26" s="16">
        <v>1</v>
      </c>
      <c r="AC26" s="16">
        <v>1</v>
      </c>
      <c r="AD26" s="13">
        <f t="shared" si="2"/>
        <v>66</v>
      </c>
    </row>
    <row r="27" spans="1:30" ht="12.75" customHeight="1" x14ac:dyDescent="0.4">
      <c r="A27" s="22"/>
      <c r="B27" s="69"/>
      <c r="C27" s="80"/>
      <c r="D27" s="13" t="s">
        <v>13</v>
      </c>
      <c r="E27" s="13">
        <f t="shared" ref="E27:AC27" si="5">SUM(E25:E26)</f>
        <v>6</v>
      </c>
      <c r="F27" s="13">
        <f t="shared" si="5"/>
        <v>5</v>
      </c>
      <c r="G27" s="13">
        <f t="shared" si="5"/>
        <v>10</v>
      </c>
      <c r="H27" s="13">
        <f t="shared" si="5"/>
        <v>1</v>
      </c>
      <c r="I27" s="13">
        <f t="shared" si="5"/>
        <v>4</v>
      </c>
      <c r="J27" s="13">
        <f t="shared" si="5"/>
        <v>1</v>
      </c>
      <c r="K27" s="13">
        <f t="shared" si="5"/>
        <v>4</v>
      </c>
      <c r="L27" s="13">
        <f t="shared" si="5"/>
        <v>2</v>
      </c>
      <c r="M27" s="13">
        <f t="shared" si="5"/>
        <v>3</v>
      </c>
      <c r="N27" s="13">
        <f t="shared" si="5"/>
        <v>0</v>
      </c>
      <c r="O27" s="13">
        <f t="shared" si="5"/>
        <v>5</v>
      </c>
      <c r="P27" s="13">
        <f t="shared" si="5"/>
        <v>10</v>
      </c>
      <c r="Q27" s="13">
        <f t="shared" si="5"/>
        <v>3</v>
      </c>
      <c r="R27" s="13">
        <f t="shared" si="5"/>
        <v>1</v>
      </c>
      <c r="S27" s="13">
        <f t="shared" si="5"/>
        <v>2</v>
      </c>
      <c r="T27" s="13">
        <f t="shared" si="5"/>
        <v>4</v>
      </c>
      <c r="U27" s="13">
        <f t="shared" si="5"/>
        <v>10</v>
      </c>
      <c r="V27" s="13">
        <f t="shared" si="5"/>
        <v>2</v>
      </c>
      <c r="W27" s="13">
        <f t="shared" si="5"/>
        <v>10</v>
      </c>
      <c r="X27" s="13">
        <f t="shared" si="5"/>
        <v>4</v>
      </c>
      <c r="Y27" s="13">
        <f t="shared" si="5"/>
        <v>2</v>
      </c>
      <c r="Z27" s="13">
        <f t="shared" si="5"/>
        <v>18</v>
      </c>
      <c r="AA27" s="13">
        <f t="shared" si="5"/>
        <v>5</v>
      </c>
      <c r="AB27" s="13">
        <f t="shared" si="5"/>
        <v>4</v>
      </c>
      <c r="AC27" s="13">
        <f t="shared" si="5"/>
        <v>3</v>
      </c>
      <c r="AD27" s="13">
        <f t="shared" si="2"/>
        <v>119</v>
      </c>
    </row>
    <row r="28" spans="1:30" ht="12.75" customHeight="1" x14ac:dyDescent="0.4">
      <c r="A28" s="22"/>
      <c r="B28" s="82" t="s">
        <v>22</v>
      </c>
      <c r="C28" s="83" t="s">
        <v>23</v>
      </c>
      <c r="D28" s="13" t="s">
        <v>11</v>
      </c>
      <c r="E28" s="13">
        <f t="shared" ref="E28:AC28" si="6">SUM(E19,E22,E25)</f>
        <v>109</v>
      </c>
      <c r="F28" s="13">
        <f t="shared" si="6"/>
        <v>95</v>
      </c>
      <c r="G28" s="13">
        <f t="shared" si="6"/>
        <v>84</v>
      </c>
      <c r="H28" s="13">
        <f t="shared" si="6"/>
        <v>106</v>
      </c>
      <c r="I28" s="13">
        <f t="shared" si="6"/>
        <v>101</v>
      </c>
      <c r="J28" s="13">
        <f t="shared" si="6"/>
        <v>105</v>
      </c>
      <c r="K28" s="13">
        <f t="shared" si="6"/>
        <v>109</v>
      </c>
      <c r="L28" s="13">
        <f t="shared" si="6"/>
        <v>80</v>
      </c>
      <c r="M28" s="13">
        <f t="shared" si="6"/>
        <v>97</v>
      </c>
      <c r="N28" s="13">
        <f t="shared" si="6"/>
        <v>71</v>
      </c>
      <c r="O28" s="13">
        <f t="shared" si="6"/>
        <v>97</v>
      </c>
      <c r="P28" s="13">
        <f t="shared" si="6"/>
        <v>99</v>
      </c>
      <c r="Q28" s="13">
        <f t="shared" si="6"/>
        <v>98</v>
      </c>
      <c r="R28" s="13">
        <f t="shared" si="6"/>
        <v>100</v>
      </c>
      <c r="S28" s="13">
        <f t="shared" si="6"/>
        <v>93</v>
      </c>
      <c r="T28" s="13">
        <f t="shared" si="6"/>
        <v>108</v>
      </c>
      <c r="U28" s="13">
        <f t="shared" si="6"/>
        <v>99</v>
      </c>
      <c r="V28" s="13">
        <f t="shared" si="6"/>
        <v>99</v>
      </c>
      <c r="W28" s="13">
        <f t="shared" si="6"/>
        <v>91</v>
      </c>
      <c r="X28" s="13">
        <f t="shared" si="6"/>
        <v>95</v>
      </c>
      <c r="Y28" s="13">
        <f t="shared" si="6"/>
        <v>87</v>
      </c>
      <c r="Z28" s="13">
        <f t="shared" si="6"/>
        <v>108</v>
      </c>
      <c r="AA28" s="13">
        <f t="shared" si="6"/>
        <v>88</v>
      </c>
      <c r="AB28" s="13">
        <f t="shared" si="6"/>
        <v>114</v>
      </c>
      <c r="AC28" s="13">
        <f t="shared" si="6"/>
        <v>96</v>
      </c>
      <c r="AD28" s="13">
        <f t="shared" si="2"/>
        <v>2429</v>
      </c>
    </row>
    <row r="29" spans="1:30" ht="12.75" customHeight="1" x14ac:dyDescent="0.4">
      <c r="A29" s="22"/>
      <c r="B29" s="77"/>
      <c r="C29" s="79"/>
      <c r="D29" s="13" t="s">
        <v>12</v>
      </c>
      <c r="E29" s="13">
        <f t="shared" ref="E29:AC29" si="7">SUM(E20,E23,E26)</f>
        <v>130</v>
      </c>
      <c r="F29" s="13">
        <f t="shared" si="7"/>
        <v>121</v>
      </c>
      <c r="G29" s="13">
        <f t="shared" si="7"/>
        <v>100</v>
      </c>
      <c r="H29" s="13">
        <f t="shared" si="7"/>
        <v>113</v>
      </c>
      <c r="I29" s="13">
        <f t="shared" si="7"/>
        <v>114</v>
      </c>
      <c r="J29" s="13">
        <f t="shared" si="7"/>
        <v>117</v>
      </c>
      <c r="K29" s="13">
        <f t="shared" si="7"/>
        <v>114</v>
      </c>
      <c r="L29" s="13">
        <f t="shared" si="7"/>
        <v>104</v>
      </c>
      <c r="M29" s="13">
        <f t="shared" si="7"/>
        <v>110</v>
      </c>
      <c r="N29" s="13">
        <f t="shared" si="7"/>
        <v>94</v>
      </c>
      <c r="O29" s="13">
        <f t="shared" si="7"/>
        <v>105</v>
      </c>
      <c r="P29" s="13">
        <f t="shared" si="7"/>
        <v>113</v>
      </c>
      <c r="Q29" s="13">
        <f t="shared" si="7"/>
        <v>109</v>
      </c>
      <c r="R29" s="13">
        <f t="shared" si="7"/>
        <v>116</v>
      </c>
      <c r="S29" s="13">
        <f t="shared" si="7"/>
        <v>109</v>
      </c>
      <c r="T29" s="13">
        <f t="shared" si="7"/>
        <v>125</v>
      </c>
      <c r="U29" s="13">
        <f t="shared" si="7"/>
        <v>128</v>
      </c>
      <c r="V29" s="13">
        <f t="shared" si="7"/>
        <v>116</v>
      </c>
      <c r="W29" s="13">
        <f t="shared" si="7"/>
        <v>114</v>
      </c>
      <c r="X29" s="13">
        <f t="shared" si="7"/>
        <v>115</v>
      </c>
      <c r="Y29" s="13">
        <f t="shared" si="7"/>
        <v>103</v>
      </c>
      <c r="Z29" s="13">
        <f t="shared" si="7"/>
        <v>133</v>
      </c>
      <c r="AA29" s="13">
        <f t="shared" si="7"/>
        <v>101</v>
      </c>
      <c r="AB29" s="13">
        <f t="shared" si="7"/>
        <v>110</v>
      </c>
      <c r="AC29" s="13">
        <f t="shared" si="7"/>
        <v>109</v>
      </c>
      <c r="AD29" s="13">
        <f t="shared" si="2"/>
        <v>2823</v>
      </c>
    </row>
    <row r="30" spans="1:30" ht="12.75" customHeight="1" x14ac:dyDescent="0.4">
      <c r="A30" s="22"/>
      <c r="B30" s="69"/>
      <c r="C30" s="80"/>
      <c r="D30" s="13" t="s">
        <v>13</v>
      </c>
      <c r="E30" s="13">
        <f t="shared" ref="E30:AC30" si="8">SUM(E28:E29)</f>
        <v>239</v>
      </c>
      <c r="F30" s="13">
        <f t="shared" si="8"/>
        <v>216</v>
      </c>
      <c r="G30" s="13">
        <f t="shared" si="8"/>
        <v>184</v>
      </c>
      <c r="H30" s="13">
        <f t="shared" si="8"/>
        <v>219</v>
      </c>
      <c r="I30" s="13">
        <f t="shared" si="8"/>
        <v>215</v>
      </c>
      <c r="J30" s="13">
        <f t="shared" si="8"/>
        <v>222</v>
      </c>
      <c r="K30" s="13">
        <f t="shared" si="8"/>
        <v>223</v>
      </c>
      <c r="L30" s="13">
        <f t="shared" si="8"/>
        <v>184</v>
      </c>
      <c r="M30" s="13">
        <f t="shared" si="8"/>
        <v>207</v>
      </c>
      <c r="N30" s="13">
        <f t="shared" si="8"/>
        <v>165</v>
      </c>
      <c r="O30" s="13">
        <f t="shared" si="8"/>
        <v>202</v>
      </c>
      <c r="P30" s="13">
        <f t="shared" si="8"/>
        <v>212</v>
      </c>
      <c r="Q30" s="13">
        <f t="shared" si="8"/>
        <v>207</v>
      </c>
      <c r="R30" s="13">
        <f t="shared" si="8"/>
        <v>216</v>
      </c>
      <c r="S30" s="13">
        <f t="shared" si="8"/>
        <v>202</v>
      </c>
      <c r="T30" s="13">
        <f t="shared" si="8"/>
        <v>233</v>
      </c>
      <c r="U30" s="13">
        <f t="shared" si="8"/>
        <v>227</v>
      </c>
      <c r="V30" s="13">
        <f t="shared" si="8"/>
        <v>215</v>
      </c>
      <c r="W30" s="13">
        <f t="shared" si="8"/>
        <v>205</v>
      </c>
      <c r="X30" s="13">
        <f t="shared" si="8"/>
        <v>210</v>
      </c>
      <c r="Y30" s="13">
        <f t="shared" si="8"/>
        <v>190</v>
      </c>
      <c r="Z30" s="13">
        <f t="shared" si="8"/>
        <v>241</v>
      </c>
      <c r="AA30" s="13">
        <f t="shared" si="8"/>
        <v>189</v>
      </c>
      <c r="AB30" s="13">
        <f t="shared" si="8"/>
        <v>224</v>
      </c>
      <c r="AC30" s="13">
        <f t="shared" si="8"/>
        <v>205</v>
      </c>
      <c r="AD30" s="13">
        <f t="shared" si="2"/>
        <v>5252</v>
      </c>
    </row>
    <row r="31" spans="1:30" ht="12.75" customHeight="1" x14ac:dyDescent="0.4">
      <c r="A31" s="63"/>
      <c r="B31" s="61"/>
      <c r="C31" s="61"/>
      <c r="D31" s="62"/>
      <c r="E31" s="16"/>
      <c r="F31" s="16"/>
      <c r="G31" s="16"/>
      <c r="H31" s="16"/>
      <c r="I31" s="16"/>
      <c r="J31" s="16"/>
      <c r="K31" s="16"/>
      <c r="L31" s="16"/>
      <c r="M31" s="16"/>
      <c r="N31" s="48"/>
      <c r="O31" s="48"/>
      <c r="P31" s="48"/>
      <c r="Q31" s="48"/>
      <c r="R31" s="48"/>
      <c r="S31" s="48"/>
      <c r="T31" s="16"/>
      <c r="U31" s="16"/>
      <c r="V31" s="16"/>
      <c r="W31" s="16"/>
      <c r="X31" s="48"/>
      <c r="Y31" s="16"/>
      <c r="Z31" s="16"/>
      <c r="AA31" s="16"/>
      <c r="AB31" s="48"/>
      <c r="AC31" s="48"/>
      <c r="AD31" s="49"/>
    </row>
    <row r="32" spans="1:30" ht="12.75" customHeight="1" x14ac:dyDescent="0.4">
      <c r="A32" s="25" t="s">
        <v>24</v>
      </c>
      <c r="B32" s="70" t="s">
        <v>25</v>
      </c>
      <c r="C32" s="61"/>
      <c r="D32" s="62"/>
      <c r="E32" s="13"/>
      <c r="F32" s="13"/>
      <c r="G32" s="13"/>
      <c r="H32" s="13"/>
      <c r="I32" s="13"/>
      <c r="J32" s="13"/>
      <c r="K32" s="13"/>
      <c r="L32" s="13"/>
      <c r="M32" s="13"/>
      <c r="N32" s="50"/>
      <c r="O32" s="50"/>
      <c r="P32" s="50"/>
      <c r="Q32" s="50"/>
      <c r="R32" s="50"/>
      <c r="S32" s="50"/>
      <c r="T32" s="13"/>
      <c r="U32" s="13"/>
      <c r="V32" s="13"/>
      <c r="W32" s="13"/>
      <c r="X32" s="50"/>
      <c r="Y32" s="13"/>
      <c r="Z32" s="13"/>
      <c r="AA32" s="13"/>
      <c r="AB32" s="50"/>
      <c r="AC32" s="50"/>
      <c r="AD32" s="49"/>
    </row>
    <row r="33" spans="1:30" ht="12.75" customHeight="1" x14ac:dyDescent="0.4">
      <c r="A33" s="16">
        <v>1</v>
      </c>
      <c r="B33" s="74" t="s">
        <v>26</v>
      </c>
      <c r="C33" s="61"/>
      <c r="D33" s="62"/>
      <c r="E33" s="16">
        <v>293</v>
      </c>
      <c r="F33" s="16">
        <v>295</v>
      </c>
      <c r="G33" s="16">
        <v>241</v>
      </c>
      <c r="H33" s="16">
        <v>286</v>
      </c>
      <c r="I33" s="16">
        <v>274</v>
      </c>
      <c r="J33" s="16">
        <v>277</v>
      </c>
      <c r="K33" s="16">
        <v>260</v>
      </c>
      <c r="L33" s="16">
        <v>246</v>
      </c>
      <c r="M33" s="16">
        <v>273</v>
      </c>
      <c r="N33" s="16">
        <v>241</v>
      </c>
      <c r="O33" s="16">
        <v>253</v>
      </c>
      <c r="P33" s="16">
        <v>273</v>
      </c>
      <c r="Q33" s="16">
        <v>267</v>
      </c>
      <c r="R33" s="16">
        <v>276</v>
      </c>
      <c r="S33" s="16">
        <v>300</v>
      </c>
      <c r="T33" s="16">
        <v>287</v>
      </c>
      <c r="U33" s="16">
        <v>286</v>
      </c>
      <c r="V33" s="16">
        <v>282</v>
      </c>
      <c r="W33" s="16">
        <v>284</v>
      </c>
      <c r="X33" s="16">
        <v>286</v>
      </c>
      <c r="Y33" s="16">
        <v>266</v>
      </c>
      <c r="Z33" s="16">
        <v>301</v>
      </c>
      <c r="AA33" s="16">
        <v>251</v>
      </c>
      <c r="AB33" s="16">
        <v>283</v>
      </c>
      <c r="AC33" s="16">
        <v>271</v>
      </c>
      <c r="AD33" s="13">
        <f t="shared" ref="AD33:AD36" si="9">SUM(E33:AC33)</f>
        <v>6852</v>
      </c>
    </row>
    <row r="34" spans="1:30" ht="12.75" customHeight="1" x14ac:dyDescent="0.4">
      <c r="A34" s="16">
        <v>2</v>
      </c>
      <c r="B34" s="74" t="s">
        <v>27</v>
      </c>
      <c r="C34" s="61"/>
      <c r="D34" s="62"/>
      <c r="E34" s="13">
        <v>239</v>
      </c>
      <c r="F34" s="13">
        <v>216</v>
      </c>
      <c r="G34" s="13">
        <v>184</v>
      </c>
      <c r="H34" s="13">
        <v>219</v>
      </c>
      <c r="I34" s="13">
        <v>215</v>
      </c>
      <c r="J34" s="13">
        <v>222</v>
      </c>
      <c r="K34" s="13">
        <v>223</v>
      </c>
      <c r="L34" s="13">
        <v>184</v>
      </c>
      <c r="M34" s="13">
        <v>207</v>
      </c>
      <c r="N34" s="13">
        <v>165</v>
      </c>
      <c r="O34" s="13">
        <v>202</v>
      </c>
      <c r="P34" s="13">
        <v>212</v>
      </c>
      <c r="Q34" s="13">
        <v>207</v>
      </c>
      <c r="R34" s="13">
        <v>216</v>
      </c>
      <c r="S34" s="13">
        <v>202</v>
      </c>
      <c r="T34" s="13">
        <v>233</v>
      </c>
      <c r="U34" s="13">
        <v>227</v>
      </c>
      <c r="V34" s="13">
        <v>215</v>
      </c>
      <c r="W34" s="13">
        <v>205</v>
      </c>
      <c r="X34" s="13">
        <v>210</v>
      </c>
      <c r="Y34" s="13">
        <v>190</v>
      </c>
      <c r="Z34" s="13">
        <v>241</v>
      </c>
      <c r="AA34" s="13">
        <v>189</v>
      </c>
      <c r="AB34" s="13">
        <v>224</v>
      </c>
      <c r="AC34" s="13">
        <v>205</v>
      </c>
      <c r="AD34" s="13">
        <f t="shared" si="9"/>
        <v>5252</v>
      </c>
    </row>
    <row r="35" spans="1:30" ht="12.75" customHeight="1" x14ac:dyDescent="0.4">
      <c r="A35" s="16">
        <v>3</v>
      </c>
      <c r="B35" s="74" t="s">
        <v>28</v>
      </c>
      <c r="C35" s="61"/>
      <c r="D35" s="62"/>
      <c r="E35" s="16">
        <v>0</v>
      </c>
      <c r="F35" s="16">
        <v>0</v>
      </c>
      <c r="G35" s="16">
        <v>3</v>
      </c>
      <c r="H35" s="16">
        <v>1</v>
      </c>
      <c r="I35" s="16">
        <v>0</v>
      </c>
      <c r="J35" s="16">
        <v>2</v>
      </c>
      <c r="K35" s="16">
        <v>2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1</v>
      </c>
      <c r="U35" s="16">
        <v>1</v>
      </c>
      <c r="V35" s="16">
        <v>2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6</v>
      </c>
      <c r="AC35" s="16">
        <v>0</v>
      </c>
      <c r="AD35" s="13">
        <f t="shared" si="9"/>
        <v>18</v>
      </c>
    </row>
    <row r="36" spans="1:30" ht="12.75" customHeight="1" x14ac:dyDescent="0.4">
      <c r="A36" s="16">
        <v>4</v>
      </c>
      <c r="B36" s="74" t="s">
        <v>29</v>
      </c>
      <c r="C36" s="61"/>
      <c r="D36" s="62"/>
      <c r="E36" s="13">
        <f t="shared" ref="E36:AC36" si="10">E33-(E34+E35)</f>
        <v>54</v>
      </c>
      <c r="F36" s="13">
        <f t="shared" si="10"/>
        <v>79</v>
      </c>
      <c r="G36" s="13">
        <f t="shared" si="10"/>
        <v>54</v>
      </c>
      <c r="H36" s="13">
        <f t="shared" si="10"/>
        <v>66</v>
      </c>
      <c r="I36" s="13">
        <f t="shared" si="10"/>
        <v>59</v>
      </c>
      <c r="J36" s="13">
        <f t="shared" si="10"/>
        <v>53</v>
      </c>
      <c r="K36" s="13">
        <f t="shared" si="10"/>
        <v>35</v>
      </c>
      <c r="L36" s="13">
        <f t="shared" si="10"/>
        <v>62</v>
      </c>
      <c r="M36" s="13">
        <f t="shared" si="10"/>
        <v>66</v>
      </c>
      <c r="N36" s="13">
        <f t="shared" si="10"/>
        <v>76</v>
      </c>
      <c r="O36" s="13">
        <f t="shared" si="10"/>
        <v>51</v>
      </c>
      <c r="P36" s="13">
        <f t="shared" si="10"/>
        <v>61</v>
      </c>
      <c r="Q36" s="13">
        <f t="shared" si="10"/>
        <v>60</v>
      </c>
      <c r="R36" s="13">
        <f t="shared" si="10"/>
        <v>60</v>
      </c>
      <c r="S36" s="13">
        <f t="shared" si="10"/>
        <v>98</v>
      </c>
      <c r="T36" s="13">
        <f t="shared" si="10"/>
        <v>53</v>
      </c>
      <c r="U36" s="13">
        <f t="shared" si="10"/>
        <v>58</v>
      </c>
      <c r="V36" s="13">
        <f t="shared" si="10"/>
        <v>65</v>
      </c>
      <c r="W36" s="13">
        <f t="shared" si="10"/>
        <v>79</v>
      </c>
      <c r="X36" s="13">
        <f t="shared" si="10"/>
        <v>76</v>
      </c>
      <c r="Y36" s="13">
        <f t="shared" si="10"/>
        <v>76</v>
      </c>
      <c r="Z36" s="13">
        <f t="shared" si="10"/>
        <v>60</v>
      </c>
      <c r="AA36" s="13">
        <f t="shared" si="10"/>
        <v>62</v>
      </c>
      <c r="AB36" s="13">
        <f t="shared" si="10"/>
        <v>53</v>
      </c>
      <c r="AC36" s="13">
        <f t="shared" si="10"/>
        <v>66</v>
      </c>
      <c r="AD36" s="13">
        <f t="shared" si="9"/>
        <v>1582</v>
      </c>
    </row>
    <row r="37" spans="1:30" ht="12.75" customHeight="1" x14ac:dyDescent="0.4">
      <c r="A37" s="63"/>
      <c r="B37" s="61"/>
      <c r="C37" s="61"/>
      <c r="D37" s="61"/>
      <c r="E37" s="63"/>
      <c r="F37" s="61"/>
      <c r="G37" s="61"/>
      <c r="H37" s="61"/>
      <c r="I37" s="62"/>
      <c r="J37" s="16"/>
      <c r="K37" s="16"/>
      <c r="L37" s="16"/>
      <c r="M37" s="16"/>
      <c r="N37" s="48"/>
      <c r="O37" s="51"/>
      <c r="P37" s="51"/>
      <c r="Q37" s="51"/>
      <c r="R37" s="51"/>
      <c r="S37" s="51"/>
      <c r="T37" s="16"/>
      <c r="U37" s="16"/>
      <c r="V37" s="16"/>
      <c r="W37" s="16"/>
      <c r="X37" s="48"/>
      <c r="Y37" s="16"/>
      <c r="Z37" s="16"/>
      <c r="AA37" s="16"/>
      <c r="AB37" s="48"/>
      <c r="AC37" s="51"/>
      <c r="AD37" s="49"/>
    </row>
    <row r="38" spans="1:30" ht="12.75" customHeight="1" x14ac:dyDescent="0.4">
      <c r="A38" s="26" t="s">
        <v>30</v>
      </c>
      <c r="B38" s="70" t="s">
        <v>31</v>
      </c>
      <c r="C38" s="61"/>
      <c r="D38" s="62"/>
      <c r="E38" s="13"/>
      <c r="F38" s="13"/>
      <c r="G38" s="13"/>
      <c r="H38" s="13"/>
      <c r="I38" s="13"/>
      <c r="J38" s="13"/>
      <c r="K38" s="13"/>
      <c r="L38" s="13"/>
      <c r="M38" s="13"/>
      <c r="N38" s="50"/>
      <c r="O38" s="50"/>
      <c r="P38" s="50"/>
      <c r="Q38" s="50"/>
      <c r="R38" s="50"/>
      <c r="S38" s="50"/>
      <c r="T38" s="13"/>
      <c r="U38" s="13"/>
      <c r="V38" s="13"/>
      <c r="W38" s="13"/>
      <c r="X38" s="50"/>
      <c r="Y38" s="13"/>
      <c r="Z38" s="13"/>
      <c r="AA38" s="13"/>
      <c r="AB38" s="50"/>
      <c r="AC38" s="50"/>
      <c r="AD38" s="49"/>
    </row>
    <row r="39" spans="1:30" ht="12.75" customHeight="1" x14ac:dyDescent="0.4">
      <c r="A39" s="20"/>
      <c r="B39" s="84" t="s">
        <v>32</v>
      </c>
      <c r="C39" s="66"/>
      <c r="D39" s="16" t="s">
        <v>11</v>
      </c>
      <c r="E39" s="16">
        <v>0</v>
      </c>
      <c r="F39" s="16">
        <v>0</v>
      </c>
      <c r="G39" s="16">
        <v>1</v>
      </c>
      <c r="H39" s="16">
        <v>1</v>
      </c>
      <c r="I39" s="16">
        <v>0</v>
      </c>
      <c r="J39" s="16">
        <v>0</v>
      </c>
      <c r="K39" s="16">
        <v>0</v>
      </c>
      <c r="L39" s="16">
        <v>0</v>
      </c>
      <c r="M39" s="16">
        <v>3</v>
      </c>
      <c r="N39" s="16">
        <v>0</v>
      </c>
      <c r="O39" s="16">
        <v>0</v>
      </c>
      <c r="P39" s="16">
        <v>1</v>
      </c>
      <c r="Q39" s="16">
        <v>5</v>
      </c>
      <c r="R39" s="16">
        <v>0</v>
      </c>
      <c r="S39" s="16">
        <v>0</v>
      </c>
      <c r="T39" s="16">
        <v>0</v>
      </c>
      <c r="U39" s="16">
        <v>0</v>
      </c>
      <c r="V39" s="16">
        <v>1</v>
      </c>
      <c r="W39" s="16">
        <v>1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/>
      <c r="AD39" s="13">
        <f t="shared" ref="AD39:AD41" si="11">SUM(E39:AC39)</f>
        <v>13</v>
      </c>
    </row>
    <row r="40" spans="1:30" ht="12.75" customHeight="1" x14ac:dyDescent="0.4">
      <c r="A40" s="21"/>
      <c r="B40" s="85"/>
      <c r="C40" s="77"/>
      <c r="D40" s="16" t="s">
        <v>12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4</v>
      </c>
      <c r="N40" s="16">
        <v>0</v>
      </c>
      <c r="O40" s="16">
        <v>0</v>
      </c>
      <c r="P40" s="16">
        <v>1</v>
      </c>
      <c r="Q40" s="16">
        <v>2</v>
      </c>
      <c r="R40" s="16">
        <v>1</v>
      </c>
      <c r="S40" s="16">
        <v>0</v>
      </c>
      <c r="T40" s="16">
        <v>0</v>
      </c>
      <c r="U40" s="16">
        <v>0</v>
      </c>
      <c r="V40" s="16">
        <v>0</v>
      </c>
      <c r="W40" s="16">
        <v>4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/>
      <c r="AD40" s="13">
        <f t="shared" si="11"/>
        <v>12</v>
      </c>
    </row>
    <row r="41" spans="1:30" ht="12.75" customHeight="1" x14ac:dyDescent="0.4">
      <c r="A41" s="25"/>
      <c r="B41" s="68"/>
      <c r="C41" s="69"/>
      <c r="D41" s="13" t="s">
        <v>13</v>
      </c>
      <c r="E41" s="13">
        <f t="shared" ref="E41:AC41" si="12">SUM(E39:E40)</f>
        <v>0</v>
      </c>
      <c r="F41" s="13">
        <f t="shared" si="12"/>
        <v>0</v>
      </c>
      <c r="G41" s="13">
        <f t="shared" si="12"/>
        <v>1</v>
      </c>
      <c r="H41" s="13">
        <f t="shared" si="12"/>
        <v>1</v>
      </c>
      <c r="I41" s="13">
        <f t="shared" si="12"/>
        <v>0</v>
      </c>
      <c r="J41" s="13">
        <f t="shared" si="12"/>
        <v>0</v>
      </c>
      <c r="K41" s="13">
        <f t="shared" si="12"/>
        <v>0</v>
      </c>
      <c r="L41" s="13">
        <f t="shared" si="12"/>
        <v>0</v>
      </c>
      <c r="M41" s="13">
        <f t="shared" si="12"/>
        <v>7</v>
      </c>
      <c r="N41" s="13">
        <f t="shared" si="12"/>
        <v>0</v>
      </c>
      <c r="O41" s="13">
        <f t="shared" si="12"/>
        <v>0</v>
      </c>
      <c r="P41" s="13">
        <f t="shared" si="12"/>
        <v>2</v>
      </c>
      <c r="Q41" s="13">
        <f t="shared" si="12"/>
        <v>7</v>
      </c>
      <c r="R41" s="13">
        <f t="shared" si="12"/>
        <v>1</v>
      </c>
      <c r="S41" s="13">
        <f t="shared" si="12"/>
        <v>0</v>
      </c>
      <c r="T41" s="13">
        <f t="shared" si="12"/>
        <v>0</v>
      </c>
      <c r="U41" s="13">
        <f t="shared" si="12"/>
        <v>0</v>
      </c>
      <c r="V41" s="13">
        <f t="shared" si="12"/>
        <v>1</v>
      </c>
      <c r="W41" s="13">
        <f t="shared" si="12"/>
        <v>5</v>
      </c>
      <c r="X41" s="13">
        <f t="shared" si="12"/>
        <v>0</v>
      </c>
      <c r="Y41" s="13">
        <f t="shared" si="12"/>
        <v>0</v>
      </c>
      <c r="Z41" s="13">
        <f t="shared" si="12"/>
        <v>0</v>
      </c>
      <c r="AA41" s="13">
        <f t="shared" si="12"/>
        <v>0</v>
      </c>
      <c r="AB41" s="13">
        <f t="shared" si="12"/>
        <v>0</v>
      </c>
      <c r="AC41" s="13">
        <f t="shared" si="12"/>
        <v>0</v>
      </c>
      <c r="AD41" s="13">
        <f t="shared" si="11"/>
        <v>25</v>
      </c>
    </row>
    <row r="42" spans="1:30" ht="12.75" customHeight="1" x14ac:dyDescent="0.4">
      <c r="A42" s="86"/>
      <c r="B42" s="68"/>
      <c r="C42" s="68"/>
      <c r="D42" s="69"/>
      <c r="E42" s="63"/>
      <c r="F42" s="61"/>
      <c r="G42" s="61"/>
      <c r="H42" s="61"/>
      <c r="I42" s="62"/>
      <c r="J42" s="16"/>
      <c r="K42" s="16"/>
      <c r="L42" s="16"/>
      <c r="M42" s="16"/>
      <c r="N42" s="48"/>
      <c r="O42" s="16"/>
      <c r="P42" s="48"/>
      <c r="Q42" s="16"/>
      <c r="R42" s="48"/>
      <c r="S42" s="16"/>
      <c r="T42" s="16"/>
      <c r="U42" s="16"/>
      <c r="V42" s="16"/>
      <c r="W42" s="16"/>
      <c r="X42" s="48"/>
      <c r="Y42" s="16"/>
      <c r="Z42" s="16"/>
      <c r="AA42" s="16"/>
      <c r="AB42" s="48"/>
      <c r="AC42" s="16"/>
      <c r="AD42" s="13"/>
    </row>
    <row r="43" spans="1:30" ht="12.75" customHeight="1" x14ac:dyDescent="0.4">
      <c r="A43" s="26" t="s">
        <v>33</v>
      </c>
      <c r="B43" s="70" t="s">
        <v>34</v>
      </c>
      <c r="C43" s="61"/>
      <c r="D43" s="62"/>
      <c r="E43" s="19"/>
      <c r="F43" s="13"/>
      <c r="G43" s="13"/>
      <c r="H43" s="13"/>
      <c r="I43" s="13"/>
      <c r="J43" s="13"/>
      <c r="K43" s="13"/>
      <c r="L43" s="13"/>
      <c r="M43" s="13"/>
      <c r="N43" s="50"/>
      <c r="O43" s="13"/>
      <c r="P43" s="50"/>
      <c r="Q43" s="13"/>
      <c r="R43" s="50"/>
      <c r="S43" s="13"/>
      <c r="T43" s="13"/>
      <c r="U43" s="13"/>
      <c r="V43" s="13"/>
      <c r="W43" s="13"/>
      <c r="X43" s="50"/>
      <c r="Y43" s="13"/>
      <c r="Z43" s="13"/>
      <c r="AA43" s="13"/>
      <c r="AB43" s="50"/>
      <c r="AC43" s="13"/>
      <c r="AD43" s="13"/>
    </row>
    <row r="44" spans="1:30" ht="12.75" customHeight="1" x14ac:dyDescent="0.4">
      <c r="A44" s="84" t="s">
        <v>35</v>
      </c>
      <c r="B44" s="87"/>
      <c r="C44" s="87"/>
      <c r="D44" s="66"/>
      <c r="E44" s="17"/>
      <c r="F44" s="16"/>
      <c r="G44" s="16"/>
      <c r="H44" s="16"/>
      <c r="I44" s="16"/>
      <c r="J44" s="16"/>
      <c r="K44" s="16"/>
      <c r="L44" s="16"/>
      <c r="M44" s="16"/>
      <c r="N44" s="48"/>
      <c r="O44" s="16"/>
      <c r="P44" s="48"/>
      <c r="Q44" s="16"/>
      <c r="R44" s="48"/>
      <c r="S44" s="16"/>
      <c r="T44" s="16"/>
      <c r="U44" s="16"/>
      <c r="V44" s="16"/>
      <c r="W44" s="16"/>
      <c r="X44" s="48"/>
      <c r="Y44" s="16"/>
      <c r="Z44" s="16"/>
      <c r="AA44" s="16"/>
      <c r="AB44" s="48"/>
      <c r="AC44" s="16"/>
      <c r="AD44" s="13"/>
    </row>
    <row r="45" spans="1:30" ht="12.75" customHeight="1" x14ac:dyDescent="0.4">
      <c r="A45" s="20" t="s">
        <v>36</v>
      </c>
      <c r="B45" s="27" t="s">
        <v>16</v>
      </c>
      <c r="C45" s="64" t="s">
        <v>37</v>
      </c>
      <c r="D45" s="62"/>
      <c r="E45" s="16">
        <v>8</v>
      </c>
      <c r="F45" s="16">
        <v>1</v>
      </c>
      <c r="G45" s="16">
        <v>2</v>
      </c>
      <c r="H45" s="16">
        <v>3</v>
      </c>
      <c r="I45" s="16">
        <v>5</v>
      </c>
      <c r="J45" s="16">
        <v>4</v>
      </c>
      <c r="K45" s="16">
        <v>9</v>
      </c>
      <c r="L45" s="16">
        <v>5</v>
      </c>
      <c r="M45" s="16">
        <v>7</v>
      </c>
      <c r="N45" s="16">
        <v>8</v>
      </c>
      <c r="O45" s="16">
        <v>1</v>
      </c>
      <c r="P45" s="16">
        <v>4</v>
      </c>
      <c r="Q45" s="16">
        <v>4</v>
      </c>
      <c r="R45" s="16">
        <v>1</v>
      </c>
      <c r="S45" s="16">
        <v>3</v>
      </c>
      <c r="T45" s="16">
        <v>5</v>
      </c>
      <c r="U45" s="16">
        <v>5</v>
      </c>
      <c r="V45" s="16">
        <v>3</v>
      </c>
      <c r="W45" s="16">
        <v>4</v>
      </c>
      <c r="X45" s="16">
        <v>3</v>
      </c>
      <c r="Y45" s="16">
        <v>3</v>
      </c>
      <c r="Z45" s="16">
        <v>6</v>
      </c>
      <c r="AA45" s="16">
        <v>6</v>
      </c>
      <c r="AB45" s="16">
        <v>6</v>
      </c>
      <c r="AC45" s="16">
        <v>3</v>
      </c>
      <c r="AD45" s="13">
        <f t="shared" ref="AD45:AD54" si="13">SUM(E45:AC45)</f>
        <v>109</v>
      </c>
    </row>
    <row r="46" spans="1:30" ht="12.75" customHeight="1" x14ac:dyDescent="0.4">
      <c r="A46" s="20" t="s">
        <v>38</v>
      </c>
      <c r="B46" s="28"/>
      <c r="C46" s="29" t="s">
        <v>39</v>
      </c>
      <c r="D46" s="30"/>
      <c r="E46" s="16">
        <v>2</v>
      </c>
      <c r="F46" s="16">
        <v>3</v>
      </c>
      <c r="G46" s="16">
        <v>3</v>
      </c>
      <c r="H46" s="16">
        <v>3</v>
      </c>
      <c r="I46" s="16">
        <v>5</v>
      </c>
      <c r="J46" s="16">
        <v>3</v>
      </c>
      <c r="K46" s="16">
        <v>5</v>
      </c>
      <c r="L46" s="16">
        <v>3</v>
      </c>
      <c r="M46" s="16">
        <v>4</v>
      </c>
      <c r="N46" s="16">
        <v>4</v>
      </c>
      <c r="O46" s="16">
        <v>2</v>
      </c>
      <c r="P46" s="16">
        <v>8</v>
      </c>
      <c r="Q46" s="16">
        <v>3</v>
      </c>
      <c r="R46" s="16">
        <v>1</v>
      </c>
      <c r="S46" s="16">
        <v>2</v>
      </c>
      <c r="T46" s="16">
        <v>2</v>
      </c>
      <c r="U46" s="16">
        <v>6</v>
      </c>
      <c r="V46" s="16">
        <v>5</v>
      </c>
      <c r="W46" s="16">
        <v>5</v>
      </c>
      <c r="X46" s="16">
        <v>2</v>
      </c>
      <c r="Y46" s="16">
        <v>4</v>
      </c>
      <c r="Z46" s="16">
        <v>8</v>
      </c>
      <c r="AA46" s="16">
        <v>8</v>
      </c>
      <c r="AB46" s="16">
        <v>10</v>
      </c>
      <c r="AC46" s="16">
        <v>4</v>
      </c>
      <c r="AD46" s="13">
        <f t="shared" si="13"/>
        <v>105</v>
      </c>
    </row>
    <row r="47" spans="1:30" ht="12.75" customHeight="1" x14ac:dyDescent="0.4">
      <c r="A47" s="15"/>
      <c r="B47" s="28"/>
      <c r="C47" s="29" t="s">
        <v>40</v>
      </c>
      <c r="D47" s="30"/>
      <c r="E47" s="16">
        <v>4</v>
      </c>
      <c r="F47" s="16">
        <v>13</v>
      </c>
      <c r="G47" s="16">
        <v>41</v>
      </c>
      <c r="H47" s="16">
        <v>16</v>
      </c>
      <c r="I47" s="16">
        <v>3</v>
      </c>
      <c r="J47" s="16">
        <v>27</v>
      </c>
      <c r="K47" s="16">
        <v>29</v>
      </c>
      <c r="L47" s="16">
        <v>23</v>
      </c>
      <c r="M47" s="16">
        <v>26</v>
      </c>
      <c r="N47" s="16">
        <v>28</v>
      </c>
      <c r="O47" s="16">
        <v>3</v>
      </c>
      <c r="P47" s="16">
        <v>1</v>
      </c>
      <c r="Q47" s="16">
        <v>5</v>
      </c>
      <c r="R47" s="16">
        <v>1</v>
      </c>
      <c r="S47" s="16">
        <v>2</v>
      </c>
      <c r="T47" s="16">
        <v>2</v>
      </c>
      <c r="U47" s="16">
        <v>15</v>
      </c>
      <c r="V47" s="16">
        <v>9</v>
      </c>
      <c r="W47" s="16">
        <v>1</v>
      </c>
      <c r="X47" s="16">
        <v>3</v>
      </c>
      <c r="Y47" s="16">
        <v>4</v>
      </c>
      <c r="Z47" s="16">
        <v>1</v>
      </c>
      <c r="AA47" s="16">
        <v>2</v>
      </c>
      <c r="AB47" s="16">
        <v>1</v>
      </c>
      <c r="AC47" s="16">
        <v>4</v>
      </c>
      <c r="AD47" s="13">
        <f t="shared" si="13"/>
        <v>264</v>
      </c>
    </row>
    <row r="48" spans="1:30" ht="12.75" customHeight="1" x14ac:dyDescent="0.4">
      <c r="A48" s="15"/>
      <c r="B48" s="28"/>
      <c r="C48" s="29" t="s">
        <v>41</v>
      </c>
      <c r="D48" s="30"/>
      <c r="E48" s="16">
        <v>0</v>
      </c>
      <c r="F48" s="16">
        <v>0</v>
      </c>
      <c r="G48" s="16">
        <v>0</v>
      </c>
      <c r="H48" s="16">
        <v>1</v>
      </c>
      <c r="I48" s="16">
        <v>0</v>
      </c>
      <c r="J48" s="16">
        <v>0</v>
      </c>
      <c r="K48" s="16">
        <v>0</v>
      </c>
      <c r="L48" s="16">
        <v>0</v>
      </c>
      <c r="M48" s="16">
        <v>2</v>
      </c>
      <c r="N48" s="16">
        <v>1</v>
      </c>
      <c r="O48" s="16">
        <v>0</v>
      </c>
      <c r="P48" s="16">
        <v>1</v>
      </c>
      <c r="Q48" s="16">
        <v>0</v>
      </c>
      <c r="R48" s="16">
        <v>1</v>
      </c>
      <c r="S48" s="16">
        <v>0</v>
      </c>
      <c r="T48" s="16">
        <v>0</v>
      </c>
      <c r="U48" s="16">
        <v>0</v>
      </c>
      <c r="V48" s="16">
        <v>1</v>
      </c>
      <c r="W48" s="16">
        <v>1</v>
      </c>
      <c r="X48" s="16">
        <v>0</v>
      </c>
      <c r="Y48" s="16">
        <v>0</v>
      </c>
      <c r="Z48" s="16">
        <v>0</v>
      </c>
      <c r="AA48" s="16">
        <v>1</v>
      </c>
      <c r="AB48" s="16">
        <v>0</v>
      </c>
      <c r="AC48" s="16">
        <v>0</v>
      </c>
      <c r="AD48" s="13">
        <f t="shared" si="13"/>
        <v>9</v>
      </c>
    </row>
    <row r="49" spans="1:30" ht="12.75" customHeight="1" x14ac:dyDescent="0.4">
      <c r="A49" s="15"/>
      <c r="B49" s="28"/>
      <c r="C49" s="29" t="s">
        <v>42</v>
      </c>
      <c r="D49" s="30"/>
      <c r="E49" s="16">
        <v>1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1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1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3">
        <f t="shared" si="13"/>
        <v>3</v>
      </c>
    </row>
    <row r="50" spans="1:30" ht="12.75" customHeight="1" x14ac:dyDescent="0.4">
      <c r="A50" s="15"/>
      <c r="B50" s="28"/>
      <c r="C50" s="29" t="s">
        <v>43</v>
      </c>
      <c r="D50" s="30"/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1</v>
      </c>
      <c r="Y50" s="16">
        <v>0</v>
      </c>
      <c r="Z50" s="16">
        <v>0</v>
      </c>
      <c r="AA50" s="16">
        <v>0</v>
      </c>
      <c r="AB50" s="16">
        <v>0</v>
      </c>
      <c r="AC50" s="16">
        <v>1</v>
      </c>
      <c r="AD50" s="13">
        <f t="shared" si="13"/>
        <v>2</v>
      </c>
    </row>
    <row r="51" spans="1:30" ht="12.75" customHeight="1" x14ac:dyDescent="0.4">
      <c r="A51" s="15"/>
      <c r="B51" s="28"/>
      <c r="C51" s="29" t="s">
        <v>44</v>
      </c>
      <c r="D51" s="30"/>
      <c r="E51" s="16">
        <v>0</v>
      </c>
      <c r="F51" s="16">
        <v>0</v>
      </c>
      <c r="G51" s="16">
        <v>0</v>
      </c>
      <c r="H51" s="16">
        <v>2</v>
      </c>
      <c r="I51" s="16">
        <v>2</v>
      </c>
      <c r="J51" s="16">
        <v>2</v>
      </c>
      <c r="K51" s="16">
        <v>0</v>
      </c>
      <c r="L51" s="16">
        <v>0</v>
      </c>
      <c r="M51" s="16">
        <v>1</v>
      </c>
      <c r="N51" s="16">
        <v>0</v>
      </c>
      <c r="O51" s="16">
        <v>0</v>
      </c>
      <c r="P51" s="16">
        <v>0</v>
      </c>
      <c r="Q51" s="16">
        <v>0</v>
      </c>
      <c r="R51" s="16">
        <v>0</v>
      </c>
      <c r="S51" s="16">
        <v>1</v>
      </c>
      <c r="T51" s="16">
        <v>0</v>
      </c>
      <c r="U51" s="16">
        <v>0</v>
      </c>
      <c r="V51" s="16">
        <v>1</v>
      </c>
      <c r="W51" s="16">
        <v>0</v>
      </c>
      <c r="X51" s="16">
        <v>0</v>
      </c>
      <c r="Y51" s="16">
        <v>0</v>
      </c>
      <c r="Z51" s="16">
        <v>0</v>
      </c>
      <c r="AA51" s="16">
        <v>0</v>
      </c>
      <c r="AB51" s="16">
        <v>0</v>
      </c>
      <c r="AC51" s="16">
        <v>2</v>
      </c>
      <c r="AD51" s="13">
        <f t="shared" si="13"/>
        <v>11</v>
      </c>
    </row>
    <row r="52" spans="1:30" ht="12.75" customHeight="1" x14ac:dyDescent="0.4">
      <c r="A52" s="52"/>
      <c r="B52" s="35"/>
      <c r="C52" s="88"/>
      <c r="D52" s="6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13">
        <f t="shared" si="13"/>
        <v>0</v>
      </c>
    </row>
    <row r="53" spans="1:30" ht="12.75" customHeight="1" x14ac:dyDescent="0.4">
      <c r="A53" s="52"/>
      <c r="B53" s="35"/>
      <c r="C53" s="37"/>
      <c r="D53" s="38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13">
        <f t="shared" si="13"/>
        <v>0</v>
      </c>
    </row>
    <row r="54" spans="1:30" ht="12.75" customHeight="1" x14ac:dyDescent="0.4">
      <c r="A54" s="52"/>
      <c r="B54" s="35"/>
      <c r="C54" s="37"/>
      <c r="D54" s="38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13">
        <f t="shared" si="13"/>
        <v>0</v>
      </c>
    </row>
    <row r="55" spans="1:30" ht="12.75" customHeight="1" x14ac:dyDescent="0.4">
      <c r="A55" s="16" t="s">
        <v>14</v>
      </c>
      <c r="B55" s="60" t="s">
        <v>45</v>
      </c>
      <c r="C55" s="61"/>
      <c r="D55" s="62"/>
      <c r="E55" s="13">
        <f t="shared" ref="E55:AD55" si="14">SUM(E45:E54)</f>
        <v>15</v>
      </c>
      <c r="F55" s="13">
        <f t="shared" si="14"/>
        <v>17</v>
      </c>
      <c r="G55" s="13">
        <f t="shared" si="14"/>
        <v>46</v>
      </c>
      <c r="H55" s="13">
        <f t="shared" si="14"/>
        <v>25</v>
      </c>
      <c r="I55" s="13">
        <f t="shared" si="14"/>
        <v>15</v>
      </c>
      <c r="J55" s="13">
        <f t="shared" si="14"/>
        <v>36</v>
      </c>
      <c r="K55" s="13">
        <f t="shared" si="14"/>
        <v>43</v>
      </c>
      <c r="L55" s="13">
        <f t="shared" si="14"/>
        <v>31</v>
      </c>
      <c r="M55" s="13">
        <f t="shared" si="14"/>
        <v>40</v>
      </c>
      <c r="N55" s="13">
        <f t="shared" si="14"/>
        <v>42</v>
      </c>
      <c r="O55" s="13">
        <f t="shared" si="14"/>
        <v>6</v>
      </c>
      <c r="P55" s="13">
        <f t="shared" si="14"/>
        <v>14</v>
      </c>
      <c r="Q55" s="13">
        <f t="shared" si="14"/>
        <v>12</v>
      </c>
      <c r="R55" s="13">
        <f t="shared" si="14"/>
        <v>4</v>
      </c>
      <c r="S55" s="13">
        <f t="shared" si="14"/>
        <v>8</v>
      </c>
      <c r="T55" s="13">
        <f t="shared" si="14"/>
        <v>9</v>
      </c>
      <c r="U55" s="13">
        <f t="shared" si="14"/>
        <v>27</v>
      </c>
      <c r="V55" s="13">
        <f t="shared" si="14"/>
        <v>19</v>
      </c>
      <c r="W55" s="13">
        <f t="shared" si="14"/>
        <v>11</v>
      </c>
      <c r="X55" s="13">
        <f t="shared" si="14"/>
        <v>9</v>
      </c>
      <c r="Y55" s="13">
        <f t="shared" si="14"/>
        <v>11</v>
      </c>
      <c r="Z55" s="13">
        <f t="shared" si="14"/>
        <v>15</v>
      </c>
      <c r="AA55" s="13">
        <f t="shared" si="14"/>
        <v>17</v>
      </c>
      <c r="AB55" s="13">
        <f t="shared" si="14"/>
        <v>17</v>
      </c>
      <c r="AC55" s="13">
        <f t="shared" si="14"/>
        <v>14</v>
      </c>
      <c r="AD55" s="13">
        <f t="shared" si="14"/>
        <v>503</v>
      </c>
    </row>
    <row r="56" spans="1:30" ht="12.75" customHeight="1" x14ac:dyDescent="0.4">
      <c r="A56" s="86"/>
      <c r="B56" s="68"/>
      <c r="C56" s="68"/>
      <c r="D56" s="68"/>
      <c r="E56" s="68"/>
      <c r="AD56" s="13"/>
    </row>
    <row r="57" spans="1:30" ht="12.75" customHeight="1" x14ac:dyDescent="0.4">
      <c r="A57" s="20" t="s">
        <v>36</v>
      </c>
      <c r="B57" s="27" t="s">
        <v>18</v>
      </c>
      <c r="C57" s="64" t="s">
        <v>46</v>
      </c>
      <c r="D57" s="62"/>
      <c r="E57" s="16">
        <v>12</v>
      </c>
      <c r="F57" s="16">
        <v>2</v>
      </c>
      <c r="G57" s="16">
        <v>3</v>
      </c>
      <c r="H57" s="16">
        <v>3</v>
      </c>
      <c r="I57" s="16">
        <v>6</v>
      </c>
      <c r="J57" s="16">
        <v>6</v>
      </c>
      <c r="K57" s="16">
        <v>10</v>
      </c>
      <c r="L57" s="16">
        <v>6</v>
      </c>
      <c r="M57" s="16">
        <v>10</v>
      </c>
      <c r="N57" s="16">
        <v>14</v>
      </c>
      <c r="O57" s="16">
        <v>9</v>
      </c>
      <c r="P57" s="16">
        <v>3</v>
      </c>
      <c r="Q57" s="16">
        <v>7</v>
      </c>
      <c r="R57" s="16">
        <v>3</v>
      </c>
      <c r="S57" s="16">
        <v>9</v>
      </c>
      <c r="T57" s="16">
        <v>5</v>
      </c>
      <c r="U57" s="16">
        <v>5</v>
      </c>
      <c r="V57" s="16">
        <v>11</v>
      </c>
      <c r="W57" s="16">
        <v>1</v>
      </c>
      <c r="X57" s="16">
        <v>8</v>
      </c>
      <c r="Y57" s="16">
        <v>9</v>
      </c>
      <c r="Z57" s="16">
        <v>7</v>
      </c>
      <c r="AA57" s="16">
        <v>10</v>
      </c>
      <c r="AB57" s="16">
        <v>10</v>
      </c>
      <c r="AC57" s="16">
        <v>11</v>
      </c>
      <c r="AD57" s="13">
        <f t="shared" ref="AD57:AD66" si="15">SUM(E57:AC57)</f>
        <v>180</v>
      </c>
    </row>
    <row r="58" spans="1:30" ht="12.75" customHeight="1" x14ac:dyDescent="0.4">
      <c r="A58" s="20" t="s">
        <v>38</v>
      </c>
      <c r="B58" s="28"/>
      <c r="C58" s="29" t="s">
        <v>47</v>
      </c>
      <c r="D58" s="30"/>
      <c r="E58" s="16">
        <v>14</v>
      </c>
      <c r="F58" s="16">
        <v>5</v>
      </c>
      <c r="G58" s="16">
        <v>1</v>
      </c>
      <c r="H58" s="16">
        <v>6</v>
      </c>
      <c r="I58" s="16">
        <v>5</v>
      </c>
      <c r="J58" s="16">
        <v>8</v>
      </c>
      <c r="K58" s="16">
        <v>3</v>
      </c>
      <c r="L58" s="16">
        <v>10</v>
      </c>
      <c r="M58" s="16">
        <v>21</v>
      </c>
      <c r="N58" s="16">
        <v>4</v>
      </c>
      <c r="O58" s="16">
        <v>5</v>
      </c>
      <c r="P58" s="16">
        <v>9</v>
      </c>
      <c r="Q58" s="16">
        <v>10</v>
      </c>
      <c r="R58" s="16">
        <v>8</v>
      </c>
      <c r="S58" s="16">
        <v>10</v>
      </c>
      <c r="T58" s="16">
        <v>5</v>
      </c>
      <c r="U58" s="16">
        <v>5</v>
      </c>
      <c r="V58" s="16">
        <v>8</v>
      </c>
      <c r="W58" s="16">
        <v>6</v>
      </c>
      <c r="X58" s="16">
        <v>2</v>
      </c>
      <c r="Y58" s="16">
        <v>4</v>
      </c>
      <c r="Z58" s="16">
        <v>2</v>
      </c>
      <c r="AA58" s="16">
        <v>8</v>
      </c>
      <c r="AB58" s="16">
        <v>4</v>
      </c>
      <c r="AC58" s="16">
        <v>7</v>
      </c>
      <c r="AD58" s="13">
        <f t="shared" si="15"/>
        <v>170</v>
      </c>
    </row>
    <row r="59" spans="1:30" ht="12.75" customHeight="1" x14ac:dyDescent="0.4">
      <c r="A59" s="15"/>
      <c r="B59" s="28"/>
      <c r="C59" s="29" t="s">
        <v>48</v>
      </c>
      <c r="D59" s="30"/>
      <c r="E59" s="16">
        <v>3</v>
      </c>
      <c r="F59" s="16">
        <v>2</v>
      </c>
      <c r="G59" s="16">
        <v>1</v>
      </c>
      <c r="H59" s="16">
        <v>1</v>
      </c>
      <c r="I59" s="16">
        <v>2</v>
      </c>
      <c r="J59" s="16">
        <v>2</v>
      </c>
      <c r="K59" s="16">
        <v>4</v>
      </c>
      <c r="L59" s="16">
        <v>2</v>
      </c>
      <c r="M59" s="16">
        <v>2</v>
      </c>
      <c r="N59" s="16">
        <v>0</v>
      </c>
      <c r="O59" s="16">
        <v>0</v>
      </c>
      <c r="P59" s="16">
        <v>1</v>
      </c>
      <c r="Q59" s="16">
        <v>1</v>
      </c>
      <c r="R59" s="16">
        <v>1</v>
      </c>
      <c r="S59" s="16">
        <v>3</v>
      </c>
      <c r="T59" s="16">
        <v>3</v>
      </c>
      <c r="U59" s="16">
        <v>2</v>
      </c>
      <c r="V59" s="16">
        <v>3</v>
      </c>
      <c r="W59" s="16">
        <v>1</v>
      </c>
      <c r="X59" s="16">
        <v>2</v>
      </c>
      <c r="Y59" s="16">
        <v>2</v>
      </c>
      <c r="Z59" s="16">
        <v>1</v>
      </c>
      <c r="AA59" s="16">
        <v>2</v>
      </c>
      <c r="AB59" s="16">
        <v>1</v>
      </c>
      <c r="AC59" s="16">
        <v>1</v>
      </c>
      <c r="AD59" s="13">
        <f t="shared" si="15"/>
        <v>43</v>
      </c>
    </row>
    <row r="60" spans="1:30" ht="12.75" customHeight="1" x14ac:dyDescent="0.4">
      <c r="A60" s="15"/>
      <c r="B60" s="28"/>
      <c r="C60" s="29" t="s">
        <v>49</v>
      </c>
      <c r="D60" s="30"/>
      <c r="E60" s="16">
        <v>2</v>
      </c>
      <c r="F60" s="16">
        <v>3</v>
      </c>
      <c r="G60" s="16">
        <v>0</v>
      </c>
      <c r="H60" s="16">
        <v>3</v>
      </c>
      <c r="I60" s="16">
        <v>1</v>
      </c>
      <c r="J60" s="16">
        <v>3</v>
      </c>
      <c r="K60" s="16">
        <v>0</v>
      </c>
      <c r="L60" s="16">
        <v>1</v>
      </c>
      <c r="M60" s="16">
        <v>1</v>
      </c>
      <c r="N60" s="16">
        <v>1</v>
      </c>
      <c r="O60" s="16">
        <v>0</v>
      </c>
      <c r="P60" s="16">
        <v>0</v>
      </c>
      <c r="Q60" s="16">
        <v>0</v>
      </c>
      <c r="R60" s="16">
        <v>2</v>
      </c>
      <c r="S60" s="16">
        <v>2</v>
      </c>
      <c r="T60" s="16">
        <v>1</v>
      </c>
      <c r="U60" s="16">
        <v>0</v>
      </c>
      <c r="V60" s="16">
        <v>2</v>
      </c>
      <c r="W60" s="16">
        <v>0</v>
      </c>
      <c r="X60" s="16">
        <v>0</v>
      </c>
      <c r="Y60" s="16">
        <v>1</v>
      </c>
      <c r="Z60" s="16">
        <v>0</v>
      </c>
      <c r="AA60" s="16">
        <v>1</v>
      </c>
      <c r="AB60" s="16">
        <v>4</v>
      </c>
      <c r="AC60" s="16">
        <v>7</v>
      </c>
      <c r="AD60" s="13">
        <f t="shared" si="15"/>
        <v>35</v>
      </c>
    </row>
    <row r="61" spans="1:30" ht="12.75" customHeight="1" x14ac:dyDescent="0.4">
      <c r="A61" s="15"/>
      <c r="B61" s="28"/>
      <c r="C61" s="29" t="s">
        <v>50</v>
      </c>
      <c r="D61" s="30"/>
      <c r="E61" s="16">
        <v>1</v>
      </c>
      <c r="F61" s="16">
        <v>0</v>
      </c>
      <c r="G61" s="16">
        <v>1</v>
      </c>
      <c r="H61" s="16">
        <v>0</v>
      </c>
      <c r="I61" s="16">
        <v>2</v>
      </c>
      <c r="J61" s="16">
        <v>2</v>
      </c>
      <c r="K61" s="16">
        <v>2</v>
      </c>
      <c r="L61" s="16">
        <v>0</v>
      </c>
      <c r="M61" s="16">
        <v>4</v>
      </c>
      <c r="N61" s="16">
        <v>1</v>
      </c>
      <c r="O61" s="16">
        <v>0</v>
      </c>
      <c r="P61" s="16">
        <v>1</v>
      </c>
      <c r="Q61" s="16">
        <v>1</v>
      </c>
      <c r="R61" s="16">
        <v>0</v>
      </c>
      <c r="S61" s="16">
        <v>2</v>
      </c>
      <c r="T61" s="16">
        <v>1</v>
      </c>
      <c r="U61" s="16">
        <v>1</v>
      </c>
      <c r="V61" s="16">
        <v>2</v>
      </c>
      <c r="W61" s="16">
        <v>1</v>
      </c>
      <c r="X61" s="16">
        <v>1</v>
      </c>
      <c r="Y61" s="16">
        <v>4</v>
      </c>
      <c r="Z61" s="16">
        <v>0</v>
      </c>
      <c r="AA61" s="16">
        <v>1</v>
      </c>
      <c r="AB61" s="16">
        <v>1</v>
      </c>
      <c r="AC61" s="16">
        <v>1</v>
      </c>
      <c r="AD61" s="13">
        <f t="shared" si="15"/>
        <v>30</v>
      </c>
    </row>
    <row r="62" spans="1:30" ht="12.75" customHeight="1" x14ac:dyDescent="0.4">
      <c r="A62" s="15"/>
      <c r="B62" s="28"/>
      <c r="C62" s="29" t="s">
        <v>51</v>
      </c>
      <c r="D62" s="30"/>
      <c r="E62" s="16">
        <v>15</v>
      </c>
      <c r="F62" s="16">
        <v>3</v>
      </c>
      <c r="G62" s="16">
        <v>0</v>
      </c>
      <c r="H62" s="16">
        <v>2</v>
      </c>
      <c r="I62" s="16">
        <v>1</v>
      </c>
      <c r="J62" s="16">
        <v>0</v>
      </c>
      <c r="K62" s="16">
        <v>0</v>
      </c>
      <c r="L62" s="16">
        <v>0</v>
      </c>
      <c r="M62" s="16">
        <v>1</v>
      </c>
      <c r="N62" s="16">
        <v>0</v>
      </c>
      <c r="O62" s="16">
        <v>2</v>
      </c>
      <c r="P62" s="16">
        <v>2</v>
      </c>
      <c r="Q62" s="16">
        <v>0</v>
      </c>
      <c r="R62" s="16">
        <v>1</v>
      </c>
      <c r="S62" s="16">
        <v>0</v>
      </c>
      <c r="T62" s="16">
        <v>0</v>
      </c>
      <c r="U62" s="16">
        <v>0</v>
      </c>
      <c r="V62" s="16">
        <v>1</v>
      </c>
      <c r="W62" s="16">
        <v>2</v>
      </c>
      <c r="X62" s="16">
        <v>0</v>
      </c>
      <c r="Y62" s="16">
        <v>0</v>
      </c>
      <c r="Z62" s="16">
        <v>1</v>
      </c>
      <c r="AA62" s="16">
        <v>0</v>
      </c>
      <c r="AB62" s="16">
        <v>1</v>
      </c>
      <c r="AC62" s="16">
        <v>1</v>
      </c>
      <c r="AD62" s="13">
        <f t="shared" si="15"/>
        <v>33</v>
      </c>
    </row>
    <row r="63" spans="1:30" ht="12.75" customHeight="1" x14ac:dyDescent="0.4">
      <c r="A63" s="15"/>
      <c r="B63" s="28"/>
      <c r="C63" s="29" t="s">
        <v>52</v>
      </c>
      <c r="D63" s="30"/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4</v>
      </c>
      <c r="K63" s="16">
        <v>0</v>
      </c>
      <c r="L63" s="16">
        <v>0</v>
      </c>
      <c r="M63" s="16">
        <v>0</v>
      </c>
      <c r="N63" s="16">
        <v>0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2</v>
      </c>
      <c r="AB63" s="16">
        <v>0</v>
      </c>
      <c r="AC63" s="16">
        <v>0</v>
      </c>
      <c r="AD63" s="13">
        <f t="shared" si="15"/>
        <v>7</v>
      </c>
    </row>
    <row r="64" spans="1:30" ht="12.75" customHeight="1" x14ac:dyDescent="0.4">
      <c r="A64" s="52"/>
      <c r="B64" s="35"/>
      <c r="C64" s="37"/>
      <c r="D64" s="38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13">
        <f t="shared" si="15"/>
        <v>0</v>
      </c>
    </row>
    <row r="65" spans="1:30" ht="12.75" customHeight="1" x14ac:dyDescent="0.4">
      <c r="A65" s="52"/>
      <c r="B65" s="35"/>
      <c r="C65" s="37"/>
      <c r="D65" s="38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13">
        <f t="shared" si="15"/>
        <v>0</v>
      </c>
    </row>
    <row r="66" spans="1:30" ht="12.75" customHeight="1" x14ac:dyDescent="0.4">
      <c r="A66" s="52"/>
      <c r="B66" s="35"/>
      <c r="C66" s="37"/>
      <c r="D66" s="38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13">
        <f t="shared" si="15"/>
        <v>0</v>
      </c>
    </row>
    <row r="67" spans="1:30" ht="12.75" customHeight="1" x14ac:dyDescent="0.4">
      <c r="A67" s="16" t="s">
        <v>14</v>
      </c>
      <c r="B67" s="60" t="s">
        <v>45</v>
      </c>
      <c r="C67" s="61"/>
      <c r="D67" s="62"/>
      <c r="E67" s="13">
        <f t="shared" ref="E67:AD67" si="16">SUM(E57:E66)</f>
        <v>47</v>
      </c>
      <c r="F67" s="13">
        <f t="shared" si="16"/>
        <v>16</v>
      </c>
      <c r="G67" s="13">
        <f t="shared" si="16"/>
        <v>6</v>
      </c>
      <c r="H67" s="13">
        <f t="shared" si="16"/>
        <v>15</v>
      </c>
      <c r="I67" s="13">
        <f t="shared" si="16"/>
        <v>17</v>
      </c>
      <c r="J67" s="13">
        <f t="shared" si="16"/>
        <v>25</v>
      </c>
      <c r="K67" s="13">
        <f t="shared" si="16"/>
        <v>19</v>
      </c>
      <c r="L67" s="13">
        <f t="shared" si="16"/>
        <v>19</v>
      </c>
      <c r="M67" s="13">
        <f t="shared" si="16"/>
        <v>39</v>
      </c>
      <c r="N67" s="13">
        <f t="shared" si="16"/>
        <v>20</v>
      </c>
      <c r="O67" s="13">
        <f t="shared" si="16"/>
        <v>16</v>
      </c>
      <c r="P67" s="13">
        <f t="shared" si="16"/>
        <v>16</v>
      </c>
      <c r="Q67" s="13">
        <f t="shared" si="16"/>
        <v>19</v>
      </c>
      <c r="R67" s="13">
        <f t="shared" si="16"/>
        <v>15</v>
      </c>
      <c r="S67" s="13">
        <f t="shared" si="16"/>
        <v>26</v>
      </c>
      <c r="T67" s="13">
        <f t="shared" si="16"/>
        <v>15</v>
      </c>
      <c r="U67" s="13">
        <f t="shared" si="16"/>
        <v>13</v>
      </c>
      <c r="V67" s="13">
        <f t="shared" si="16"/>
        <v>27</v>
      </c>
      <c r="W67" s="13">
        <f t="shared" si="16"/>
        <v>11</v>
      </c>
      <c r="X67" s="13">
        <f t="shared" si="16"/>
        <v>13</v>
      </c>
      <c r="Y67" s="13">
        <f t="shared" si="16"/>
        <v>20</v>
      </c>
      <c r="Z67" s="13">
        <f t="shared" si="16"/>
        <v>11</v>
      </c>
      <c r="AA67" s="13">
        <f t="shared" si="16"/>
        <v>24</v>
      </c>
      <c r="AB67" s="13">
        <f t="shared" si="16"/>
        <v>21</v>
      </c>
      <c r="AC67" s="13">
        <f t="shared" si="16"/>
        <v>28</v>
      </c>
      <c r="AD67" s="13">
        <f t="shared" si="16"/>
        <v>498</v>
      </c>
    </row>
    <row r="68" spans="1:30" ht="12.75" customHeight="1" x14ac:dyDescent="0.4">
      <c r="A68" s="86"/>
      <c r="B68" s="68"/>
      <c r="C68" s="68"/>
      <c r="D68" s="68"/>
      <c r="E68" s="68"/>
    </row>
    <row r="69" spans="1:30" ht="12.75" customHeight="1" x14ac:dyDescent="0.4">
      <c r="A69" s="20" t="s">
        <v>36</v>
      </c>
      <c r="B69" s="27" t="s">
        <v>20</v>
      </c>
      <c r="C69" s="64" t="s">
        <v>53</v>
      </c>
      <c r="D69" s="62"/>
      <c r="E69" s="16">
        <v>9</v>
      </c>
      <c r="F69" s="16">
        <v>10</v>
      </c>
      <c r="G69" s="16">
        <v>3</v>
      </c>
      <c r="H69" s="16">
        <v>2</v>
      </c>
      <c r="I69" s="16">
        <v>5</v>
      </c>
      <c r="J69" s="16">
        <v>6</v>
      </c>
      <c r="K69" s="16">
        <v>4</v>
      </c>
      <c r="L69" s="16">
        <v>3</v>
      </c>
      <c r="M69" s="16">
        <v>4</v>
      </c>
      <c r="N69" s="16">
        <v>10</v>
      </c>
      <c r="O69" s="16">
        <v>6</v>
      </c>
      <c r="P69" s="16">
        <v>3</v>
      </c>
      <c r="Q69" s="16">
        <v>26</v>
      </c>
      <c r="R69" s="16">
        <v>10</v>
      </c>
      <c r="S69" s="16">
        <v>9</v>
      </c>
      <c r="T69" s="16">
        <v>4</v>
      </c>
      <c r="U69" s="16">
        <v>7</v>
      </c>
      <c r="V69" s="16">
        <v>5</v>
      </c>
      <c r="W69" s="16">
        <v>4</v>
      </c>
      <c r="X69" s="16">
        <v>4</v>
      </c>
      <c r="Y69" s="16">
        <v>5</v>
      </c>
      <c r="Z69" s="16">
        <v>15</v>
      </c>
      <c r="AA69" s="16">
        <v>8</v>
      </c>
      <c r="AB69" s="16">
        <v>15</v>
      </c>
      <c r="AC69" s="16">
        <v>1</v>
      </c>
      <c r="AD69" s="13">
        <f t="shared" ref="AD69:AD78" si="17">SUM(E69:AC69)</f>
        <v>178</v>
      </c>
    </row>
    <row r="70" spans="1:30" ht="12.75" customHeight="1" x14ac:dyDescent="0.4">
      <c r="A70" s="20" t="s">
        <v>38</v>
      </c>
      <c r="B70" s="28"/>
      <c r="C70" s="29" t="s">
        <v>54</v>
      </c>
      <c r="D70" s="30"/>
      <c r="E70" s="16">
        <v>2</v>
      </c>
      <c r="F70" s="16">
        <v>14</v>
      </c>
      <c r="G70" s="16">
        <v>5</v>
      </c>
      <c r="H70" s="16">
        <v>7</v>
      </c>
      <c r="I70" s="16">
        <v>3</v>
      </c>
      <c r="J70" s="16">
        <v>9</v>
      </c>
      <c r="K70" s="16">
        <v>2</v>
      </c>
      <c r="L70" s="16">
        <v>4</v>
      </c>
      <c r="M70" s="16">
        <v>0</v>
      </c>
      <c r="N70" s="16">
        <v>2</v>
      </c>
      <c r="O70" s="16">
        <v>7</v>
      </c>
      <c r="P70" s="16">
        <v>4</v>
      </c>
      <c r="Q70" s="16">
        <v>15</v>
      </c>
      <c r="R70" s="16">
        <v>8</v>
      </c>
      <c r="S70" s="16">
        <v>1</v>
      </c>
      <c r="T70" s="16">
        <v>5</v>
      </c>
      <c r="U70" s="16">
        <v>12</v>
      </c>
      <c r="V70" s="16">
        <v>5</v>
      </c>
      <c r="W70" s="16">
        <v>6</v>
      </c>
      <c r="X70" s="16">
        <v>3</v>
      </c>
      <c r="Y70" s="16">
        <v>3</v>
      </c>
      <c r="Z70" s="16">
        <v>4</v>
      </c>
      <c r="AA70" s="16">
        <v>6</v>
      </c>
      <c r="AB70" s="16">
        <v>8</v>
      </c>
      <c r="AC70" s="16">
        <v>3</v>
      </c>
      <c r="AD70" s="13">
        <f t="shared" si="17"/>
        <v>138</v>
      </c>
    </row>
    <row r="71" spans="1:30" ht="12.75" customHeight="1" x14ac:dyDescent="0.4">
      <c r="A71" s="15"/>
      <c r="B71" s="28"/>
      <c r="C71" s="29" t="s">
        <v>55</v>
      </c>
      <c r="D71" s="30"/>
      <c r="E71" s="16">
        <v>10</v>
      </c>
      <c r="F71" s="16">
        <v>24</v>
      </c>
      <c r="G71" s="16">
        <v>2</v>
      </c>
      <c r="H71" s="16">
        <v>1</v>
      </c>
      <c r="I71" s="16">
        <v>2</v>
      </c>
      <c r="J71" s="16">
        <v>6</v>
      </c>
      <c r="K71" s="16">
        <v>5</v>
      </c>
      <c r="L71" s="16">
        <v>3</v>
      </c>
      <c r="M71" s="16">
        <v>0</v>
      </c>
      <c r="N71" s="16">
        <v>2</v>
      </c>
      <c r="O71" s="16">
        <v>5</v>
      </c>
      <c r="P71" s="16">
        <v>7</v>
      </c>
      <c r="Q71" s="16">
        <v>4</v>
      </c>
      <c r="R71" s="16">
        <v>0</v>
      </c>
      <c r="S71" s="16">
        <v>6</v>
      </c>
      <c r="T71" s="16">
        <v>6</v>
      </c>
      <c r="U71" s="16">
        <v>0</v>
      </c>
      <c r="V71" s="16">
        <v>7</v>
      </c>
      <c r="W71" s="16">
        <v>4</v>
      </c>
      <c r="X71" s="16">
        <v>12</v>
      </c>
      <c r="Y71" s="16">
        <v>1</v>
      </c>
      <c r="Z71" s="16">
        <v>35</v>
      </c>
      <c r="AA71" s="16">
        <v>1</v>
      </c>
      <c r="AB71" s="16">
        <v>5</v>
      </c>
      <c r="AC71" s="16">
        <v>3</v>
      </c>
      <c r="AD71" s="13">
        <f t="shared" si="17"/>
        <v>151</v>
      </c>
    </row>
    <row r="72" spans="1:30" ht="12.75" customHeight="1" x14ac:dyDescent="0.4">
      <c r="A72" s="15"/>
      <c r="B72" s="28"/>
      <c r="C72" s="29" t="s">
        <v>56</v>
      </c>
      <c r="D72" s="30"/>
      <c r="E72" s="16">
        <v>2</v>
      </c>
      <c r="F72" s="16">
        <v>24</v>
      </c>
      <c r="G72" s="16">
        <v>5</v>
      </c>
      <c r="H72" s="16">
        <v>9</v>
      </c>
      <c r="I72" s="16">
        <v>3</v>
      </c>
      <c r="J72" s="16">
        <v>21</v>
      </c>
      <c r="K72" s="16">
        <v>39</v>
      </c>
      <c r="L72" s="16">
        <v>20</v>
      </c>
      <c r="M72" s="16">
        <v>36</v>
      </c>
      <c r="N72" s="16">
        <v>7</v>
      </c>
      <c r="O72" s="16">
        <v>10</v>
      </c>
      <c r="P72" s="16">
        <v>5</v>
      </c>
      <c r="Q72" s="16">
        <v>10</v>
      </c>
      <c r="R72" s="16">
        <v>6</v>
      </c>
      <c r="S72" s="16">
        <v>4</v>
      </c>
      <c r="T72" s="16">
        <v>2</v>
      </c>
      <c r="U72" s="16">
        <v>3</v>
      </c>
      <c r="V72" s="16">
        <v>4</v>
      </c>
      <c r="W72" s="16">
        <v>6</v>
      </c>
      <c r="X72" s="16">
        <v>3</v>
      </c>
      <c r="Y72" s="16">
        <v>11</v>
      </c>
      <c r="Z72" s="16">
        <v>6</v>
      </c>
      <c r="AA72" s="16">
        <v>16</v>
      </c>
      <c r="AB72" s="16">
        <v>9</v>
      </c>
      <c r="AC72" s="16">
        <v>8</v>
      </c>
      <c r="AD72" s="13">
        <f t="shared" si="17"/>
        <v>269</v>
      </c>
    </row>
    <row r="73" spans="1:30" ht="12.75" customHeight="1" x14ac:dyDescent="0.4">
      <c r="A73" s="15"/>
      <c r="B73" s="28"/>
      <c r="C73" s="29" t="s">
        <v>57</v>
      </c>
      <c r="D73" s="30"/>
      <c r="E73" s="16">
        <v>1</v>
      </c>
      <c r="F73" s="16">
        <v>7</v>
      </c>
      <c r="G73" s="16">
        <v>8</v>
      </c>
      <c r="H73" s="16">
        <v>20</v>
      </c>
      <c r="I73" s="16">
        <v>43</v>
      </c>
      <c r="J73" s="16">
        <v>15</v>
      </c>
      <c r="K73" s="16">
        <v>2</v>
      </c>
      <c r="L73" s="16">
        <v>8</v>
      </c>
      <c r="M73" s="16">
        <v>2</v>
      </c>
      <c r="N73" s="16">
        <v>3</v>
      </c>
      <c r="O73" s="16">
        <v>0</v>
      </c>
      <c r="P73" s="16">
        <v>1</v>
      </c>
      <c r="Q73" s="16">
        <v>3</v>
      </c>
      <c r="R73" s="16">
        <v>4</v>
      </c>
      <c r="S73" s="16">
        <v>1</v>
      </c>
      <c r="T73" s="16">
        <v>2</v>
      </c>
      <c r="U73" s="16">
        <v>0</v>
      </c>
      <c r="V73" s="16">
        <v>1</v>
      </c>
      <c r="W73" s="16">
        <v>2</v>
      </c>
      <c r="X73" s="16">
        <v>0</v>
      </c>
      <c r="Y73" s="16">
        <v>1</v>
      </c>
      <c r="Z73" s="16">
        <v>6</v>
      </c>
      <c r="AA73" s="16">
        <v>0</v>
      </c>
      <c r="AB73" s="16">
        <v>3</v>
      </c>
      <c r="AC73" s="16">
        <v>2</v>
      </c>
      <c r="AD73" s="13">
        <f t="shared" si="17"/>
        <v>135</v>
      </c>
    </row>
    <row r="74" spans="1:30" ht="12.75" customHeight="1" x14ac:dyDescent="0.4">
      <c r="A74" s="15"/>
      <c r="B74" s="28"/>
      <c r="C74" s="29" t="s">
        <v>58</v>
      </c>
      <c r="D74" s="30"/>
      <c r="E74" s="16">
        <v>0</v>
      </c>
      <c r="F74" s="16">
        <v>0</v>
      </c>
      <c r="G74" s="16">
        <v>4</v>
      </c>
      <c r="H74" s="16">
        <v>2</v>
      </c>
      <c r="I74" s="16">
        <v>4</v>
      </c>
      <c r="J74" s="16">
        <v>13</v>
      </c>
      <c r="K74" s="16">
        <v>4</v>
      </c>
      <c r="L74" s="16">
        <v>0</v>
      </c>
      <c r="M74" s="16">
        <v>2</v>
      </c>
      <c r="N74" s="16">
        <v>3</v>
      </c>
      <c r="O74" s="16">
        <v>4</v>
      </c>
      <c r="P74" s="16">
        <v>3</v>
      </c>
      <c r="Q74" s="16">
        <v>9</v>
      </c>
      <c r="R74" s="16">
        <v>6</v>
      </c>
      <c r="S74" s="16">
        <v>11</v>
      </c>
      <c r="T74" s="16">
        <v>5</v>
      </c>
      <c r="U74" s="16">
        <v>7</v>
      </c>
      <c r="V74" s="16">
        <v>7</v>
      </c>
      <c r="W74" s="16">
        <v>9</v>
      </c>
      <c r="X74" s="16">
        <v>8</v>
      </c>
      <c r="Y74" s="16">
        <v>5</v>
      </c>
      <c r="Z74" s="16">
        <v>10</v>
      </c>
      <c r="AA74" s="16">
        <v>3</v>
      </c>
      <c r="AB74" s="16">
        <v>3</v>
      </c>
      <c r="AC74" s="16">
        <v>17</v>
      </c>
      <c r="AD74" s="13">
        <f t="shared" si="17"/>
        <v>139</v>
      </c>
    </row>
    <row r="75" spans="1:30" ht="12.75" customHeight="1" x14ac:dyDescent="0.4">
      <c r="A75" s="15"/>
      <c r="B75" s="28"/>
      <c r="C75" s="29" t="s">
        <v>59</v>
      </c>
      <c r="D75" s="30"/>
      <c r="E75" s="16">
        <v>0</v>
      </c>
      <c r="F75" s="16">
        <v>4</v>
      </c>
      <c r="G75" s="16">
        <v>0</v>
      </c>
      <c r="H75" s="16">
        <v>1</v>
      </c>
      <c r="I75" s="16">
        <v>0</v>
      </c>
      <c r="J75" s="16">
        <v>2</v>
      </c>
      <c r="K75" s="16">
        <v>3</v>
      </c>
      <c r="L75" s="16">
        <v>3</v>
      </c>
      <c r="M75" s="16">
        <v>2</v>
      </c>
      <c r="N75" s="16">
        <v>6</v>
      </c>
      <c r="O75" s="16">
        <v>4</v>
      </c>
      <c r="P75" s="16">
        <v>4</v>
      </c>
      <c r="Q75" s="16">
        <v>3</v>
      </c>
      <c r="R75" s="16">
        <v>3</v>
      </c>
      <c r="S75" s="16">
        <v>2</v>
      </c>
      <c r="T75" s="16">
        <v>4</v>
      </c>
      <c r="U75" s="16">
        <v>4</v>
      </c>
      <c r="V75" s="16">
        <v>2</v>
      </c>
      <c r="W75" s="16">
        <v>3</v>
      </c>
      <c r="X75" s="16">
        <v>6</v>
      </c>
      <c r="Y75" s="16">
        <v>1</v>
      </c>
      <c r="Z75" s="16">
        <v>0</v>
      </c>
      <c r="AA75" s="16">
        <v>1</v>
      </c>
      <c r="AB75" s="16">
        <v>1</v>
      </c>
      <c r="AC75" s="16">
        <v>4</v>
      </c>
      <c r="AD75" s="13">
        <f t="shared" si="17"/>
        <v>63</v>
      </c>
    </row>
    <row r="76" spans="1:30" ht="12.75" customHeight="1" x14ac:dyDescent="0.4">
      <c r="A76" s="52"/>
      <c r="B76" s="35"/>
      <c r="C76" s="37"/>
      <c r="D76" s="39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13">
        <f t="shared" si="17"/>
        <v>0</v>
      </c>
    </row>
    <row r="77" spans="1:30" ht="12.75" customHeight="1" x14ac:dyDescent="0.4">
      <c r="A77" s="52"/>
      <c r="B77" s="35"/>
      <c r="C77" s="37"/>
      <c r="D77" s="3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13">
        <f t="shared" si="17"/>
        <v>0</v>
      </c>
    </row>
    <row r="78" spans="1:30" ht="12.75" customHeight="1" x14ac:dyDescent="0.4">
      <c r="A78" s="52"/>
      <c r="B78" s="35"/>
      <c r="C78" s="37"/>
      <c r="D78" s="39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13">
        <f t="shared" si="17"/>
        <v>0</v>
      </c>
    </row>
    <row r="79" spans="1:30" ht="12.75" customHeight="1" x14ac:dyDescent="0.4">
      <c r="A79" s="16" t="s">
        <v>14</v>
      </c>
      <c r="B79" s="60" t="s">
        <v>45</v>
      </c>
      <c r="C79" s="61"/>
      <c r="D79" s="62"/>
      <c r="E79" s="13">
        <f t="shared" ref="E79:AD79" si="18">SUM(E69:E78)</f>
        <v>24</v>
      </c>
      <c r="F79" s="13">
        <f t="shared" si="18"/>
        <v>83</v>
      </c>
      <c r="G79" s="13">
        <f t="shared" si="18"/>
        <v>27</v>
      </c>
      <c r="H79" s="13">
        <f t="shared" si="18"/>
        <v>42</v>
      </c>
      <c r="I79" s="13">
        <f t="shared" si="18"/>
        <v>60</v>
      </c>
      <c r="J79" s="13">
        <f t="shared" si="18"/>
        <v>72</v>
      </c>
      <c r="K79" s="13">
        <f t="shared" si="18"/>
        <v>59</v>
      </c>
      <c r="L79" s="13">
        <f t="shared" si="18"/>
        <v>41</v>
      </c>
      <c r="M79" s="13">
        <f t="shared" si="18"/>
        <v>46</v>
      </c>
      <c r="N79" s="13">
        <f t="shared" si="18"/>
        <v>33</v>
      </c>
      <c r="O79" s="13">
        <f t="shared" si="18"/>
        <v>36</v>
      </c>
      <c r="P79" s="13">
        <f t="shared" si="18"/>
        <v>27</v>
      </c>
      <c r="Q79" s="13">
        <f t="shared" si="18"/>
        <v>70</v>
      </c>
      <c r="R79" s="13">
        <f t="shared" si="18"/>
        <v>37</v>
      </c>
      <c r="S79" s="13">
        <f t="shared" si="18"/>
        <v>34</v>
      </c>
      <c r="T79" s="13">
        <f t="shared" si="18"/>
        <v>28</v>
      </c>
      <c r="U79" s="13">
        <f t="shared" si="18"/>
        <v>33</v>
      </c>
      <c r="V79" s="13">
        <f t="shared" si="18"/>
        <v>31</v>
      </c>
      <c r="W79" s="13">
        <f t="shared" si="18"/>
        <v>34</v>
      </c>
      <c r="X79" s="13">
        <f t="shared" si="18"/>
        <v>36</v>
      </c>
      <c r="Y79" s="13">
        <f t="shared" si="18"/>
        <v>27</v>
      </c>
      <c r="Z79" s="13">
        <f t="shared" si="18"/>
        <v>76</v>
      </c>
      <c r="AA79" s="13">
        <f t="shared" si="18"/>
        <v>35</v>
      </c>
      <c r="AB79" s="13">
        <f t="shared" si="18"/>
        <v>44</v>
      </c>
      <c r="AC79" s="13">
        <f t="shared" si="18"/>
        <v>38</v>
      </c>
      <c r="AD79" s="13">
        <f t="shared" si="18"/>
        <v>1073</v>
      </c>
    </row>
    <row r="80" spans="1:30" ht="12.75" customHeight="1" x14ac:dyDescent="0.4">
      <c r="A80" s="86"/>
      <c r="B80" s="68"/>
      <c r="C80" s="68"/>
      <c r="D80" s="68"/>
      <c r="E80" s="68"/>
    </row>
    <row r="81" spans="1:30" ht="12.75" customHeight="1" x14ac:dyDescent="0.4">
      <c r="A81" s="20" t="s">
        <v>36</v>
      </c>
      <c r="B81" s="27" t="s">
        <v>22</v>
      </c>
      <c r="C81" s="64" t="s">
        <v>60</v>
      </c>
      <c r="D81" s="62"/>
      <c r="E81" s="16">
        <v>3</v>
      </c>
      <c r="F81" s="16">
        <v>1</v>
      </c>
      <c r="G81" s="16">
        <v>1</v>
      </c>
      <c r="H81" s="16">
        <v>4</v>
      </c>
      <c r="I81" s="16">
        <v>6</v>
      </c>
      <c r="J81" s="16">
        <v>0</v>
      </c>
      <c r="K81" s="16">
        <v>0</v>
      </c>
      <c r="L81" s="16">
        <v>3</v>
      </c>
      <c r="M81" s="16">
        <v>2</v>
      </c>
      <c r="N81" s="16">
        <v>2</v>
      </c>
      <c r="O81" s="16">
        <v>4</v>
      </c>
      <c r="P81" s="16">
        <v>7</v>
      </c>
      <c r="Q81" s="16">
        <v>2</v>
      </c>
      <c r="R81" s="16">
        <v>1</v>
      </c>
      <c r="S81" s="16">
        <v>5</v>
      </c>
      <c r="T81" s="16">
        <v>6</v>
      </c>
      <c r="U81" s="16">
        <v>5</v>
      </c>
      <c r="V81" s="16">
        <v>1</v>
      </c>
      <c r="W81" s="16">
        <v>2</v>
      </c>
      <c r="X81" s="16">
        <v>4</v>
      </c>
      <c r="Y81" s="16">
        <v>4</v>
      </c>
      <c r="Z81" s="16">
        <v>0</v>
      </c>
      <c r="AA81" s="16">
        <v>1</v>
      </c>
      <c r="AB81" s="16">
        <v>5</v>
      </c>
      <c r="AC81" s="16">
        <v>2</v>
      </c>
      <c r="AD81" s="13">
        <f t="shared" ref="AD81:AD90" si="19">SUM(E81:AC81)</f>
        <v>71</v>
      </c>
    </row>
    <row r="82" spans="1:30" ht="12.75" customHeight="1" x14ac:dyDescent="0.4">
      <c r="A82" s="20" t="s">
        <v>38</v>
      </c>
      <c r="B82" s="28"/>
      <c r="C82" s="29" t="s">
        <v>61</v>
      </c>
      <c r="D82" s="30"/>
      <c r="E82" s="16">
        <v>5</v>
      </c>
      <c r="F82" s="16">
        <v>4</v>
      </c>
      <c r="G82" s="16">
        <v>4</v>
      </c>
      <c r="H82" s="16">
        <v>4</v>
      </c>
      <c r="I82" s="16">
        <v>5</v>
      </c>
      <c r="J82" s="16">
        <v>2</v>
      </c>
      <c r="K82" s="16">
        <v>3</v>
      </c>
      <c r="L82" s="16">
        <v>10</v>
      </c>
      <c r="M82" s="16">
        <v>7</v>
      </c>
      <c r="N82" s="16">
        <v>3</v>
      </c>
      <c r="O82" s="16">
        <v>2</v>
      </c>
      <c r="P82" s="16">
        <v>5</v>
      </c>
      <c r="Q82" s="16">
        <v>1</v>
      </c>
      <c r="R82" s="16">
        <v>4</v>
      </c>
      <c r="S82" s="16">
        <v>10</v>
      </c>
      <c r="T82" s="16">
        <v>21</v>
      </c>
      <c r="U82" s="16">
        <v>22</v>
      </c>
      <c r="V82" s="16">
        <v>3</v>
      </c>
      <c r="W82" s="16">
        <v>8</v>
      </c>
      <c r="X82" s="16">
        <v>7</v>
      </c>
      <c r="Y82" s="16">
        <v>7</v>
      </c>
      <c r="Z82" s="16">
        <v>7</v>
      </c>
      <c r="AA82" s="16">
        <v>2</v>
      </c>
      <c r="AB82" s="16">
        <v>6</v>
      </c>
      <c r="AC82" s="16">
        <v>3</v>
      </c>
      <c r="AD82" s="13">
        <f t="shared" si="19"/>
        <v>155</v>
      </c>
    </row>
    <row r="83" spans="1:30" ht="12.75" customHeight="1" x14ac:dyDescent="0.4">
      <c r="A83" s="15"/>
      <c r="B83" s="28"/>
      <c r="C83" s="29" t="s">
        <v>62</v>
      </c>
      <c r="D83" s="30"/>
      <c r="E83" s="16">
        <v>1</v>
      </c>
      <c r="F83" s="16">
        <v>0</v>
      </c>
      <c r="G83" s="16">
        <v>0</v>
      </c>
      <c r="H83" s="16">
        <v>0</v>
      </c>
      <c r="I83" s="16">
        <v>3</v>
      </c>
      <c r="J83" s="16">
        <v>1</v>
      </c>
      <c r="K83" s="16">
        <v>1</v>
      </c>
      <c r="L83" s="16">
        <v>0</v>
      </c>
      <c r="M83" s="16">
        <v>0</v>
      </c>
      <c r="N83" s="16">
        <v>0</v>
      </c>
      <c r="O83" s="16">
        <v>0</v>
      </c>
      <c r="P83" s="16">
        <v>0</v>
      </c>
      <c r="Q83" s="16">
        <v>0</v>
      </c>
      <c r="R83" s="16">
        <v>1</v>
      </c>
      <c r="S83" s="16">
        <v>1</v>
      </c>
      <c r="T83" s="16">
        <v>1</v>
      </c>
      <c r="U83" s="16">
        <v>2</v>
      </c>
      <c r="V83" s="16">
        <v>0</v>
      </c>
      <c r="W83" s="16">
        <v>1</v>
      </c>
      <c r="X83" s="16">
        <v>1</v>
      </c>
      <c r="Y83" s="16">
        <v>0</v>
      </c>
      <c r="Z83" s="16">
        <v>0</v>
      </c>
      <c r="AA83" s="16">
        <v>0</v>
      </c>
      <c r="AB83" s="16">
        <v>1</v>
      </c>
      <c r="AC83" s="16">
        <v>1</v>
      </c>
      <c r="AD83" s="13">
        <f t="shared" si="19"/>
        <v>15</v>
      </c>
    </row>
    <row r="84" spans="1:30" ht="12.75" customHeight="1" x14ac:dyDescent="0.4">
      <c r="A84" s="15"/>
      <c r="B84" s="28"/>
      <c r="C84" s="29" t="s">
        <v>63</v>
      </c>
      <c r="D84" s="30"/>
      <c r="E84" s="16">
        <v>0</v>
      </c>
      <c r="F84" s="16">
        <v>1</v>
      </c>
      <c r="G84" s="16">
        <v>0</v>
      </c>
      <c r="H84" s="16">
        <v>0</v>
      </c>
      <c r="I84" s="16">
        <v>0</v>
      </c>
      <c r="J84" s="16">
        <v>1</v>
      </c>
      <c r="K84" s="16">
        <v>1</v>
      </c>
      <c r="L84" s="16">
        <v>0</v>
      </c>
      <c r="M84" s="16">
        <v>0</v>
      </c>
      <c r="N84" s="16">
        <v>1</v>
      </c>
      <c r="O84" s="16">
        <v>0</v>
      </c>
      <c r="P84" s="16">
        <v>2</v>
      </c>
      <c r="Q84" s="16">
        <v>2</v>
      </c>
      <c r="R84" s="16">
        <v>6</v>
      </c>
      <c r="S84" s="16">
        <v>0</v>
      </c>
      <c r="T84" s="16">
        <v>0</v>
      </c>
      <c r="U84" s="16">
        <v>0</v>
      </c>
      <c r="V84" s="16">
        <v>0</v>
      </c>
      <c r="W84" s="16">
        <v>1</v>
      </c>
      <c r="X84" s="16">
        <v>0</v>
      </c>
      <c r="Y84" s="16">
        <v>1</v>
      </c>
      <c r="Z84" s="16">
        <v>1</v>
      </c>
      <c r="AA84" s="16">
        <v>2</v>
      </c>
      <c r="AB84" s="16">
        <v>0</v>
      </c>
      <c r="AC84" s="16">
        <v>1</v>
      </c>
      <c r="AD84" s="13">
        <f t="shared" si="19"/>
        <v>20</v>
      </c>
    </row>
    <row r="85" spans="1:30" ht="12.75" customHeight="1" x14ac:dyDescent="0.4">
      <c r="A85" s="15"/>
      <c r="B85" s="28"/>
      <c r="C85" s="29" t="s">
        <v>64</v>
      </c>
      <c r="D85" s="30"/>
      <c r="E85" s="16">
        <v>16</v>
      </c>
      <c r="F85" s="16">
        <v>2</v>
      </c>
      <c r="G85" s="16">
        <v>1</v>
      </c>
      <c r="H85" s="16">
        <v>17</v>
      </c>
      <c r="I85" s="16">
        <v>7</v>
      </c>
      <c r="J85" s="16">
        <v>4</v>
      </c>
      <c r="K85" s="16">
        <v>4</v>
      </c>
      <c r="L85" s="16">
        <v>1</v>
      </c>
      <c r="M85" s="16">
        <v>5</v>
      </c>
      <c r="N85" s="16">
        <v>10</v>
      </c>
      <c r="O85" s="16">
        <v>1</v>
      </c>
      <c r="P85" s="16">
        <v>1</v>
      </c>
      <c r="Q85" s="16">
        <v>1</v>
      </c>
      <c r="R85" s="16">
        <v>0</v>
      </c>
      <c r="S85" s="16">
        <v>1</v>
      </c>
      <c r="T85" s="16">
        <v>4</v>
      </c>
      <c r="U85" s="16">
        <v>1</v>
      </c>
      <c r="V85" s="16">
        <v>0</v>
      </c>
      <c r="W85" s="16">
        <v>1</v>
      </c>
      <c r="X85" s="16">
        <v>3</v>
      </c>
      <c r="Y85" s="16">
        <v>12</v>
      </c>
      <c r="Z85" s="16">
        <v>0</v>
      </c>
      <c r="AA85" s="16">
        <v>6</v>
      </c>
      <c r="AB85" s="16">
        <v>3</v>
      </c>
      <c r="AC85" s="16">
        <v>3</v>
      </c>
      <c r="AD85" s="13">
        <f t="shared" si="19"/>
        <v>104</v>
      </c>
    </row>
    <row r="86" spans="1:30" ht="12.75" customHeight="1" x14ac:dyDescent="0.4">
      <c r="A86" s="15"/>
      <c r="B86" s="28"/>
      <c r="C86" s="29" t="s">
        <v>65</v>
      </c>
      <c r="D86" s="30"/>
      <c r="E86" s="16">
        <v>0</v>
      </c>
      <c r="F86" s="16">
        <v>0</v>
      </c>
      <c r="G86" s="16">
        <v>0</v>
      </c>
      <c r="H86" s="16">
        <v>2</v>
      </c>
      <c r="I86" s="16">
        <v>0</v>
      </c>
      <c r="J86" s="16">
        <v>0</v>
      </c>
      <c r="K86" s="16">
        <v>1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1</v>
      </c>
      <c r="Z86" s="16">
        <v>0</v>
      </c>
      <c r="AA86" s="16">
        <v>0</v>
      </c>
      <c r="AB86" s="16">
        <v>0</v>
      </c>
      <c r="AC86" s="16">
        <v>0</v>
      </c>
      <c r="AD86" s="13">
        <f t="shared" si="19"/>
        <v>4</v>
      </c>
    </row>
    <row r="87" spans="1:30" ht="12.75" customHeight="1" x14ac:dyDescent="0.4">
      <c r="A87" s="15"/>
      <c r="B87" s="28"/>
      <c r="C87" s="29" t="s">
        <v>66</v>
      </c>
      <c r="D87" s="30"/>
      <c r="E87" s="16">
        <v>3</v>
      </c>
      <c r="F87" s="16">
        <v>0</v>
      </c>
      <c r="G87" s="16">
        <v>1</v>
      </c>
      <c r="H87" s="16">
        <v>0</v>
      </c>
      <c r="I87" s="16">
        <v>0</v>
      </c>
      <c r="J87" s="16">
        <v>0</v>
      </c>
      <c r="K87" s="16">
        <v>0</v>
      </c>
      <c r="L87" s="16">
        <v>2</v>
      </c>
      <c r="M87" s="16">
        <v>0</v>
      </c>
      <c r="N87" s="16">
        <v>2</v>
      </c>
      <c r="O87" s="16">
        <v>2</v>
      </c>
      <c r="P87" s="16">
        <v>2</v>
      </c>
      <c r="Q87" s="16">
        <v>2</v>
      </c>
      <c r="R87" s="16">
        <v>4</v>
      </c>
      <c r="S87" s="16">
        <v>1</v>
      </c>
      <c r="T87" s="16">
        <v>1</v>
      </c>
      <c r="U87" s="16">
        <v>4</v>
      </c>
      <c r="V87" s="16">
        <v>1</v>
      </c>
      <c r="W87" s="16">
        <v>0</v>
      </c>
      <c r="X87" s="16">
        <v>5</v>
      </c>
      <c r="Y87" s="16">
        <v>2</v>
      </c>
      <c r="Z87" s="16">
        <v>1</v>
      </c>
      <c r="AA87" s="16">
        <v>0</v>
      </c>
      <c r="AB87" s="16">
        <v>0</v>
      </c>
      <c r="AC87" s="16">
        <v>5</v>
      </c>
      <c r="AD87" s="13">
        <f t="shared" si="19"/>
        <v>38</v>
      </c>
    </row>
    <row r="88" spans="1:30" ht="12.75" customHeight="1" x14ac:dyDescent="0.4">
      <c r="A88" s="52"/>
      <c r="B88" s="35"/>
      <c r="C88" s="37"/>
      <c r="D88" s="3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13">
        <f t="shared" si="19"/>
        <v>0</v>
      </c>
    </row>
    <row r="89" spans="1:30" ht="12.75" customHeight="1" x14ac:dyDescent="0.4">
      <c r="A89" s="52"/>
      <c r="B89" s="35"/>
      <c r="C89" s="37"/>
      <c r="D89" s="39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13">
        <f t="shared" si="19"/>
        <v>0</v>
      </c>
    </row>
    <row r="90" spans="1:30" ht="12.75" customHeight="1" x14ac:dyDescent="0.4">
      <c r="A90" s="52"/>
      <c r="B90" s="35"/>
      <c r="C90" s="37"/>
      <c r="D90" s="39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13">
        <f t="shared" si="19"/>
        <v>0</v>
      </c>
    </row>
    <row r="91" spans="1:30" ht="12.75" customHeight="1" x14ac:dyDescent="0.4">
      <c r="A91" s="16" t="s">
        <v>14</v>
      </c>
      <c r="B91" s="60" t="s">
        <v>45</v>
      </c>
      <c r="C91" s="61"/>
      <c r="D91" s="62"/>
      <c r="E91" s="13">
        <f t="shared" ref="E91:AD91" si="20">SUM(E81:E90)</f>
        <v>28</v>
      </c>
      <c r="F91" s="13">
        <f t="shared" si="20"/>
        <v>8</v>
      </c>
      <c r="G91" s="13">
        <f t="shared" si="20"/>
        <v>7</v>
      </c>
      <c r="H91" s="13">
        <f t="shared" si="20"/>
        <v>27</v>
      </c>
      <c r="I91" s="13">
        <f t="shared" si="20"/>
        <v>21</v>
      </c>
      <c r="J91" s="13">
        <f t="shared" si="20"/>
        <v>8</v>
      </c>
      <c r="K91" s="13">
        <f t="shared" si="20"/>
        <v>10</v>
      </c>
      <c r="L91" s="13">
        <f t="shared" si="20"/>
        <v>16</v>
      </c>
      <c r="M91" s="13">
        <f t="shared" si="20"/>
        <v>14</v>
      </c>
      <c r="N91" s="13">
        <f t="shared" si="20"/>
        <v>18</v>
      </c>
      <c r="O91" s="13">
        <f t="shared" si="20"/>
        <v>9</v>
      </c>
      <c r="P91" s="13">
        <f t="shared" si="20"/>
        <v>17</v>
      </c>
      <c r="Q91" s="13">
        <f t="shared" si="20"/>
        <v>8</v>
      </c>
      <c r="R91" s="13">
        <f t="shared" si="20"/>
        <v>16</v>
      </c>
      <c r="S91" s="13">
        <f t="shared" si="20"/>
        <v>18</v>
      </c>
      <c r="T91" s="13">
        <f t="shared" si="20"/>
        <v>33</v>
      </c>
      <c r="U91" s="13">
        <f t="shared" si="20"/>
        <v>34</v>
      </c>
      <c r="V91" s="13">
        <f t="shared" si="20"/>
        <v>5</v>
      </c>
      <c r="W91" s="13">
        <f t="shared" si="20"/>
        <v>13</v>
      </c>
      <c r="X91" s="13">
        <f t="shared" si="20"/>
        <v>20</v>
      </c>
      <c r="Y91" s="13">
        <f t="shared" si="20"/>
        <v>27</v>
      </c>
      <c r="Z91" s="13">
        <f t="shared" si="20"/>
        <v>9</v>
      </c>
      <c r="AA91" s="13">
        <f t="shared" si="20"/>
        <v>11</v>
      </c>
      <c r="AB91" s="13">
        <f t="shared" si="20"/>
        <v>15</v>
      </c>
      <c r="AC91" s="13">
        <f t="shared" si="20"/>
        <v>15</v>
      </c>
      <c r="AD91" s="13">
        <f t="shared" si="20"/>
        <v>407</v>
      </c>
    </row>
    <row r="92" spans="1:30" ht="12.75" customHeight="1" x14ac:dyDescent="0.4">
      <c r="A92" s="86"/>
      <c r="B92" s="68"/>
      <c r="C92" s="68"/>
      <c r="D92" s="68"/>
      <c r="E92" s="68"/>
    </row>
    <row r="93" spans="1:30" ht="12.75" customHeight="1" x14ac:dyDescent="0.4">
      <c r="A93" s="20" t="s">
        <v>36</v>
      </c>
      <c r="B93" s="27" t="s">
        <v>67</v>
      </c>
      <c r="C93" s="64" t="s">
        <v>68</v>
      </c>
      <c r="D93" s="62"/>
      <c r="E93" s="16">
        <v>1</v>
      </c>
      <c r="F93" s="16">
        <v>1</v>
      </c>
      <c r="G93" s="16">
        <v>2</v>
      </c>
      <c r="H93" s="16">
        <v>0</v>
      </c>
      <c r="I93" s="16">
        <v>2</v>
      </c>
      <c r="J93" s="16">
        <v>0</v>
      </c>
      <c r="K93" s="16">
        <v>2</v>
      </c>
      <c r="L93" s="16">
        <v>1</v>
      </c>
      <c r="M93" s="16">
        <v>0</v>
      </c>
      <c r="N93" s="16">
        <v>0</v>
      </c>
      <c r="O93" s="16">
        <v>0</v>
      </c>
      <c r="P93" s="16">
        <v>1</v>
      </c>
      <c r="Q93" s="16">
        <v>0</v>
      </c>
      <c r="R93" s="16">
        <v>1</v>
      </c>
      <c r="S93" s="16">
        <v>3</v>
      </c>
      <c r="T93" s="16">
        <v>1</v>
      </c>
      <c r="U93" s="16">
        <v>0</v>
      </c>
      <c r="V93" s="16">
        <v>3</v>
      </c>
      <c r="W93" s="16">
        <v>1</v>
      </c>
      <c r="X93" s="16">
        <v>2</v>
      </c>
      <c r="Y93" s="16">
        <v>5</v>
      </c>
      <c r="Z93" s="16">
        <v>11</v>
      </c>
      <c r="AA93" s="16">
        <v>4</v>
      </c>
      <c r="AB93" s="16">
        <v>1</v>
      </c>
      <c r="AC93" s="16">
        <v>1</v>
      </c>
      <c r="AD93" s="13">
        <f t="shared" ref="AD93:AD102" si="21">SUM(E93:AC93)</f>
        <v>43</v>
      </c>
    </row>
    <row r="94" spans="1:30" ht="12.75" customHeight="1" x14ac:dyDescent="0.4">
      <c r="A94" s="20" t="s">
        <v>38</v>
      </c>
      <c r="B94" s="28"/>
      <c r="C94" s="29" t="s">
        <v>69</v>
      </c>
      <c r="D94" s="30"/>
      <c r="E94" s="16">
        <v>3</v>
      </c>
      <c r="F94" s="16">
        <v>0</v>
      </c>
      <c r="G94" s="16">
        <v>2</v>
      </c>
      <c r="H94" s="16">
        <v>3</v>
      </c>
      <c r="I94" s="16">
        <v>1</v>
      </c>
      <c r="J94" s="16">
        <v>0</v>
      </c>
      <c r="K94" s="16">
        <v>0</v>
      </c>
      <c r="L94" s="16">
        <v>0</v>
      </c>
      <c r="M94" s="16">
        <v>1</v>
      </c>
      <c r="N94" s="16">
        <v>1</v>
      </c>
      <c r="O94" s="16">
        <v>1</v>
      </c>
      <c r="P94" s="16">
        <v>1</v>
      </c>
      <c r="Q94" s="16">
        <v>0</v>
      </c>
      <c r="R94" s="16">
        <v>2</v>
      </c>
      <c r="S94" s="16">
        <v>0</v>
      </c>
      <c r="T94" s="16">
        <v>1</v>
      </c>
      <c r="U94" s="16">
        <v>0</v>
      </c>
      <c r="V94" s="16">
        <v>3</v>
      </c>
      <c r="W94" s="16">
        <v>3</v>
      </c>
      <c r="X94" s="16">
        <v>2</v>
      </c>
      <c r="Y94" s="16">
        <v>5</v>
      </c>
      <c r="Z94" s="16">
        <v>0</v>
      </c>
      <c r="AA94" s="16">
        <v>3</v>
      </c>
      <c r="AB94" s="16">
        <v>0</v>
      </c>
      <c r="AC94" s="16">
        <v>1</v>
      </c>
      <c r="AD94" s="13">
        <f t="shared" si="21"/>
        <v>33</v>
      </c>
    </row>
    <row r="95" spans="1:30" ht="12.75" customHeight="1" x14ac:dyDescent="0.4">
      <c r="A95" s="15"/>
      <c r="B95" s="28"/>
      <c r="C95" s="29" t="s">
        <v>70</v>
      </c>
      <c r="D95" s="30"/>
      <c r="E95" s="16">
        <v>2</v>
      </c>
      <c r="F95" s="16">
        <v>0</v>
      </c>
      <c r="G95" s="16">
        <v>0</v>
      </c>
      <c r="H95" s="16">
        <v>0</v>
      </c>
      <c r="I95" s="16">
        <v>0</v>
      </c>
      <c r="J95" s="16">
        <v>1</v>
      </c>
      <c r="K95" s="16">
        <v>1</v>
      </c>
      <c r="L95" s="16">
        <v>0</v>
      </c>
      <c r="M95" s="16">
        <v>0</v>
      </c>
      <c r="N95" s="16">
        <v>0</v>
      </c>
      <c r="O95" s="16">
        <v>0</v>
      </c>
      <c r="P95" s="16">
        <v>1</v>
      </c>
      <c r="Q95" s="16">
        <v>0</v>
      </c>
      <c r="R95" s="16">
        <v>3</v>
      </c>
      <c r="S95" s="16">
        <v>0</v>
      </c>
      <c r="T95" s="16">
        <v>1</v>
      </c>
      <c r="U95" s="16">
        <v>4</v>
      </c>
      <c r="V95" s="16">
        <v>2</v>
      </c>
      <c r="W95" s="16">
        <v>4</v>
      </c>
      <c r="X95" s="16">
        <v>1</v>
      </c>
      <c r="Y95" s="16">
        <v>0</v>
      </c>
      <c r="Z95" s="16">
        <v>0</v>
      </c>
      <c r="AA95" s="16">
        <v>2</v>
      </c>
      <c r="AB95" s="16">
        <v>1</v>
      </c>
      <c r="AC95" s="16">
        <v>0</v>
      </c>
      <c r="AD95" s="13">
        <f t="shared" si="21"/>
        <v>23</v>
      </c>
    </row>
    <row r="96" spans="1:30" ht="12.75" customHeight="1" x14ac:dyDescent="0.4">
      <c r="A96" s="15"/>
      <c r="B96" s="28"/>
      <c r="C96" s="29" t="s">
        <v>71</v>
      </c>
      <c r="D96" s="30"/>
      <c r="E96" s="16">
        <v>0</v>
      </c>
      <c r="F96" s="16">
        <v>1</v>
      </c>
      <c r="G96" s="16">
        <v>1</v>
      </c>
      <c r="H96" s="16">
        <v>0</v>
      </c>
      <c r="I96" s="16">
        <v>2</v>
      </c>
      <c r="J96" s="16">
        <v>1</v>
      </c>
      <c r="K96" s="16">
        <v>0</v>
      </c>
      <c r="L96" s="16">
        <v>4</v>
      </c>
      <c r="M96" s="16">
        <v>0</v>
      </c>
      <c r="N96" s="16">
        <v>1</v>
      </c>
      <c r="O96" s="16">
        <v>1</v>
      </c>
      <c r="P96" s="16">
        <v>4</v>
      </c>
      <c r="Q96" s="16">
        <v>1</v>
      </c>
      <c r="R96" s="16">
        <v>3</v>
      </c>
      <c r="S96" s="16">
        <v>4</v>
      </c>
      <c r="T96" s="16">
        <v>7</v>
      </c>
      <c r="U96" s="16">
        <v>1</v>
      </c>
      <c r="V96" s="16">
        <v>1</v>
      </c>
      <c r="W96" s="16">
        <v>4</v>
      </c>
      <c r="X96" s="16">
        <v>3</v>
      </c>
      <c r="Y96" s="16">
        <v>0</v>
      </c>
      <c r="Z96" s="16">
        <v>6</v>
      </c>
      <c r="AA96" s="16">
        <v>1</v>
      </c>
      <c r="AB96" s="16">
        <v>1</v>
      </c>
      <c r="AC96" s="16">
        <v>1</v>
      </c>
      <c r="AD96" s="13">
        <f t="shared" si="21"/>
        <v>48</v>
      </c>
    </row>
    <row r="97" spans="1:30" ht="12.75" customHeight="1" x14ac:dyDescent="0.4">
      <c r="A97" s="15"/>
      <c r="B97" s="28"/>
      <c r="C97" s="29" t="s">
        <v>72</v>
      </c>
      <c r="D97" s="30"/>
      <c r="E97" s="16">
        <v>0</v>
      </c>
      <c r="F97" s="16">
        <v>1</v>
      </c>
      <c r="G97" s="16">
        <v>1</v>
      </c>
      <c r="H97" s="16">
        <v>0</v>
      </c>
      <c r="I97" s="16">
        <v>4</v>
      </c>
      <c r="J97" s="16">
        <v>0</v>
      </c>
      <c r="K97" s="16">
        <v>2</v>
      </c>
      <c r="L97" s="16">
        <v>0</v>
      </c>
      <c r="M97" s="16">
        <v>0</v>
      </c>
      <c r="N97" s="16">
        <v>1</v>
      </c>
      <c r="O97" s="16">
        <v>12</v>
      </c>
      <c r="P97" s="16">
        <v>3</v>
      </c>
      <c r="Q97" s="16">
        <v>13</v>
      </c>
      <c r="R97" s="16">
        <v>0</v>
      </c>
      <c r="S97" s="16">
        <v>5</v>
      </c>
      <c r="T97" s="16">
        <v>2</v>
      </c>
      <c r="U97" s="16">
        <v>1</v>
      </c>
      <c r="V97" s="16">
        <v>10</v>
      </c>
      <c r="W97" s="16">
        <v>7</v>
      </c>
      <c r="X97" s="16">
        <v>1</v>
      </c>
      <c r="Y97" s="16">
        <v>0</v>
      </c>
      <c r="Z97" s="16">
        <v>1</v>
      </c>
      <c r="AA97" s="16">
        <v>3</v>
      </c>
      <c r="AB97" s="16">
        <v>0</v>
      </c>
      <c r="AC97" s="16">
        <v>2</v>
      </c>
      <c r="AD97" s="13">
        <f t="shared" si="21"/>
        <v>69</v>
      </c>
    </row>
    <row r="98" spans="1:30" ht="12.75" customHeight="1" x14ac:dyDescent="0.4">
      <c r="A98" s="15"/>
      <c r="B98" s="28"/>
      <c r="C98" s="29" t="s">
        <v>73</v>
      </c>
      <c r="D98" s="30"/>
      <c r="E98" s="16">
        <v>46</v>
      </c>
      <c r="F98" s="16">
        <v>11</v>
      </c>
      <c r="G98" s="16">
        <v>3</v>
      </c>
      <c r="H98" s="16">
        <v>3</v>
      </c>
      <c r="I98" s="16">
        <v>11</v>
      </c>
      <c r="J98" s="16">
        <v>3</v>
      </c>
      <c r="K98" s="16">
        <v>0</v>
      </c>
      <c r="L98" s="16">
        <v>1</v>
      </c>
      <c r="M98" s="16">
        <v>0</v>
      </c>
      <c r="N98" s="16">
        <v>0</v>
      </c>
      <c r="O98" s="16">
        <v>1</v>
      </c>
      <c r="P98" s="16">
        <v>0</v>
      </c>
      <c r="Q98" s="16">
        <v>1</v>
      </c>
      <c r="R98" s="16">
        <v>1</v>
      </c>
      <c r="S98" s="16">
        <v>0</v>
      </c>
      <c r="T98" s="16">
        <v>1</v>
      </c>
      <c r="U98" s="16">
        <v>1</v>
      </c>
      <c r="V98" s="16">
        <v>8</v>
      </c>
      <c r="W98" s="16">
        <v>2</v>
      </c>
      <c r="X98" s="16">
        <v>4</v>
      </c>
      <c r="Y98" s="16">
        <v>6</v>
      </c>
      <c r="Z98" s="16">
        <v>40</v>
      </c>
      <c r="AA98" s="16">
        <v>12</v>
      </c>
      <c r="AB98" s="16">
        <v>0</v>
      </c>
      <c r="AC98" s="16">
        <v>0</v>
      </c>
      <c r="AD98" s="13">
        <f t="shared" si="21"/>
        <v>155</v>
      </c>
    </row>
    <row r="99" spans="1:30" ht="12.75" customHeight="1" x14ac:dyDescent="0.4">
      <c r="A99" s="15"/>
      <c r="B99" s="28"/>
      <c r="C99" s="29" t="s">
        <v>74</v>
      </c>
      <c r="D99" s="30"/>
      <c r="E99" s="16">
        <v>1</v>
      </c>
      <c r="F99" s="16">
        <v>0</v>
      </c>
      <c r="G99" s="16">
        <v>0</v>
      </c>
      <c r="H99" s="16">
        <v>1</v>
      </c>
      <c r="I99" s="16">
        <v>0</v>
      </c>
      <c r="J99" s="16">
        <v>0</v>
      </c>
      <c r="K99" s="16">
        <v>0</v>
      </c>
      <c r="L99" s="16">
        <v>1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7</v>
      </c>
      <c r="S99" s="16">
        <v>1</v>
      </c>
      <c r="T99" s="16">
        <v>2</v>
      </c>
      <c r="U99" s="16">
        <v>1</v>
      </c>
      <c r="V99" s="16">
        <v>0</v>
      </c>
      <c r="W99" s="16">
        <v>0</v>
      </c>
      <c r="X99" s="16">
        <v>3</v>
      </c>
      <c r="Y99" s="16">
        <v>0</v>
      </c>
      <c r="Z99" s="16">
        <v>0</v>
      </c>
      <c r="AA99" s="16">
        <v>1</v>
      </c>
      <c r="AB99" s="16">
        <v>0</v>
      </c>
      <c r="AC99" s="16">
        <v>0</v>
      </c>
      <c r="AD99" s="13">
        <f t="shared" si="21"/>
        <v>20</v>
      </c>
    </row>
    <row r="100" spans="1:30" ht="12.75" customHeight="1" x14ac:dyDescent="0.4">
      <c r="A100" s="52"/>
      <c r="B100" s="35"/>
      <c r="C100" s="37"/>
      <c r="D100" s="39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13">
        <f t="shared" si="21"/>
        <v>0</v>
      </c>
    </row>
    <row r="101" spans="1:30" ht="12.75" customHeight="1" x14ac:dyDescent="0.4">
      <c r="A101" s="52"/>
      <c r="B101" s="35"/>
      <c r="C101" s="37"/>
      <c r="D101" s="39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13">
        <f t="shared" si="21"/>
        <v>0</v>
      </c>
    </row>
    <row r="102" spans="1:30" ht="12.75" customHeight="1" x14ac:dyDescent="0.4">
      <c r="A102" s="52"/>
      <c r="B102" s="35"/>
      <c r="C102" s="37"/>
      <c r="D102" s="39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13">
        <f t="shared" si="21"/>
        <v>0</v>
      </c>
    </row>
    <row r="103" spans="1:30" ht="12.75" customHeight="1" x14ac:dyDescent="0.4">
      <c r="A103" s="16" t="s">
        <v>14</v>
      </c>
      <c r="B103" s="60" t="s">
        <v>45</v>
      </c>
      <c r="C103" s="61"/>
      <c r="D103" s="62"/>
      <c r="E103" s="13">
        <f t="shared" ref="E103:AD103" si="22">SUM(E93:E102)</f>
        <v>53</v>
      </c>
      <c r="F103" s="13">
        <f t="shared" si="22"/>
        <v>14</v>
      </c>
      <c r="G103" s="13">
        <f t="shared" si="22"/>
        <v>9</v>
      </c>
      <c r="H103" s="13">
        <f t="shared" si="22"/>
        <v>7</v>
      </c>
      <c r="I103" s="13">
        <f t="shared" si="22"/>
        <v>20</v>
      </c>
      <c r="J103" s="13">
        <f t="shared" si="22"/>
        <v>5</v>
      </c>
      <c r="K103" s="13">
        <f t="shared" si="22"/>
        <v>5</v>
      </c>
      <c r="L103" s="13">
        <f t="shared" si="22"/>
        <v>7</v>
      </c>
      <c r="M103" s="13">
        <f t="shared" si="22"/>
        <v>1</v>
      </c>
      <c r="N103" s="13">
        <f t="shared" si="22"/>
        <v>4</v>
      </c>
      <c r="O103" s="13">
        <f t="shared" si="22"/>
        <v>16</v>
      </c>
      <c r="P103" s="13">
        <f t="shared" si="22"/>
        <v>10</v>
      </c>
      <c r="Q103" s="13">
        <f t="shared" si="22"/>
        <v>15</v>
      </c>
      <c r="R103" s="13">
        <f t="shared" si="22"/>
        <v>17</v>
      </c>
      <c r="S103" s="13">
        <f t="shared" si="22"/>
        <v>13</v>
      </c>
      <c r="T103" s="13">
        <f t="shared" si="22"/>
        <v>15</v>
      </c>
      <c r="U103" s="13">
        <f t="shared" si="22"/>
        <v>8</v>
      </c>
      <c r="V103" s="13">
        <f t="shared" si="22"/>
        <v>27</v>
      </c>
      <c r="W103" s="13">
        <f t="shared" si="22"/>
        <v>21</v>
      </c>
      <c r="X103" s="13">
        <f t="shared" si="22"/>
        <v>16</v>
      </c>
      <c r="Y103" s="13">
        <f t="shared" si="22"/>
        <v>16</v>
      </c>
      <c r="Z103" s="13">
        <f t="shared" si="22"/>
        <v>58</v>
      </c>
      <c r="AA103" s="13">
        <f t="shared" si="22"/>
        <v>26</v>
      </c>
      <c r="AB103" s="13">
        <f t="shared" si="22"/>
        <v>3</v>
      </c>
      <c r="AC103" s="13">
        <f t="shared" si="22"/>
        <v>5</v>
      </c>
      <c r="AD103" s="13">
        <f t="shared" si="22"/>
        <v>391</v>
      </c>
    </row>
    <row r="104" spans="1:30" ht="12.75" customHeight="1" x14ac:dyDescent="0.4">
      <c r="A104" s="86"/>
      <c r="B104" s="68"/>
      <c r="C104" s="68"/>
      <c r="D104" s="68"/>
      <c r="E104" s="68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</row>
    <row r="105" spans="1:30" ht="12.75" customHeight="1" x14ac:dyDescent="0.4">
      <c r="A105" s="20" t="s">
        <v>36</v>
      </c>
      <c r="B105" s="27" t="s">
        <v>75</v>
      </c>
      <c r="C105" s="64" t="s">
        <v>76</v>
      </c>
      <c r="D105" s="62"/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0</v>
      </c>
      <c r="L105" s="16">
        <v>0</v>
      </c>
      <c r="M105" s="16">
        <v>1</v>
      </c>
      <c r="N105" s="16">
        <v>0</v>
      </c>
      <c r="O105" s="16">
        <v>0</v>
      </c>
      <c r="P105" s="16">
        <v>0</v>
      </c>
      <c r="Q105" s="16">
        <v>0</v>
      </c>
      <c r="R105" s="16">
        <v>1</v>
      </c>
      <c r="S105" s="16">
        <v>0</v>
      </c>
      <c r="T105" s="16">
        <v>1</v>
      </c>
      <c r="U105" s="16">
        <v>0</v>
      </c>
      <c r="V105" s="16">
        <v>1</v>
      </c>
      <c r="W105" s="16">
        <v>1</v>
      </c>
      <c r="X105" s="16">
        <v>0</v>
      </c>
      <c r="Y105" s="16">
        <v>0</v>
      </c>
      <c r="Z105" s="16">
        <v>0</v>
      </c>
      <c r="AA105" s="16">
        <v>4</v>
      </c>
      <c r="AB105" s="16">
        <v>0</v>
      </c>
      <c r="AC105" s="16">
        <v>0</v>
      </c>
      <c r="AD105" s="13">
        <f t="shared" ref="AD105:AD114" si="23">SUM(E105:AC105)</f>
        <v>9</v>
      </c>
    </row>
    <row r="106" spans="1:30" ht="12.75" customHeight="1" x14ac:dyDescent="0.4">
      <c r="A106" s="20" t="s">
        <v>38</v>
      </c>
      <c r="B106" s="28"/>
      <c r="C106" s="29" t="s">
        <v>77</v>
      </c>
      <c r="D106" s="40"/>
      <c r="E106" s="16">
        <v>1</v>
      </c>
      <c r="F106" s="16">
        <v>3</v>
      </c>
      <c r="G106" s="16">
        <v>0</v>
      </c>
      <c r="H106" s="16">
        <v>0</v>
      </c>
      <c r="I106" s="16">
        <v>1</v>
      </c>
      <c r="J106" s="16">
        <v>0</v>
      </c>
      <c r="K106" s="16">
        <v>0</v>
      </c>
      <c r="L106" s="16">
        <v>0</v>
      </c>
      <c r="M106" s="16">
        <v>0</v>
      </c>
      <c r="N106" s="16">
        <v>2</v>
      </c>
      <c r="O106" s="16">
        <v>0</v>
      </c>
      <c r="P106" s="16">
        <v>0</v>
      </c>
      <c r="Q106" s="16">
        <v>0</v>
      </c>
      <c r="R106" s="16">
        <v>2</v>
      </c>
      <c r="S106" s="16">
        <v>1</v>
      </c>
      <c r="T106" s="16">
        <v>0</v>
      </c>
      <c r="U106" s="16">
        <v>0</v>
      </c>
      <c r="V106" s="16">
        <v>0</v>
      </c>
      <c r="W106" s="16">
        <v>1</v>
      </c>
      <c r="X106" s="16">
        <v>0</v>
      </c>
      <c r="Y106" s="16">
        <v>0</v>
      </c>
      <c r="Z106" s="16">
        <v>0</v>
      </c>
      <c r="AA106" s="16">
        <v>0</v>
      </c>
      <c r="AB106" s="16">
        <v>0</v>
      </c>
      <c r="AC106" s="16">
        <v>0</v>
      </c>
      <c r="AD106" s="13">
        <f t="shared" si="23"/>
        <v>11</v>
      </c>
    </row>
    <row r="107" spans="1:30" ht="12.75" customHeight="1" x14ac:dyDescent="0.4">
      <c r="A107" s="52"/>
      <c r="B107" s="35"/>
      <c r="C107" s="37"/>
      <c r="D107" s="39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13">
        <f t="shared" si="23"/>
        <v>0</v>
      </c>
    </row>
    <row r="108" spans="1:30" ht="12.75" customHeight="1" x14ac:dyDescent="0.4">
      <c r="A108" s="52"/>
      <c r="B108" s="35"/>
      <c r="C108" s="37"/>
      <c r="D108" s="39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13">
        <f t="shared" si="23"/>
        <v>0</v>
      </c>
    </row>
    <row r="109" spans="1:30" ht="12.75" customHeight="1" x14ac:dyDescent="0.4">
      <c r="A109" s="52"/>
      <c r="B109" s="35"/>
      <c r="C109" s="37"/>
      <c r="D109" s="39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13">
        <f t="shared" si="23"/>
        <v>0</v>
      </c>
    </row>
    <row r="110" spans="1:30" ht="12.75" customHeight="1" x14ac:dyDescent="0.4">
      <c r="A110" s="52"/>
      <c r="B110" s="35"/>
      <c r="C110" s="37"/>
      <c r="D110" s="39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13">
        <f t="shared" si="23"/>
        <v>0</v>
      </c>
    </row>
    <row r="111" spans="1:30" ht="12.75" customHeight="1" x14ac:dyDescent="0.4">
      <c r="A111" s="52"/>
      <c r="B111" s="35"/>
      <c r="C111" s="37"/>
      <c r="D111" s="39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13">
        <f t="shared" si="23"/>
        <v>0</v>
      </c>
    </row>
    <row r="112" spans="1:30" ht="12.75" customHeight="1" x14ac:dyDescent="0.4">
      <c r="A112" s="52"/>
      <c r="B112" s="35"/>
      <c r="C112" s="37"/>
      <c r="D112" s="39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13">
        <f t="shared" si="23"/>
        <v>0</v>
      </c>
    </row>
    <row r="113" spans="1:30" ht="12.75" customHeight="1" x14ac:dyDescent="0.4">
      <c r="A113" s="52"/>
      <c r="B113" s="35"/>
      <c r="C113" s="37"/>
      <c r="D113" s="39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13">
        <f t="shared" si="23"/>
        <v>0</v>
      </c>
    </row>
    <row r="114" spans="1:30" ht="12.75" customHeight="1" x14ac:dyDescent="0.4">
      <c r="A114" s="52"/>
      <c r="B114" s="35"/>
      <c r="C114" s="37"/>
      <c r="D114" s="39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13">
        <f t="shared" si="23"/>
        <v>0</v>
      </c>
    </row>
    <row r="115" spans="1:30" ht="12.75" customHeight="1" x14ac:dyDescent="0.4">
      <c r="A115" s="16" t="s">
        <v>14</v>
      </c>
      <c r="B115" s="60" t="s">
        <v>45</v>
      </c>
      <c r="C115" s="61"/>
      <c r="D115" s="62"/>
      <c r="E115" s="13">
        <f t="shared" ref="E115:AD115" si="24">SUM(E105:E114)</f>
        <v>1</v>
      </c>
      <c r="F115" s="13">
        <f t="shared" si="24"/>
        <v>3</v>
      </c>
      <c r="G115" s="13">
        <f t="shared" si="24"/>
        <v>0</v>
      </c>
      <c r="H115" s="13">
        <f t="shared" si="24"/>
        <v>0</v>
      </c>
      <c r="I115" s="13">
        <f t="shared" si="24"/>
        <v>1</v>
      </c>
      <c r="J115" s="13">
        <f t="shared" si="24"/>
        <v>0</v>
      </c>
      <c r="K115" s="13">
        <f t="shared" si="24"/>
        <v>0</v>
      </c>
      <c r="L115" s="13">
        <f t="shared" si="24"/>
        <v>0</v>
      </c>
      <c r="M115" s="13">
        <f t="shared" si="24"/>
        <v>1</v>
      </c>
      <c r="N115" s="13">
        <f t="shared" si="24"/>
        <v>2</v>
      </c>
      <c r="O115" s="13">
        <f t="shared" si="24"/>
        <v>0</v>
      </c>
      <c r="P115" s="13">
        <f t="shared" si="24"/>
        <v>0</v>
      </c>
      <c r="Q115" s="13">
        <f t="shared" si="24"/>
        <v>0</v>
      </c>
      <c r="R115" s="13">
        <f t="shared" si="24"/>
        <v>3</v>
      </c>
      <c r="S115" s="13">
        <f t="shared" si="24"/>
        <v>1</v>
      </c>
      <c r="T115" s="13">
        <f t="shared" si="24"/>
        <v>1</v>
      </c>
      <c r="U115" s="13">
        <f t="shared" si="24"/>
        <v>0</v>
      </c>
      <c r="V115" s="13">
        <f t="shared" si="24"/>
        <v>1</v>
      </c>
      <c r="W115" s="13">
        <f t="shared" si="24"/>
        <v>2</v>
      </c>
      <c r="X115" s="13">
        <f t="shared" si="24"/>
        <v>0</v>
      </c>
      <c r="Y115" s="13">
        <f t="shared" si="24"/>
        <v>0</v>
      </c>
      <c r="Z115" s="13">
        <f t="shared" si="24"/>
        <v>0</v>
      </c>
      <c r="AA115" s="13">
        <f t="shared" si="24"/>
        <v>4</v>
      </c>
      <c r="AB115" s="13">
        <f t="shared" si="24"/>
        <v>0</v>
      </c>
      <c r="AC115" s="13">
        <f t="shared" si="24"/>
        <v>0</v>
      </c>
      <c r="AD115" s="13">
        <f t="shared" si="24"/>
        <v>20</v>
      </c>
    </row>
    <row r="116" spans="1:30" ht="12.75" customHeight="1" x14ac:dyDescent="0.4">
      <c r="A116" s="63"/>
      <c r="B116" s="61"/>
      <c r="C116" s="61"/>
      <c r="D116" s="61"/>
      <c r="E116" s="62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13"/>
    </row>
    <row r="117" spans="1:30" ht="12.75" customHeight="1" x14ac:dyDescent="0.4">
      <c r="A117" s="20" t="s">
        <v>36</v>
      </c>
      <c r="B117" s="27" t="s">
        <v>78</v>
      </c>
      <c r="C117" s="64" t="s">
        <v>79</v>
      </c>
      <c r="D117" s="62"/>
      <c r="E117" s="16">
        <v>0</v>
      </c>
      <c r="F117" s="16">
        <v>1</v>
      </c>
      <c r="G117" s="16">
        <v>0</v>
      </c>
      <c r="H117" s="16">
        <v>0</v>
      </c>
      <c r="I117" s="16">
        <v>0</v>
      </c>
      <c r="J117" s="16">
        <v>1</v>
      </c>
      <c r="K117" s="16">
        <v>0</v>
      </c>
      <c r="L117" s="16">
        <v>0</v>
      </c>
      <c r="M117" s="16">
        <v>2</v>
      </c>
      <c r="N117" s="16">
        <v>2</v>
      </c>
      <c r="O117" s="16">
        <v>0</v>
      </c>
      <c r="P117" s="16">
        <v>0</v>
      </c>
      <c r="Q117" s="16">
        <v>1</v>
      </c>
      <c r="R117" s="16">
        <v>0</v>
      </c>
      <c r="S117" s="16">
        <v>2</v>
      </c>
      <c r="T117" s="16">
        <v>2</v>
      </c>
      <c r="U117" s="16">
        <v>0</v>
      </c>
      <c r="V117" s="16">
        <v>0</v>
      </c>
      <c r="W117" s="16">
        <v>1</v>
      </c>
      <c r="X117" s="16">
        <v>0</v>
      </c>
      <c r="Y117" s="16">
        <v>1</v>
      </c>
      <c r="Z117" s="16">
        <v>1</v>
      </c>
      <c r="AA117" s="16">
        <v>0</v>
      </c>
      <c r="AB117" s="16">
        <v>1</v>
      </c>
      <c r="AC117" s="16">
        <v>0</v>
      </c>
      <c r="AD117" s="13">
        <f t="shared" ref="AD117:AD126" si="25">SUM(E117:AC117)</f>
        <v>15</v>
      </c>
    </row>
    <row r="118" spans="1:30" ht="12.75" customHeight="1" x14ac:dyDescent="0.4">
      <c r="A118" s="20" t="s">
        <v>38</v>
      </c>
      <c r="B118" s="28"/>
      <c r="C118" s="29" t="s">
        <v>80</v>
      </c>
      <c r="D118" s="30"/>
      <c r="E118" s="16">
        <v>1</v>
      </c>
      <c r="F118" s="16">
        <v>4</v>
      </c>
      <c r="G118" s="16">
        <v>4</v>
      </c>
      <c r="H118" s="16">
        <v>8</v>
      </c>
      <c r="I118" s="16">
        <v>2</v>
      </c>
      <c r="J118" s="16">
        <v>1</v>
      </c>
      <c r="K118" s="16">
        <v>3</v>
      </c>
      <c r="L118" s="16">
        <v>0</v>
      </c>
      <c r="M118" s="16">
        <v>1</v>
      </c>
      <c r="N118" s="16">
        <v>0</v>
      </c>
      <c r="O118" s="16">
        <v>2</v>
      </c>
      <c r="P118" s="16">
        <v>1</v>
      </c>
      <c r="Q118" s="16">
        <v>0</v>
      </c>
      <c r="R118" s="16">
        <v>1</v>
      </c>
      <c r="S118" s="16">
        <v>1</v>
      </c>
      <c r="T118" s="16">
        <v>3</v>
      </c>
      <c r="U118" s="16">
        <v>1</v>
      </c>
      <c r="V118" s="16">
        <v>0</v>
      </c>
      <c r="W118" s="16">
        <v>7</v>
      </c>
      <c r="X118" s="16">
        <v>1</v>
      </c>
      <c r="Y118" s="16">
        <v>1</v>
      </c>
      <c r="Z118" s="16">
        <v>0</v>
      </c>
      <c r="AA118" s="16">
        <v>1</v>
      </c>
      <c r="AB118" s="16">
        <v>0</v>
      </c>
      <c r="AC118" s="16">
        <v>1</v>
      </c>
      <c r="AD118" s="13">
        <f t="shared" si="25"/>
        <v>44</v>
      </c>
    </row>
    <row r="119" spans="1:30" ht="12.75" customHeight="1" x14ac:dyDescent="0.4">
      <c r="A119" s="15"/>
      <c r="B119" s="28"/>
      <c r="C119" s="29" t="s">
        <v>81</v>
      </c>
      <c r="D119" s="30"/>
      <c r="E119" s="16">
        <v>2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0</v>
      </c>
      <c r="O119" s="16">
        <v>2</v>
      </c>
      <c r="P119" s="16">
        <v>0</v>
      </c>
      <c r="Q119" s="16">
        <v>2</v>
      </c>
      <c r="R119" s="16">
        <v>1</v>
      </c>
      <c r="S119" s="16">
        <v>1</v>
      </c>
      <c r="T119" s="16">
        <v>1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1</v>
      </c>
      <c r="AC119" s="16">
        <v>0</v>
      </c>
      <c r="AD119" s="13">
        <f t="shared" si="25"/>
        <v>10</v>
      </c>
    </row>
    <row r="120" spans="1:30" ht="12.75" customHeight="1" x14ac:dyDescent="0.4">
      <c r="A120" s="15"/>
      <c r="B120" s="28"/>
      <c r="C120" s="29" t="s">
        <v>82</v>
      </c>
      <c r="D120" s="30"/>
      <c r="E120" s="16">
        <v>1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0</v>
      </c>
      <c r="O120" s="16">
        <v>0</v>
      </c>
      <c r="P120" s="16">
        <v>0</v>
      </c>
      <c r="Q120" s="16">
        <v>0</v>
      </c>
      <c r="R120" s="16">
        <v>1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3">
        <f t="shared" si="25"/>
        <v>2</v>
      </c>
    </row>
    <row r="121" spans="1:30" ht="12.75" customHeight="1" x14ac:dyDescent="0.4">
      <c r="A121" s="52"/>
      <c r="B121" s="28"/>
      <c r="C121" s="29" t="s">
        <v>83</v>
      </c>
      <c r="D121" s="30"/>
      <c r="E121" s="53">
        <v>0</v>
      </c>
      <c r="F121" s="53">
        <v>0</v>
      </c>
      <c r="G121" s="53">
        <v>0</v>
      </c>
      <c r="H121" s="53">
        <v>0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16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3">
        <v>0</v>
      </c>
      <c r="Y121" s="53">
        <v>0</v>
      </c>
      <c r="Z121" s="53">
        <v>0</v>
      </c>
      <c r="AA121" s="53">
        <v>0</v>
      </c>
      <c r="AB121" s="53">
        <v>0</v>
      </c>
      <c r="AC121" s="53">
        <v>0</v>
      </c>
      <c r="AD121" s="13">
        <f t="shared" si="25"/>
        <v>0</v>
      </c>
    </row>
    <row r="122" spans="1:30" ht="12.75" customHeight="1" x14ac:dyDescent="0.4">
      <c r="A122" s="52"/>
      <c r="B122" s="28"/>
      <c r="C122" s="29" t="s">
        <v>84</v>
      </c>
      <c r="D122" s="30"/>
      <c r="E122" s="53">
        <v>0</v>
      </c>
      <c r="F122" s="53">
        <v>0</v>
      </c>
      <c r="G122" s="53">
        <v>0</v>
      </c>
      <c r="H122" s="53">
        <v>1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2</v>
      </c>
      <c r="P122" s="16">
        <v>1</v>
      </c>
      <c r="Q122" s="53">
        <v>0</v>
      </c>
      <c r="R122" s="53">
        <v>0</v>
      </c>
      <c r="S122" s="53">
        <v>3</v>
      </c>
      <c r="T122" s="53">
        <v>1</v>
      </c>
      <c r="U122" s="53">
        <v>1</v>
      </c>
      <c r="V122" s="53">
        <v>0</v>
      </c>
      <c r="W122" s="53">
        <v>0</v>
      </c>
      <c r="X122" s="53">
        <v>0</v>
      </c>
      <c r="Y122" s="53">
        <v>0</v>
      </c>
      <c r="Z122" s="53">
        <v>0</v>
      </c>
      <c r="AA122" s="53">
        <v>0</v>
      </c>
      <c r="AB122" s="53">
        <v>2</v>
      </c>
      <c r="AC122" s="53">
        <v>4</v>
      </c>
      <c r="AD122" s="13">
        <f t="shared" si="25"/>
        <v>15</v>
      </c>
    </row>
    <row r="123" spans="1:30" ht="12.75" customHeight="1" x14ac:dyDescent="0.4">
      <c r="A123" s="52"/>
      <c r="B123" s="28"/>
      <c r="C123" s="29" t="s">
        <v>85</v>
      </c>
      <c r="D123" s="30"/>
      <c r="E123" s="41">
        <v>0</v>
      </c>
      <c r="F123" s="41">
        <v>0</v>
      </c>
      <c r="G123" s="41">
        <v>0</v>
      </c>
      <c r="H123" s="41">
        <v>0</v>
      </c>
      <c r="I123" s="41">
        <v>0</v>
      </c>
      <c r="J123" s="41">
        <v>8</v>
      </c>
      <c r="K123" s="41">
        <v>12</v>
      </c>
      <c r="L123" s="41">
        <v>0</v>
      </c>
      <c r="M123" s="41">
        <v>0</v>
      </c>
      <c r="N123" s="41">
        <v>1</v>
      </c>
      <c r="O123" s="41">
        <v>0</v>
      </c>
      <c r="P123" s="16">
        <v>0</v>
      </c>
      <c r="Q123" s="41">
        <v>0</v>
      </c>
      <c r="R123" s="41">
        <v>0</v>
      </c>
      <c r="S123" s="41">
        <v>0</v>
      </c>
      <c r="T123" s="41">
        <v>1</v>
      </c>
      <c r="U123" s="41">
        <v>0</v>
      </c>
      <c r="V123" s="41">
        <v>0</v>
      </c>
      <c r="W123" s="41">
        <v>0</v>
      </c>
      <c r="X123" s="41">
        <v>0</v>
      </c>
      <c r="Y123" s="41">
        <v>0</v>
      </c>
      <c r="Z123" s="41">
        <v>0</v>
      </c>
      <c r="AA123" s="41">
        <v>0</v>
      </c>
      <c r="AB123" s="41">
        <v>0</v>
      </c>
      <c r="AC123" s="41">
        <v>0</v>
      </c>
      <c r="AD123" s="13">
        <f t="shared" si="25"/>
        <v>22</v>
      </c>
    </row>
    <row r="124" spans="1:30" ht="12.75" customHeight="1" x14ac:dyDescent="0.4">
      <c r="A124" s="52"/>
      <c r="B124" s="35"/>
      <c r="C124" s="37"/>
      <c r="D124" s="39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13">
        <f t="shared" si="25"/>
        <v>0</v>
      </c>
    </row>
    <row r="125" spans="1:30" ht="12.75" customHeight="1" x14ac:dyDescent="0.4">
      <c r="A125" s="52"/>
      <c r="B125" s="35"/>
      <c r="C125" s="37"/>
      <c r="D125" s="39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13">
        <f t="shared" si="25"/>
        <v>0</v>
      </c>
    </row>
    <row r="126" spans="1:30" ht="12.75" customHeight="1" x14ac:dyDescent="0.4">
      <c r="A126" s="52"/>
      <c r="B126" s="35"/>
      <c r="C126" s="37"/>
      <c r="D126" s="39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13">
        <f t="shared" si="25"/>
        <v>0</v>
      </c>
    </row>
    <row r="127" spans="1:30" ht="12.75" customHeight="1" x14ac:dyDescent="0.4">
      <c r="A127" s="16" t="s">
        <v>14</v>
      </c>
      <c r="B127" s="60" t="s">
        <v>45</v>
      </c>
      <c r="C127" s="61"/>
      <c r="D127" s="62"/>
      <c r="E127" s="13">
        <f t="shared" ref="E127:AD127" si="26">SUM(E117:E126)</f>
        <v>4</v>
      </c>
      <c r="F127" s="13">
        <f t="shared" si="26"/>
        <v>5</v>
      </c>
      <c r="G127" s="13">
        <f t="shared" si="26"/>
        <v>4</v>
      </c>
      <c r="H127" s="13">
        <f t="shared" si="26"/>
        <v>9</v>
      </c>
      <c r="I127" s="13">
        <f t="shared" si="26"/>
        <v>2</v>
      </c>
      <c r="J127" s="13">
        <f t="shared" si="26"/>
        <v>10</v>
      </c>
      <c r="K127" s="13">
        <f t="shared" si="26"/>
        <v>15</v>
      </c>
      <c r="L127" s="13">
        <f t="shared" si="26"/>
        <v>0</v>
      </c>
      <c r="M127" s="13">
        <f t="shared" si="26"/>
        <v>3</v>
      </c>
      <c r="N127" s="13">
        <f t="shared" si="26"/>
        <v>3</v>
      </c>
      <c r="O127" s="13">
        <f t="shared" si="26"/>
        <v>6</v>
      </c>
      <c r="P127" s="13">
        <f t="shared" si="26"/>
        <v>2</v>
      </c>
      <c r="Q127" s="13">
        <f t="shared" si="26"/>
        <v>3</v>
      </c>
      <c r="R127" s="13">
        <f t="shared" si="26"/>
        <v>3</v>
      </c>
      <c r="S127" s="13">
        <f t="shared" si="26"/>
        <v>7</v>
      </c>
      <c r="T127" s="13">
        <f t="shared" si="26"/>
        <v>8</v>
      </c>
      <c r="U127" s="13">
        <f t="shared" si="26"/>
        <v>2</v>
      </c>
      <c r="V127" s="13">
        <f t="shared" si="26"/>
        <v>0</v>
      </c>
      <c r="W127" s="13">
        <f t="shared" si="26"/>
        <v>8</v>
      </c>
      <c r="X127" s="13">
        <f t="shared" si="26"/>
        <v>1</v>
      </c>
      <c r="Y127" s="13">
        <f t="shared" si="26"/>
        <v>2</v>
      </c>
      <c r="Z127" s="13">
        <f t="shared" si="26"/>
        <v>1</v>
      </c>
      <c r="AA127" s="13">
        <f t="shared" si="26"/>
        <v>1</v>
      </c>
      <c r="AB127" s="13">
        <f t="shared" si="26"/>
        <v>4</v>
      </c>
      <c r="AC127" s="13">
        <f t="shared" si="26"/>
        <v>5</v>
      </c>
      <c r="AD127" s="13">
        <f t="shared" si="26"/>
        <v>108</v>
      </c>
    </row>
    <row r="128" spans="1:30" ht="12.75" customHeight="1" x14ac:dyDescent="0.4">
      <c r="A128" s="63"/>
      <c r="B128" s="61"/>
      <c r="C128" s="61"/>
      <c r="D128" s="61"/>
      <c r="E128" s="62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</row>
    <row r="129" spans="1:30" ht="12.75" customHeight="1" x14ac:dyDescent="0.4">
      <c r="A129" s="20" t="s">
        <v>36</v>
      </c>
      <c r="B129" s="27" t="s">
        <v>86</v>
      </c>
      <c r="C129" s="64" t="s">
        <v>87</v>
      </c>
      <c r="D129" s="62"/>
      <c r="E129" s="16">
        <v>0</v>
      </c>
      <c r="F129" s="16">
        <v>1</v>
      </c>
      <c r="G129" s="16">
        <v>4</v>
      </c>
      <c r="H129" s="16">
        <v>1</v>
      </c>
      <c r="I129" s="16">
        <v>0</v>
      </c>
      <c r="J129" s="16">
        <v>0</v>
      </c>
      <c r="K129" s="16">
        <v>0</v>
      </c>
      <c r="L129" s="16">
        <v>2</v>
      </c>
      <c r="M129" s="16">
        <v>1</v>
      </c>
      <c r="N129" s="16">
        <v>1</v>
      </c>
      <c r="O129" s="16">
        <v>3</v>
      </c>
      <c r="P129" s="16">
        <v>4</v>
      </c>
      <c r="Q129" s="16">
        <v>5</v>
      </c>
      <c r="R129" s="16">
        <v>5</v>
      </c>
      <c r="S129" s="16">
        <v>8</v>
      </c>
      <c r="T129" s="16">
        <v>6</v>
      </c>
      <c r="U129" s="16">
        <v>5</v>
      </c>
      <c r="V129" s="16">
        <v>6</v>
      </c>
      <c r="W129" s="16">
        <v>6</v>
      </c>
      <c r="X129" s="16">
        <v>13</v>
      </c>
      <c r="Y129" s="16">
        <v>6</v>
      </c>
      <c r="Z129" s="16">
        <v>6</v>
      </c>
      <c r="AA129" s="16">
        <v>3</v>
      </c>
      <c r="AB129" s="16">
        <v>11</v>
      </c>
      <c r="AC129" s="16">
        <v>3</v>
      </c>
      <c r="AD129" s="13">
        <f t="shared" ref="AD129:AD138" si="27">SUM(E129:AC129)</f>
        <v>100</v>
      </c>
    </row>
    <row r="130" spans="1:30" ht="12.75" customHeight="1" x14ac:dyDescent="0.4">
      <c r="A130" s="20" t="s">
        <v>38</v>
      </c>
      <c r="B130" s="28"/>
      <c r="C130" s="29" t="s">
        <v>88</v>
      </c>
      <c r="D130" s="30"/>
      <c r="E130" s="16">
        <v>1</v>
      </c>
      <c r="F130" s="16">
        <v>4</v>
      </c>
      <c r="G130" s="16">
        <v>32</v>
      </c>
      <c r="H130" s="16">
        <v>11</v>
      </c>
      <c r="I130" s="16">
        <v>6</v>
      </c>
      <c r="J130" s="16">
        <v>15</v>
      </c>
      <c r="K130" s="16">
        <v>2</v>
      </c>
      <c r="L130" s="16">
        <v>10</v>
      </c>
      <c r="M130" s="16">
        <v>7</v>
      </c>
      <c r="N130" s="16">
        <v>2</v>
      </c>
      <c r="O130" s="16">
        <v>41</v>
      </c>
      <c r="P130" s="16">
        <v>54</v>
      </c>
      <c r="Q130" s="16">
        <v>24</v>
      </c>
      <c r="R130" s="16">
        <v>25</v>
      </c>
      <c r="S130" s="16">
        <v>12</v>
      </c>
      <c r="T130" s="16">
        <v>35</v>
      </c>
      <c r="U130" s="16">
        <v>22</v>
      </c>
      <c r="V130" s="16">
        <v>15</v>
      </c>
      <c r="W130" s="16">
        <v>15</v>
      </c>
      <c r="X130" s="16">
        <v>29</v>
      </c>
      <c r="Y130" s="16">
        <v>21</v>
      </c>
      <c r="Z130" s="16">
        <v>7</v>
      </c>
      <c r="AA130" s="16">
        <v>3</v>
      </c>
      <c r="AB130" s="16">
        <v>33</v>
      </c>
      <c r="AC130" s="16">
        <v>25</v>
      </c>
      <c r="AD130" s="13">
        <f t="shared" si="27"/>
        <v>451</v>
      </c>
    </row>
    <row r="131" spans="1:30" ht="12.75" customHeight="1" x14ac:dyDescent="0.4">
      <c r="A131" s="15"/>
      <c r="B131" s="28"/>
      <c r="C131" s="29" t="s">
        <v>89</v>
      </c>
      <c r="D131" s="30"/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1</v>
      </c>
      <c r="L131" s="16">
        <v>1</v>
      </c>
      <c r="M131" s="16">
        <v>1</v>
      </c>
      <c r="N131" s="16">
        <v>0</v>
      </c>
      <c r="O131" s="16">
        <v>2</v>
      </c>
      <c r="P131" s="16">
        <v>4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7</v>
      </c>
      <c r="X131" s="16">
        <v>1</v>
      </c>
      <c r="Y131" s="16">
        <v>0</v>
      </c>
      <c r="Z131" s="16">
        <v>1</v>
      </c>
      <c r="AA131" s="16">
        <v>0</v>
      </c>
      <c r="AB131" s="16">
        <v>1</v>
      </c>
      <c r="AC131" s="16">
        <v>0</v>
      </c>
      <c r="AD131" s="13">
        <f t="shared" si="27"/>
        <v>19</v>
      </c>
    </row>
    <row r="132" spans="1:30" ht="12.75" customHeight="1" x14ac:dyDescent="0.4">
      <c r="A132" s="15"/>
      <c r="B132" s="28"/>
      <c r="C132" s="29" t="s">
        <v>90</v>
      </c>
      <c r="D132" s="30"/>
      <c r="E132" s="16">
        <v>0</v>
      </c>
      <c r="F132" s="16">
        <v>0</v>
      </c>
      <c r="G132" s="16">
        <v>3</v>
      </c>
      <c r="H132" s="16">
        <v>0</v>
      </c>
      <c r="I132" s="16">
        <v>0</v>
      </c>
      <c r="J132" s="16">
        <v>1</v>
      </c>
      <c r="K132" s="16">
        <v>0</v>
      </c>
      <c r="L132" s="16">
        <v>16</v>
      </c>
      <c r="M132" s="16">
        <v>4</v>
      </c>
      <c r="N132" s="16">
        <v>1</v>
      </c>
      <c r="O132" s="16">
        <v>1</v>
      </c>
      <c r="P132" s="16">
        <v>1</v>
      </c>
      <c r="Q132" s="16">
        <v>0</v>
      </c>
      <c r="R132" s="16">
        <v>0</v>
      </c>
      <c r="S132" s="16">
        <v>0</v>
      </c>
      <c r="T132" s="16">
        <v>0</v>
      </c>
      <c r="U132" s="16">
        <v>4</v>
      </c>
      <c r="V132" s="16">
        <v>2</v>
      </c>
      <c r="W132" s="16">
        <v>2</v>
      </c>
      <c r="X132" s="16">
        <v>1</v>
      </c>
      <c r="Y132" s="16">
        <v>0</v>
      </c>
      <c r="Z132" s="16">
        <v>0</v>
      </c>
      <c r="AA132" s="16">
        <v>1</v>
      </c>
      <c r="AB132" s="16">
        <v>0</v>
      </c>
      <c r="AC132" s="16">
        <v>0</v>
      </c>
      <c r="AD132" s="13">
        <f t="shared" si="27"/>
        <v>37</v>
      </c>
    </row>
    <row r="133" spans="1:30" ht="12.75" customHeight="1" x14ac:dyDescent="0.4">
      <c r="A133" s="15"/>
      <c r="B133" s="28"/>
      <c r="C133" s="29" t="s">
        <v>91</v>
      </c>
      <c r="D133" s="30"/>
      <c r="E133" s="16">
        <v>0</v>
      </c>
      <c r="F133" s="16">
        <v>1</v>
      </c>
      <c r="G133" s="16">
        <v>0</v>
      </c>
      <c r="H133" s="16">
        <v>0</v>
      </c>
      <c r="I133" s="16">
        <v>0</v>
      </c>
      <c r="J133" s="16">
        <v>3</v>
      </c>
      <c r="K133" s="16">
        <v>0</v>
      </c>
      <c r="L133" s="16">
        <v>1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2</v>
      </c>
      <c r="U133" s="16">
        <v>2</v>
      </c>
      <c r="V133" s="16">
        <v>0</v>
      </c>
      <c r="W133" s="16">
        <v>0</v>
      </c>
      <c r="X133" s="16">
        <v>0</v>
      </c>
      <c r="Y133" s="16">
        <v>1</v>
      </c>
      <c r="Z133" s="16">
        <v>0</v>
      </c>
      <c r="AA133" s="16">
        <v>0</v>
      </c>
      <c r="AB133" s="16">
        <v>2</v>
      </c>
      <c r="AC133" s="16">
        <v>0</v>
      </c>
      <c r="AD133" s="13">
        <f t="shared" si="27"/>
        <v>13</v>
      </c>
    </row>
    <row r="134" spans="1:30" ht="12.75" customHeight="1" x14ac:dyDescent="0.4">
      <c r="A134" s="15"/>
      <c r="B134" s="28"/>
      <c r="C134" s="29" t="s">
        <v>92</v>
      </c>
      <c r="D134" s="30"/>
      <c r="E134" s="16">
        <v>0</v>
      </c>
      <c r="F134" s="16">
        <v>0</v>
      </c>
      <c r="G134" s="16">
        <v>0</v>
      </c>
      <c r="H134" s="16">
        <v>2</v>
      </c>
      <c r="I134" s="16">
        <v>2</v>
      </c>
      <c r="J134" s="16">
        <v>1</v>
      </c>
      <c r="K134" s="16">
        <v>0</v>
      </c>
      <c r="L134" s="16">
        <v>1</v>
      </c>
      <c r="M134" s="16">
        <v>0</v>
      </c>
      <c r="N134" s="16">
        <v>0</v>
      </c>
      <c r="O134" s="16">
        <v>3</v>
      </c>
      <c r="P134" s="16">
        <v>1</v>
      </c>
      <c r="Q134" s="16">
        <v>0</v>
      </c>
      <c r="R134" s="16">
        <v>4</v>
      </c>
      <c r="S134" s="16">
        <v>3</v>
      </c>
      <c r="T134" s="16">
        <v>2</v>
      </c>
      <c r="U134" s="16">
        <v>1</v>
      </c>
      <c r="V134" s="16">
        <v>3</v>
      </c>
      <c r="W134" s="16">
        <v>2</v>
      </c>
      <c r="X134" s="16">
        <v>5</v>
      </c>
      <c r="Y134" s="16">
        <v>1</v>
      </c>
      <c r="Z134" s="16">
        <v>4</v>
      </c>
      <c r="AA134" s="16">
        <v>2</v>
      </c>
      <c r="AB134" s="16">
        <v>0</v>
      </c>
      <c r="AC134" s="16">
        <v>0</v>
      </c>
      <c r="AD134" s="13">
        <f t="shared" si="27"/>
        <v>37</v>
      </c>
    </row>
    <row r="135" spans="1:30" ht="12.75" customHeight="1" x14ac:dyDescent="0.4">
      <c r="A135" s="15"/>
      <c r="B135" s="28"/>
      <c r="C135" s="29" t="s">
        <v>93</v>
      </c>
      <c r="D135" s="30"/>
      <c r="E135" s="16">
        <v>0</v>
      </c>
      <c r="F135" s="16">
        <v>0</v>
      </c>
      <c r="G135" s="16">
        <v>0</v>
      </c>
      <c r="H135" s="16">
        <v>0</v>
      </c>
      <c r="I135" s="16">
        <v>1</v>
      </c>
      <c r="J135" s="16">
        <v>0</v>
      </c>
      <c r="K135" s="16">
        <v>0</v>
      </c>
      <c r="L135" s="16">
        <v>1</v>
      </c>
      <c r="M135" s="16">
        <v>0</v>
      </c>
      <c r="N135" s="16">
        <v>0</v>
      </c>
      <c r="O135" s="16">
        <v>0</v>
      </c>
      <c r="P135" s="16">
        <v>0</v>
      </c>
      <c r="Q135" s="16">
        <v>1</v>
      </c>
      <c r="R135" s="16">
        <v>0</v>
      </c>
      <c r="S135" s="16">
        <v>2</v>
      </c>
      <c r="T135" s="16">
        <v>1</v>
      </c>
      <c r="U135" s="16">
        <v>0</v>
      </c>
      <c r="V135" s="16">
        <v>0</v>
      </c>
      <c r="W135" s="16">
        <v>3</v>
      </c>
      <c r="X135" s="16">
        <v>0</v>
      </c>
      <c r="Y135" s="16">
        <v>0</v>
      </c>
      <c r="Z135" s="16">
        <v>0</v>
      </c>
      <c r="AA135" s="16">
        <v>0</v>
      </c>
      <c r="AB135" s="16">
        <v>0</v>
      </c>
      <c r="AC135" s="16">
        <v>4</v>
      </c>
      <c r="AD135" s="13">
        <f t="shared" si="27"/>
        <v>13</v>
      </c>
    </row>
    <row r="136" spans="1:30" ht="12.75" customHeight="1" x14ac:dyDescent="0.4">
      <c r="A136" s="52"/>
      <c r="B136" s="35"/>
      <c r="C136" s="37"/>
      <c r="D136" s="38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13">
        <f t="shared" si="27"/>
        <v>0</v>
      </c>
    </row>
    <row r="137" spans="1:30" ht="12.75" customHeight="1" x14ac:dyDescent="0.4">
      <c r="A137" s="52"/>
      <c r="B137" s="35"/>
      <c r="C137" s="37"/>
      <c r="D137" s="38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13">
        <f t="shared" si="27"/>
        <v>0</v>
      </c>
    </row>
    <row r="138" spans="1:30" ht="12.75" customHeight="1" x14ac:dyDescent="0.4">
      <c r="A138" s="52"/>
      <c r="B138" s="35"/>
      <c r="C138" s="37"/>
      <c r="D138" s="38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13">
        <f t="shared" si="27"/>
        <v>0</v>
      </c>
    </row>
    <row r="139" spans="1:30" ht="12.75" customHeight="1" x14ac:dyDescent="0.4">
      <c r="A139" s="16" t="s">
        <v>14</v>
      </c>
      <c r="B139" s="60" t="s">
        <v>45</v>
      </c>
      <c r="C139" s="61"/>
      <c r="D139" s="62"/>
      <c r="E139" s="13">
        <f t="shared" ref="E139:AD139" si="28">SUM(E129:E138)</f>
        <v>1</v>
      </c>
      <c r="F139" s="13">
        <f t="shared" si="28"/>
        <v>6</v>
      </c>
      <c r="G139" s="13">
        <f t="shared" si="28"/>
        <v>39</v>
      </c>
      <c r="H139" s="13">
        <f t="shared" si="28"/>
        <v>14</v>
      </c>
      <c r="I139" s="13">
        <f t="shared" si="28"/>
        <v>9</v>
      </c>
      <c r="J139" s="13">
        <f t="shared" si="28"/>
        <v>20</v>
      </c>
      <c r="K139" s="13">
        <f t="shared" si="28"/>
        <v>3</v>
      </c>
      <c r="L139" s="13">
        <f t="shared" si="28"/>
        <v>32</v>
      </c>
      <c r="M139" s="13">
        <f t="shared" si="28"/>
        <v>13</v>
      </c>
      <c r="N139" s="13">
        <f t="shared" si="28"/>
        <v>4</v>
      </c>
      <c r="O139" s="13">
        <f t="shared" si="28"/>
        <v>50</v>
      </c>
      <c r="P139" s="13">
        <f t="shared" si="28"/>
        <v>65</v>
      </c>
      <c r="Q139" s="13">
        <f t="shared" si="28"/>
        <v>30</v>
      </c>
      <c r="R139" s="13">
        <f t="shared" si="28"/>
        <v>34</v>
      </c>
      <c r="S139" s="13">
        <f t="shared" si="28"/>
        <v>25</v>
      </c>
      <c r="T139" s="13">
        <f t="shared" si="28"/>
        <v>46</v>
      </c>
      <c r="U139" s="13">
        <f t="shared" si="28"/>
        <v>34</v>
      </c>
      <c r="V139" s="13">
        <f t="shared" si="28"/>
        <v>26</v>
      </c>
      <c r="W139" s="13">
        <f t="shared" si="28"/>
        <v>35</v>
      </c>
      <c r="X139" s="13">
        <f t="shared" si="28"/>
        <v>49</v>
      </c>
      <c r="Y139" s="13">
        <f t="shared" si="28"/>
        <v>29</v>
      </c>
      <c r="Z139" s="13">
        <f t="shared" si="28"/>
        <v>18</v>
      </c>
      <c r="AA139" s="13">
        <f t="shared" si="28"/>
        <v>9</v>
      </c>
      <c r="AB139" s="13">
        <f t="shared" si="28"/>
        <v>47</v>
      </c>
      <c r="AC139" s="13">
        <f t="shared" si="28"/>
        <v>32</v>
      </c>
      <c r="AD139" s="13">
        <f t="shared" si="28"/>
        <v>670</v>
      </c>
    </row>
    <row r="140" spans="1:30" ht="12.75" customHeight="1" x14ac:dyDescent="0.4">
      <c r="A140" s="63"/>
      <c r="B140" s="61"/>
      <c r="C140" s="61"/>
      <c r="D140" s="61"/>
      <c r="E140" s="62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</row>
    <row r="141" spans="1:30" ht="12.75" customHeight="1" x14ac:dyDescent="0.4">
      <c r="A141" s="20" t="s">
        <v>36</v>
      </c>
      <c r="B141" s="27" t="s">
        <v>94</v>
      </c>
      <c r="C141" s="64" t="s">
        <v>95</v>
      </c>
      <c r="D141" s="62"/>
      <c r="E141" s="16">
        <v>1</v>
      </c>
      <c r="F141" s="16">
        <v>0</v>
      </c>
      <c r="G141" s="16">
        <v>0</v>
      </c>
      <c r="H141" s="16">
        <v>0</v>
      </c>
      <c r="I141" s="16">
        <v>0</v>
      </c>
      <c r="J141" s="16">
        <v>1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1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3">
        <f t="shared" ref="AD141:AD150" si="29">SUM(E141:AC141)</f>
        <v>3</v>
      </c>
    </row>
    <row r="142" spans="1:30" ht="12.75" customHeight="1" x14ac:dyDescent="0.4">
      <c r="A142" s="20" t="s">
        <v>38</v>
      </c>
      <c r="B142" s="27"/>
      <c r="C142" s="29" t="s">
        <v>96</v>
      </c>
      <c r="D142" s="40"/>
      <c r="E142" s="16">
        <v>0</v>
      </c>
      <c r="F142" s="16">
        <v>1</v>
      </c>
      <c r="G142" s="16">
        <v>0</v>
      </c>
      <c r="H142" s="16">
        <v>0</v>
      </c>
      <c r="I142" s="16">
        <v>0</v>
      </c>
      <c r="J142" s="16">
        <v>0</v>
      </c>
      <c r="K142" s="16">
        <v>1</v>
      </c>
      <c r="L142" s="16">
        <v>0</v>
      </c>
      <c r="M142" s="16">
        <v>0</v>
      </c>
      <c r="N142" s="16">
        <v>1</v>
      </c>
      <c r="O142" s="16">
        <v>0</v>
      </c>
      <c r="P142" s="16">
        <v>1</v>
      </c>
      <c r="Q142" s="16">
        <v>0</v>
      </c>
      <c r="R142" s="16">
        <v>0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0</v>
      </c>
      <c r="AB142" s="16">
        <v>0</v>
      </c>
      <c r="AC142" s="16">
        <v>0</v>
      </c>
      <c r="AD142" s="13">
        <f t="shared" si="29"/>
        <v>4</v>
      </c>
    </row>
    <row r="143" spans="1:30" ht="12.75" customHeight="1" x14ac:dyDescent="0.4">
      <c r="A143" s="52"/>
      <c r="B143" s="35"/>
      <c r="C143" s="37"/>
      <c r="D143" s="39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13">
        <f t="shared" si="29"/>
        <v>0</v>
      </c>
    </row>
    <row r="144" spans="1:30" ht="12.75" customHeight="1" x14ac:dyDescent="0.4">
      <c r="A144" s="52"/>
      <c r="B144" s="35"/>
      <c r="C144" s="37"/>
      <c r="D144" s="39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13">
        <f t="shared" si="29"/>
        <v>0</v>
      </c>
    </row>
    <row r="145" spans="1:30" ht="12.75" customHeight="1" x14ac:dyDescent="0.4">
      <c r="A145" s="52"/>
      <c r="B145" s="35"/>
      <c r="C145" s="37"/>
      <c r="D145" s="39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13">
        <f t="shared" si="29"/>
        <v>0</v>
      </c>
    </row>
    <row r="146" spans="1:30" ht="12.75" customHeight="1" x14ac:dyDescent="0.4">
      <c r="A146" s="52"/>
      <c r="B146" s="35"/>
      <c r="C146" s="37"/>
      <c r="D146" s="39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13">
        <f t="shared" si="29"/>
        <v>0</v>
      </c>
    </row>
    <row r="147" spans="1:30" ht="12.75" customHeight="1" x14ac:dyDescent="0.4">
      <c r="A147" s="52"/>
      <c r="B147" s="35"/>
      <c r="C147" s="37"/>
      <c r="D147" s="39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13">
        <f t="shared" si="29"/>
        <v>0</v>
      </c>
    </row>
    <row r="148" spans="1:30" ht="12.75" customHeight="1" x14ac:dyDescent="0.4">
      <c r="A148" s="52"/>
      <c r="B148" s="35"/>
      <c r="C148" s="37"/>
      <c r="D148" s="39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13">
        <f t="shared" si="29"/>
        <v>0</v>
      </c>
    </row>
    <row r="149" spans="1:30" ht="12.75" customHeight="1" x14ac:dyDescent="0.4">
      <c r="A149" s="52"/>
      <c r="B149" s="35"/>
      <c r="C149" s="37"/>
      <c r="D149" s="39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13">
        <f t="shared" si="29"/>
        <v>0</v>
      </c>
    </row>
    <row r="150" spans="1:30" ht="12.75" customHeight="1" x14ac:dyDescent="0.4">
      <c r="A150" s="52"/>
      <c r="B150" s="35"/>
      <c r="C150" s="37"/>
      <c r="D150" s="39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13">
        <f t="shared" si="29"/>
        <v>0</v>
      </c>
    </row>
    <row r="151" spans="1:30" ht="12.75" customHeight="1" x14ac:dyDescent="0.4">
      <c r="A151" s="16" t="s">
        <v>14</v>
      </c>
      <c r="B151" s="60" t="s">
        <v>45</v>
      </c>
      <c r="C151" s="61"/>
      <c r="D151" s="62"/>
      <c r="E151" s="13">
        <f t="shared" ref="E151:AD151" si="30">SUM(E141:E150)</f>
        <v>1</v>
      </c>
      <c r="F151" s="13">
        <f t="shared" si="30"/>
        <v>1</v>
      </c>
      <c r="G151" s="13">
        <f t="shared" si="30"/>
        <v>0</v>
      </c>
      <c r="H151" s="13">
        <f t="shared" si="30"/>
        <v>0</v>
      </c>
      <c r="I151" s="13">
        <f t="shared" si="30"/>
        <v>0</v>
      </c>
      <c r="J151" s="13">
        <f t="shared" si="30"/>
        <v>1</v>
      </c>
      <c r="K151" s="13">
        <f t="shared" si="30"/>
        <v>1</v>
      </c>
      <c r="L151" s="13">
        <f t="shared" si="30"/>
        <v>0</v>
      </c>
      <c r="M151" s="13">
        <f t="shared" si="30"/>
        <v>0</v>
      </c>
      <c r="N151" s="13">
        <f t="shared" si="30"/>
        <v>1</v>
      </c>
      <c r="O151" s="13">
        <f t="shared" si="30"/>
        <v>0</v>
      </c>
      <c r="P151" s="13">
        <f t="shared" si="30"/>
        <v>1</v>
      </c>
      <c r="Q151" s="13">
        <f t="shared" si="30"/>
        <v>0</v>
      </c>
      <c r="R151" s="13">
        <f t="shared" si="30"/>
        <v>0</v>
      </c>
      <c r="S151" s="13">
        <f t="shared" si="30"/>
        <v>1</v>
      </c>
      <c r="T151" s="13">
        <f t="shared" si="30"/>
        <v>0</v>
      </c>
      <c r="U151" s="13">
        <f t="shared" si="30"/>
        <v>0</v>
      </c>
      <c r="V151" s="13">
        <f t="shared" si="30"/>
        <v>0</v>
      </c>
      <c r="W151" s="13">
        <f t="shared" si="30"/>
        <v>0</v>
      </c>
      <c r="X151" s="13">
        <f t="shared" si="30"/>
        <v>0</v>
      </c>
      <c r="Y151" s="13">
        <f t="shared" si="30"/>
        <v>0</v>
      </c>
      <c r="Z151" s="13">
        <f t="shared" si="30"/>
        <v>0</v>
      </c>
      <c r="AA151" s="13">
        <f t="shared" si="30"/>
        <v>0</v>
      </c>
      <c r="AB151" s="13">
        <f t="shared" si="30"/>
        <v>0</v>
      </c>
      <c r="AC151" s="13">
        <f t="shared" si="30"/>
        <v>0</v>
      </c>
      <c r="AD151" s="13">
        <f t="shared" si="30"/>
        <v>7</v>
      </c>
    </row>
    <row r="152" spans="1:30" ht="12.75" customHeight="1" x14ac:dyDescent="0.4">
      <c r="A152" s="63"/>
      <c r="B152" s="61"/>
      <c r="C152" s="61"/>
      <c r="D152" s="61"/>
      <c r="E152" s="62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13"/>
    </row>
    <row r="153" spans="1:30" ht="12.75" customHeight="1" x14ac:dyDescent="0.4">
      <c r="A153" s="20" t="s">
        <v>36</v>
      </c>
      <c r="B153" s="14" t="s">
        <v>97</v>
      </c>
      <c r="C153" s="65" t="s">
        <v>98</v>
      </c>
      <c r="D153" s="66"/>
      <c r="E153" s="16">
        <v>1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1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0</v>
      </c>
      <c r="T153" s="16">
        <v>0</v>
      </c>
      <c r="U153" s="16">
        <v>0</v>
      </c>
      <c r="V153" s="16">
        <v>1</v>
      </c>
      <c r="W153" s="16">
        <v>0</v>
      </c>
      <c r="X153" s="16">
        <v>1</v>
      </c>
      <c r="Y153" s="16">
        <v>0</v>
      </c>
      <c r="Z153" s="16">
        <v>0</v>
      </c>
      <c r="AA153" s="16">
        <v>2</v>
      </c>
      <c r="AB153" s="16">
        <v>1</v>
      </c>
      <c r="AC153" s="16">
        <v>0</v>
      </c>
      <c r="AD153" s="13">
        <f t="shared" ref="AD153:AD162" si="31">SUM(E153:AC153)</f>
        <v>7</v>
      </c>
    </row>
    <row r="154" spans="1:30" ht="12.75" customHeight="1" x14ac:dyDescent="0.4">
      <c r="A154" s="42" t="s">
        <v>38</v>
      </c>
      <c r="B154" s="28"/>
      <c r="C154" s="29" t="s">
        <v>99</v>
      </c>
      <c r="D154" s="30"/>
      <c r="E154" s="55">
        <v>0</v>
      </c>
      <c r="F154" s="16">
        <v>0</v>
      </c>
      <c r="G154" s="16">
        <v>2</v>
      </c>
      <c r="H154" s="16">
        <v>0</v>
      </c>
      <c r="I154" s="16">
        <v>0</v>
      </c>
      <c r="J154" s="16">
        <v>1</v>
      </c>
      <c r="K154" s="16">
        <v>0</v>
      </c>
      <c r="L154" s="16">
        <v>1</v>
      </c>
      <c r="M154" s="16">
        <v>0</v>
      </c>
      <c r="N154" s="16">
        <v>1</v>
      </c>
      <c r="O154" s="16">
        <v>1</v>
      </c>
      <c r="P154" s="16">
        <v>0</v>
      </c>
      <c r="Q154" s="16">
        <v>3</v>
      </c>
      <c r="R154" s="16">
        <v>0</v>
      </c>
      <c r="S154" s="16">
        <v>7</v>
      </c>
      <c r="T154" s="16">
        <v>1</v>
      </c>
      <c r="U154" s="16">
        <v>1</v>
      </c>
      <c r="V154" s="16">
        <v>0</v>
      </c>
      <c r="W154" s="16">
        <v>0</v>
      </c>
      <c r="X154" s="16">
        <v>2</v>
      </c>
      <c r="Y154" s="16">
        <v>1</v>
      </c>
      <c r="Z154" s="16">
        <v>3</v>
      </c>
      <c r="AA154" s="16">
        <v>3</v>
      </c>
      <c r="AB154" s="16">
        <v>4</v>
      </c>
      <c r="AC154" s="16">
        <v>9</v>
      </c>
      <c r="AD154" s="13">
        <f t="shared" si="31"/>
        <v>40</v>
      </c>
    </row>
    <row r="155" spans="1:30" ht="12.75" customHeight="1" x14ac:dyDescent="0.4">
      <c r="A155" s="15"/>
      <c r="B155" s="28"/>
      <c r="C155" s="29" t="s">
        <v>100</v>
      </c>
      <c r="D155" s="30"/>
      <c r="E155" s="55">
        <v>0</v>
      </c>
      <c r="F155" s="16">
        <v>1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0</v>
      </c>
      <c r="T155" s="16">
        <v>1</v>
      </c>
      <c r="U155" s="16">
        <v>0</v>
      </c>
      <c r="V155" s="16">
        <v>0</v>
      </c>
      <c r="W155" s="16">
        <v>0</v>
      </c>
      <c r="X155" s="16">
        <v>0</v>
      </c>
      <c r="Y155" s="16">
        <v>0</v>
      </c>
      <c r="Z155" s="16">
        <v>0</v>
      </c>
      <c r="AA155" s="16">
        <v>0</v>
      </c>
      <c r="AB155" s="16">
        <v>0</v>
      </c>
      <c r="AC155" s="16">
        <v>1</v>
      </c>
      <c r="AD155" s="13">
        <f t="shared" si="31"/>
        <v>3</v>
      </c>
    </row>
    <row r="156" spans="1:30" ht="12.75" customHeight="1" x14ac:dyDescent="0.4">
      <c r="A156" s="15"/>
      <c r="B156" s="28"/>
      <c r="C156" s="29" t="s">
        <v>101</v>
      </c>
      <c r="D156" s="30"/>
      <c r="E156" s="55">
        <v>2</v>
      </c>
      <c r="F156" s="16">
        <v>0</v>
      </c>
      <c r="G156" s="16">
        <v>3</v>
      </c>
      <c r="H156" s="16">
        <v>2</v>
      </c>
      <c r="I156" s="16">
        <v>1</v>
      </c>
      <c r="J156" s="16">
        <v>4</v>
      </c>
      <c r="K156" s="16">
        <v>0</v>
      </c>
      <c r="L156" s="16">
        <v>6</v>
      </c>
      <c r="M156" s="16">
        <v>0</v>
      </c>
      <c r="N156" s="16">
        <v>1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1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6">
        <v>0</v>
      </c>
      <c r="AD156" s="13">
        <f t="shared" si="31"/>
        <v>21</v>
      </c>
    </row>
    <row r="157" spans="1:30" ht="12.75" customHeight="1" x14ac:dyDescent="0.4">
      <c r="A157" s="15"/>
      <c r="B157" s="28"/>
      <c r="C157" s="29" t="s">
        <v>102</v>
      </c>
      <c r="D157" s="30"/>
      <c r="E157" s="55">
        <v>0</v>
      </c>
      <c r="F157" s="16">
        <v>0</v>
      </c>
      <c r="G157" s="16">
        <v>0</v>
      </c>
      <c r="H157" s="16">
        <v>0</v>
      </c>
      <c r="I157" s="16">
        <v>1</v>
      </c>
      <c r="J157" s="16">
        <v>1</v>
      </c>
      <c r="K157" s="16">
        <v>1</v>
      </c>
      <c r="L157" s="16">
        <v>3</v>
      </c>
      <c r="M157" s="16">
        <v>1</v>
      </c>
      <c r="N157" s="16">
        <v>0</v>
      </c>
      <c r="O157" s="16">
        <v>1</v>
      </c>
      <c r="P157" s="16">
        <v>0</v>
      </c>
      <c r="Q157" s="16">
        <v>0</v>
      </c>
      <c r="R157" s="16">
        <v>0</v>
      </c>
      <c r="S157" s="16">
        <v>0</v>
      </c>
      <c r="T157" s="16">
        <v>2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0</v>
      </c>
      <c r="AA157" s="16">
        <v>1</v>
      </c>
      <c r="AB157" s="16">
        <v>0</v>
      </c>
      <c r="AC157" s="16">
        <v>0</v>
      </c>
      <c r="AD157" s="13">
        <f t="shared" si="31"/>
        <v>11</v>
      </c>
    </row>
    <row r="158" spans="1:30" ht="12.75" customHeight="1" x14ac:dyDescent="0.4">
      <c r="A158" s="52"/>
      <c r="B158" s="28"/>
      <c r="C158" s="29" t="s">
        <v>103</v>
      </c>
      <c r="D158" s="30"/>
      <c r="E158" s="56">
        <v>0</v>
      </c>
      <c r="F158" s="53">
        <v>1</v>
      </c>
      <c r="G158" s="53">
        <v>0</v>
      </c>
      <c r="H158" s="53">
        <v>0</v>
      </c>
      <c r="I158" s="53">
        <v>0</v>
      </c>
      <c r="J158" s="53">
        <v>2</v>
      </c>
      <c r="K158" s="53">
        <v>1</v>
      </c>
      <c r="L158" s="53">
        <v>0</v>
      </c>
      <c r="M158" s="53">
        <v>1</v>
      </c>
      <c r="N158" s="53">
        <v>2</v>
      </c>
      <c r="O158" s="53">
        <v>0</v>
      </c>
      <c r="P158" s="16">
        <v>0</v>
      </c>
      <c r="Q158" s="53">
        <v>0</v>
      </c>
      <c r="R158" s="53">
        <v>0</v>
      </c>
      <c r="S158" s="53">
        <v>0</v>
      </c>
      <c r="T158" s="53">
        <v>0</v>
      </c>
      <c r="U158" s="53">
        <v>4</v>
      </c>
      <c r="V158" s="53">
        <v>0</v>
      </c>
      <c r="W158" s="53">
        <v>1</v>
      </c>
      <c r="X158" s="53">
        <v>0</v>
      </c>
      <c r="Y158" s="53">
        <v>3</v>
      </c>
      <c r="Z158" s="53">
        <v>2</v>
      </c>
      <c r="AA158" s="53">
        <v>0</v>
      </c>
      <c r="AB158" s="53">
        <v>1</v>
      </c>
      <c r="AC158" s="53">
        <v>1</v>
      </c>
      <c r="AD158" s="13">
        <f t="shared" si="31"/>
        <v>19</v>
      </c>
    </row>
    <row r="159" spans="1:30" ht="12.75" customHeight="1" x14ac:dyDescent="0.4">
      <c r="A159" s="52"/>
      <c r="B159" s="28"/>
      <c r="C159" s="29" t="s">
        <v>104</v>
      </c>
      <c r="D159" s="30"/>
      <c r="E159" s="56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16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0</v>
      </c>
      <c r="Y159" s="53">
        <v>0</v>
      </c>
      <c r="Z159" s="53">
        <v>0</v>
      </c>
      <c r="AA159" s="53">
        <v>0</v>
      </c>
      <c r="AB159" s="53">
        <v>0</v>
      </c>
      <c r="AC159" s="53">
        <v>0</v>
      </c>
      <c r="AD159" s="13">
        <f t="shared" si="31"/>
        <v>0</v>
      </c>
    </row>
    <row r="160" spans="1:30" ht="12.75" customHeight="1" x14ac:dyDescent="0.4">
      <c r="A160" s="52"/>
      <c r="B160" s="35"/>
      <c r="C160" s="43"/>
      <c r="D160" s="39"/>
      <c r="E160" s="56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13">
        <f t="shared" si="31"/>
        <v>0</v>
      </c>
    </row>
    <row r="161" spans="1:30" ht="12.75" customHeight="1" x14ac:dyDescent="0.4">
      <c r="A161" s="52"/>
      <c r="B161" s="35"/>
      <c r="C161" s="43"/>
      <c r="D161" s="39"/>
      <c r="E161" s="56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13">
        <f t="shared" si="31"/>
        <v>0</v>
      </c>
    </row>
    <row r="162" spans="1:30" ht="12.75" customHeight="1" x14ac:dyDescent="0.4">
      <c r="A162" s="52"/>
      <c r="B162" s="35"/>
      <c r="C162" s="43"/>
      <c r="D162" s="39"/>
      <c r="E162" s="56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13">
        <f t="shared" si="31"/>
        <v>0</v>
      </c>
    </row>
    <row r="163" spans="1:30" ht="12.75" customHeight="1" x14ac:dyDescent="0.4">
      <c r="A163" s="16" t="s">
        <v>14</v>
      </c>
      <c r="B163" s="67" t="s">
        <v>45</v>
      </c>
      <c r="C163" s="68"/>
      <c r="D163" s="69"/>
      <c r="E163" s="13">
        <f t="shared" ref="E163:AD163" si="32">SUM(E153:E162)</f>
        <v>3</v>
      </c>
      <c r="F163" s="13">
        <f t="shared" si="32"/>
        <v>2</v>
      </c>
      <c r="G163" s="13">
        <f t="shared" si="32"/>
        <v>5</v>
      </c>
      <c r="H163" s="13">
        <f t="shared" si="32"/>
        <v>2</v>
      </c>
      <c r="I163" s="13">
        <f t="shared" si="32"/>
        <v>2</v>
      </c>
      <c r="J163" s="13">
        <f t="shared" si="32"/>
        <v>8</v>
      </c>
      <c r="K163" s="13">
        <f t="shared" si="32"/>
        <v>2</v>
      </c>
      <c r="L163" s="13">
        <f t="shared" si="32"/>
        <v>11</v>
      </c>
      <c r="M163" s="13">
        <f t="shared" si="32"/>
        <v>2</v>
      </c>
      <c r="N163" s="13">
        <f t="shared" si="32"/>
        <v>4</v>
      </c>
      <c r="O163" s="13">
        <f t="shared" si="32"/>
        <v>2</v>
      </c>
      <c r="P163" s="13">
        <f t="shared" si="32"/>
        <v>0</v>
      </c>
      <c r="Q163" s="13">
        <f t="shared" si="32"/>
        <v>3</v>
      </c>
      <c r="R163" s="13">
        <f t="shared" si="32"/>
        <v>0</v>
      </c>
      <c r="S163" s="13">
        <f t="shared" si="32"/>
        <v>8</v>
      </c>
      <c r="T163" s="13">
        <f t="shared" si="32"/>
        <v>4</v>
      </c>
      <c r="U163" s="13">
        <f t="shared" si="32"/>
        <v>6</v>
      </c>
      <c r="V163" s="13">
        <f t="shared" si="32"/>
        <v>1</v>
      </c>
      <c r="W163" s="13">
        <f t="shared" si="32"/>
        <v>1</v>
      </c>
      <c r="X163" s="13">
        <f t="shared" si="32"/>
        <v>3</v>
      </c>
      <c r="Y163" s="13">
        <f t="shared" si="32"/>
        <v>4</v>
      </c>
      <c r="Z163" s="13">
        <f t="shared" si="32"/>
        <v>5</v>
      </c>
      <c r="AA163" s="13">
        <f t="shared" si="32"/>
        <v>6</v>
      </c>
      <c r="AB163" s="13">
        <f t="shared" si="32"/>
        <v>6</v>
      </c>
      <c r="AC163" s="13">
        <f t="shared" si="32"/>
        <v>11</v>
      </c>
      <c r="AD163" s="13">
        <f t="shared" si="32"/>
        <v>101</v>
      </c>
    </row>
    <row r="164" spans="1:30" ht="12.75" customHeight="1" x14ac:dyDescent="0.4">
      <c r="A164" s="63"/>
      <c r="B164" s="61"/>
      <c r="C164" s="61"/>
      <c r="D164" s="61"/>
      <c r="E164" s="62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</row>
    <row r="165" spans="1:30" ht="12.75" customHeight="1" x14ac:dyDescent="0.4">
      <c r="A165" s="20" t="s">
        <v>36</v>
      </c>
      <c r="B165" s="27" t="s">
        <v>105</v>
      </c>
      <c r="C165" s="64" t="s">
        <v>106</v>
      </c>
      <c r="D165" s="62"/>
      <c r="E165" s="16">
        <v>0</v>
      </c>
      <c r="F165" s="16">
        <v>1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2</v>
      </c>
      <c r="N165" s="16">
        <v>1</v>
      </c>
      <c r="O165" s="16">
        <v>2</v>
      </c>
      <c r="P165" s="16">
        <v>0</v>
      </c>
      <c r="Q165" s="16">
        <v>3</v>
      </c>
      <c r="R165" s="16">
        <v>1</v>
      </c>
      <c r="S165" s="16">
        <v>1</v>
      </c>
      <c r="T165" s="16">
        <v>1</v>
      </c>
      <c r="U165" s="16">
        <v>0</v>
      </c>
      <c r="V165" s="16">
        <v>0</v>
      </c>
      <c r="W165" s="16">
        <v>1</v>
      </c>
      <c r="X165" s="16">
        <v>0</v>
      </c>
      <c r="Y165" s="16">
        <v>0</v>
      </c>
      <c r="Z165" s="16">
        <v>1</v>
      </c>
      <c r="AA165" s="16">
        <v>2</v>
      </c>
      <c r="AB165" s="16">
        <v>1</v>
      </c>
      <c r="AC165" s="16">
        <v>1</v>
      </c>
      <c r="AD165" s="13">
        <f t="shared" ref="AD165:AD174" si="33">SUM(E165:AC165)</f>
        <v>18</v>
      </c>
    </row>
    <row r="166" spans="1:30" ht="12.75" customHeight="1" x14ac:dyDescent="0.4">
      <c r="A166" s="57" t="s">
        <v>38</v>
      </c>
      <c r="B166" s="35"/>
      <c r="C166" s="37"/>
      <c r="D166" s="39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13">
        <f t="shared" si="33"/>
        <v>0</v>
      </c>
    </row>
    <row r="167" spans="1:30" ht="12.75" customHeight="1" x14ac:dyDescent="0.4">
      <c r="A167" s="52"/>
      <c r="B167" s="35"/>
      <c r="C167" s="37"/>
      <c r="D167" s="39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13">
        <f t="shared" si="33"/>
        <v>0</v>
      </c>
    </row>
    <row r="168" spans="1:30" ht="12.75" customHeight="1" x14ac:dyDescent="0.4">
      <c r="A168" s="52"/>
      <c r="B168" s="35"/>
      <c r="C168" s="37"/>
      <c r="D168" s="39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13">
        <f t="shared" si="33"/>
        <v>0</v>
      </c>
    </row>
    <row r="169" spans="1:30" ht="12.75" customHeight="1" x14ac:dyDescent="0.4">
      <c r="A169" s="52"/>
      <c r="B169" s="35"/>
      <c r="C169" s="37"/>
      <c r="D169" s="39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13">
        <f t="shared" si="33"/>
        <v>0</v>
      </c>
    </row>
    <row r="170" spans="1:30" ht="12.75" customHeight="1" x14ac:dyDescent="0.4">
      <c r="A170" s="52"/>
      <c r="B170" s="35"/>
      <c r="C170" s="37"/>
      <c r="D170" s="39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13">
        <f t="shared" si="33"/>
        <v>0</v>
      </c>
    </row>
    <row r="171" spans="1:30" ht="12.75" customHeight="1" x14ac:dyDescent="0.4">
      <c r="A171" s="52"/>
      <c r="B171" s="35"/>
      <c r="C171" s="37"/>
      <c r="D171" s="39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13">
        <f t="shared" si="33"/>
        <v>0</v>
      </c>
    </row>
    <row r="172" spans="1:30" ht="12.75" customHeight="1" x14ac:dyDescent="0.4">
      <c r="A172" s="52"/>
      <c r="B172" s="35"/>
      <c r="C172" s="37"/>
      <c r="D172" s="39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13">
        <f t="shared" si="33"/>
        <v>0</v>
      </c>
    </row>
    <row r="173" spans="1:30" ht="12.75" customHeight="1" x14ac:dyDescent="0.4">
      <c r="A173" s="52"/>
      <c r="B173" s="35"/>
      <c r="C173" s="37"/>
      <c r="D173" s="39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13">
        <f t="shared" si="33"/>
        <v>0</v>
      </c>
    </row>
    <row r="174" spans="1:30" ht="12.75" customHeight="1" x14ac:dyDescent="0.4">
      <c r="A174" s="52"/>
      <c r="B174" s="35"/>
      <c r="C174" s="37"/>
      <c r="D174" s="39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13">
        <f t="shared" si="33"/>
        <v>0</v>
      </c>
    </row>
    <row r="175" spans="1:30" ht="12.75" customHeight="1" x14ac:dyDescent="0.4">
      <c r="A175" s="16" t="s">
        <v>14</v>
      </c>
      <c r="B175" s="60" t="s">
        <v>45</v>
      </c>
      <c r="C175" s="61"/>
      <c r="D175" s="62"/>
      <c r="E175" s="13">
        <f t="shared" ref="E175:AD175" si="34">SUM(E165:E174)</f>
        <v>0</v>
      </c>
      <c r="F175" s="13">
        <f t="shared" si="34"/>
        <v>1</v>
      </c>
      <c r="G175" s="13">
        <f t="shared" si="34"/>
        <v>0</v>
      </c>
      <c r="H175" s="13">
        <f t="shared" si="34"/>
        <v>0</v>
      </c>
      <c r="I175" s="13">
        <f t="shared" si="34"/>
        <v>0</v>
      </c>
      <c r="J175" s="13">
        <f t="shared" si="34"/>
        <v>0</v>
      </c>
      <c r="K175" s="13">
        <f t="shared" si="34"/>
        <v>0</v>
      </c>
      <c r="L175" s="13">
        <f t="shared" si="34"/>
        <v>0</v>
      </c>
      <c r="M175" s="13">
        <f t="shared" si="34"/>
        <v>2</v>
      </c>
      <c r="N175" s="13">
        <f t="shared" si="34"/>
        <v>1</v>
      </c>
      <c r="O175" s="13">
        <f t="shared" si="34"/>
        <v>2</v>
      </c>
      <c r="P175" s="13">
        <f t="shared" si="34"/>
        <v>0</v>
      </c>
      <c r="Q175" s="13">
        <f t="shared" si="34"/>
        <v>3</v>
      </c>
      <c r="R175" s="13">
        <f t="shared" si="34"/>
        <v>1</v>
      </c>
      <c r="S175" s="13">
        <f t="shared" si="34"/>
        <v>1</v>
      </c>
      <c r="T175" s="13">
        <f t="shared" si="34"/>
        <v>1</v>
      </c>
      <c r="U175" s="13">
        <f t="shared" si="34"/>
        <v>0</v>
      </c>
      <c r="V175" s="13">
        <f t="shared" si="34"/>
        <v>0</v>
      </c>
      <c r="W175" s="13">
        <f t="shared" si="34"/>
        <v>1</v>
      </c>
      <c r="X175" s="13">
        <f t="shared" si="34"/>
        <v>0</v>
      </c>
      <c r="Y175" s="13">
        <f t="shared" si="34"/>
        <v>0</v>
      </c>
      <c r="Z175" s="13">
        <f t="shared" si="34"/>
        <v>1</v>
      </c>
      <c r="AA175" s="13">
        <f t="shared" si="34"/>
        <v>2</v>
      </c>
      <c r="AB175" s="13">
        <f t="shared" si="34"/>
        <v>1</v>
      </c>
      <c r="AC175" s="13">
        <f t="shared" si="34"/>
        <v>1</v>
      </c>
      <c r="AD175" s="13">
        <f t="shared" si="34"/>
        <v>18</v>
      </c>
    </row>
    <row r="176" spans="1:30" ht="12.75" customHeight="1" x14ac:dyDescent="0.4">
      <c r="A176" s="63"/>
      <c r="B176" s="61"/>
      <c r="C176" s="61"/>
      <c r="D176" s="61"/>
      <c r="E176" s="62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</row>
    <row r="177" spans="1:30" ht="12.75" customHeight="1" x14ac:dyDescent="0.4">
      <c r="A177" s="20" t="s">
        <v>36</v>
      </c>
      <c r="B177" s="27" t="s">
        <v>107</v>
      </c>
      <c r="C177" s="64" t="s">
        <v>108</v>
      </c>
      <c r="D177" s="62"/>
      <c r="E177" s="16">
        <v>1</v>
      </c>
      <c r="F177" s="16">
        <v>0</v>
      </c>
      <c r="G177" s="16">
        <v>1</v>
      </c>
      <c r="H177" s="16">
        <v>1</v>
      </c>
      <c r="I177" s="16">
        <v>0</v>
      </c>
      <c r="J177" s="16">
        <v>0</v>
      </c>
      <c r="K177" s="16">
        <v>1</v>
      </c>
      <c r="L177" s="16">
        <v>0</v>
      </c>
      <c r="M177" s="16">
        <v>0</v>
      </c>
      <c r="N177" s="16">
        <v>1</v>
      </c>
      <c r="O177" s="16">
        <v>0</v>
      </c>
      <c r="P177" s="16">
        <v>2</v>
      </c>
      <c r="Q177" s="16">
        <v>1</v>
      </c>
      <c r="R177" s="16">
        <v>1</v>
      </c>
      <c r="S177" s="16">
        <v>1</v>
      </c>
      <c r="T177" s="16">
        <v>1</v>
      </c>
      <c r="U177" s="16">
        <v>2</v>
      </c>
      <c r="V177" s="16">
        <v>1</v>
      </c>
      <c r="W177" s="16">
        <v>5</v>
      </c>
      <c r="X177" s="16">
        <v>1</v>
      </c>
      <c r="Y177" s="16">
        <v>0</v>
      </c>
      <c r="Z177" s="16">
        <v>0</v>
      </c>
      <c r="AA177" s="16">
        <v>0</v>
      </c>
      <c r="AB177" s="16">
        <v>0</v>
      </c>
      <c r="AC177" s="16">
        <v>7</v>
      </c>
      <c r="AD177" s="13">
        <f t="shared" ref="AD177:AD186" si="35">SUM(E177:AC177)</f>
        <v>27</v>
      </c>
    </row>
    <row r="178" spans="1:30" ht="12.75" customHeight="1" x14ac:dyDescent="0.4">
      <c r="A178" s="20" t="s">
        <v>38</v>
      </c>
      <c r="B178" s="28"/>
      <c r="C178" s="29" t="s">
        <v>109</v>
      </c>
      <c r="D178" s="30"/>
      <c r="E178" s="16">
        <v>1</v>
      </c>
      <c r="F178" s="16">
        <v>0</v>
      </c>
      <c r="G178" s="16">
        <v>0</v>
      </c>
      <c r="H178" s="16">
        <v>1</v>
      </c>
      <c r="I178" s="16">
        <v>0</v>
      </c>
      <c r="J178" s="16">
        <v>1</v>
      </c>
      <c r="K178" s="16">
        <v>0</v>
      </c>
      <c r="L178" s="16">
        <v>0</v>
      </c>
      <c r="M178" s="16">
        <v>0</v>
      </c>
      <c r="N178" s="16">
        <v>1</v>
      </c>
      <c r="O178" s="16">
        <v>2</v>
      </c>
      <c r="P178" s="16">
        <v>1</v>
      </c>
      <c r="Q178" s="16">
        <v>0</v>
      </c>
      <c r="R178" s="16">
        <v>0</v>
      </c>
      <c r="S178" s="16">
        <v>0</v>
      </c>
      <c r="T178" s="16">
        <v>0</v>
      </c>
      <c r="U178" s="16">
        <v>1</v>
      </c>
      <c r="V178" s="16">
        <v>1</v>
      </c>
      <c r="W178" s="16">
        <v>2</v>
      </c>
      <c r="X178" s="16">
        <v>0</v>
      </c>
      <c r="Y178" s="16">
        <v>0</v>
      </c>
      <c r="Z178" s="16">
        <v>0</v>
      </c>
      <c r="AA178" s="16">
        <v>1</v>
      </c>
      <c r="AB178" s="16">
        <v>1</v>
      </c>
      <c r="AC178" s="16">
        <v>0</v>
      </c>
      <c r="AD178" s="13">
        <f t="shared" si="35"/>
        <v>13</v>
      </c>
    </row>
    <row r="179" spans="1:30" ht="12.75" customHeight="1" x14ac:dyDescent="0.4">
      <c r="A179" s="15"/>
      <c r="B179" s="28"/>
      <c r="C179" s="29" t="s">
        <v>110</v>
      </c>
      <c r="D179" s="30"/>
      <c r="E179" s="16">
        <v>0</v>
      </c>
      <c r="F179" s="16">
        <v>0</v>
      </c>
      <c r="G179" s="16">
        <v>0</v>
      </c>
      <c r="H179" s="16">
        <v>0</v>
      </c>
      <c r="I179" s="16">
        <v>1</v>
      </c>
      <c r="J179" s="16">
        <v>1</v>
      </c>
      <c r="K179" s="16">
        <v>0</v>
      </c>
      <c r="L179" s="16">
        <v>0</v>
      </c>
      <c r="M179" s="16">
        <v>0</v>
      </c>
      <c r="N179" s="16">
        <v>0</v>
      </c>
      <c r="O179" s="16">
        <v>2</v>
      </c>
      <c r="P179" s="16">
        <v>0</v>
      </c>
      <c r="Q179" s="16">
        <v>0</v>
      </c>
      <c r="R179" s="16">
        <v>1</v>
      </c>
      <c r="S179" s="16">
        <v>1</v>
      </c>
      <c r="T179" s="16">
        <v>1</v>
      </c>
      <c r="U179" s="16">
        <v>1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0</v>
      </c>
      <c r="AC179" s="16">
        <v>2</v>
      </c>
      <c r="AD179" s="13">
        <f t="shared" si="35"/>
        <v>10</v>
      </c>
    </row>
    <row r="180" spans="1:30" ht="12.75" customHeight="1" x14ac:dyDescent="0.4">
      <c r="A180" s="15"/>
      <c r="B180" s="28"/>
      <c r="C180" s="29" t="s">
        <v>111</v>
      </c>
      <c r="D180" s="30"/>
      <c r="E180" s="16">
        <v>0</v>
      </c>
      <c r="F180" s="16">
        <v>0</v>
      </c>
      <c r="G180" s="16">
        <v>2</v>
      </c>
      <c r="H180" s="16">
        <v>0</v>
      </c>
      <c r="I180" s="16">
        <v>0</v>
      </c>
      <c r="J180" s="16">
        <v>2</v>
      </c>
      <c r="K180" s="16">
        <v>0</v>
      </c>
      <c r="L180" s="16">
        <v>0</v>
      </c>
      <c r="M180" s="16">
        <v>0</v>
      </c>
      <c r="N180" s="16">
        <v>0</v>
      </c>
      <c r="O180" s="16">
        <v>1</v>
      </c>
      <c r="P180" s="16">
        <v>1</v>
      </c>
      <c r="Q180" s="16">
        <v>0</v>
      </c>
      <c r="R180" s="16">
        <v>1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1</v>
      </c>
      <c r="Y180" s="16">
        <v>0</v>
      </c>
      <c r="Z180" s="16">
        <v>0</v>
      </c>
      <c r="AA180" s="16">
        <v>0</v>
      </c>
      <c r="AB180" s="16">
        <v>0</v>
      </c>
      <c r="AC180" s="16">
        <v>0</v>
      </c>
      <c r="AD180" s="13">
        <f t="shared" si="35"/>
        <v>8</v>
      </c>
    </row>
    <row r="181" spans="1:30" ht="12.75" customHeight="1" x14ac:dyDescent="0.4">
      <c r="A181" s="15"/>
      <c r="B181" s="28"/>
      <c r="C181" s="29" t="s">
        <v>112</v>
      </c>
      <c r="D181" s="30"/>
      <c r="E181" s="16">
        <v>0</v>
      </c>
      <c r="F181" s="16">
        <v>1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1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1</v>
      </c>
      <c r="X181" s="16">
        <v>0</v>
      </c>
      <c r="Y181" s="16">
        <v>0</v>
      </c>
      <c r="Z181" s="16">
        <v>0</v>
      </c>
      <c r="AA181" s="16">
        <v>0</v>
      </c>
      <c r="AB181" s="16">
        <v>1</v>
      </c>
      <c r="AC181" s="16">
        <v>0</v>
      </c>
      <c r="AD181" s="13">
        <f t="shared" si="35"/>
        <v>4</v>
      </c>
    </row>
    <row r="182" spans="1:30" ht="12.75" customHeight="1" x14ac:dyDescent="0.4">
      <c r="A182" s="15"/>
      <c r="B182" s="28"/>
      <c r="C182" s="29" t="s">
        <v>113</v>
      </c>
      <c r="D182" s="30"/>
      <c r="E182" s="16">
        <v>0</v>
      </c>
      <c r="F182" s="16">
        <v>1</v>
      </c>
      <c r="G182" s="16">
        <v>0</v>
      </c>
      <c r="H182" s="16">
        <v>1</v>
      </c>
      <c r="I182" s="16">
        <v>0</v>
      </c>
      <c r="J182" s="16">
        <v>0</v>
      </c>
      <c r="K182" s="16">
        <v>0</v>
      </c>
      <c r="L182" s="16">
        <v>0</v>
      </c>
      <c r="M182" s="16">
        <v>1</v>
      </c>
      <c r="N182" s="16">
        <v>0</v>
      </c>
      <c r="O182" s="16">
        <v>0</v>
      </c>
      <c r="P182" s="16">
        <v>0</v>
      </c>
      <c r="Q182" s="16">
        <v>0</v>
      </c>
      <c r="R182" s="16">
        <v>1</v>
      </c>
      <c r="S182" s="16">
        <v>3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0</v>
      </c>
      <c r="AC182" s="16">
        <v>0</v>
      </c>
      <c r="AD182" s="13">
        <f t="shared" si="35"/>
        <v>7</v>
      </c>
    </row>
    <row r="183" spans="1:30" ht="12.75" customHeight="1" x14ac:dyDescent="0.4">
      <c r="A183" s="15"/>
      <c r="B183" s="28"/>
      <c r="C183" s="29" t="s">
        <v>114</v>
      </c>
      <c r="D183" s="30"/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0</v>
      </c>
      <c r="AC183" s="16">
        <v>0</v>
      </c>
      <c r="AD183" s="13">
        <f t="shared" si="35"/>
        <v>0</v>
      </c>
    </row>
    <row r="184" spans="1:30" ht="12.75" customHeight="1" x14ac:dyDescent="0.4">
      <c r="A184" s="52"/>
      <c r="B184" s="35"/>
      <c r="C184" s="37"/>
      <c r="D184" s="39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13">
        <f t="shared" si="35"/>
        <v>0</v>
      </c>
    </row>
    <row r="185" spans="1:30" ht="12.75" customHeight="1" x14ac:dyDescent="0.4">
      <c r="A185" s="52"/>
      <c r="B185" s="35"/>
      <c r="C185" s="37"/>
      <c r="D185" s="39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13">
        <f t="shared" si="35"/>
        <v>0</v>
      </c>
    </row>
    <row r="186" spans="1:30" ht="12.75" customHeight="1" x14ac:dyDescent="0.4">
      <c r="A186" s="52"/>
      <c r="B186" s="35"/>
      <c r="C186" s="37"/>
      <c r="D186" s="39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13">
        <f t="shared" si="35"/>
        <v>0</v>
      </c>
    </row>
    <row r="187" spans="1:30" ht="12.75" customHeight="1" x14ac:dyDescent="0.4">
      <c r="A187" s="16" t="s">
        <v>14</v>
      </c>
      <c r="B187" s="60" t="s">
        <v>45</v>
      </c>
      <c r="C187" s="61"/>
      <c r="D187" s="62"/>
      <c r="E187" s="13">
        <f t="shared" ref="E187:AD187" si="36">SUM(E177:E186)</f>
        <v>2</v>
      </c>
      <c r="F187" s="13">
        <f t="shared" si="36"/>
        <v>2</v>
      </c>
      <c r="G187" s="13">
        <f t="shared" si="36"/>
        <v>3</v>
      </c>
      <c r="H187" s="13">
        <f t="shared" si="36"/>
        <v>3</v>
      </c>
      <c r="I187" s="13">
        <f t="shared" si="36"/>
        <v>1</v>
      </c>
      <c r="J187" s="13">
        <f t="shared" si="36"/>
        <v>4</v>
      </c>
      <c r="K187" s="13">
        <f t="shared" si="36"/>
        <v>1</v>
      </c>
      <c r="L187" s="13">
        <f t="shared" si="36"/>
        <v>0</v>
      </c>
      <c r="M187" s="13">
        <f t="shared" si="36"/>
        <v>2</v>
      </c>
      <c r="N187" s="13">
        <f t="shared" si="36"/>
        <v>2</v>
      </c>
      <c r="O187" s="13">
        <f t="shared" si="36"/>
        <v>5</v>
      </c>
      <c r="P187" s="13">
        <f t="shared" si="36"/>
        <v>4</v>
      </c>
      <c r="Q187" s="13">
        <f t="shared" si="36"/>
        <v>1</v>
      </c>
      <c r="R187" s="13">
        <f t="shared" si="36"/>
        <v>4</v>
      </c>
      <c r="S187" s="13">
        <f t="shared" si="36"/>
        <v>5</v>
      </c>
      <c r="T187" s="13">
        <f t="shared" si="36"/>
        <v>2</v>
      </c>
      <c r="U187" s="13">
        <f t="shared" si="36"/>
        <v>4</v>
      </c>
      <c r="V187" s="13">
        <f t="shared" si="36"/>
        <v>2</v>
      </c>
      <c r="W187" s="13">
        <f t="shared" si="36"/>
        <v>8</v>
      </c>
      <c r="X187" s="13">
        <f t="shared" si="36"/>
        <v>2</v>
      </c>
      <c r="Y187" s="13">
        <f t="shared" si="36"/>
        <v>0</v>
      </c>
      <c r="Z187" s="13">
        <f t="shared" si="36"/>
        <v>0</v>
      </c>
      <c r="AA187" s="13">
        <f t="shared" si="36"/>
        <v>1</v>
      </c>
      <c r="AB187" s="13">
        <f t="shared" si="36"/>
        <v>2</v>
      </c>
      <c r="AC187" s="13">
        <f t="shared" si="36"/>
        <v>9</v>
      </c>
      <c r="AD187" s="13">
        <f t="shared" si="36"/>
        <v>69</v>
      </c>
    </row>
    <row r="188" spans="1:30" ht="12.75" customHeight="1" x14ac:dyDescent="0.4">
      <c r="A188" s="63"/>
      <c r="B188" s="61"/>
      <c r="C188" s="61"/>
      <c r="D188" s="61"/>
      <c r="E188" s="62"/>
      <c r="F188" s="54"/>
      <c r="G188" s="54"/>
      <c r="H188" s="54"/>
      <c r="I188" s="54"/>
      <c r="J188" s="54"/>
      <c r="K188" s="54"/>
      <c r="L188" s="54"/>
      <c r="M188" s="54"/>
      <c r="N188" s="54"/>
      <c r="T188" s="54"/>
      <c r="U188" s="54"/>
      <c r="V188" s="54"/>
      <c r="W188" s="54"/>
      <c r="X188" s="54"/>
      <c r="Y188" s="54"/>
      <c r="Z188" s="54"/>
      <c r="AA188" s="54"/>
      <c r="AB188" s="54"/>
      <c r="AD188" s="13"/>
    </row>
    <row r="189" spans="1:30" ht="12.75" customHeight="1" x14ac:dyDescent="0.4">
      <c r="A189" s="20" t="s">
        <v>36</v>
      </c>
      <c r="B189" s="27" t="s">
        <v>115</v>
      </c>
      <c r="C189" s="64" t="s">
        <v>116</v>
      </c>
      <c r="D189" s="62"/>
      <c r="E189" s="16">
        <v>1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1</v>
      </c>
      <c r="R189" s="16">
        <v>0</v>
      </c>
      <c r="S189" s="16">
        <v>0</v>
      </c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3">
        <f t="shared" ref="AD189:AD198" si="37">SUM(E189:AC189)</f>
        <v>2</v>
      </c>
    </row>
    <row r="190" spans="1:30" ht="12.75" customHeight="1" x14ac:dyDescent="0.4">
      <c r="A190" s="20" t="s">
        <v>38</v>
      </c>
      <c r="B190" s="28"/>
      <c r="C190" s="29" t="s">
        <v>117</v>
      </c>
      <c r="D190" s="30"/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3">
        <f t="shared" si="37"/>
        <v>0</v>
      </c>
    </row>
    <row r="191" spans="1:30" ht="12.75" customHeight="1" x14ac:dyDescent="0.4">
      <c r="A191" s="15"/>
      <c r="B191" s="28"/>
      <c r="C191" s="29" t="s">
        <v>118</v>
      </c>
      <c r="D191" s="30"/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3">
        <f t="shared" si="37"/>
        <v>0</v>
      </c>
    </row>
    <row r="192" spans="1:30" ht="12.75" customHeight="1" x14ac:dyDescent="0.4">
      <c r="A192" s="15"/>
      <c r="B192" s="28"/>
      <c r="C192" s="29" t="s">
        <v>119</v>
      </c>
      <c r="D192" s="30"/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6">
        <v>2</v>
      </c>
      <c r="AD192" s="13">
        <f t="shared" si="37"/>
        <v>2</v>
      </c>
    </row>
    <row r="193" spans="1:30" ht="12.75" customHeight="1" x14ac:dyDescent="0.4">
      <c r="A193" s="15"/>
      <c r="B193" s="28"/>
      <c r="C193" s="29" t="s">
        <v>120</v>
      </c>
      <c r="D193" s="30"/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1</v>
      </c>
      <c r="AD193" s="13">
        <f t="shared" si="37"/>
        <v>1</v>
      </c>
    </row>
    <row r="194" spans="1:30" ht="12.75" customHeight="1" x14ac:dyDescent="0.4">
      <c r="A194" s="15"/>
      <c r="B194" s="28"/>
      <c r="C194" s="29" t="s">
        <v>121</v>
      </c>
      <c r="D194" s="30"/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1</v>
      </c>
      <c r="AB194" s="16">
        <v>0</v>
      </c>
      <c r="AC194" s="16">
        <v>1</v>
      </c>
      <c r="AD194" s="13">
        <f t="shared" si="37"/>
        <v>2</v>
      </c>
    </row>
    <row r="195" spans="1:30" ht="12.75" customHeight="1" x14ac:dyDescent="0.4">
      <c r="A195" s="15"/>
      <c r="B195" s="28"/>
      <c r="C195" s="29" t="s">
        <v>122</v>
      </c>
      <c r="D195" s="30"/>
      <c r="E195" s="16">
        <v>2</v>
      </c>
      <c r="F195" s="16">
        <v>0</v>
      </c>
      <c r="G195" s="16">
        <v>0</v>
      </c>
      <c r="H195" s="16">
        <v>2</v>
      </c>
      <c r="I195" s="16">
        <v>0</v>
      </c>
      <c r="J195" s="16">
        <v>0</v>
      </c>
      <c r="K195" s="16">
        <v>2</v>
      </c>
      <c r="L195" s="16">
        <v>0</v>
      </c>
      <c r="M195" s="16">
        <v>0</v>
      </c>
      <c r="N195" s="16">
        <v>0</v>
      </c>
      <c r="O195" s="16">
        <v>1</v>
      </c>
      <c r="P195" s="16">
        <v>0</v>
      </c>
      <c r="Q195" s="16">
        <v>0</v>
      </c>
      <c r="R195" s="16">
        <v>0</v>
      </c>
      <c r="S195" s="16">
        <v>1</v>
      </c>
      <c r="T195" s="16">
        <v>0</v>
      </c>
      <c r="U195" s="16">
        <v>2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1</v>
      </c>
      <c r="AB195" s="16">
        <v>0</v>
      </c>
      <c r="AC195" s="16">
        <v>4</v>
      </c>
      <c r="AD195" s="13">
        <f t="shared" si="37"/>
        <v>15</v>
      </c>
    </row>
    <row r="196" spans="1:30" ht="12.75" customHeight="1" x14ac:dyDescent="0.4">
      <c r="A196" s="52"/>
      <c r="B196" s="35"/>
      <c r="C196" s="37"/>
      <c r="D196" s="39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13">
        <f t="shared" si="37"/>
        <v>0</v>
      </c>
    </row>
    <row r="197" spans="1:30" ht="12.75" customHeight="1" x14ac:dyDescent="0.4">
      <c r="A197" s="52"/>
      <c r="B197" s="35"/>
      <c r="C197" s="37"/>
      <c r="D197" s="39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13">
        <f t="shared" si="37"/>
        <v>0</v>
      </c>
    </row>
    <row r="198" spans="1:30" ht="12.75" customHeight="1" x14ac:dyDescent="0.4">
      <c r="A198" s="52"/>
      <c r="B198" s="35"/>
      <c r="C198" s="37"/>
      <c r="D198" s="39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13">
        <f t="shared" si="37"/>
        <v>0</v>
      </c>
    </row>
    <row r="199" spans="1:30" ht="12.75" customHeight="1" x14ac:dyDescent="0.4">
      <c r="A199" s="16" t="s">
        <v>14</v>
      </c>
      <c r="B199" s="60" t="s">
        <v>45</v>
      </c>
      <c r="C199" s="61"/>
      <c r="D199" s="62"/>
      <c r="E199" s="13">
        <f t="shared" ref="E199:AD199" si="38">SUM(E189:E198)</f>
        <v>3</v>
      </c>
      <c r="F199" s="13">
        <f t="shared" si="38"/>
        <v>0</v>
      </c>
      <c r="G199" s="13">
        <f t="shared" si="38"/>
        <v>0</v>
      </c>
      <c r="H199" s="13">
        <f t="shared" si="38"/>
        <v>2</v>
      </c>
      <c r="I199" s="13">
        <f t="shared" si="38"/>
        <v>0</v>
      </c>
      <c r="J199" s="13">
        <f t="shared" si="38"/>
        <v>0</v>
      </c>
      <c r="K199" s="13">
        <f t="shared" si="38"/>
        <v>2</v>
      </c>
      <c r="L199" s="13">
        <f t="shared" si="38"/>
        <v>0</v>
      </c>
      <c r="M199" s="13">
        <f t="shared" si="38"/>
        <v>0</v>
      </c>
      <c r="N199" s="13">
        <f t="shared" si="38"/>
        <v>0</v>
      </c>
      <c r="O199" s="13">
        <f t="shared" si="38"/>
        <v>1</v>
      </c>
      <c r="P199" s="13">
        <f t="shared" si="38"/>
        <v>0</v>
      </c>
      <c r="Q199" s="13">
        <f t="shared" si="38"/>
        <v>1</v>
      </c>
      <c r="R199" s="13">
        <f t="shared" si="38"/>
        <v>0</v>
      </c>
      <c r="S199" s="13">
        <f t="shared" si="38"/>
        <v>1</v>
      </c>
      <c r="T199" s="13">
        <f t="shared" si="38"/>
        <v>0</v>
      </c>
      <c r="U199" s="13">
        <f t="shared" si="38"/>
        <v>2</v>
      </c>
      <c r="V199" s="13">
        <f t="shared" si="38"/>
        <v>0</v>
      </c>
      <c r="W199" s="13">
        <f t="shared" si="38"/>
        <v>0</v>
      </c>
      <c r="X199" s="13">
        <f t="shared" si="38"/>
        <v>0</v>
      </c>
      <c r="Y199" s="13">
        <f t="shared" si="38"/>
        <v>0</v>
      </c>
      <c r="Z199" s="13">
        <f t="shared" si="38"/>
        <v>0</v>
      </c>
      <c r="AA199" s="13">
        <f t="shared" si="38"/>
        <v>2</v>
      </c>
      <c r="AB199" s="13">
        <f t="shared" si="38"/>
        <v>0</v>
      </c>
      <c r="AC199" s="13">
        <f t="shared" si="38"/>
        <v>8</v>
      </c>
      <c r="AD199" s="13">
        <f t="shared" si="38"/>
        <v>22</v>
      </c>
    </row>
    <row r="200" spans="1:30" ht="12.75" customHeight="1" x14ac:dyDescent="0.4">
      <c r="A200" s="63"/>
      <c r="B200" s="61"/>
      <c r="C200" s="61"/>
      <c r="D200" s="61"/>
      <c r="E200" s="62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</row>
    <row r="201" spans="1:30" ht="12.75" customHeight="1" x14ac:dyDescent="0.4">
      <c r="A201" s="20" t="s">
        <v>36</v>
      </c>
      <c r="B201" s="27" t="s">
        <v>123</v>
      </c>
      <c r="C201" s="64" t="s">
        <v>124</v>
      </c>
      <c r="D201" s="62"/>
      <c r="E201" s="16">
        <v>2</v>
      </c>
      <c r="F201" s="16">
        <v>5</v>
      </c>
      <c r="G201" s="16">
        <v>0</v>
      </c>
      <c r="H201" s="16">
        <v>3</v>
      </c>
      <c r="I201" s="16">
        <v>3</v>
      </c>
      <c r="J201" s="16">
        <v>1</v>
      </c>
      <c r="K201" s="16">
        <v>2</v>
      </c>
      <c r="L201" s="16">
        <v>0</v>
      </c>
      <c r="M201" s="16">
        <v>0</v>
      </c>
      <c r="N201" s="16">
        <v>2</v>
      </c>
      <c r="O201" s="16">
        <v>1</v>
      </c>
      <c r="P201" s="16">
        <v>2</v>
      </c>
      <c r="Q201" s="16">
        <v>0</v>
      </c>
      <c r="R201" s="16">
        <v>2</v>
      </c>
      <c r="S201" s="16">
        <v>1</v>
      </c>
      <c r="T201" s="16">
        <v>5</v>
      </c>
      <c r="U201" s="16">
        <v>3</v>
      </c>
      <c r="V201" s="16">
        <v>7</v>
      </c>
      <c r="W201" s="16">
        <v>3</v>
      </c>
      <c r="X201" s="16">
        <v>3</v>
      </c>
      <c r="Y201" s="16">
        <v>9</v>
      </c>
      <c r="Z201" s="16">
        <v>3</v>
      </c>
      <c r="AA201" s="16">
        <v>4</v>
      </c>
      <c r="AB201" s="16">
        <v>3</v>
      </c>
      <c r="AC201" s="16">
        <v>1</v>
      </c>
      <c r="AD201" s="13">
        <f t="shared" ref="AD201:AD210" si="39">SUM(E201:AC201)</f>
        <v>65</v>
      </c>
    </row>
    <row r="202" spans="1:30" ht="12.75" customHeight="1" x14ac:dyDescent="0.4">
      <c r="A202" s="20" t="s">
        <v>38</v>
      </c>
      <c r="B202" s="28"/>
      <c r="C202" s="29" t="s">
        <v>125</v>
      </c>
      <c r="D202" s="30"/>
      <c r="E202" s="16">
        <v>14</v>
      </c>
      <c r="F202" s="16">
        <v>3</v>
      </c>
      <c r="G202" s="16">
        <v>3</v>
      </c>
      <c r="H202" s="16">
        <v>16</v>
      </c>
      <c r="I202" s="16">
        <v>16</v>
      </c>
      <c r="J202" s="16">
        <v>6</v>
      </c>
      <c r="K202" s="16">
        <v>11</v>
      </c>
      <c r="L202" s="16">
        <v>3</v>
      </c>
      <c r="M202" s="16">
        <v>14</v>
      </c>
      <c r="N202" s="16">
        <v>5</v>
      </c>
      <c r="O202" s="16">
        <v>3</v>
      </c>
      <c r="P202" s="16">
        <v>3</v>
      </c>
      <c r="Q202" s="16">
        <v>0</v>
      </c>
      <c r="R202" s="16">
        <v>0</v>
      </c>
      <c r="S202" s="16">
        <v>4</v>
      </c>
      <c r="T202" s="16">
        <v>2</v>
      </c>
      <c r="U202" s="16">
        <v>5</v>
      </c>
      <c r="V202" s="16">
        <v>6</v>
      </c>
      <c r="W202" s="16">
        <v>6</v>
      </c>
      <c r="X202" s="16">
        <v>3</v>
      </c>
      <c r="Y202" s="16">
        <v>2</v>
      </c>
      <c r="Z202" s="16">
        <v>1</v>
      </c>
      <c r="AA202" s="16">
        <v>6</v>
      </c>
      <c r="AB202" s="16">
        <v>9</v>
      </c>
      <c r="AC202" s="16">
        <v>2</v>
      </c>
      <c r="AD202" s="13">
        <f t="shared" si="39"/>
        <v>143</v>
      </c>
    </row>
    <row r="203" spans="1:30" ht="12.75" customHeight="1" x14ac:dyDescent="0.4">
      <c r="A203" s="15"/>
      <c r="B203" s="28"/>
      <c r="C203" s="29" t="s">
        <v>126</v>
      </c>
      <c r="D203" s="30"/>
      <c r="E203" s="16">
        <v>4</v>
      </c>
      <c r="F203" s="16">
        <v>3</v>
      </c>
      <c r="G203" s="16">
        <v>2</v>
      </c>
      <c r="H203" s="16">
        <v>0</v>
      </c>
      <c r="I203" s="16">
        <v>3</v>
      </c>
      <c r="J203" s="16">
        <v>0</v>
      </c>
      <c r="K203" s="16">
        <v>0</v>
      </c>
      <c r="L203" s="16">
        <v>0</v>
      </c>
      <c r="M203" s="16">
        <v>2</v>
      </c>
      <c r="N203" s="16">
        <v>0</v>
      </c>
      <c r="O203" s="16">
        <v>1</v>
      </c>
      <c r="P203" s="16">
        <v>0</v>
      </c>
      <c r="Q203" s="16">
        <v>0</v>
      </c>
      <c r="R203" s="16">
        <v>0</v>
      </c>
      <c r="S203" s="16">
        <v>2</v>
      </c>
      <c r="T203" s="16">
        <v>1</v>
      </c>
      <c r="U203" s="16">
        <v>0</v>
      </c>
      <c r="V203" s="16">
        <v>1</v>
      </c>
      <c r="W203" s="16">
        <v>5</v>
      </c>
      <c r="X203" s="16">
        <v>4</v>
      </c>
      <c r="Y203" s="16">
        <v>1</v>
      </c>
      <c r="Z203" s="16">
        <v>3</v>
      </c>
      <c r="AA203" s="16">
        <v>3</v>
      </c>
      <c r="AB203" s="16">
        <v>3</v>
      </c>
      <c r="AC203" s="16">
        <v>4</v>
      </c>
      <c r="AD203" s="13">
        <f t="shared" si="39"/>
        <v>42</v>
      </c>
    </row>
    <row r="204" spans="1:30" ht="12.75" customHeight="1" x14ac:dyDescent="0.4">
      <c r="A204" s="15"/>
      <c r="B204" s="28"/>
      <c r="C204" s="29" t="s">
        <v>127</v>
      </c>
      <c r="D204" s="30"/>
      <c r="E204" s="16">
        <v>14</v>
      </c>
      <c r="F204" s="16">
        <v>4</v>
      </c>
      <c r="G204" s="16">
        <v>10</v>
      </c>
      <c r="H204" s="16">
        <v>22</v>
      </c>
      <c r="I204" s="16">
        <v>8</v>
      </c>
      <c r="J204" s="16">
        <v>6</v>
      </c>
      <c r="K204" s="16">
        <v>17</v>
      </c>
      <c r="L204" s="16">
        <v>5</v>
      </c>
      <c r="M204" s="16">
        <v>3</v>
      </c>
      <c r="N204" s="16">
        <v>1</v>
      </c>
      <c r="O204" s="16">
        <v>18</v>
      </c>
      <c r="P204" s="16">
        <v>2</v>
      </c>
      <c r="Q204" s="16">
        <v>7</v>
      </c>
      <c r="R204" s="16">
        <v>34</v>
      </c>
      <c r="S204" s="16">
        <v>9</v>
      </c>
      <c r="T204" s="16">
        <v>1</v>
      </c>
      <c r="U204" s="16">
        <v>5</v>
      </c>
      <c r="V204" s="16">
        <v>19</v>
      </c>
      <c r="W204" s="16">
        <v>3</v>
      </c>
      <c r="X204" s="16">
        <v>14</v>
      </c>
      <c r="Y204" s="16">
        <v>9</v>
      </c>
      <c r="Z204" s="16">
        <v>13</v>
      </c>
      <c r="AA204" s="16">
        <v>14</v>
      </c>
      <c r="AB204" s="16">
        <v>13</v>
      </c>
      <c r="AC204" s="16">
        <v>10</v>
      </c>
      <c r="AD204" s="13">
        <f t="shared" si="39"/>
        <v>261</v>
      </c>
    </row>
    <row r="205" spans="1:30" ht="12.75" customHeight="1" x14ac:dyDescent="0.4">
      <c r="A205" s="15"/>
      <c r="B205" s="28"/>
      <c r="C205" s="29" t="s">
        <v>128</v>
      </c>
      <c r="D205" s="30"/>
      <c r="E205" s="16">
        <v>0</v>
      </c>
      <c r="F205" s="16">
        <v>0</v>
      </c>
      <c r="G205" s="16">
        <v>0</v>
      </c>
      <c r="H205" s="16">
        <v>0</v>
      </c>
      <c r="I205" s="16">
        <v>2</v>
      </c>
      <c r="J205" s="16">
        <v>1</v>
      </c>
      <c r="K205" s="16">
        <v>0</v>
      </c>
      <c r="L205" s="16">
        <v>0</v>
      </c>
      <c r="M205" s="16">
        <v>0</v>
      </c>
      <c r="N205" s="16">
        <v>0</v>
      </c>
      <c r="O205" s="16">
        <v>1</v>
      </c>
      <c r="P205" s="16">
        <v>0</v>
      </c>
      <c r="Q205" s="16">
        <v>0</v>
      </c>
      <c r="R205" s="16">
        <v>0</v>
      </c>
      <c r="S205" s="16">
        <v>1</v>
      </c>
      <c r="T205" s="16">
        <v>0</v>
      </c>
      <c r="U205" s="16">
        <v>0</v>
      </c>
      <c r="V205" s="16">
        <v>5</v>
      </c>
      <c r="W205" s="16">
        <v>0</v>
      </c>
      <c r="X205" s="16">
        <v>0</v>
      </c>
      <c r="Y205" s="16">
        <v>0</v>
      </c>
      <c r="Z205" s="16">
        <v>1</v>
      </c>
      <c r="AA205" s="16">
        <v>1</v>
      </c>
      <c r="AB205" s="16">
        <v>0</v>
      </c>
      <c r="AC205" s="16">
        <v>1</v>
      </c>
      <c r="AD205" s="13">
        <f t="shared" si="39"/>
        <v>13</v>
      </c>
    </row>
    <row r="206" spans="1:30" ht="12.75" customHeight="1" x14ac:dyDescent="0.4">
      <c r="A206" s="15"/>
      <c r="B206" s="28"/>
      <c r="C206" s="29" t="s">
        <v>129</v>
      </c>
      <c r="D206" s="30"/>
      <c r="E206" s="16">
        <v>0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1</v>
      </c>
      <c r="M206" s="16">
        <v>0</v>
      </c>
      <c r="N206" s="16">
        <v>0</v>
      </c>
      <c r="O206" s="16">
        <v>1</v>
      </c>
      <c r="P206" s="16">
        <v>0</v>
      </c>
      <c r="Q206" s="16">
        <v>0</v>
      </c>
      <c r="R206" s="16">
        <v>0</v>
      </c>
      <c r="S206" s="16">
        <v>0</v>
      </c>
      <c r="T206" s="16">
        <v>0</v>
      </c>
      <c r="U206" s="16">
        <v>0</v>
      </c>
      <c r="V206" s="16">
        <v>0</v>
      </c>
      <c r="W206" s="16">
        <v>0</v>
      </c>
      <c r="X206" s="16">
        <v>0</v>
      </c>
      <c r="Y206" s="16">
        <v>0</v>
      </c>
      <c r="Z206" s="16">
        <v>0</v>
      </c>
      <c r="AA206" s="16">
        <v>0</v>
      </c>
      <c r="AB206" s="16">
        <v>0</v>
      </c>
      <c r="AC206" s="16">
        <v>0</v>
      </c>
      <c r="AD206" s="13">
        <f t="shared" si="39"/>
        <v>2</v>
      </c>
    </row>
    <row r="207" spans="1:30" ht="12.75" customHeight="1" x14ac:dyDescent="0.4">
      <c r="A207" s="15"/>
      <c r="B207" s="28"/>
      <c r="C207" s="29" t="s">
        <v>130</v>
      </c>
      <c r="D207" s="30"/>
      <c r="E207" s="16">
        <v>0</v>
      </c>
      <c r="F207" s="16">
        <v>0</v>
      </c>
      <c r="G207" s="16">
        <v>1</v>
      </c>
      <c r="H207" s="16">
        <v>0</v>
      </c>
      <c r="I207" s="16">
        <v>0</v>
      </c>
      <c r="J207" s="16">
        <v>0</v>
      </c>
      <c r="K207" s="16">
        <v>0</v>
      </c>
      <c r="L207" s="16">
        <v>0</v>
      </c>
      <c r="M207" s="16">
        <v>0</v>
      </c>
      <c r="N207" s="16">
        <v>0</v>
      </c>
      <c r="O207" s="16">
        <v>0</v>
      </c>
      <c r="P207" s="16">
        <v>0</v>
      </c>
      <c r="Q207" s="16">
        <v>1</v>
      </c>
      <c r="R207" s="16">
        <v>0</v>
      </c>
      <c r="S207" s="16">
        <v>0</v>
      </c>
      <c r="T207" s="16">
        <v>3</v>
      </c>
      <c r="U207" s="16">
        <v>0</v>
      </c>
      <c r="V207" s="16">
        <v>0</v>
      </c>
      <c r="W207" s="16">
        <v>1</v>
      </c>
      <c r="X207" s="16">
        <v>2</v>
      </c>
      <c r="Y207" s="16">
        <v>1</v>
      </c>
      <c r="Z207" s="16">
        <v>0</v>
      </c>
      <c r="AA207" s="16">
        <v>0</v>
      </c>
      <c r="AB207" s="16">
        <v>0</v>
      </c>
      <c r="AC207" s="16">
        <v>0</v>
      </c>
      <c r="AD207" s="13">
        <f t="shared" si="39"/>
        <v>9</v>
      </c>
    </row>
    <row r="208" spans="1:30" ht="12.75" customHeight="1" x14ac:dyDescent="0.4">
      <c r="A208" s="52"/>
      <c r="B208" s="35"/>
      <c r="C208" s="37"/>
      <c r="D208" s="39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13">
        <f t="shared" si="39"/>
        <v>0</v>
      </c>
    </row>
    <row r="209" spans="1:30" ht="12.75" customHeight="1" x14ac:dyDescent="0.4">
      <c r="A209" s="52"/>
      <c r="B209" s="35"/>
      <c r="C209" s="37"/>
      <c r="D209" s="39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13">
        <f t="shared" si="39"/>
        <v>0</v>
      </c>
    </row>
    <row r="210" spans="1:30" ht="12.75" customHeight="1" x14ac:dyDescent="0.4">
      <c r="A210" s="52"/>
      <c r="B210" s="35"/>
      <c r="C210" s="37"/>
      <c r="D210" s="39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13">
        <f t="shared" si="39"/>
        <v>0</v>
      </c>
    </row>
    <row r="211" spans="1:30" ht="12.75" customHeight="1" x14ac:dyDescent="0.4">
      <c r="A211" s="16" t="s">
        <v>14</v>
      </c>
      <c r="B211" s="60" t="s">
        <v>45</v>
      </c>
      <c r="C211" s="61"/>
      <c r="D211" s="62"/>
      <c r="E211" s="13">
        <f t="shared" ref="E211:AD211" si="40">SUM(E201:E210)</f>
        <v>34</v>
      </c>
      <c r="F211" s="13">
        <f t="shared" si="40"/>
        <v>15</v>
      </c>
      <c r="G211" s="13">
        <f t="shared" si="40"/>
        <v>16</v>
      </c>
      <c r="H211" s="13">
        <f t="shared" si="40"/>
        <v>41</v>
      </c>
      <c r="I211" s="13">
        <f t="shared" si="40"/>
        <v>32</v>
      </c>
      <c r="J211" s="13">
        <f t="shared" si="40"/>
        <v>14</v>
      </c>
      <c r="K211" s="13">
        <f t="shared" si="40"/>
        <v>30</v>
      </c>
      <c r="L211" s="13">
        <f t="shared" si="40"/>
        <v>9</v>
      </c>
      <c r="M211" s="13">
        <f t="shared" si="40"/>
        <v>19</v>
      </c>
      <c r="N211" s="13">
        <f t="shared" si="40"/>
        <v>8</v>
      </c>
      <c r="O211" s="13">
        <f t="shared" si="40"/>
        <v>25</v>
      </c>
      <c r="P211" s="13">
        <f t="shared" si="40"/>
        <v>7</v>
      </c>
      <c r="Q211" s="13">
        <f t="shared" si="40"/>
        <v>8</v>
      </c>
      <c r="R211" s="13">
        <f t="shared" si="40"/>
        <v>36</v>
      </c>
      <c r="S211" s="13">
        <f t="shared" si="40"/>
        <v>17</v>
      </c>
      <c r="T211" s="13">
        <f t="shared" si="40"/>
        <v>12</v>
      </c>
      <c r="U211" s="13">
        <f t="shared" si="40"/>
        <v>13</v>
      </c>
      <c r="V211" s="13">
        <f t="shared" si="40"/>
        <v>38</v>
      </c>
      <c r="W211" s="13">
        <f t="shared" si="40"/>
        <v>18</v>
      </c>
      <c r="X211" s="13">
        <f t="shared" si="40"/>
        <v>26</v>
      </c>
      <c r="Y211" s="13">
        <f t="shared" si="40"/>
        <v>22</v>
      </c>
      <c r="Z211" s="13">
        <f t="shared" si="40"/>
        <v>21</v>
      </c>
      <c r="AA211" s="13">
        <f t="shared" si="40"/>
        <v>28</v>
      </c>
      <c r="AB211" s="13">
        <f t="shared" si="40"/>
        <v>28</v>
      </c>
      <c r="AC211" s="13">
        <f t="shared" si="40"/>
        <v>18</v>
      </c>
      <c r="AD211" s="13">
        <f t="shared" si="40"/>
        <v>535</v>
      </c>
    </row>
    <row r="212" spans="1:30" ht="12.75" customHeight="1" x14ac:dyDescent="0.4">
      <c r="A212" s="63"/>
      <c r="B212" s="61"/>
      <c r="C212" s="61"/>
      <c r="D212" s="61"/>
      <c r="E212" s="62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</row>
    <row r="213" spans="1:30" ht="12.75" customHeight="1" x14ac:dyDescent="0.4">
      <c r="A213" s="20" t="s">
        <v>36</v>
      </c>
      <c r="B213" s="27" t="s">
        <v>131</v>
      </c>
      <c r="C213" s="64" t="s">
        <v>132</v>
      </c>
      <c r="D213" s="62"/>
      <c r="E213" s="16">
        <v>0</v>
      </c>
      <c r="F213" s="16">
        <v>2</v>
      </c>
      <c r="G213" s="16">
        <v>3</v>
      </c>
      <c r="H213" s="16">
        <v>1</v>
      </c>
      <c r="I213" s="16">
        <v>2</v>
      </c>
      <c r="J213" s="16">
        <v>1</v>
      </c>
      <c r="K213" s="16">
        <v>3</v>
      </c>
      <c r="L213" s="16">
        <v>1</v>
      </c>
      <c r="M213" s="16">
        <v>0</v>
      </c>
      <c r="N213" s="16">
        <v>1</v>
      </c>
      <c r="O213" s="16">
        <v>3</v>
      </c>
      <c r="P213" s="16">
        <v>7</v>
      </c>
      <c r="Q213" s="16">
        <v>4</v>
      </c>
      <c r="R213" s="16">
        <v>0</v>
      </c>
      <c r="S213" s="16">
        <v>3</v>
      </c>
      <c r="T213" s="16">
        <v>4</v>
      </c>
      <c r="U213" s="16">
        <v>4</v>
      </c>
      <c r="V213" s="16">
        <v>1</v>
      </c>
      <c r="W213" s="16">
        <v>5</v>
      </c>
      <c r="X213" s="16">
        <v>4</v>
      </c>
      <c r="Y213" s="16">
        <v>2</v>
      </c>
      <c r="Z213" s="16">
        <v>3</v>
      </c>
      <c r="AA213" s="16">
        <v>1</v>
      </c>
      <c r="AB213" s="16">
        <v>3</v>
      </c>
      <c r="AC213" s="16">
        <v>1</v>
      </c>
      <c r="AD213" s="13">
        <f t="shared" ref="AD213:AD222" si="41">SUM(E213:AC213)</f>
        <v>59</v>
      </c>
    </row>
    <row r="214" spans="1:30" ht="12.75" customHeight="1" x14ac:dyDescent="0.4">
      <c r="A214" s="20" t="s">
        <v>38</v>
      </c>
      <c r="B214" s="27"/>
      <c r="C214" s="29" t="s">
        <v>133</v>
      </c>
      <c r="D214" s="40"/>
      <c r="E214" s="16">
        <v>0</v>
      </c>
      <c r="F214" s="16">
        <v>2</v>
      </c>
      <c r="G214" s="16">
        <v>0</v>
      </c>
      <c r="H214" s="16">
        <v>0</v>
      </c>
      <c r="I214" s="16">
        <v>2</v>
      </c>
      <c r="J214" s="16">
        <v>1</v>
      </c>
      <c r="K214" s="16">
        <v>1</v>
      </c>
      <c r="L214" s="16">
        <v>3</v>
      </c>
      <c r="M214" s="16">
        <v>0</v>
      </c>
      <c r="N214" s="16">
        <v>2</v>
      </c>
      <c r="O214" s="16">
        <v>1</v>
      </c>
      <c r="P214" s="16">
        <v>1</v>
      </c>
      <c r="Q214" s="16">
        <v>2</v>
      </c>
      <c r="R214" s="16">
        <v>0</v>
      </c>
      <c r="S214" s="16">
        <v>3</v>
      </c>
      <c r="T214" s="16">
        <v>1</v>
      </c>
      <c r="U214" s="16">
        <v>2</v>
      </c>
      <c r="V214" s="16">
        <v>1</v>
      </c>
      <c r="W214" s="16">
        <v>2</v>
      </c>
      <c r="X214" s="16">
        <v>1</v>
      </c>
      <c r="Y214" s="16">
        <v>2</v>
      </c>
      <c r="Z214" s="16">
        <v>1</v>
      </c>
      <c r="AA214" s="16">
        <v>0</v>
      </c>
      <c r="AB214" s="16">
        <v>3</v>
      </c>
      <c r="AC214" s="16">
        <v>0</v>
      </c>
      <c r="AD214" s="13">
        <f t="shared" si="41"/>
        <v>31</v>
      </c>
    </row>
    <row r="215" spans="1:30" ht="12.75" customHeight="1" x14ac:dyDescent="0.4">
      <c r="A215" s="15"/>
      <c r="B215" s="27"/>
      <c r="C215" s="29" t="s">
        <v>134</v>
      </c>
      <c r="D215" s="40"/>
      <c r="E215" s="16">
        <v>0</v>
      </c>
      <c r="F215" s="16">
        <v>1</v>
      </c>
      <c r="G215" s="16">
        <v>0</v>
      </c>
      <c r="H215" s="16">
        <v>0</v>
      </c>
      <c r="I215" s="16">
        <v>0</v>
      </c>
      <c r="J215" s="16">
        <v>1</v>
      </c>
      <c r="K215" s="16">
        <v>1</v>
      </c>
      <c r="L215" s="16">
        <v>1</v>
      </c>
      <c r="M215" s="16">
        <v>0</v>
      </c>
      <c r="N215" s="16">
        <v>0</v>
      </c>
      <c r="O215" s="16">
        <v>0</v>
      </c>
      <c r="P215" s="16">
        <v>0</v>
      </c>
      <c r="Q215" s="16">
        <v>0</v>
      </c>
      <c r="R215" s="16">
        <v>1</v>
      </c>
      <c r="S215" s="16">
        <v>0</v>
      </c>
      <c r="T215" s="16">
        <v>1</v>
      </c>
      <c r="U215" s="16">
        <v>0</v>
      </c>
      <c r="V215" s="16">
        <v>1</v>
      </c>
      <c r="W215" s="16">
        <v>0</v>
      </c>
      <c r="X215" s="16">
        <v>0</v>
      </c>
      <c r="Y215" s="16">
        <v>1</v>
      </c>
      <c r="Z215" s="16">
        <v>0</v>
      </c>
      <c r="AA215" s="16">
        <v>1</v>
      </c>
      <c r="AB215" s="16">
        <v>1</v>
      </c>
      <c r="AC215" s="16">
        <v>0</v>
      </c>
      <c r="AD215" s="13">
        <f t="shared" si="41"/>
        <v>10</v>
      </c>
    </row>
    <row r="216" spans="1:30" ht="12.75" customHeight="1" x14ac:dyDescent="0.4">
      <c r="A216" s="15"/>
      <c r="B216" s="27"/>
      <c r="C216" s="29" t="s">
        <v>135</v>
      </c>
      <c r="D216" s="40"/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>
        <v>0</v>
      </c>
      <c r="K216" s="16">
        <v>1</v>
      </c>
      <c r="L216" s="16">
        <v>0</v>
      </c>
      <c r="M216" s="16">
        <v>0</v>
      </c>
      <c r="N216" s="16">
        <v>0</v>
      </c>
      <c r="O216" s="16">
        <v>1</v>
      </c>
      <c r="P216" s="16">
        <v>0</v>
      </c>
      <c r="Q216" s="16">
        <v>0</v>
      </c>
      <c r="R216" s="16">
        <v>1</v>
      </c>
      <c r="S216" s="16">
        <v>0</v>
      </c>
      <c r="T216" s="16">
        <v>0</v>
      </c>
      <c r="U216" s="16">
        <v>2</v>
      </c>
      <c r="V216" s="16">
        <v>0</v>
      </c>
      <c r="W216" s="16">
        <v>0</v>
      </c>
      <c r="X216" s="16">
        <v>1</v>
      </c>
      <c r="Y216" s="16">
        <v>1</v>
      </c>
      <c r="Z216" s="16">
        <v>0</v>
      </c>
      <c r="AA216" s="16">
        <v>0</v>
      </c>
      <c r="AB216" s="16">
        <v>0</v>
      </c>
      <c r="AC216" s="16">
        <v>1</v>
      </c>
      <c r="AD216" s="13">
        <f t="shared" si="41"/>
        <v>8</v>
      </c>
    </row>
    <row r="217" spans="1:30" ht="12.75" customHeight="1" x14ac:dyDescent="0.4">
      <c r="A217" s="15"/>
      <c r="B217" s="28"/>
      <c r="C217" s="29" t="s">
        <v>136</v>
      </c>
      <c r="D217" s="30"/>
      <c r="E217" s="16">
        <v>0</v>
      </c>
      <c r="F217" s="16">
        <v>0</v>
      </c>
      <c r="G217" s="16">
        <v>0</v>
      </c>
      <c r="H217" s="16">
        <v>1</v>
      </c>
      <c r="I217" s="16">
        <v>0</v>
      </c>
      <c r="J217" s="16">
        <v>0</v>
      </c>
      <c r="K217" s="16">
        <v>0</v>
      </c>
      <c r="L217" s="16">
        <v>0</v>
      </c>
      <c r="M217" s="16">
        <v>0</v>
      </c>
      <c r="N217" s="16">
        <v>0</v>
      </c>
      <c r="O217" s="16">
        <v>0</v>
      </c>
      <c r="P217" s="16">
        <v>0</v>
      </c>
      <c r="Q217" s="16">
        <v>0</v>
      </c>
      <c r="R217" s="16">
        <v>1</v>
      </c>
      <c r="S217" s="16">
        <v>0</v>
      </c>
      <c r="T217" s="16">
        <v>0</v>
      </c>
      <c r="U217" s="16">
        <v>0</v>
      </c>
      <c r="V217" s="16">
        <v>0</v>
      </c>
      <c r="W217" s="16">
        <v>0</v>
      </c>
      <c r="X217" s="16">
        <v>0</v>
      </c>
      <c r="Y217" s="16">
        <v>0</v>
      </c>
      <c r="Z217" s="16">
        <v>1</v>
      </c>
      <c r="AA217" s="16">
        <v>0</v>
      </c>
      <c r="AB217" s="16">
        <v>0</v>
      </c>
      <c r="AC217" s="16">
        <v>0</v>
      </c>
      <c r="AD217" s="13">
        <f t="shared" si="41"/>
        <v>3</v>
      </c>
    </row>
    <row r="218" spans="1:30" ht="12.75" customHeight="1" x14ac:dyDescent="0.4">
      <c r="A218" s="15"/>
      <c r="B218" s="28"/>
      <c r="C218" s="29" t="s">
        <v>137</v>
      </c>
      <c r="D218" s="30"/>
      <c r="E218" s="16">
        <v>0</v>
      </c>
      <c r="F218" s="16">
        <v>0</v>
      </c>
      <c r="G218" s="16">
        <v>0</v>
      </c>
      <c r="H218" s="16">
        <v>0</v>
      </c>
      <c r="I218" s="16">
        <v>0</v>
      </c>
      <c r="J218" s="16">
        <v>0</v>
      </c>
      <c r="K218" s="16">
        <v>0</v>
      </c>
      <c r="L218" s="16">
        <v>0</v>
      </c>
      <c r="M218" s="16">
        <v>0</v>
      </c>
      <c r="N218" s="16">
        <v>0</v>
      </c>
      <c r="O218" s="16">
        <v>1</v>
      </c>
      <c r="P218" s="16">
        <v>0</v>
      </c>
      <c r="Q218" s="16">
        <v>0</v>
      </c>
      <c r="R218" s="16">
        <v>0</v>
      </c>
      <c r="S218" s="16">
        <v>1</v>
      </c>
      <c r="T218" s="16">
        <v>0</v>
      </c>
      <c r="U218" s="16">
        <v>0</v>
      </c>
      <c r="V218" s="16">
        <v>1</v>
      </c>
      <c r="W218" s="16">
        <v>0</v>
      </c>
      <c r="X218" s="16">
        <v>0</v>
      </c>
      <c r="Y218" s="16">
        <v>0</v>
      </c>
      <c r="Z218" s="16">
        <v>0</v>
      </c>
      <c r="AA218" s="16">
        <v>0</v>
      </c>
      <c r="AB218" s="16">
        <v>1</v>
      </c>
      <c r="AC218" s="16">
        <v>0</v>
      </c>
      <c r="AD218" s="13">
        <f t="shared" si="41"/>
        <v>4</v>
      </c>
    </row>
    <row r="219" spans="1:30" ht="12.75" customHeight="1" x14ac:dyDescent="0.4">
      <c r="A219" s="52"/>
      <c r="B219" s="35"/>
      <c r="C219" s="37"/>
      <c r="D219" s="38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13">
        <f t="shared" si="41"/>
        <v>0</v>
      </c>
    </row>
    <row r="220" spans="1:30" ht="12.75" customHeight="1" x14ac:dyDescent="0.4">
      <c r="A220" s="52"/>
      <c r="B220" s="35"/>
      <c r="C220" s="37"/>
      <c r="D220" s="38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13">
        <f t="shared" si="41"/>
        <v>0</v>
      </c>
    </row>
    <row r="221" spans="1:30" ht="12.75" customHeight="1" x14ac:dyDescent="0.4">
      <c r="A221" s="52"/>
      <c r="B221" s="35"/>
      <c r="C221" s="37"/>
      <c r="D221" s="38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13">
        <f t="shared" si="41"/>
        <v>0</v>
      </c>
    </row>
    <row r="222" spans="1:30" ht="12.75" customHeight="1" x14ac:dyDescent="0.4">
      <c r="A222" s="52"/>
      <c r="B222" s="35"/>
      <c r="C222" s="37"/>
      <c r="D222" s="38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13">
        <f t="shared" si="41"/>
        <v>0</v>
      </c>
    </row>
    <row r="223" spans="1:30" ht="12.75" customHeight="1" x14ac:dyDescent="0.4">
      <c r="A223" s="16" t="s">
        <v>14</v>
      </c>
      <c r="B223" s="60" t="s">
        <v>45</v>
      </c>
      <c r="C223" s="61"/>
      <c r="D223" s="62"/>
      <c r="E223" s="13">
        <f t="shared" ref="E223:AD223" si="42">SUM(E213:E222)</f>
        <v>0</v>
      </c>
      <c r="F223" s="13">
        <f t="shared" si="42"/>
        <v>5</v>
      </c>
      <c r="G223" s="13">
        <f t="shared" si="42"/>
        <v>3</v>
      </c>
      <c r="H223" s="13">
        <f t="shared" si="42"/>
        <v>2</v>
      </c>
      <c r="I223" s="13">
        <f t="shared" si="42"/>
        <v>4</v>
      </c>
      <c r="J223" s="13">
        <f t="shared" si="42"/>
        <v>3</v>
      </c>
      <c r="K223" s="13">
        <f t="shared" si="42"/>
        <v>6</v>
      </c>
      <c r="L223" s="13">
        <f t="shared" si="42"/>
        <v>5</v>
      </c>
      <c r="M223" s="13">
        <f t="shared" si="42"/>
        <v>0</v>
      </c>
      <c r="N223" s="13">
        <f t="shared" si="42"/>
        <v>3</v>
      </c>
      <c r="O223" s="13">
        <f t="shared" si="42"/>
        <v>6</v>
      </c>
      <c r="P223" s="13">
        <f t="shared" si="42"/>
        <v>8</v>
      </c>
      <c r="Q223" s="13">
        <f t="shared" si="42"/>
        <v>6</v>
      </c>
      <c r="R223" s="13">
        <f t="shared" si="42"/>
        <v>3</v>
      </c>
      <c r="S223" s="13">
        <f t="shared" si="42"/>
        <v>7</v>
      </c>
      <c r="T223" s="13">
        <f t="shared" si="42"/>
        <v>6</v>
      </c>
      <c r="U223" s="13">
        <f t="shared" si="42"/>
        <v>8</v>
      </c>
      <c r="V223" s="13">
        <f t="shared" si="42"/>
        <v>4</v>
      </c>
      <c r="W223" s="13">
        <f t="shared" si="42"/>
        <v>7</v>
      </c>
      <c r="X223" s="13">
        <f t="shared" si="42"/>
        <v>6</v>
      </c>
      <c r="Y223" s="13">
        <f t="shared" si="42"/>
        <v>6</v>
      </c>
      <c r="Z223" s="13">
        <f t="shared" si="42"/>
        <v>5</v>
      </c>
      <c r="AA223" s="13">
        <f t="shared" si="42"/>
        <v>2</v>
      </c>
      <c r="AB223" s="13">
        <f t="shared" si="42"/>
        <v>8</v>
      </c>
      <c r="AC223" s="13">
        <f t="shared" si="42"/>
        <v>2</v>
      </c>
      <c r="AD223" s="13">
        <f t="shared" si="42"/>
        <v>115</v>
      </c>
    </row>
    <row r="224" spans="1:30" ht="12.75" customHeight="1" x14ac:dyDescent="0.4">
      <c r="A224" s="63"/>
      <c r="B224" s="61"/>
      <c r="C224" s="61"/>
      <c r="D224" s="61"/>
      <c r="E224" s="62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</row>
    <row r="225" spans="1:30" ht="12.75" customHeight="1" x14ac:dyDescent="0.4">
      <c r="A225" s="20" t="s">
        <v>36</v>
      </c>
      <c r="B225" s="27" t="s">
        <v>138</v>
      </c>
      <c r="C225" s="64" t="s">
        <v>139</v>
      </c>
      <c r="D225" s="62"/>
      <c r="E225" s="16">
        <v>0</v>
      </c>
      <c r="F225" s="16">
        <v>0</v>
      </c>
      <c r="G225" s="16">
        <v>0</v>
      </c>
      <c r="H225" s="16">
        <v>0</v>
      </c>
      <c r="I225" s="16">
        <v>1</v>
      </c>
      <c r="J225" s="16">
        <v>0</v>
      </c>
      <c r="K225" s="16">
        <v>0</v>
      </c>
      <c r="L225" s="16">
        <v>0</v>
      </c>
      <c r="M225" s="16">
        <v>2</v>
      </c>
      <c r="N225" s="16">
        <v>0</v>
      </c>
      <c r="O225" s="16">
        <v>0</v>
      </c>
      <c r="P225" s="16">
        <v>1</v>
      </c>
      <c r="Q225" s="16">
        <v>2</v>
      </c>
      <c r="R225" s="16">
        <v>0</v>
      </c>
      <c r="S225" s="16">
        <v>0</v>
      </c>
      <c r="T225" s="16">
        <v>2</v>
      </c>
      <c r="U225" s="16">
        <v>0</v>
      </c>
      <c r="V225" s="16">
        <v>2</v>
      </c>
      <c r="W225" s="16">
        <v>1</v>
      </c>
      <c r="X225" s="16">
        <v>0</v>
      </c>
      <c r="Y225" s="16">
        <v>0</v>
      </c>
      <c r="Z225" s="16">
        <v>1</v>
      </c>
      <c r="AA225" s="16">
        <v>0</v>
      </c>
      <c r="AB225" s="16">
        <v>1</v>
      </c>
      <c r="AC225" s="16">
        <v>0</v>
      </c>
      <c r="AD225" s="13">
        <f t="shared" ref="AD225:AD234" si="43">SUM(E225:AC225)</f>
        <v>13</v>
      </c>
    </row>
    <row r="226" spans="1:30" ht="12.75" customHeight="1" x14ac:dyDescent="0.4">
      <c r="A226" s="20" t="s">
        <v>38</v>
      </c>
      <c r="B226" s="27"/>
      <c r="C226" s="29" t="s">
        <v>140</v>
      </c>
      <c r="D226" s="40"/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0</v>
      </c>
      <c r="L226" s="16">
        <v>0</v>
      </c>
      <c r="M226" s="16">
        <v>1</v>
      </c>
      <c r="N226" s="16">
        <v>0</v>
      </c>
      <c r="O226" s="16">
        <v>0</v>
      </c>
      <c r="P226" s="16">
        <v>0</v>
      </c>
      <c r="Q226" s="16">
        <v>0</v>
      </c>
      <c r="R226" s="16">
        <v>0</v>
      </c>
      <c r="S226" s="16">
        <v>0</v>
      </c>
      <c r="T226" s="16">
        <v>0</v>
      </c>
      <c r="U226" s="16">
        <v>0</v>
      </c>
      <c r="V226" s="16">
        <v>0</v>
      </c>
      <c r="W226" s="16">
        <v>0</v>
      </c>
      <c r="X226" s="16">
        <v>0</v>
      </c>
      <c r="Y226" s="16">
        <v>0</v>
      </c>
      <c r="Z226" s="16">
        <v>0</v>
      </c>
      <c r="AA226" s="16">
        <v>0</v>
      </c>
      <c r="AB226" s="16">
        <v>0</v>
      </c>
      <c r="AC226" s="16">
        <v>0</v>
      </c>
      <c r="AD226" s="13">
        <f t="shared" si="43"/>
        <v>1</v>
      </c>
    </row>
    <row r="227" spans="1:30" ht="12.75" customHeight="1" x14ac:dyDescent="0.4">
      <c r="A227" s="15"/>
      <c r="B227" s="27"/>
      <c r="C227" s="29" t="s">
        <v>141</v>
      </c>
      <c r="D227" s="40"/>
      <c r="E227" s="16">
        <v>2</v>
      </c>
      <c r="F227" s="16">
        <v>1</v>
      </c>
      <c r="G227" s="16">
        <v>0</v>
      </c>
      <c r="H227" s="16">
        <v>4</v>
      </c>
      <c r="I227" s="16">
        <v>0</v>
      </c>
      <c r="J227" s="16">
        <v>0</v>
      </c>
      <c r="K227" s="16">
        <v>0</v>
      </c>
      <c r="L227" s="16">
        <v>0</v>
      </c>
      <c r="M227" s="16">
        <v>0</v>
      </c>
      <c r="N227" s="16">
        <v>1</v>
      </c>
      <c r="O227" s="16">
        <v>0</v>
      </c>
      <c r="P227" s="16">
        <v>1</v>
      </c>
      <c r="Q227" s="16">
        <v>0</v>
      </c>
      <c r="R227" s="16">
        <v>1</v>
      </c>
      <c r="S227" s="16">
        <v>0</v>
      </c>
      <c r="T227" s="16">
        <v>0</v>
      </c>
      <c r="U227" s="16">
        <v>0</v>
      </c>
      <c r="V227" s="16">
        <v>0</v>
      </c>
      <c r="W227" s="16">
        <v>2</v>
      </c>
      <c r="X227" s="16">
        <v>0</v>
      </c>
      <c r="Y227" s="16">
        <v>0</v>
      </c>
      <c r="Z227" s="16">
        <v>0</v>
      </c>
      <c r="AA227" s="16">
        <v>1</v>
      </c>
      <c r="AB227" s="16">
        <v>0</v>
      </c>
      <c r="AC227" s="16">
        <v>0</v>
      </c>
      <c r="AD227" s="13">
        <f t="shared" si="43"/>
        <v>13</v>
      </c>
    </row>
    <row r="228" spans="1:30" ht="12.75" customHeight="1" x14ac:dyDescent="0.4">
      <c r="A228" s="15"/>
      <c r="B228" s="27"/>
      <c r="C228" s="29" t="s">
        <v>142</v>
      </c>
      <c r="D228" s="40"/>
      <c r="E228" s="16">
        <v>1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6">
        <v>0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6">
        <v>0</v>
      </c>
      <c r="AA228" s="16">
        <v>0</v>
      </c>
      <c r="AB228" s="16">
        <v>0</v>
      </c>
      <c r="AC228" s="16">
        <v>0</v>
      </c>
      <c r="AD228" s="13">
        <f t="shared" si="43"/>
        <v>1</v>
      </c>
    </row>
    <row r="229" spans="1:30" ht="12.75" customHeight="1" x14ac:dyDescent="0.4">
      <c r="A229" s="15"/>
      <c r="B229" s="28"/>
      <c r="C229" s="29" t="s">
        <v>143</v>
      </c>
      <c r="D229" s="30"/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1</v>
      </c>
      <c r="N229" s="16">
        <v>0</v>
      </c>
      <c r="O229" s="16">
        <v>1</v>
      </c>
      <c r="P229" s="16">
        <v>0</v>
      </c>
      <c r="Q229" s="16">
        <v>0</v>
      </c>
      <c r="R229" s="16">
        <v>0</v>
      </c>
      <c r="S229" s="16">
        <v>0</v>
      </c>
      <c r="T229" s="16">
        <v>0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6">
        <v>0</v>
      </c>
      <c r="AA229" s="16">
        <v>0</v>
      </c>
      <c r="AB229" s="16">
        <v>0</v>
      </c>
      <c r="AC229" s="16">
        <v>0</v>
      </c>
      <c r="AD229" s="13">
        <f t="shared" si="43"/>
        <v>2</v>
      </c>
    </row>
    <row r="230" spans="1:30" ht="12.75" customHeight="1" x14ac:dyDescent="0.4">
      <c r="A230" s="15"/>
      <c r="B230" s="28"/>
      <c r="C230" s="29" t="s">
        <v>144</v>
      </c>
      <c r="D230" s="30"/>
      <c r="E230" s="16">
        <v>0</v>
      </c>
      <c r="F230" s="16">
        <v>0</v>
      </c>
      <c r="G230" s="16">
        <v>0</v>
      </c>
      <c r="H230" s="16">
        <v>0</v>
      </c>
      <c r="I230" s="16">
        <v>0</v>
      </c>
      <c r="J230" s="16">
        <v>0</v>
      </c>
      <c r="K230" s="16">
        <v>0</v>
      </c>
      <c r="L230" s="16">
        <v>0</v>
      </c>
      <c r="M230" s="16">
        <v>0</v>
      </c>
      <c r="N230" s="16">
        <v>2</v>
      </c>
      <c r="O230" s="16">
        <v>0</v>
      </c>
      <c r="P230" s="16">
        <v>0</v>
      </c>
      <c r="Q230" s="16">
        <v>0</v>
      </c>
      <c r="R230" s="16">
        <v>0</v>
      </c>
      <c r="S230" s="16">
        <v>0</v>
      </c>
      <c r="T230" s="16">
        <v>0</v>
      </c>
      <c r="U230" s="16">
        <v>0</v>
      </c>
      <c r="V230" s="16">
        <v>0</v>
      </c>
      <c r="W230" s="16">
        <v>0</v>
      </c>
      <c r="X230" s="16">
        <v>0</v>
      </c>
      <c r="Y230" s="16">
        <v>0</v>
      </c>
      <c r="Z230" s="16">
        <v>0</v>
      </c>
      <c r="AA230" s="16">
        <v>0</v>
      </c>
      <c r="AB230" s="16">
        <v>1</v>
      </c>
      <c r="AC230" s="16">
        <v>2</v>
      </c>
      <c r="AD230" s="13">
        <f t="shared" si="43"/>
        <v>5</v>
      </c>
    </row>
    <row r="231" spans="1:30" ht="12.75" customHeight="1" x14ac:dyDescent="0.4">
      <c r="A231" s="15"/>
      <c r="B231" s="28"/>
      <c r="C231" s="29" t="s">
        <v>145</v>
      </c>
      <c r="D231" s="30"/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0</v>
      </c>
      <c r="R231" s="16">
        <v>0</v>
      </c>
      <c r="S231" s="16">
        <v>0</v>
      </c>
      <c r="T231" s="16">
        <v>0</v>
      </c>
      <c r="U231" s="16">
        <v>0</v>
      </c>
      <c r="V231" s="16">
        <v>0</v>
      </c>
      <c r="W231" s="16">
        <v>0</v>
      </c>
      <c r="X231" s="16">
        <v>0</v>
      </c>
      <c r="Y231" s="16">
        <v>0</v>
      </c>
      <c r="Z231" s="16">
        <v>0</v>
      </c>
      <c r="AA231" s="16">
        <v>0</v>
      </c>
      <c r="AB231" s="16">
        <v>0</v>
      </c>
      <c r="AC231" s="16">
        <v>0</v>
      </c>
      <c r="AD231" s="13">
        <f t="shared" si="43"/>
        <v>0</v>
      </c>
    </row>
    <row r="232" spans="1:30" ht="12.75" customHeight="1" x14ac:dyDescent="0.4">
      <c r="A232" s="52"/>
      <c r="B232" s="35"/>
      <c r="C232" s="37"/>
      <c r="D232" s="39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13">
        <f t="shared" si="43"/>
        <v>0</v>
      </c>
    </row>
    <row r="233" spans="1:30" ht="12.75" customHeight="1" x14ac:dyDescent="0.4">
      <c r="A233" s="52"/>
      <c r="B233" s="35"/>
      <c r="C233" s="37"/>
      <c r="D233" s="39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13">
        <f t="shared" si="43"/>
        <v>0</v>
      </c>
    </row>
    <row r="234" spans="1:30" ht="12.75" customHeight="1" x14ac:dyDescent="0.4">
      <c r="A234" s="52"/>
      <c r="B234" s="35"/>
      <c r="C234" s="37"/>
      <c r="D234" s="39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13">
        <f t="shared" si="43"/>
        <v>0</v>
      </c>
    </row>
    <row r="235" spans="1:30" ht="12.75" customHeight="1" x14ac:dyDescent="0.4">
      <c r="A235" s="16" t="s">
        <v>14</v>
      </c>
      <c r="B235" s="60" t="s">
        <v>45</v>
      </c>
      <c r="C235" s="61"/>
      <c r="D235" s="62"/>
      <c r="E235" s="13">
        <f t="shared" ref="E235:AD235" si="44">SUM(E225:E234)</f>
        <v>3</v>
      </c>
      <c r="F235" s="13">
        <f t="shared" si="44"/>
        <v>1</v>
      </c>
      <c r="G235" s="13">
        <f t="shared" si="44"/>
        <v>0</v>
      </c>
      <c r="H235" s="13">
        <f t="shared" si="44"/>
        <v>4</v>
      </c>
      <c r="I235" s="13">
        <f t="shared" si="44"/>
        <v>1</v>
      </c>
      <c r="J235" s="13">
        <f t="shared" si="44"/>
        <v>0</v>
      </c>
      <c r="K235" s="13">
        <f t="shared" si="44"/>
        <v>0</v>
      </c>
      <c r="L235" s="13">
        <f t="shared" si="44"/>
        <v>0</v>
      </c>
      <c r="M235" s="13">
        <f t="shared" si="44"/>
        <v>4</v>
      </c>
      <c r="N235" s="13">
        <f t="shared" si="44"/>
        <v>3</v>
      </c>
      <c r="O235" s="13">
        <f t="shared" si="44"/>
        <v>1</v>
      </c>
      <c r="P235" s="13">
        <f t="shared" si="44"/>
        <v>2</v>
      </c>
      <c r="Q235" s="13">
        <f t="shared" si="44"/>
        <v>2</v>
      </c>
      <c r="R235" s="13">
        <f t="shared" si="44"/>
        <v>1</v>
      </c>
      <c r="S235" s="13">
        <f t="shared" si="44"/>
        <v>0</v>
      </c>
      <c r="T235" s="13">
        <f t="shared" si="44"/>
        <v>2</v>
      </c>
      <c r="U235" s="13">
        <f t="shared" si="44"/>
        <v>0</v>
      </c>
      <c r="V235" s="13">
        <f t="shared" si="44"/>
        <v>2</v>
      </c>
      <c r="W235" s="13">
        <f t="shared" si="44"/>
        <v>3</v>
      </c>
      <c r="X235" s="13">
        <f t="shared" si="44"/>
        <v>0</v>
      </c>
      <c r="Y235" s="13">
        <f t="shared" si="44"/>
        <v>0</v>
      </c>
      <c r="Z235" s="13">
        <f t="shared" si="44"/>
        <v>1</v>
      </c>
      <c r="AA235" s="13">
        <f t="shared" si="44"/>
        <v>1</v>
      </c>
      <c r="AB235" s="13">
        <f t="shared" si="44"/>
        <v>2</v>
      </c>
      <c r="AC235" s="13">
        <f t="shared" si="44"/>
        <v>2</v>
      </c>
      <c r="AD235" s="13">
        <f t="shared" si="44"/>
        <v>35</v>
      </c>
    </row>
    <row r="236" spans="1:30" ht="12.75" customHeight="1" x14ac:dyDescent="0.4">
      <c r="A236" s="63"/>
      <c r="B236" s="61"/>
      <c r="C236" s="61"/>
      <c r="D236" s="61"/>
      <c r="E236" s="62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</row>
    <row r="237" spans="1:30" ht="12.75" customHeight="1" x14ac:dyDescent="0.4">
      <c r="A237" s="20" t="s">
        <v>36</v>
      </c>
      <c r="B237" s="27" t="s">
        <v>146</v>
      </c>
      <c r="C237" s="64" t="s">
        <v>147</v>
      </c>
      <c r="D237" s="62"/>
      <c r="E237" s="16">
        <v>0</v>
      </c>
      <c r="F237" s="16">
        <v>2</v>
      </c>
      <c r="G237" s="16">
        <v>0</v>
      </c>
      <c r="H237" s="16">
        <v>1</v>
      </c>
      <c r="I237" s="16">
        <v>0</v>
      </c>
      <c r="J237" s="16">
        <v>0</v>
      </c>
      <c r="K237" s="16">
        <v>1</v>
      </c>
      <c r="L237" s="16">
        <v>1</v>
      </c>
      <c r="M237" s="16">
        <v>0</v>
      </c>
      <c r="N237" s="16">
        <v>0</v>
      </c>
      <c r="O237" s="16">
        <v>1</v>
      </c>
      <c r="P237" s="16">
        <v>1</v>
      </c>
      <c r="Q237" s="16">
        <v>2</v>
      </c>
      <c r="R237" s="16">
        <v>1</v>
      </c>
      <c r="S237" s="16">
        <v>1</v>
      </c>
      <c r="T237" s="16">
        <v>0</v>
      </c>
      <c r="U237" s="16">
        <v>2</v>
      </c>
      <c r="V237" s="16">
        <v>0</v>
      </c>
      <c r="W237" s="16">
        <v>3</v>
      </c>
      <c r="X237" s="16">
        <v>0</v>
      </c>
      <c r="Y237" s="16">
        <v>0</v>
      </c>
      <c r="Z237" s="16">
        <v>1</v>
      </c>
      <c r="AA237" s="16">
        <v>0</v>
      </c>
      <c r="AB237" s="16">
        <v>0</v>
      </c>
      <c r="AC237" s="16">
        <v>0</v>
      </c>
      <c r="AD237" s="13">
        <f t="shared" ref="AD237:AD246" si="45">SUM(E237:AC237)</f>
        <v>17</v>
      </c>
    </row>
    <row r="238" spans="1:30" ht="12.75" customHeight="1" x14ac:dyDescent="0.4">
      <c r="A238" s="20" t="s">
        <v>38</v>
      </c>
      <c r="B238" s="28"/>
      <c r="C238" s="29" t="s">
        <v>148</v>
      </c>
      <c r="D238" s="30"/>
      <c r="E238" s="16">
        <v>0</v>
      </c>
      <c r="F238" s="16">
        <v>0</v>
      </c>
      <c r="G238" s="16">
        <v>0</v>
      </c>
      <c r="H238" s="16">
        <v>0</v>
      </c>
      <c r="I238" s="16">
        <v>0</v>
      </c>
      <c r="J238" s="16">
        <v>0</v>
      </c>
      <c r="K238" s="16">
        <v>0</v>
      </c>
      <c r="L238" s="16">
        <v>0</v>
      </c>
      <c r="M238" s="16">
        <v>0</v>
      </c>
      <c r="N238" s="16">
        <v>0</v>
      </c>
      <c r="O238" s="16">
        <v>0</v>
      </c>
      <c r="P238" s="16">
        <v>1</v>
      </c>
      <c r="Q238" s="16">
        <v>0</v>
      </c>
      <c r="R238" s="16">
        <v>0</v>
      </c>
      <c r="S238" s="16">
        <v>0</v>
      </c>
      <c r="T238" s="16">
        <v>2</v>
      </c>
      <c r="U238" s="16">
        <v>2</v>
      </c>
      <c r="V238" s="16">
        <v>0</v>
      </c>
      <c r="W238" s="16">
        <v>0</v>
      </c>
      <c r="X238" s="16">
        <v>0</v>
      </c>
      <c r="Y238" s="16">
        <v>0</v>
      </c>
      <c r="Z238" s="16">
        <v>1</v>
      </c>
      <c r="AA238" s="16">
        <v>0</v>
      </c>
      <c r="AB238" s="16">
        <v>0</v>
      </c>
      <c r="AC238" s="16">
        <v>0</v>
      </c>
      <c r="AD238" s="13">
        <f t="shared" si="45"/>
        <v>6</v>
      </c>
    </row>
    <row r="239" spans="1:30" ht="12.75" customHeight="1" x14ac:dyDescent="0.4">
      <c r="A239" s="15"/>
      <c r="B239" s="28"/>
      <c r="C239" s="29" t="s">
        <v>149</v>
      </c>
      <c r="D239" s="30"/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>
        <v>1</v>
      </c>
      <c r="K239" s="16">
        <v>0</v>
      </c>
      <c r="L239" s="16">
        <v>0</v>
      </c>
      <c r="M239" s="16">
        <v>0</v>
      </c>
      <c r="N239" s="16">
        <v>0</v>
      </c>
      <c r="O239" s="16">
        <v>0</v>
      </c>
      <c r="P239" s="16">
        <v>0</v>
      </c>
      <c r="Q239" s="16">
        <v>0</v>
      </c>
      <c r="R239" s="16">
        <v>0</v>
      </c>
      <c r="S239" s="16">
        <v>0</v>
      </c>
      <c r="T239" s="16">
        <v>0</v>
      </c>
      <c r="U239" s="16">
        <v>0</v>
      </c>
      <c r="V239" s="16">
        <v>1</v>
      </c>
      <c r="W239" s="16">
        <v>0</v>
      </c>
      <c r="X239" s="16">
        <v>1</v>
      </c>
      <c r="Y239" s="16">
        <v>0</v>
      </c>
      <c r="Z239" s="16">
        <v>0</v>
      </c>
      <c r="AA239" s="16">
        <v>1</v>
      </c>
      <c r="AB239" s="16">
        <v>0</v>
      </c>
      <c r="AC239" s="16">
        <v>0</v>
      </c>
      <c r="AD239" s="13">
        <f t="shared" si="45"/>
        <v>4</v>
      </c>
    </row>
    <row r="240" spans="1:30" ht="12.75" customHeight="1" x14ac:dyDescent="0.4">
      <c r="A240" s="15"/>
      <c r="B240" s="28"/>
      <c r="C240" s="29" t="s">
        <v>150</v>
      </c>
      <c r="D240" s="30"/>
      <c r="E240" s="16">
        <v>1</v>
      </c>
      <c r="F240" s="16">
        <v>5</v>
      </c>
      <c r="G240" s="16">
        <v>6</v>
      </c>
      <c r="H240" s="16">
        <v>0</v>
      </c>
      <c r="I240" s="16">
        <v>1</v>
      </c>
      <c r="J240" s="16">
        <v>4</v>
      </c>
      <c r="K240" s="16">
        <v>1</v>
      </c>
      <c r="L240" s="16">
        <v>3</v>
      </c>
      <c r="M240" s="16">
        <v>2</v>
      </c>
      <c r="N240" s="16">
        <v>0</v>
      </c>
      <c r="O240" s="16">
        <v>3</v>
      </c>
      <c r="P240" s="16">
        <v>11</v>
      </c>
      <c r="Q240" s="16">
        <v>4</v>
      </c>
      <c r="R240" s="16">
        <v>11</v>
      </c>
      <c r="S240" s="16">
        <v>3</v>
      </c>
      <c r="T240" s="16">
        <v>22</v>
      </c>
      <c r="U240" s="16">
        <v>13</v>
      </c>
      <c r="V240" s="16">
        <v>2</v>
      </c>
      <c r="W240" s="16">
        <v>3</v>
      </c>
      <c r="X240" s="16">
        <v>2</v>
      </c>
      <c r="Y240" s="16">
        <v>4</v>
      </c>
      <c r="Z240" s="16">
        <v>3</v>
      </c>
      <c r="AA240" s="16">
        <v>2</v>
      </c>
      <c r="AB240" s="16">
        <v>0</v>
      </c>
      <c r="AC240" s="16">
        <v>1</v>
      </c>
      <c r="AD240" s="13">
        <f t="shared" si="45"/>
        <v>107</v>
      </c>
    </row>
    <row r="241" spans="1:30" ht="12.75" customHeight="1" x14ac:dyDescent="0.4">
      <c r="A241" s="15"/>
      <c r="B241" s="28"/>
      <c r="C241" s="29" t="s">
        <v>151</v>
      </c>
      <c r="D241" s="30"/>
      <c r="E241" s="16">
        <v>0</v>
      </c>
      <c r="F241" s="16">
        <v>3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6">
        <v>1</v>
      </c>
      <c r="N241" s="16">
        <v>0</v>
      </c>
      <c r="O241" s="16">
        <v>0</v>
      </c>
      <c r="P241" s="16">
        <v>1</v>
      </c>
      <c r="Q241" s="16">
        <v>1</v>
      </c>
      <c r="R241" s="16">
        <v>0</v>
      </c>
      <c r="S241" s="16">
        <v>0</v>
      </c>
      <c r="T241" s="16">
        <v>0</v>
      </c>
      <c r="U241" s="16">
        <v>0</v>
      </c>
      <c r="V241" s="16">
        <v>0</v>
      </c>
      <c r="W241" s="16">
        <v>0</v>
      </c>
      <c r="X241" s="16">
        <v>0</v>
      </c>
      <c r="Y241" s="16">
        <v>0</v>
      </c>
      <c r="Z241" s="16">
        <v>0</v>
      </c>
      <c r="AA241" s="16">
        <v>0</v>
      </c>
      <c r="AB241" s="16">
        <v>0</v>
      </c>
      <c r="AC241" s="16">
        <v>0</v>
      </c>
      <c r="AD241" s="13">
        <f t="shared" si="45"/>
        <v>6</v>
      </c>
    </row>
    <row r="242" spans="1:30" ht="12.75" customHeight="1" x14ac:dyDescent="0.4">
      <c r="A242" s="15"/>
      <c r="B242" s="28"/>
      <c r="C242" s="29" t="s">
        <v>152</v>
      </c>
      <c r="D242" s="30"/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1</v>
      </c>
      <c r="P242" s="16">
        <v>0</v>
      </c>
      <c r="Q242" s="16">
        <v>1</v>
      </c>
      <c r="R242" s="16">
        <v>0</v>
      </c>
      <c r="S242" s="16">
        <v>0</v>
      </c>
      <c r="T242" s="16">
        <v>0</v>
      </c>
      <c r="U242" s="16">
        <v>0</v>
      </c>
      <c r="V242" s="16">
        <v>0</v>
      </c>
      <c r="W242" s="16">
        <v>0</v>
      </c>
      <c r="X242" s="16">
        <v>0</v>
      </c>
      <c r="Y242" s="16">
        <v>0</v>
      </c>
      <c r="Z242" s="16">
        <v>0</v>
      </c>
      <c r="AA242" s="16">
        <v>0</v>
      </c>
      <c r="AB242" s="16">
        <v>0</v>
      </c>
      <c r="AC242" s="16">
        <v>1</v>
      </c>
      <c r="AD242" s="13">
        <f t="shared" si="45"/>
        <v>3</v>
      </c>
    </row>
    <row r="243" spans="1:30" ht="12.75" customHeight="1" x14ac:dyDescent="0.4">
      <c r="A243" s="15"/>
      <c r="B243" s="28"/>
      <c r="C243" s="29" t="s">
        <v>153</v>
      </c>
      <c r="D243" s="30"/>
      <c r="E243" s="16">
        <v>0</v>
      </c>
      <c r="F243" s="16">
        <v>0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  <c r="R243" s="16">
        <v>0</v>
      </c>
      <c r="S243" s="16">
        <v>1</v>
      </c>
      <c r="T243" s="16">
        <v>0</v>
      </c>
      <c r="U243" s="16">
        <v>0</v>
      </c>
      <c r="V243" s="16">
        <v>0</v>
      </c>
      <c r="W243" s="16">
        <v>0</v>
      </c>
      <c r="X243" s="16">
        <v>0</v>
      </c>
      <c r="Y243" s="16">
        <v>0</v>
      </c>
      <c r="Z243" s="16">
        <v>0</v>
      </c>
      <c r="AA243" s="16">
        <v>0</v>
      </c>
      <c r="AB243" s="16">
        <v>0</v>
      </c>
      <c r="AC243" s="16">
        <v>0</v>
      </c>
      <c r="AD243" s="13">
        <f t="shared" si="45"/>
        <v>1</v>
      </c>
    </row>
    <row r="244" spans="1:30" ht="12.75" customHeight="1" x14ac:dyDescent="0.4">
      <c r="A244" s="52"/>
      <c r="B244" s="35"/>
      <c r="C244" s="37"/>
      <c r="D244" s="39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13">
        <f t="shared" si="45"/>
        <v>0</v>
      </c>
    </row>
    <row r="245" spans="1:30" ht="12.75" customHeight="1" x14ac:dyDescent="0.4">
      <c r="A245" s="52"/>
      <c r="B245" s="35"/>
      <c r="C245" s="37"/>
      <c r="D245" s="39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13">
        <f t="shared" si="45"/>
        <v>0</v>
      </c>
    </row>
    <row r="246" spans="1:30" ht="12.75" customHeight="1" x14ac:dyDescent="0.4">
      <c r="A246" s="52"/>
      <c r="B246" s="35"/>
      <c r="C246" s="37"/>
      <c r="D246" s="39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13">
        <f t="shared" si="45"/>
        <v>0</v>
      </c>
    </row>
    <row r="247" spans="1:30" ht="12.75" customHeight="1" x14ac:dyDescent="0.4">
      <c r="A247" s="16" t="s">
        <v>14</v>
      </c>
      <c r="B247" s="60" t="s">
        <v>45</v>
      </c>
      <c r="C247" s="61"/>
      <c r="D247" s="62"/>
      <c r="E247" s="13">
        <f t="shared" ref="E247:AD247" si="46">SUM(E237:E246)</f>
        <v>1</v>
      </c>
      <c r="F247" s="13">
        <f t="shared" si="46"/>
        <v>10</v>
      </c>
      <c r="G247" s="13">
        <f t="shared" si="46"/>
        <v>6</v>
      </c>
      <c r="H247" s="13">
        <f t="shared" si="46"/>
        <v>1</v>
      </c>
      <c r="I247" s="13">
        <f t="shared" si="46"/>
        <v>1</v>
      </c>
      <c r="J247" s="13">
        <f t="shared" si="46"/>
        <v>5</v>
      </c>
      <c r="K247" s="13">
        <f t="shared" si="46"/>
        <v>2</v>
      </c>
      <c r="L247" s="13">
        <f t="shared" si="46"/>
        <v>4</v>
      </c>
      <c r="M247" s="13">
        <f t="shared" si="46"/>
        <v>3</v>
      </c>
      <c r="N247" s="13">
        <f t="shared" si="46"/>
        <v>0</v>
      </c>
      <c r="O247" s="13">
        <f t="shared" si="46"/>
        <v>5</v>
      </c>
      <c r="P247" s="13">
        <f t="shared" si="46"/>
        <v>14</v>
      </c>
      <c r="Q247" s="13">
        <f t="shared" si="46"/>
        <v>8</v>
      </c>
      <c r="R247" s="13">
        <f t="shared" si="46"/>
        <v>12</v>
      </c>
      <c r="S247" s="13">
        <f t="shared" si="46"/>
        <v>5</v>
      </c>
      <c r="T247" s="13">
        <f t="shared" si="46"/>
        <v>24</v>
      </c>
      <c r="U247" s="13">
        <f t="shared" si="46"/>
        <v>17</v>
      </c>
      <c r="V247" s="13">
        <f t="shared" si="46"/>
        <v>3</v>
      </c>
      <c r="W247" s="13">
        <f t="shared" si="46"/>
        <v>6</v>
      </c>
      <c r="X247" s="13">
        <f t="shared" si="46"/>
        <v>3</v>
      </c>
      <c r="Y247" s="13">
        <f t="shared" si="46"/>
        <v>4</v>
      </c>
      <c r="Z247" s="13">
        <f t="shared" si="46"/>
        <v>5</v>
      </c>
      <c r="AA247" s="13">
        <f t="shared" si="46"/>
        <v>3</v>
      </c>
      <c r="AB247" s="13">
        <f t="shared" si="46"/>
        <v>0</v>
      </c>
      <c r="AC247" s="13">
        <f t="shared" si="46"/>
        <v>2</v>
      </c>
      <c r="AD247" s="13">
        <f t="shared" si="46"/>
        <v>144</v>
      </c>
    </row>
    <row r="248" spans="1:30" ht="12.75" customHeight="1" x14ac:dyDescent="0.4">
      <c r="A248" s="63"/>
      <c r="B248" s="61"/>
      <c r="C248" s="61"/>
      <c r="D248" s="61"/>
      <c r="E248" s="62"/>
    </row>
    <row r="249" spans="1:30" ht="12.75" customHeight="1" x14ac:dyDescent="0.4">
      <c r="A249" s="20" t="s">
        <v>36</v>
      </c>
      <c r="B249" s="27" t="s">
        <v>154</v>
      </c>
      <c r="C249" s="64" t="s">
        <v>155</v>
      </c>
      <c r="D249" s="62"/>
      <c r="E249" s="16">
        <v>0</v>
      </c>
      <c r="F249" s="16">
        <v>1</v>
      </c>
      <c r="G249" s="16">
        <v>0</v>
      </c>
      <c r="H249" s="16">
        <v>1</v>
      </c>
      <c r="I249" s="16">
        <v>0</v>
      </c>
      <c r="J249" s="16">
        <v>0</v>
      </c>
      <c r="K249" s="16">
        <v>0</v>
      </c>
      <c r="L249" s="16">
        <v>0</v>
      </c>
      <c r="M249" s="16">
        <v>0</v>
      </c>
      <c r="N249" s="16">
        <v>0</v>
      </c>
      <c r="O249" s="16">
        <v>0</v>
      </c>
      <c r="P249" s="16">
        <v>0</v>
      </c>
      <c r="Q249" s="16">
        <v>0</v>
      </c>
      <c r="R249" s="16">
        <v>0</v>
      </c>
      <c r="S249" s="16">
        <v>0</v>
      </c>
      <c r="T249" s="16">
        <v>0</v>
      </c>
      <c r="U249" s="16">
        <v>1</v>
      </c>
      <c r="V249" s="16">
        <v>3</v>
      </c>
      <c r="W249" s="16">
        <v>3</v>
      </c>
      <c r="X249" s="16">
        <v>0</v>
      </c>
      <c r="Y249" s="16">
        <v>1</v>
      </c>
      <c r="Z249" s="16">
        <v>0</v>
      </c>
      <c r="AA249" s="16">
        <v>0</v>
      </c>
      <c r="AB249" s="16">
        <v>0</v>
      </c>
      <c r="AC249" s="16">
        <v>1</v>
      </c>
      <c r="AD249" s="13">
        <f t="shared" ref="AD249:AD258" si="47">SUM(E249:AC249)</f>
        <v>11</v>
      </c>
    </row>
    <row r="250" spans="1:30" ht="12.75" customHeight="1" x14ac:dyDescent="0.4">
      <c r="A250" s="20" t="s">
        <v>38</v>
      </c>
      <c r="B250" s="27"/>
      <c r="C250" s="29" t="s">
        <v>156</v>
      </c>
      <c r="D250" s="40"/>
      <c r="E250" s="16">
        <v>0</v>
      </c>
      <c r="F250" s="16">
        <v>1</v>
      </c>
      <c r="G250" s="16">
        <v>2</v>
      </c>
      <c r="H250" s="16">
        <v>0</v>
      </c>
      <c r="I250" s="16">
        <v>0</v>
      </c>
      <c r="J250" s="16">
        <v>0</v>
      </c>
      <c r="K250" s="16">
        <v>0</v>
      </c>
      <c r="L250" s="16">
        <v>0</v>
      </c>
      <c r="M250" s="16">
        <v>0</v>
      </c>
      <c r="N250" s="16">
        <v>0</v>
      </c>
      <c r="O250" s="16">
        <v>3</v>
      </c>
      <c r="P250" s="16">
        <v>7</v>
      </c>
      <c r="Q250" s="16">
        <v>1</v>
      </c>
      <c r="R250" s="16">
        <v>11</v>
      </c>
      <c r="S250" s="16">
        <v>7</v>
      </c>
      <c r="T250" s="16">
        <v>1</v>
      </c>
      <c r="U250" s="16">
        <v>4</v>
      </c>
      <c r="V250" s="16">
        <v>7</v>
      </c>
      <c r="W250" s="16">
        <v>5</v>
      </c>
      <c r="X250" s="16">
        <v>2</v>
      </c>
      <c r="Y250" s="16">
        <v>3</v>
      </c>
      <c r="Z250" s="16">
        <v>1</v>
      </c>
      <c r="AA250" s="16">
        <v>1</v>
      </c>
      <c r="AB250" s="16">
        <v>0</v>
      </c>
      <c r="AC250" s="16">
        <v>1</v>
      </c>
      <c r="AD250" s="13">
        <f t="shared" si="47"/>
        <v>57</v>
      </c>
    </row>
    <row r="251" spans="1:30" ht="12.75" customHeight="1" x14ac:dyDescent="0.4">
      <c r="A251" s="15"/>
      <c r="B251" s="27"/>
      <c r="C251" s="29" t="s">
        <v>157</v>
      </c>
      <c r="D251" s="40"/>
      <c r="E251" s="16">
        <v>0</v>
      </c>
      <c r="F251" s="16">
        <v>0</v>
      </c>
      <c r="G251" s="16">
        <v>0</v>
      </c>
      <c r="H251" s="16">
        <v>0</v>
      </c>
      <c r="I251" s="16">
        <v>0</v>
      </c>
      <c r="J251" s="16">
        <v>0</v>
      </c>
      <c r="K251" s="16">
        <v>0</v>
      </c>
      <c r="L251" s="16">
        <v>0</v>
      </c>
      <c r="M251" s="16">
        <v>0</v>
      </c>
      <c r="N251" s="16">
        <v>0</v>
      </c>
      <c r="O251" s="16">
        <v>0</v>
      </c>
      <c r="P251" s="16">
        <v>1</v>
      </c>
      <c r="Q251" s="16">
        <v>1</v>
      </c>
      <c r="R251" s="16">
        <v>0</v>
      </c>
      <c r="S251" s="16">
        <v>0</v>
      </c>
      <c r="T251" s="16">
        <v>0</v>
      </c>
      <c r="U251" s="16">
        <v>1</v>
      </c>
      <c r="V251" s="16">
        <v>0</v>
      </c>
      <c r="W251" s="16">
        <v>0</v>
      </c>
      <c r="X251" s="16">
        <v>0</v>
      </c>
      <c r="Y251" s="16">
        <v>0</v>
      </c>
      <c r="Z251" s="16">
        <v>0</v>
      </c>
      <c r="AA251" s="16">
        <v>0</v>
      </c>
      <c r="AB251" s="16">
        <v>0</v>
      </c>
      <c r="AC251" s="16">
        <v>0</v>
      </c>
      <c r="AD251" s="13">
        <f t="shared" si="47"/>
        <v>3</v>
      </c>
    </row>
    <row r="252" spans="1:30" ht="12.75" customHeight="1" x14ac:dyDescent="0.4">
      <c r="A252" s="15"/>
      <c r="B252" s="27"/>
      <c r="C252" s="29" t="s">
        <v>158</v>
      </c>
      <c r="D252" s="40"/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>
        <v>0</v>
      </c>
      <c r="K252" s="16">
        <v>0</v>
      </c>
      <c r="L252" s="16">
        <v>0</v>
      </c>
      <c r="M252" s="16">
        <v>0</v>
      </c>
      <c r="N252" s="16">
        <v>0</v>
      </c>
      <c r="O252" s="16">
        <v>1</v>
      </c>
      <c r="P252" s="16">
        <v>0</v>
      </c>
      <c r="Q252" s="16">
        <v>0</v>
      </c>
      <c r="R252" s="16">
        <v>0</v>
      </c>
      <c r="S252" s="16">
        <v>0</v>
      </c>
      <c r="T252" s="16">
        <v>0</v>
      </c>
      <c r="U252" s="16">
        <v>0</v>
      </c>
      <c r="V252" s="16">
        <v>0</v>
      </c>
      <c r="W252" s="16">
        <v>0</v>
      </c>
      <c r="X252" s="16">
        <v>0</v>
      </c>
      <c r="Y252" s="16">
        <v>0</v>
      </c>
      <c r="Z252" s="16">
        <v>0</v>
      </c>
      <c r="AA252" s="16">
        <v>0</v>
      </c>
      <c r="AB252" s="16">
        <v>0</v>
      </c>
      <c r="AC252" s="16">
        <v>0</v>
      </c>
      <c r="AD252" s="13">
        <f t="shared" si="47"/>
        <v>1</v>
      </c>
    </row>
    <row r="253" spans="1:30" ht="12.75" customHeight="1" x14ac:dyDescent="0.4">
      <c r="A253" s="15"/>
      <c r="B253" s="28"/>
      <c r="C253" s="29" t="s">
        <v>159</v>
      </c>
      <c r="D253" s="30"/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>
        <v>0</v>
      </c>
      <c r="K253" s="16">
        <v>1</v>
      </c>
      <c r="L253" s="16">
        <v>0</v>
      </c>
      <c r="M253" s="16">
        <v>0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6">
        <v>0</v>
      </c>
      <c r="U253" s="16">
        <v>0</v>
      </c>
      <c r="V253" s="16">
        <v>0</v>
      </c>
      <c r="W253" s="16">
        <v>1</v>
      </c>
      <c r="X253" s="16">
        <v>0</v>
      </c>
      <c r="Y253" s="16">
        <v>0</v>
      </c>
      <c r="Z253" s="16">
        <v>0</v>
      </c>
      <c r="AA253" s="16">
        <v>0</v>
      </c>
      <c r="AB253" s="16">
        <v>0</v>
      </c>
      <c r="AC253" s="16">
        <v>0</v>
      </c>
      <c r="AD253" s="13">
        <f t="shared" si="47"/>
        <v>2</v>
      </c>
    </row>
    <row r="254" spans="1:30" ht="12.75" customHeight="1" x14ac:dyDescent="0.4">
      <c r="A254" s="52"/>
      <c r="B254" s="35"/>
      <c r="C254" s="44"/>
      <c r="D254" s="39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13">
        <f t="shared" si="47"/>
        <v>0</v>
      </c>
    </row>
    <row r="255" spans="1:30" ht="12.75" customHeight="1" x14ac:dyDescent="0.4">
      <c r="A255" s="52"/>
      <c r="B255" s="35"/>
      <c r="C255" s="44"/>
      <c r="D255" s="39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13">
        <f t="shared" si="47"/>
        <v>0</v>
      </c>
    </row>
    <row r="256" spans="1:30" ht="12.75" customHeight="1" x14ac:dyDescent="0.4">
      <c r="A256" s="52"/>
      <c r="B256" s="35"/>
      <c r="C256" s="43"/>
      <c r="D256" s="39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13">
        <f t="shared" si="47"/>
        <v>0</v>
      </c>
    </row>
    <row r="257" spans="1:30" ht="12.75" customHeight="1" x14ac:dyDescent="0.4">
      <c r="A257" s="52"/>
      <c r="B257" s="35"/>
      <c r="C257" s="43"/>
      <c r="D257" s="39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13">
        <f t="shared" si="47"/>
        <v>0</v>
      </c>
    </row>
    <row r="258" spans="1:30" ht="12.75" customHeight="1" x14ac:dyDescent="0.4">
      <c r="A258" s="52"/>
      <c r="B258" s="35"/>
      <c r="C258" s="43"/>
      <c r="D258" s="39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13">
        <f t="shared" si="47"/>
        <v>0</v>
      </c>
    </row>
    <row r="259" spans="1:30" ht="12.75" customHeight="1" x14ac:dyDescent="0.4">
      <c r="A259" s="16" t="s">
        <v>14</v>
      </c>
      <c r="B259" s="60" t="s">
        <v>45</v>
      </c>
      <c r="C259" s="61"/>
      <c r="D259" s="62"/>
      <c r="E259" s="13">
        <f t="shared" ref="E259:AD259" si="48">SUM(E249:E258)</f>
        <v>0</v>
      </c>
      <c r="F259" s="13">
        <f t="shared" si="48"/>
        <v>2</v>
      </c>
      <c r="G259" s="13">
        <f t="shared" si="48"/>
        <v>2</v>
      </c>
      <c r="H259" s="13">
        <f t="shared" si="48"/>
        <v>1</v>
      </c>
      <c r="I259" s="13">
        <f t="shared" si="48"/>
        <v>0</v>
      </c>
      <c r="J259" s="13">
        <f t="shared" si="48"/>
        <v>0</v>
      </c>
      <c r="K259" s="13">
        <f t="shared" si="48"/>
        <v>1</v>
      </c>
      <c r="L259" s="13">
        <f t="shared" si="48"/>
        <v>0</v>
      </c>
      <c r="M259" s="13">
        <f t="shared" si="48"/>
        <v>0</v>
      </c>
      <c r="N259" s="13">
        <f t="shared" si="48"/>
        <v>0</v>
      </c>
      <c r="O259" s="13">
        <f t="shared" si="48"/>
        <v>4</v>
      </c>
      <c r="P259" s="13">
        <f t="shared" si="48"/>
        <v>8</v>
      </c>
      <c r="Q259" s="13">
        <f t="shared" si="48"/>
        <v>2</v>
      </c>
      <c r="R259" s="13">
        <f t="shared" si="48"/>
        <v>11</v>
      </c>
      <c r="S259" s="13">
        <f t="shared" si="48"/>
        <v>7</v>
      </c>
      <c r="T259" s="13">
        <f t="shared" si="48"/>
        <v>1</v>
      </c>
      <c r="U259" s="13">
        <f t="shared" si="48"/>
        <v>6</v>
      </c>
      <c r="V259" s="13">
        <f t="shared" si="48"/>
        <v>10</v>
      </c>
      <c r="W259" s="13">
        <f t="shared" si="48"/>
        <v>9</v>
      </c>
      <c r="X259" s="13">
        <f t="shared" si="48"/>
        <v>2</v>
      </c>
      <c r="Y259" s="13">
        <f t="shared" si="48"/>
        <v>4</v>
      </c>
      <c r="Z259" s="13">
        <f t="shared" si="48"/>
        <v>1</v>
      </c>
      <c r="AA259" s="13">
        <f t="shared" si="48"/>
        <v>1</v>
      </c>
      <c r="AB259" s="13">
        <f t="shared" si="48"/>
        <v>0</v>
      </c>
      <c r="AC259" s="13">
        <f t="shared" si="48"/>
        <v>2</v>
      </c>
      <c r="AD259" s="13">
        <f t="shared" si="48"/>
        <v>74</v>
      </c>
    </row>
    <row r="260" spans="1:30" ht="12.75" customHeight="1" x14ac:dyDescent="0.4"/>
    <row r="261" spans="1:30" ht="12.75" customHeight="1" x14ac:dyDescent="0.4">
      <c r="A261" s="26" t="s">
        <v>160</v>
      </c>
      <c r="B261" s="70" t="s">
        <v>161</v>
      </c>
      <c r="C261" s="61"/>
      <c r="D261" s="62"/>
      <c r="E261" s="13"/>
      <c r="F261" s="13"/>
      <c r="G261" s="13"/>
      <c r="H261" s="13"/>
      <c r="I261" s="13"/>
      <c r="J261" s="13"/>
      <c r="K261" s="13"/>
      <c r="L261" s="13"/>
      <c r="M261" s="13"/>
      <c r="N261" s="50"/>
      <c r="O261" s="50"/>
      <c r="P261" s="50"/>
      <c r="Q261" s="50"/>
      <c r="R261" s="50"/>
      <c r="S261" s="50"/>
      <c r="T261" s="13"/>
      <c r="U261" s="13"/>
      <c r="V261" s="13"/>
      <c r="W261" s="13"/>
      <c r="X261" s="50"/>
      <c r="Y261" s="13"/>
      <c r="Z261" s="13"/>
      <c r="AA261" s="13"/>
      <c r="AB261" s="50"/>
      <c r="AC261" s="50"/>
      <c r="AD261" s="13"/>
    </row>
    <row r="262" spans="1:30" ht="12.75" customHeight="1" x14ac:dyDescent="0.4">
      <c r="A262" s="26"/>
      <c r="B262" s="45" t="s">
        <v>162</v>
      </c>
      <c r="C262" s="71" t="s">
        <v>163</v>
      </c>
      <c r="D262" s="62"/>
      <c r="E262" s="16">
        <f t="shared" ref="E262:AC262" si="49">E55+E67+E79+E91+E103+E115+E127+E139+E151+E163+E175+E187+E199+E211+E223+E235+E247+E259</f>
        <v>220</v>
      </c>
      <c r="F262" s="16">
        <f t="shared" si="49"/>
        <v>191</v>
      </c>
      <c r="G262" s="16">
        <f t="shared" si="49"/>
        <v>173</v>
      </c>
      <c r="H262" s="16">
        <f t="shared" si="49"/>
        <v>195</v>
      </c>
      <c r="I262" s="16">
        <f t="shared" si="49"/>
        <v>186</v>
      </c>
      <c r="J262" s="16">
        <f t="shared" si="49"/>
        <v>211</v>
      </c>
      <c r="K262" s="16">
        <f t="shared" si="49"/>
        <v>199</v>
      </c>
      <c r="L262" s="16">
        <f t="shared" si="49"/>
        <v>175</v>
      </c>
      <c r="M262" s="16">
        <f t="shared" si="49"/>
        <v>189</v>
      </c>
      <c r="N262" s="16">
        <f t="shared" si="49"/>
        <v>148</v>
      </c>
      <c r="O262" s="16">
        <f t="shared" si="49"/>
        <v>190</v>
      </c>
      <c r="P262" s="16">
        <f t="shared" si="49"/>
        <v>195</v>
      </c>
      <c r="Q262" s="16">
        <f t="shared" si="49"/>
        <v>191</v>
      </c>
      <c r="R262" s="16">
        <f t="shared" si="49"/>
        <v>197</v>
      </c>
      <c r="S262" s="16">
        <f t="shared" si="49"/>
        <v>184</v>
      </c>
      <c r="T262" s="16">
        <f t="shared" si="49"/>
        <v>207</v>
      </c>
      <c r="U262" s="16">
        <f t="shared" si="49"/>
        <v>207</v>
      </c>
      <c r="V262" s="16">
        <f t="shared" si="49"/>
        <v>196</v>
      </c>
      <c r="W262" s="16">
        <f t="shared" si="49"/>
        <v>188</v>
      </c>
      <c r="X262" s="16">
        <f t="shared" si="49"/>
        <v>186</v>
      </c>
      <c r="Y262" s="16">
        <f t="shared" si="49"/>
        <v>172</v>
      </c>
      <c r="Z262" s="16">
        <f t="shared" si="49"/>
        <v>227</v>
      </c>
      <c r="AA262" s="16">
        <f t="shared" si="49"/>
        <v>173</v>
      </c>
      <c r="AB262" s="16">
        <f t="shared" si="49"/>
        <v>198</v>
      </c>
      <c r="AC262" s="16">
        <f t="shared" si="49"/>
        <v>192</v>
      </c>
      <c r="AD262" s="13">
        <f t="shared" ref="AD262:AD264" si="50">SUM(E262:AC262)</f>
        <v>4790</v>
      </c>
    </row>
    <row r="263" spans="1:30" ht="12.75" customHeight="1" x14ac:dyDescent="0.4">
      <c r="A263" s="22"/>
      <c r="B263" s="45" t="s">
        <v>164</v>
      </c>
      <c r="C263" s="71" t="s">
        <v>165</v>
      </c>
      <c r="D263" s="62"/>
      <c r="E263" s="16">
        <v>19</v>
      </c>
      <c r="F263" s="16">
        <v>25</v>
      </c>
      <c r="G263" s="16">
        <v>11</v>
      </c>
      <c r="H263" s="16">
        <v>24</v>
      </c>
      <c r="I263" s="16">
        <v>29</v>
      </c>
      <c r="J263" s="16">
        <v>11</v>
      </c>
      <c r="K263" s="16">
        <v>24</v>
      </c>
      <c r="L263" s="16">
        <v>9</v>
      </c>
      <c r="M263" s="16">
        <v>18</v>
      </c>
      <c r="N263" s="16">
        <v>17</v>
      </c>
      <c r="O263" s="16">
        <v>12</v>
      </c>
      <c r="P263" s="16">
        <v>17</v>
      </c>
      <c r="Q263" s="16">
        <v>16</v>
      </c>
      <c r="R263" s="16">
        <v>19</v>
      </c>
      <c r="S263" s="16">
        <v>18</v>
      </c>
      <c r="T263" s="16">
        <v>26</v>
      </c>
      <c r="U263" s="16">
        <v>20</v>
      </c>
      <c r="V263" s="16">
        <v>19</v>
      </c>
      <c r="W263" s="16">
        <v>17</v>
      </c>
      <c r="X263" s="16">
        <v>24</v>
      </c>
      <c r="Y263" s="16">
        <v>18</v>
      </c>
      <c r="Z263" s="16">
        <v>14</v>
      </c>
      <c r="AA263" s="16">
        <v>16</v>
      </c>
      <c r="AB263" s="16">
        <v>26</v>
      </c>
      <c r="AC263" s="16">
        <v>13</v>
      </c>
      <c r="AD263" s="13">
        <f t="shared" si="50"/>
        <v>462</v>
      </c>
    </row>
    <row r="264" spans="1:30" ht="12.75" customHeight="1" x14ac:dyDescent="0.4">
      <c r="A264" s="25"/>
      <c r="B264" s="45" t="s">
        <v>166</v>
      </c>
      <c r="C264" s="71" t="s">
        <v>167</v>
      </c>
      <c r="D264" s="62"/>
      <c r="E264" s="13">
        <f t="shared" ref="E264:AC264" si="51">SUM(E262:E263)</f>
        <v>239</v>
      </c>
      <c r="F264" s="13">
        <f t="shared" si="51"/>
        <v>216</v>
      </c>
      <c r="G264" s="13">
        <f t="shared" si="51"/>
        <v>184</v>
      </c>
      <c r="H264" s="13">
        <f t="shared" si="51"/>
        <v>219</v>
      </c>
      <c r="I264" s="13">
        <f t="shared" si="51"/>
        <v>215</v>
      </c>
      <c r="J264" s="13">
        <f t="shared" si="51"/>
        <v>222</v>
      </c>
      <c r="K264" s="13">
        <f t="shared" si="51"/>
        <v>223</v>
      </c>
      <c r="L264" s="13">
        <f t="shared" si="51"/>
        <v>184</v>
      </c>
      <c r="M264" s="13">
        <f t="shared" si="51"/>
        <v>207</v>
      </c>
      <c r="N264" s="13">
        <f t="shared" si="51"/>
        <v>165</v>
      </c>
      <c r="O264" s="13">
        <f t="shared" si="51"/>
        <v>202</v>
      </c>
      <c r="P264" s="13">
        <f t="shared" si="51"/>
        <v>212</v>
      </c>
      <c r="Q264" s="13">
        <f t="shared" si="51"/>
        <v>207</v>
      </c>
      <c r="R264" s="13">
        <f t="shared" si="51"/>
        <v>216</v>
      </c>
      <c r="S264" s="13">
        <f t="shared" si="51"/>
        <v>202</v>
      </c>
      <c r="T264" s="13">
        <f t="shared" si="51"/>
        <v>233</v>
      </c>
      <c r="U264" s="13">
        <f t="shared" si="51"/>
        <v>227</v>
      </c>
      <c r="V264" s="13">
        <f t="shared" si="51"/>
        <v>215</v>
      </c>
      <c r="W264" s="13">
        <f t="shared" si="51"/>
        <v>205</v>
      </c>
      <c r="X264" s="13">
        <f t="shared" si="51"/>
        <v>210</v>
      </c>
      <c r="Y264" s="13">
        <f t="shared" si="51"/>
        <v>190</v>
      </c>
      <c r="Z264" s="13">
        <f t="shared" si="51"/>
        <v>241</v>
      </c>
      <c r="AA264" s="13">
        <f t="shared" si="51"/>
        <v>189</v>
      </c>
      <c r="AB264" s="13">
        <f t="shared" si="51"/>
        <v>224</v>
      </c>
      <c r="AC264" s="13">
        <f t="shared" si="51"/>
        <v>205</v>
      </c>
      <c r="AD264" s="13">
        <f t="shared" si="50"/>
        <v>5252</v>
      </c>
    </row>
    <row r="265" spans="1:30" ht="12.75" customHeight="1" x14ac:dyDescent="0.4"/>
    <row r="266" spans="1:30" ht="12.75" customHeight="1" x14ac:dyDescent="0.4"/>
    <row r="267" spans="1:30" ht="12.75" customHeight="1" x14ac:dyDescent="0.4"/>
    <row r="268" spans="1:30" ht="12.75" customHeight="1" x14ac:dyDescent="0.4"/>
    <row r="269" spans="1:30" ht="12.75" customHeight="1" x14ac:dyDescent="0.4"/>
    <row r="270" spans="1:30" ht="12.75" customHeight="1" x14ac:dyDescent="0.4"/>
    <row r="271" spans="1:30" ht="12.75" customHeight="1" x14ac:dyDescent="0.4"/>
    <row r="272" spans="1:30" ht="12.75" customHeight="1" x14ac:dyDescent="0.4"/>
    <row r="273" ht="12.75" customHeight="1" x14ac:dyDescent="0.4"/>
    <row r="274" ht="12.75" customHeight="1" x14ac:dyDescent="0.4"/>
    <row r="275" ht="12.75" customHeight="1" x14ac:dyDescent="0.4"/>
    <row r="276" ht="12.75" customHeight="1" x14ac:dyDescent="0.4"/>
    <row r="277" ht="12.75" customHeight="1" x14ac:dyDescent="0.4"/>
    <row r="278" ht="12.75" customHeight="1" x14ac:dyDescent="0.4"/>
    <row r="279" ht="12.75" customHeight="1" x14ac:dyDescent="0.4"/>
    <row r="280" ht="12.75" customHeight="1" x14ac:dyDescent="0.4"/>
    <row r="281" ht="12.75" customHeight="1" x14ac:dyDescent="0.4"/>
    <row r="282" ht="12.75" customHeight="1" x14ac:dyDescent="0.4"/>
    <row r="283" ht="12.75" customHeight="1" x14ac:dyDescent="0.4"/>
    <row r="284" ht="12.75" customHeight="1" x14ac:dyDescent="0.4"/>
    <row r="285" ht="12.75" customHeight="1" x14ac:dyDescent="0.4"/>
    <row r="286" ht="12.75" customHeight="1" x14ac:dyDescent="0.4"/>
    <row r="287" ht="12.75" customHeight="1" x14ac:dyDescent="0.4"/>
    <row r="288" ht="12.75" customHeight="1" x14ac:dyDescent="0.4"/>
    <row r="289" ht="12.75" customHeight="1" x14ac:dyDescent="0.4"/>
    <row r="290" ht="12.75" customHeight="1" x14ac:dyDescent="0.4"/>
    <row r="291" ht="12.75" customHeight="1" x14ac:dyDescent="0.4"/>
    <row r="292" ht="12.75" customHeight="1" x14ac:dyDescent="0.4"/>
    <row r="293" ht="12.75" customHeight="1" x14ac:dyDescent="0.4"/>
    <row r="294" ht="12.75" customHeight="1" x14ac:dyDescent="0.4"/>
    <row r="295" ht="12.75" customHeight="1" x14ac:dyDescent="0.4"/>
    <row r="296" ht="12.75" customHeight="1" x14ac:dyDescent="0.4"/>
    <row r="297" ht="12.75" customHeight="1" x14ac:dyDescent="0.4"/>
    <row r="298" ht="12.75" customHeight="1" x14ac:dyDescent="0.4"/>
    <row r="299" ht="12.75" customHeight="1" x14ac:dyDescent="0.4"/>
    <row r="300" ht="12.75" customHeight="1" x14ac:dyDescent="0.4"/>
    <row r="301" ht="12.75" customHeight="1" x14ac:dyDescent="0.4"/>
    <row r="302" ht="12.75" customHeight="1" x14ac:dyDescent="0.4"/>
    <row r="303" ht="12.75" customHeight="1" x14ac:dyDescent="0.4"/>
    <row r="304" ht="12.75" customHeight="1" x14ac:dyDescent="0.4"/>
    <row r="305" ht="12.75" customHeight="1" x14ac:dyDescent="0.4"/>
    <row r="306" ht="12.75" customHeight="1" x14ac:dyDescent="0.4"/>
    <row r="307" ht="12.75" customHeight="1" x14ac:dyDescent="0.4"/>
    <row r="308" ht="12.75" customHeight="1" x14ac:dyDescent="0.4"/>
    <row r="309" ht="12.75" customHeight="1" x14ac:dyDescent="0.4"/>
    <row r="310" ht="12.75" customHeight="1" x14ac:dyDescent="0.4"/>
    <row r="311" ht="12.75" customHeight="1" x14ac:dyDescent="0.4"/>
    <row r="312" ht="12.75" customHeight="1" x14ac:dyDescent="0.4"/>
    <row r="313" ht="12.75" customHeight="1" x14ac:dyDescent="0.4"/>
    <row r="314" ht="12.75" customHeight="1" x14ac:dyDescent="0.4"/>
    <row r="315" ht="12.75" customHeight="1" x14ac:dyDescent="0.4"/>
    <row r="316" ht="12.75" customHeight="1" x14ac:dyDescent="0.4"/>
    <row r="317" ht="12.75" customHeight="1" x14ac:dyDescent="0.4"/>
    <row r="318" ht="12.75" customHeight="1" x14ac:dyDescent="0.4"/>
    <row r="319" ht="12.75" customHeight="1" x14ac:dyDescent="0.4"/>
    <row r="320" ht="12.75" customHeight="1" x14ac:dyDescent="0.4"/>
    <row r="321" ht="12.75" customHeight="1" x14ac:dyDescent="0.4"/>
    <row r="322" ht="12.75" customHeight="1" x14ac:dyDescent="0.4"/>
    <row r="323" ht="12.75" customHeight="1" x14ac:dyDescent="0.4"/>
    <row r="324" ht="12.75" customHeight="1" x14ac:dyDescent="0.4"/>
    <row r="325" ht="12.75" customHeight="1" x14ac:dyDescent="0.4"/>
    <row r="326" ht="12.75" customHeight="1" x14ac:dyDescent="0.4"/>
    <row r="327" ht="12.75" customHeight="1" x14ac:dyDescent="0.4"/>
    <row r="328" ht="12.75" customHeight="1" x14ac:dyDescent="0.4"/>
    <row r="329" ht="12.75" customHeight="1" x14ac:dyDescent="0.4"/>
    <row r="330" ht="12.75" customHeight="1" x14ac:dyDescent="0.4"/>
    <row r="331" ht="12.75" customHeight="1" x14ac:dyDescent="0.4"/>
    <row r="332" ht="12.75" customHeight="1" x14ac:dyDescent="0.4"/>
    <row r="333" ht="12.75" customHeight="1" x14ac:dyDescent="0.4"/>
    <row r="334" ht="12.75" customHeight="1" x14ac:dyDescent="0.4"/>
    <row r="335" ht="12.75" customHeight="1" x14ac:dyDescent="0.4"/>
    <row r="336" ht="12.75" customHeight="1" x14ac:dyDescent="0.4"/>
    <row r="337" ht="12.75" customHeight="1" x14ac:dyDescent="0.4"/>
    <row r="338" ht="12.75" customHeight="1" x14ac:dyDescent="0.4"/>
    <row r="339" ht="12.75" customHeight="1" x14ac:dyDescent="0.4"/>
    <row r="340" ht="12.75" customHeight="1" x14ac:dyDescent="0.4"/>
    <row r="341" ht="12.75" customHeight="1" x14ac:dyDescent="0.4"/>
    <row r="342" ht="12.75" customHeight="1" x14ac:dyDescent="0.4"/>
    <row r="343" ht="12.75" customHeight="1" x14ac:dyDescent="0.4"/>
    <row r="344" ht="12.75" customHeight="1" x14ac:dyDescent="0.4"/>
    <row r="345" ht="12.75" customHeight="1" x14ac:dyDescent="0.4"/>
    <row r="346" ht="12.75" customHeight="1" x14ac:dyDescent="0.4"/>
    <row r="347" ht="12.75" customHeight="1" x14ac:dyDescent="0.4"/>
    <row r="348" ht="12.75" customHeight="1" x14ac:dyDescent="0.4"/>
    <row r="349" ht="12.75" customHeight="1" x14ac:dyDescent="0.4"/>
    <row r="350" ht="12.75" customHeight="1" x14ac:dyDescent="0.4"/>
    <row r="351" ht="12.75" customHeight="1" x14ac:dyDescent="0.4"/>
    <row r="352" ht="12.75" customHeight="1" x14ac:dyDescent="0.4"/>
    <row r="353" ht="12.75" customHeight="1" x14ac:dyDescent="0.4"/>
    <row r="354" ht="12.75" customHeight="1" x14ac:dyDescent="0.4"/>
    <row r="355" ht="12.75" customHeight="1" x14ac:dyDescent="0.4"/>
    <row r="356" ht="12.75" customHeight="1" x14ac:dyDescent="0.4"/>
    <row r="357" ht="12.75" customHeight="1" x14ac:dyDescent="0.4"/>
    <row r="358" ht="12.75" customHeight="1" x14ac:dyDescent="0.4"/>
    <row r="359" ht="12.75" customHeight="1" x14ac:dyDescent="0.4"/>
    <row r="360" ht="12.75" customHeight="1" x14ac:dyDescent="0.4"/>
    <row r="361" ht="12.75" customHeight="1" x14ac:dyDescent="0.4"/>
    <row r="362" ht="12.75" customHeight="1" x14ac:dyDescent="0.4"/>
    <row r="363" ht="12.75" customHeight="1" x14ac:dyDescent="0.4"/>
    <row r="364" ht="12.75" customHeight="1" x14ac:dyDescent="0.4"/>
    <row r="365" ht="12.75" customHeight="1" x14ac:dyDescent="0.4"/>
    <row r="366" ht="12.75" customHeight="1" x14ac:dyDescent="0.4"/>
    <row r="367" ht="12.75" customHeight="1" x14ac:dyDescent="0.4"/>
    <row r="368" ht="12.75" customHeight="1" x14ac:dyDescent="0.4"/>
    <row r="369" ht="12.75" customHeight="1" x14ac:dyDescent="0.4"/>
    <row r="370" ht="12.75" customHeight="1" x14ac:dyDescent="0.4"/>
    <row r="371" ht="12.75" customHeight="1" x14ac:dyDescent="0.4"/>
    <row r="372" ht="12.75" customHeight="1" x14ac:dyDescent="0.4"/>
    <row r="373" ht="12.75" customHeight="1" x14ac:dyDescent="0.4"/>
    <row r="374" ht="12.75" customHeight="1" x14ac:dyDescent="0.4"/>
    <row r="375" ht="12.75" customHeight="1" x14ac:dyDescent="0.4"/>
    <row r="376" ht="12.75" customHeight="1" x14ac:dyDescent="0.4"/>
    <row r="377" ht="12.75" customHeight="1" x14ac:dyDescent="0.4"/>
    <row r="378" ht="12.75" customHeight="1" x14ac:dyDescent="0.4"/>
    <row r="379" ht="12.75" customHeight="1" x14ac:dyDescent="0.4"/>
    <row r="380" ht="12.75" customHeight="1" x14ac:dyDescent="0.4"/>
    <row r="381" ht="12.75" customHeight="1" x14ac:dyDescent="0.4"/>
    <row r="382" ht="12.75" customHeight="1" x14ac:dyDescent="0.4"/>
    <row r="383" ht="12.75" customHeight="1" x14ac:dyDescent="0.4"/>
    <row r="384" ht="12.75" customHeight="1" x14ac:dyDescent="0.4"/>
    <row r="385" ht="12.75" customHeight="1" x14ac:dyDescent="0.4"/>
    <row r="386" ht="12.75" customHeight="1" x14ac:dyDescent="0.4"/>
    <row r="387" ht="12.75" customHeight="1" x14ac:dyDescent="0.4"/>
    <row r="388" ht="12.75" customHeight="1" x14ac:dyDescent="0.4"/>
    <row r="389" ht="12.75" customHeight="1" x14ac:dyDescent="0.4"/>
    <row r="390" ht="12.75" customHeight="1" x14ac:dyDescent="0.4"/>
    <row r="391" ht="12.75" customHeight="1" x14ac:dyDescent="0.4"/>
    <row r="392" ht="12.75" customHeight="1" x14ac:dyDescent="0.4"/>
    <row r="393" ht="12.75" customHeight="1" x14ac:dyDescent="0.4"/>
    <row r="394" ht="12.75" customHeight="1" x14ac:dyDescent="0.4"/>
    <row r="395" ht="12.75" customHeight="1" x14ac:dyDescent="0.4"/>
    <row r="396" ht="12.75" customHeight="1" x14ac:dyDescent="0.4"/>
    <row r="397" ht="12.75" customHeight="1" x14ac:dyDescent="0.4"/>
    <row r="398" ht="12.75" customHeight="1" x14ac:dyDescent="0.4"/>
    <row r="399" ht="12.75" customHeight="1" x14ac:dyDescent="0.4"/>
    <row r="400" ht="12.75" customHeight="1" x14ac:dyDescent="0.4"/>
    <row r="401" ht="12.75" customHeight="1" x14ac:dyDescent="0.4"/>
    <row r="402" ht="12.75" customHeight="1" x14ac:dyDescent="0.4"/>
    <row r="403" ht="12.75" customHeight="1" x14ac:dyDescent="0.4"/>
    <row r="404" ht="12.75" customHeight="1" x14ac:dyDescent="0.4"/>
    <row r="405" ht="12.75" customHeight="1" x14ac:dyDescent="0.4"/>
    <row r="406" ht="12.75" customHeight="1" x14ac:dyDescent="0.4"/>
    <row r="407" ht="12.75" customHeight="1" x14ac:dyDescent="0.4"/>
    <row r="408" ht="12.75" customHeight="1" x14ac:dyDescent="0.4"/>
    <row r="409" ht="12.75" customHeight="1" x14ac:dyDescent="0.4"/>
    <row r="410" ht="12.75" customHeight="1" x14ac:dyDescent="0.4"/>
    <row r="411" ht="12.75" customHeight="1" x14ac:dyDescent="0.4"/>
    <row r="412" ht="12.75" customHeight="1" x14ac:dyDescent="0.4"/>
    <row r="413" ht="12.75" customHeight="1" x14ac:dyDescent="0.4"/>
    <row r="414" ht="12.75" customHeight="1" x14ac:dyDescent="0.4"/>
    <row r="415" ht="12.75" customHeight="1" x14ac:dyDescent="0.4"/>
    <row r="416" ht="12.75" customHeight="1" x14ac:dyDescent="0.4"/>
    <row r="417" ht="12.75" customHeight="1" x14ac:dyDescent="0.4"/>
    <row r="418" ht="12.75" customHeight="1" x14ac:dyDescent="0.4"/>
    <row r="419" ht="12.75" customHeight="1" x14ac:dyDescent="0.4"/>
    <row r="420" ht="12.75" customHeight="1" x14ac:dyDescent="0.4"/>
    <row r="421" ht="12.75" customHeight="1" x14ac:dyDescent="0.4"/>
    <row r="422" ht="12.75" customHeight="1" x14ac:dyDescent="0.4"/>
    <row r="423" ht="12.75" customHeight="1" x14ac:dyDescent="0.4"/>
    <row r="424" ht="12.75" customHeight="1" x14ac:dyDescent="0.4"/>
    <row r="425" ht="12.75" customHeight="1" x14ac:dyDescent="0.4"/>
    <row r="426" ht="12.75" customHeight="1" x14ac:dyDescent="0.4"/>
    <row r="427" ht="12.75" customHeight="1" x14ac:dyDescent="0.4"/>
    <row r="428" ht="12.75" customHeight="1" x14ac:dyDescent="0.4"/>
    <row r="429" ht="12.75" customHeight="1" x14ac:dyDescent="0.4"/>
    <row r="430" ht="12.75" customHeight="1" x14ac:dyDescent="0.4"/>
    <row r="431" ht="12.75" customHeight="1" x14ac:dyDescent="0.4"/>
    <row r="432" ht="12.75" customHeight="1" x14ac:dyDescent="0.4"/>
    <row r="433" ht="12.75" customHeight="1" x14ac:dyDescent="0.4"/>
    <row r="434" ht="12.75" customHeight="1" x14ac:dyDescent="0.4"/>
    <row r="435" ht="12.75" customHeight="1" x14ac:dyDescent="0.4"/>
    <row r="436" ht="12.75" customHeight="1" x14ac:dyDescent="0.4"/>
    <row r="437" ht="12.75" customHeight="1" x14ac:dyDescent="0.4"/>
    <row r="438" ht="12.75" customHeight="1" x14ac:dyDescent="0.4"/>
    <row r="439" ht="12.75" customHeight="1" x14ac:dyDescent="0.4"/>
    <row r="440" ht="12.75" customHeight="1" x14ac:dyDescent="0.4"/>
    <row r="441" ht="12.75" customHeight="1" x14ac:dyDescent="0.4"/>
    <row r="442" ht="12.75" customHeight="1" x14ac:dyDescent="0.4"/>
    <row r="443" ht="12.75" customHeight="1" x14ac:dyDescent="0.4"/>
    <row r="444" ht="12.75" customHeight="1" x14ac:dyDescent="0.4"/>
    <row r="445" ht="12.75" customHeight="1" x14ac:dyDescent="0.4"/>
    <row r="446" ht="12.75" customHeight="1" x14ac:dyDescent="0.4"/>
    <row r="447" ht="12.75" customHeight="1" x14ac:dyDescent="0.4"/>
    <row r="448" ht="12.75" customHeight="1" x14ac:dyDescent="0.4"/>
    <row r="449" ht="12.75" customHeight="1" x14ac:dyDescent="0.4"/>
    <row r="450" ht="12.75" customHeight="1" x14ac:dyDescent="0.4"/>
    <row r="451" ht="12.75" customHeight="1" x14ac:dyDescent="0.4"/>
    <row r="452" ht="12.75" customHeight="1" x14ac:dyDescent="0.4"/>
    <row r="453" ht="12.75" customHeight="1" x14ac:dyDescent="0.4"/>
    <row r="454" ht="12.75" customHeight="1" x14ac:dyDescent="0.4"/>
    <row r="455" ht="12.75" customHeight="1" x14ac:dyDescent="0.4"/>
    <row r="456" ht="12.75" customHeight="1" x14ac:dyDescent="0.4"/>
    <row r="457" ht="12.75" customHeight="1" x14ac:dyDescent="0.4"/>
    <row r="458" ht="12.75" customHeight="1" x14ac:dyDescent="0.4"/>
    <row r="459" ht="12.75" customHeight="1" x14ac:dyDescent="0.4"/>
    <row r="460" ht="12.75" customHeight="1" x14ac:dyDescent="0.4"/>
    <row r="461" ht="12.75" customHeight="1" x14ac:dyDescent="0.4"/>
    <row r="462" ht="12.75" customHeight="1" x14ac:dyDescent="0.4"/>
    <row r="463" ht="12.75" customHeight="1" x14ac:dyDescent="0.4"/>
    <row r="464" ht="12.75" customHeight="1" x14ac:dyDescent="0.4"/>
    <row r="465" ht="12.75" customHeight="1" x14ac:dyDescent="0.4"/>
    <row r="466" ht="12.75" customHeight="1" x14ac:dyDescent="0.4"/>
    <row r="467" ht="12.75" customHeight="1" x14ac:dyDescent="0.4"/>
    <row r="468" ht="12.75" customHeight="1" x14ac:dyDescent="0.4"/>
    <row r="469" ht="12.75" customHeight="1" x14ac:dyDescent="0.4"/>
    <row r="470" ht="12.75" customHeight="1" x14ac:dyDescent="0.4"/>
    <row r="471" ht="12.75" customHeight="1" x14ac:dyDescent="0.4"/>
    <row r="472" ht="12.75" customHeight="1" x14ac:dyDescent="0.4"/>
    <row r="473" ht="12.75" customHeight="1" x14ac:dyDescent="0.4"/>
    <row r="474" ht="12.75" customHeight="1" x14ac:dyDescent="0.4"/>
    <row r="475" ht="12.75" customHeight="1" x14ac:dyDescent="0.4"/>
    <row r="476" ht="12.75" customHeight="1" x14ac:dyDescent="0.4"/>
    <row r="477" ht="12.75" customHeight="1" x14ac:dyDescent="0.4"/>
    <row r="478" ht="12.75" customHeight="1" x14ac:dyDescent="0.4"/>
    <row r="479" ht="12.75" customHeight="1" x14ac:dyDescent="0.4"/>
    <row r="480" ht="12.75" customHeight="1" x14ac:dyDescent="0.4"/>
    <row r="481" ht="12.75" customHeight="1" x14ac:dyDescent="0.4"/>
    <row r="482" ht="12.75" customHeight="1" x14ac:dyDescent="0.4"/>
    <row r="483" ht="12.75" customHeight="1" x14ac:dyDescent="0.4"/>
    <row r="484" ht="12.75" customHeight="1" x14ac:dyDescent="0.4"/>
    <row r="485" ht="12.75" customHeight="1" x14ac:dyDescent="0.4"/>
    <row r="486" ht="12.75" customHeight="1" x14ac:dyDescent="0.4"/>
    <row r="487" ht="12.75" customHeight="1" x14ac:dyDescent="0.4"/>
    <row r="488" ht="12.75" customHeight="1" x14ac:dyDescent="0.4"/>
    <row r="489" ht="12.75" customHeight="1" x14ac:dyDescent="0.4"/>
    <row r="490" ht="12.75" customHeight="1" x14ac:dyDescent="0.4"/>
    <row r="491" ht="12.75" customHeight="1" x14ac:dyDescent="0.4"/>
    <row r="492" ht="12.75" customHeight="1" x14ac:dyDescent="0.4"/>
    <row r="493" ht="12.75" customHeight="1" x14ac:dyDescent="0.4"/>
    <row r="494" ht="12.75" customHeight="1" x14ac:dyDescent="0.4"/>
    <row r="495" ht="12.75" customHeight="1" x14ac:dyDescent="0.4"/>
    <row r="496" ht="12.75" customHeight="1" x14ac:dyDescent="0.4"/>
    <row r="497" ht="12.75" customHeight="1" x14ac:dyDescent="0.4"/>
    <row r="498" ht="12.75" customHeight="1" x14ac:dyDescent="0.4"/>
    <row r="499" ht="12.75" customHeight="1" x14ac:dyDescent="0.4"/>
    <row r="500" ht="12.75" customHeight="1" x14ac:dyDescent="0.4"/>
    <row r="501" ht="12.75" customHeight="1" x14ac:dyDescent="0.4"/>
    <row r="502" ht="12.75" customHeight="1" x14ac:dyDescent="0.4"/>
    <row r="503" ht="12.75" customHeight="1" x14ac:dyDescent="0.4"/>
    <row r="504" ht="12.75" customHeight="1" x14ac:dyDescent="0.4"/>
    <row r="505" ht="12.75" customHeight="1" x14ac:dyDescent="0.4"/>
    <row r="506" ht="12.75" customHeight="1" x14ac:dyDescent="0.4"/>
    <row r="507" ht="12.75" customHeight="1" x14ac:dyDescent="0.4"/>
    <row r="508" ht="12.75" customHeight="1" x14ac:dyDescent="0.4"/>
    <row r="509" ht="12.75" customHeight="1" x14ac:dyDescent="0.4"/>
    <row r="510" ht="12.75" customHeight="1" x14ac:dyDescent="0.4"/>
    <row r="511" ht="12.75" customHeight="1" x14ac:dyDescent="0.4"/>
    <row r="512" ht="12.75" customHeight="1" x14ac:dyDescent="0.4"/>
    <row r="513" ht="12.75" customHeight="1" x14ac:dyDescent="0.4"/>
    <row r="514" ht="12.75" customHeight="1" x14ac:dyDescent="0.4"/>
    <row r="515" ht="12.75" customHeight="1" x14ac:dyDescent="0.4"/>
    <row r="516" ht="12.75" customHeight="1" x14ac:dyDescent="0.4"/>
    <row r="517" ht="12.75" customHeight="1" x14ac:dyDescent="0.4"/>
    <row r="518" ht="12.75" customHeight="1" x14ac:dyDescent="0.4"/>
    <row r="519" ht="12.75" customHeight="1" x14ac:dyDescent="0.4"/>
    <row r="520" ht="12.75" customHeight="1" x14ac:dyDescent="0.4"/>
    <row r="521" ht="12.75" customHeight="1" x14ac:dyDescent="0.4"/>
    <row r="522" ht="12.75" customHeight="1" x14ac:dyDescent="0.4"/>
    <row r="523" ht="12.75" customHeight="1" x14ac:dyDescent="0.4"/>
    <row r="524" ht="12.75" customHeight="1" x14ac:dyDescent="0.4"/>
    <row r="525" ht="12.75" customHeight="1" x14ac:dyDescent="0.4"/>
    <row r="526" ht="12.75" customHeight="1" x14ac:dyDescent="0.4"/>
    <row r="527" ht="12.75" customHeight="1" x14ac:dyDescent="0.4"/>
    <row r="528" ht="12.75" customHeight="1" x14ac:dyDescent="0.4"/>
    <row r="529" ht="12.75" customHeight="1" x14ac:dyDescent="0.4"/>
    <row r="530" ht="12.75" customHeight="1" x14ac:dyDescent="0.4"/>
    <row r="531" ht="12.75" customHeight="1" x14ac:dyDescent="0.4"/>
    <row r="532" ht="12.75" customHeight="1" x14ac:dyDescent="0.4"/>
    <row r="533" ht="12.75" customHeight="1" x14ac:dyDescent="0.4"/>
    <row r="534" ht="12.75" customHeight="1" x14ac:dyDescent="0.4"/>
    <row r="535" ht="12.75" customHeight="1" x14ac:dyDescent="0.4"/>
    <row r="536" ht="12.75" customHeight="1" x14ac:dyDescent="0.4"/>
    <row r="537" ht="12.75" customHeight="1" x14ac:dyDescent="0.4"/>
    <row r="538" ht="12.75" customHeight="1" x14ac:dyDescent="0.4"/>
    <row r="539" ht="12.75" customHeight="1" x14ac:dyDescent="0.4"/>
    <row r="540" ht="12.75" customHeight="1" x14ac:dyDescent="0.4"/>
    <row r="541" ht="12.75" customHeight="1" x14ac:dyDescent="0.4"/>
    <row r="542" ht="12.75" customHeight="1" x14ac:dyDescent="0.4"/>
    <row r="543" ht="12.75" customHeight="1" x14ac:dyDescent="0.4"/>
    <row r="544" ht="12.75" customHeight="1" x14ac:dyDescent="0.4"/>
    <row r="545" ht="12.75" customHeight="1" x14ac:dyDescent="0.4"/>
    <row r="546" ht="12.75" customHeight="1" x14ac:dyDescent="0.4"/>
    <row r="547" ht="12.75" customHeight="1" x14ac:dyDescent="0.4"/>
    <row r="548" ht="12.75" customHeight="1" x14ac:dyDescent="0.4"/>
    <row r="549" ht="12.75" customHeight="1" x14ac:dyDescent="0.4"/>
    <row r="550" ht="12.75" customHeight="1" x14ac:dyDescent="0.4"/>
    <row r="551" ht="12.75" customHeight="1" x14ac:dyDescent="0.4"/>
    <row r="552" ht="12.75" customHeight="1" x14ac:dyDescent="0.4"/>
    <row r="553" ht="12.75" customHeight="1" x14ac:dyDescent="0.4"/>
    <row r="554" ht="12.75" customHeight="1" x14ac:dyDescent="0.4"/>
    <row r="555" ht="12.75" customHeight="1" x14ac:dyDescent="0.4"/>
    <row r="556" ht="12.75" customHeight="1" x14ac:dyDescent="0.4"/>
    <row r="557" ht="12.75" customHeight="1" x14ac:dyDescent="0.4"/>
    <row r="558" ht="12.75" customHeight="1" x14ac:dyDescent="0.4"/>
    <row r="559" ht="12.75" customHeight="1" x14ac:dyDescent="0.4"/>
    <row r="560" ht="12.75" customHeight="1" x14ac:dyDescent="0.4"/>
    <row r="561" ht="12.75" customHeight="1" x14ac:dyDescent="0.4"/>
    <row r="562" ht="12.75" customHeight="1" x14ac:dyDescent="0.4"/>
    <row r="563" ht="12.75" customHeight="1" x14ac:dyDescent="0.4"/>
    <row r="564" ht="12.75" customHeight="1" x14ac:dyDescent="0.4"/>
    <row r="565" ht="12.75" customHeight="1" x14ac:dyDescent="0.4"/>
    <row r="566" ht="12.75" customHeight="1" x14ac:dyDescent="0.4"/>
    <row r="567" ht="12.75" customHeight="1" x14ac:dyDescent="0.4"/>
    <row r="568" ht="12.75" customHeight="1" x14ac:dyDescent="0.4"/>
    <row r="569" ht="12.75" customHeight="1" x14ac:dyDescent="0.4"/>
    <row r="570" ht="12.75" customHeight="1" x14ac:dyDescent="0.4"/>
    <row r="571" ht="12.75" customHeight="1" x14ac:dyDescent="0.4"/>
    <row r="572" ht="12.75" customHeight="1" x14ac:dyDescent="0.4"/>
    <row r="573" ht="12.75" customHeight="1" x14ac:dyDescent="0.4"/>
    <row r="574" ht="12.75" customHeight="1" x14ac:dyDescent="0.4"/>
    <row r="575" ht="12.75" customHeight="1" x14ac:dyDescent="0.4"/>
    <row r="576" ht="12.75" customHeight="1" x14ac:dyDescent="0.4"/>
    <row r="577" ht="12.75" customHeight="1" x14ac:dyDescent="0.4"/>
    <row r="578" ht="12.75" customHeight="1" x14ac:dyDescent="0.4"/>
    <row r="579" ht="12.75" customHeight="1" x14ac:dyDescent="0.4"/>
    <row r="580" ht="12.75" customHeight="1" x14ac:dyDescent="0.4"/>
    <row r="581" ht="12.75" customHeight="1" x14ac:dyDescent="0.4"/>
    <row r="582" ht="12.75" customHeight="1" x14ac:dyDescent="0.4"/>
    <row r="583" ht="12.75" customHeight="1" x14ac:dyDescent="0.4"/>
    <row r="584" ht="12.75" customHeight="1" x14ac:dyDescent="0.4"/>
    <row r="585" ht="12.75" customHeight="1" x14ac:dyDescent="0.4"/>
    <row r="586" ht="12.75" customHeight="1" x14ac:dyDescent="0.4"/>
    <row r="587" ht="12.75" customHeight="1" x14ac:dyDescent="0.4"/>
    <row r="588" ht="12.75" customHeight="1" x14ac:dyDescent="0.4"/>
    <row r="589" ht="12.75" customHeight="1" x14ac:dyDescent="0.4"/>
    <row r="590" ht="12.75" customHeight="1" x14ac:dyDescent="0.4"/>
    <row r="591" ht="12.75" customHeight="1" x14ac:dyDescent="0.4"/>
    <row r="592" ht="12.75" customHeight="1" x14ac:dyDescent="0.4"/>
    <row r="593" ht="12.75" customHeight="1" x14ac:dyDescent="0.4"/>
    <row r="594" ht="12.75" customHeight="1" x14ac:dyDescent="0.4"/>
    <row r="595" ht="12.75" customHeight="1" x14ac:dyDescent="0.4"/>
    <row r="596" ht="12.75" customHeight="1" x14ac:dyDescent="0.4"/>
    <row r="597" ht="12.75" customHeight="1" x14ac:dyDescent="0.4"/>
    <row r="598" ht="12.75" customHeight="1" x14ac:dyDescent="0.4"/>
    <row r="599" ht="12.75" customHeight="1" x14ac:dyDescent="0.4"/>
    <row r="600" ht="12.75" customHeight="1" x14ac:dyDescent="0.4"/>
    <row r="601" ht="12.75" customHeight="1" x14ac:dyDescent="0.4"/>
    <row r="602" ht="12.75" customHeight="1" x14ac:dyDescent="0.4"/>
    <row r="603" ht="12.75" customHeight="1" x14ac:dyDescent="0.4"/>
    <row r="604" ht="12.75" customHeight="1" x14ac:dyDescent="0.4"/>
    <row r="605" ht="12.75" customHeight="1" x14ac:dyDescent="0.4"/>
    <row r="606" ht="12.75" customHeight="1" x14ac:dyDescent="0.4"/>
    <row r="607" ht="12.75" customHeight="1" x14ac:dyDescent="0.4"/>
    <row r="608" ht="12.75" customHeight="1" x14ac:dyDescent="0.4"/>
    <row r="609" ht="12.75" customHeight="1" x14ac:dyDescent="0.4"/>
    <row r="610" ht="12.75" customHeight="1" x14ac:dyDescent="0.4"/>
    <row r="611" ht="12.75" customHeight="1" x14ac:dyDescent="0.4"/>
    <row r="612" ht="12.75" customHeight="1" x14ac:dyDescent="0.4"/>
    <row r="613" ht="12.75" customHeight="1" x14ac:dyDescent="0.4"/>
    <row r="614" ht="12.75" customHeight="1" x14ac:dyDescent="0.4"/>
    <row r="615" ht="12.75" customHeight="1" x14ac:dyDescent="0.4"/>
    <row r="616" ht="12.75" customHeight="1" x14ac:dyDescent="0.4"/>
    <row r="617" ht="12.75" customHeight="1" x14ac:dyDescent="0.4"/>
    <row r="618" ht="12.75" customHeight="1" x14ac:dyDescent="0.4"/>
    <row r="619" ht="12.75" customHeight="1" x14ac:dyDescent="0.4"/>
    <row r="620" ht="12.75" customHeight="1" x14ac:dyDescent="0.4"/>
    <row r="621" ht="12.75" customHeight="1" x14ac:dyDescent="0.4"/>
    <row r="622" ht="12.75" customHeight="1" x14ac:dyDescent="0.4"/>
    <row r="623" ht="12.75" customHeight="1" x14ac:dyDescent="0.4"/>
    <row r="624" ht="12.75" customHeight="1" x14ac:dyDescent="0.4"/>
    <row r="625" ht="12.75" customHeight="1" x14ac:dyDescent="0.4"/>
    <row r="626" ht="12.75" customHeight="1" x14ac:dyDescent="0.4"/>
    <row r="627" ht="12.75" customHeight="1" x14ac:dyDescent="0.4"/>
    <row r="628" ht="12.75" customHeight="1" x14ac:dyDescent="0.4"/>
    <row r="629" ht="12.75" customHeight="1" x14ac:dyDescent="0.4"/>
    <row r="630" ht="12.75" customHeight="1" x14ac:dyDescent="0.4"/>
    <row r="631" ht="12.75" customHeight="1" x14ac:dyDescent="0.4"/>
    <row r="632" ht="12.75" customHeight="1" x14ac:dyDescent="0.4"/>
    <row r="633" ht="12.75" customHeight="1" x14ac:dyDescent="0.4"/>
    <row r="634" ht="12.75" customHeight="1" x14ac:dyDescent="0.4"/>
    <row r="635" ht="12.75" customHeight="1" x14ac:dyDescent="0.4"/>
    <row r="636" ht="12.75" customHeight="1" x14ac:dyDescent="0.4"/>
    <row r="637" ht="12.75" customHeight="1" x14ac:dyDescent="0.4"/>
    <row r="638" ht="12.75" customHeight="1" x14ac:dyDescent="0.4"/>
    <row r="639" ht="12.75" customHeight="1" x14ac:dyDescent="0.4"/>
    <row r="640" ht="12.75" customHeight="1" x14ac:dyDescent="0.4"/>
    <row r="641" ht="12.75" customHeight="1" x14ac:dyDescent="0.4"/>
    <row r="642" ht="12.75" customHeight="1" x14ac:dyDescent="0.4"/>
    <row r="643" ht="12.75" customHeight="1" x14ac:dyDescent="0.4"/>
    <row r="644" ht="12.75" customHeight="1" x14ac:dyDescent="0.4"/>
    <row r="645" ht="12.75" customHeight="1" x14ac:dyDescent="0.4"/>
    <row r="646" ht="12.75" customHeight="1" x14ac:dyDescent="0.4"/>
    <row r="647" ht="12.75" customHeight="1" x14ac:dyDescent="0.4"/>
    <row r="648" ht="12.75" customHeight="1" x14ac:dyDescent="0.4"/>
    <row r="649" ht="12.75" customHeight="1" x14ac:dyDescent="0.4"/>
    <row r="650" ht="12.75" customHeight="1" x14ac:dyDescent="0.4"/>
    <row r="651" ht="12.75" customHeight="1" x14ac:dyDescent="0.4"/>
    <row r="652" ht="12.75" customHeight="1" x14ac:dyDescent="0.4"/>
    <row r="653" ht="12.75" customHeight="1" x14ac:dyDescent="0.4"/>
    <row r="654" ht="12.75" customHeight="1" x14ac:dyDescent="0.4"/>
    <row r="655" ht="12.75" customHeight="1" x14ac:dyDescent="0.4"/>
    <row r="656" ht="12.75" customHeight="1" x14ac:dyDescent="0.4"/>
    <row r="657" ht="12.75" customHeight="1" x14ac:dyDescent="0.4"/>
    <row r="658" ht="12.75" customHeight="1" x14ac:dyDescent="0.4"/>
    <row r="659" ht="12.75" customHeight="1" x14ac:dyDescent="0.4"/>
    <row r="660" ht="12.75" customHeight="1" x14ac:dyDescent="0.4"/>
    <row r="661" ht="12.75" customHeight="1" x14ac:dyDescent="0.4"/>
    <row r="662" ht="12.75" customHeight="1" x14ac:dyDescent="0.4"/>
    <row r="663" ht="12.75" customHeight="1" x14ac:dyDescent="0.4"/>
    <row r="664" ht="12.75" customHeight="1" x14ac:dyDescent="0.4"/>
    <row r="665" ht="12.75" customHeight="1" x14ac:dyDescent="0.4"/>
    <row r="666" ht="12.75" customHeight="1" x14ac:dyDescent="0.4"/>
    <row r="667" ht="12.75" customHeight="1" x14ac:dyDescent="0.4"/>
    <row r="668" ht="12.75" customHeight="1" x14ac:dyDescent="0.4"/>
    <row r="669" ht="12.75" customHeight="1" x14ac:dyDescent="0.4"/>
    <row r="670" ht="12.75" customHeight="1" x14ac:dyDescent="0.4"/>
    <row r="671" ht="12.75" customHeight="1" x14ac:dyDescent="0.4"/>
    <row r="672" ht="12.75" customHeight="1" x14ac:dyDescent="0.4"/>
    <row r="673" ht="12.75" customHeight="1" x14ac:dyDescent="0.4"/>
    <row r="674" ht="12.75" customHeight="1" x14ac:dyDescent="0.4"/>
    <row r="675" ht="12.75" customHeight="1" x14ac:dyDescent="0.4"/>
    <row r="676" ht="12.75" customHeight="1" x14ac:dyDescent="0.4"/>
    <row r="677" ht="12.75" customHeight="1" x14ac:dyDescent="0.4"/>
    <row r="678" ht="12.75" customHeight="1" x14ac:dyDescent="0.4"/>
    <row r="679" ht="12.75" customHeight="1" x14ac:dyDescent="0.4"/>
    <row r="680" ht="12.75" customHeight="1" x14ac:dyDescent="0.4"/>
    <row r="681" ht="12.75" customHeight="1" x14ac:dyDescent="0.4"/>
    <row r="682" ht="12.75" customHeight="1" x14ac:dyDescent="0.4"/>
    <row r="683" ht="12.75" customHeight="1" x14ac:dyDescent="0.4"/>
    <row r="684" ht="12.75" customHeight="1" x14ac:dyDescent="0.4"/>
    <row r="685" ht="12.75" customHeight="1" x14ac:dyDescent="0.4"/>
    <row r="686" ht="12.75" customHeight="1" x14ac:dyDescent="0.4"/>
    <row r="687" ht="12.75" customHeight="1" x14ac:dyDescent="0.4"/>
    <row r="688" ht="12.75" customHeight="1" x14ac:dyDescent="0.4"/>
    <row r="689" ht="12.75" customHeight="1" x14ac:dyDescent="0.4"/>
    <row r="690" ht="12.75" customHeight="1" x14ac:dyDescent="0.4"/>
    <row r="691" ht="12.75" customHeight="1" x14ac:dyDescent="0.4"/>
    <row r="692" ht="12.75" customHeight="1" x14ac:dyDescent="0.4"/>
    <row r="693" ht="12.75" customHeight="1" x14ac:dyDescent="0.4"/>
    <row r="694" ht="12.75" customHeight="1" x14ac:dyDescent="0.4"/>
    <row r="695" ht="12.75" customHeight="1" x14ac:dyDescent="0.4"/>
    <row r="696" ht="12.75" customHeight="1" x14ac:dyDescent="0.4"/>
    <row r="697" ht="12.75" customHeight="1" x14ac:dyDescent="0.4"/>
    <row r="698" ht="12.75" customHeight="1" x14ac:dyDescent="0.4"/>
    <row r="699" ht="12.75" customHeight="1" x14ac:dyDescent="0.4"/>
    <row r="700" ht="12.75" customHeight="1" x14ac:dyDescent="0.4"/>
    <row r="701" ht="12.75" customHeight="1" x14ac:dyDescent="0.4"/>
    <row r="702" ht="12.75" customHeight="1" x14ac:dyDescent="0.4"/>
    <row r="703" ht="12.75" customHeight="1" x14ac:dyDescent="0.4"/>
    <row r="704" ht="12.75" customHeight="1" x14ac:dyDescent="0.4"/>
    <row r="705" ht="12.75" customHeight="1" x14ac:dyDescent="0.4"/>
    <row r="706" ht="12.75" customHeight="1" x14ac:dyDescent="0.4"/>
    <row r="707" ht="12.75" customHeight="1" x14ac:dyDescent="0.4"/>
    <row r="708" ht="12.75" customHeight="1" x14ac:dyDescent="0.4"/>
    <row r="709" ht="12.75" customHeight="1" x14ac:dyDescent="0.4"/>
    <row r="710" ht="12.75" customHeight="1" x14ac:dyDescent="0.4"/>
    <row r="711" ht="12.75" customHeight="1" x14ac:dyDescent="0.4"/>
    <row r="712" ht="12.75" customHeight="1" x14ac:dyDescent="0.4"/>
    <row r="713" ht="12.75" customHeight="1" x14ac:dyDescent="0.4"/>
    <row r="714" ht="12.75" customHeight="1" x14ac:dyDescent="0.4"/>
    <row r="715" ht="12.75" customHeight="1" x14ac:dyDescent="0.4"/>
    <row r="716" ht="12.75" customHeight="1" x14ac:dyDescent="0.4"/>
    <row r="717" ht="12.75" customHeight="1" x14ac:dyDescent="0.4"/>
    <row r="718" ht="12.75" customHeight="1" x14ac:dyDescent="0.4"/>
    <row r="719" ht="12.75" customHeight="1" x14ac:dyDescent="0.4"/>
    <row r="720" ht="12.75" customHeight="1" x14ac:dyDescent="0.4"/>
    <row r="721" ht="12.75" customHeight="1" x14ac:dyDescent="0.4"/>
    <row r="722" ht="12.75" customHeight="1" x14ac:dyDescent="0.4"/>
    <row r="723" ht="12.75" customHeight="1" x14ac:dyDescent="0.4"/>
    <row r="724" ht="12.75" customHeight="1" x14ac:dyDescent="0.4"/>
    <row r="725" ht="12.75" customHeight="1" x14ac:dyDescent="0.4"/>
    <row r="726" ht="12.75" customHeight="1" x14ac:dyDescent="0.4"/>
    <row r="727" ht="12.75" customHeight="1" x14ac:dyDescent="0.4"/>
    <row r="728" ht="12.75" customHeight="1" x14ac:dyDescent="0.4"/>
    <row r="729" ht="12.75" customHeight="1" x14ac:dyDescent="0.4"/>
    <row r="730" ht="12.75" customHeight="1" x14ac:dyDescent="0.4"/>
    <row r="731" ht="12.75" customHeight="1" x14ac:dyDescent="0.4"/>
    <row r="732" ht="12.75" customHeight="1" x14ac:dyDescent="0.4"/>
    <row r="733" ht="12.75" customHeight="1" x14ac:dyDescent="0.4"/>
    <row r="734" ht="12.75" customHeight="1" x14ac:dyDescent="0.4"/>
    <row r="735" ht="12.75" customHeight="1" x14ac:dyDescent="0.4"/>
    <row r="736" ht="12.75" customHeight="1" x14ac:dyDescent="0.4"/>
    <row r="737" ht="12.75" customHeight="1" x14ac:dyDescent="0.4"/>
    <row r="738" ht="12.75" customHeight="1" x14ac:dyDescent="0.4"/>
    <row r="739" ht="12.75" customHeight="1" x14ac:dyDescent="0.4"/>
    <row r="740" ht="12.75" customHeight="1" x14ac:dyDescent="0.4"/>
    <row r="741" ht="12.75" customHeight="1" x14ac:dyDescent="0.4"/>
    <row r="742" ht="12.75" customHeight="1" x14ac:dyDescent="0.4"/>
    <row r="743" ht="12.75" customHeight="1" x14ac:dyDescent="0.4"/>
    <row r="744" ht="12.75" customHeight="1" x14ac:dyDescent="0.4"/>
    <row r="745" ht="12.75" customHeight="1" x14ac:dyDescent="0.4"/>
    <row r="746" ht="12.75" customHeight="1" x14ac:dyDescent="0.4"/>
    <row r="747" ht="12.75" customHeight="1" x14ac:dyDescent="0.4"/>
    <row r="748" ht="12.75" customHeight="1" x14ac:dyDescent="0.4"/>
    <row r="749" ht="12.75" customHeight="1" x14ac:dyDescent="0.4"/>
    <row r="750" ht="12.75" customHeight="1" x14ac:dyDescent="0.4"/>
    <row r="751" ht="12.75" customHeight="1" x14ac:dyDescent="0.4"/>
    <row r="752" ht="12.75" customHeight="1" x14ac:dyDescent="0.4"/>
    <row r="753" ht="12.75" customHeight="1" x14ac:dyDescent="0.4"/>
    <row r="754" ht="12.75" customHeight="1" x14ac:dyDescent="0.4"/>
    <row r="755" ht="12.75" customHeight="1" x14ac:dyDescent="0.4"/>
    <row r="756" ht="12.75" customHeight="1" x14ac:dyDescent="0.4"/>
    <row r="757" ht="12.75" customHeight="1" x14ac:dyDescent="0.4"/>
    <row r="758" ht="12.75" customHeight="1" x14ac:dyDescent="0.4"/>
    <row r="759" ht="12.75" customHeight="1" x14ac:dyDescent="0.4"/>
    <row r="760" ht="12.75" customHeight="1" x14ac:dyDescent="0.4"/>
    <row r="761" ht="12.75" customHeight="1" x14ac:dyDescent="0.4"/>
    <row r="762" ht="12.75" customHeight="1" x14ac:dyDescent="0.4"/>
    <row r="763" ht="12.75" customHeight="1" x14ac:dyDescent="0.4"/>
    <row r="764" ht="12.75" customHeight="1" x14ac:dyDescent="0.4"/>
    <row r="765" ht="12.75" customHeight="1" x14ac:dyDescent="0.4"/>
    <row r="766" ht="12.75" customHeight="1" x14ac:dyDescent="0.4"/>
    <row r="767" ht="12.75" customHeight="1" x14ac:dyDescent="0.4"/>
    <row r="768" ht="12.75" customHeight="1" x14ac:dyDescent="0.4"/>
    <row r="769" ht="12.75" customHeight="1" x14ac:dyDescent="0.4"/>
    <row r="770" ht="12.75" customHeight="1" x14ac:dyDescent="0.4"/>
    <row r="771" ht="12.75" customHeight="1" x14ac:dyDescent="0.4"/>
    <row r="772" ht="12.75" customHeight="1" x14ac:dyDescent="0.4"/>
    <row r="773" ht="12.75" customHeight="1" x14ac:dyDescent="0.4"/>
    <row r="774" ht="12.75" customHeight="1" x14ac:dyDescent="0.4"/>
    <row r="775" ht="12.75" customHeight="1" x14ac:dyDescent="0.4"/>
    <row r="776" ht="12.75" customHeight="1" x14ac:dyDescent="0.4"/>
    <row r="777" ht="12.75" customHeight="1" x14ac:dyDescent="0.4"/>
    <row r="778" ht="12.75" customHeight="1" x14ac:dyDescent="0.4"/>
    <row r="779" ht="12.75" customHeight="1" x14ac:dyDescent="0.4"/>
    <row r="780" ht="12.75" customHeight="1" x14ac:dyDescent="0.4"/>
    <row r="781" ht="12.75" customHeight="1" x14ac:dyDescent="0.4"/>
    <row r="782" ht="12.75" customHeight="1" x14ac:dyDescent="0.4"/>
    <row r="783" ht="12.75" customHeight="1" x14ac:dyDescent="0.4"/>
    <row r="784" ht="12.75" customHeight="1" x14ac:dyDescent="0.4"/>
    <row r="785" ht="12.75" customHeight="1" x14ac:dyDescent="0.4"/>
    <row r="786" ht="12.75" customHeight="1" x14ac:dyDescent="0.4"/>
    <row r="787" ht="12.75" customHeight="1" x14ac:dyDescent="0.4"/>
    <row r="788" ht="12.75" customHeight="1" x14ac:dyDescent="0.4"/>
    <row r="789" ht="12.75" customHeight="1" x14ac:dyDescent="0.4"/>
    <row r="790" ht="12.75" customHeight="1" x14ac:dyDescent="0.4"/>
    <row r="791" ht="12.75" customHeight="1" x14ac:dyDescent="0.4"/>
    <row r="792" ht="12.75" customHeight="1" x14ac:dyDescent="0.4"/>
    <row r="793" ht="12.75" customHeight="1" x14ac:dyDescent="0.4"/>
    <row r="794" ht="12.75" customHeight="1" x14ac:dyDescent="0.4"/>
    <row r="795" ht="12.75" customHeight="1" x14ac:dyDescent="0.4"/>
    <row r="796" ht="12.75" customHeight="1" x14ac:dyDescent="0.4"/>
    <row r="797" ht="12.75" customHeight="1" x14ac:dyDescent="0.4"/>
    <row r="798" ht="12.75" customHeight="1" x14ac:dyDescent="0.4"/>
    <row r="799" ht="12.75" customHeight="1" x14ac:dyDescent="0.4"/>
    <row r="800" ht="12.75" customHeight="1" x14ac:dyDescent="0.4"/>
    <row r="801" ht="12.75" customHeight="1" x14ac:dyDescent="0.4"/>
    <row r="802" ht="12.75" customHeight="1" x14ac:dyDescent="0.4"/>
    <row r="803" ht="12.75" customHeight="1" x14ac:dyDescent="0.4"/>
    <row r="804" ht="12.75" customHeight="1" x14ac:dyDescent="0.4"/>
    <row r="805" ht="12.75" customHeight="1" x14ac:dyDescent="0.4"/>
    <row r="806" ht="12.75" customHeight="1" x14ac:dyDescent="0.4"/>
    <row r="807" ht="12.75" customHeight="1" x14ac:dyDescent="0.4"/>
    <row r="808" ht="12.75" customHeight="1" x14ac:dyDescent="0.4"/>
    <row r="809" ht="12.75" customHeight="1" x14ac:dyDescent="0.4"/>
    <row r="810" ht="12.75" customHeight="1" x14ac:dyDescent="0.4"/>
    <row r="811" ht="12.75" customHeight="1" x14ac:dyDescent="0.4"/>
    <row r="812" ht="12.75" customHeight="1" x14ac:dyDescent="0.4"/>
    <row r="813" ht="12.75" customHeight="1" x14ac:dyDescent="0.4"/>
    <row r="814" ht="12.75" customHeight="1" x14ac:dyDescent="0.4"/>
    <row r="815" ht="12.75" customHeight="1" x14ac:dyDescent="0.4"/>
    <row r="816" ht="12.75" customHeight="1" x14ac:dyDescent="0.4"/>
    <row r="817" ht="12.75" customHeight="1" x14ac:dyDescent="0.4"/>
    <row r="818" ht="12.75" customHeight="1" x14ac:dyDescent="0.4"/>
    <row r="819" ht="12.75" customHeight="1" x14ac:dyDescent="0.4"/>
    <row r="820" ht="12.75" customHeight="1" x14ac:dyDescent="0.4"/>
    <row r="821" ht="12.75" customHeight="1" x14ac:dyDescent="0.4"/>
    <row r="822" ht="12.75" customHeight="1" x14ac:dyDescent="0.4"/>
    <row r="823" ht="12.75" customHeight="1" x14ac:dyDescent="0.4"/>
    <row r="824" ht="12.75" customHeight="1" x14ac:dyDescent="0.4"/>
    <row r="825" ht="12.75" customHeight="1" x14ac:dyDescent="0.4"/>
    <row r="826" ht="12.75" customHeight="1" x14ac:dyDescent="0.4"/>
    <row r="827" ht="12.75" customHeight="1" x14ac:dyDescent="0.4"/>
    <row r="828" ht="12.75" customHeight="1" x14ac:dyDescent="0.4"/>
    <row r="829" ht="12.75" customHeight="1" x14ac:dyDescent="0.4"/>
    <row r="830" ht="12.75" customHeight="1" x14ac:dyDescent="0.4"/>
    <row r="831" ht="12.75" customHeight="1" x14ac:dyDescent="0.4"/>
    <row r="832" ht="12.75" customHeight="1" x14ac:dyDescent="0.4"/>
    <row r="833" ht="12.75" customHeight="1" x14ac:dyDescent="0.4"/>
    <row r="834" ht="12.75" customHeight="1" x14ac:dyDescent="0.4"/>
    <row r="835" ht="12.75" customHeight="1" x14ac:dyDescent="0.4"/>
    <row r="836" ht="12.75" customHeight="1" x14ac:dyDescent="0.4"/>
    <row r="837" ht="12.75" customHeight="1" x14ac:dyDescent="0.4"/>
    <row r="838" ht="12.75" customHeight="1" x14ac:dyDescent="0.4"/>
    <row r="839" ht="12.75" customHeight="1" x14ac:dyDescent="0.4"/>
    <row r="840" ht="12.75" customHeight="1" x14ac:dyDescent="0.4"/>
    <row r="841" ht="12.75" customHeight="1" x14ac:dyDescent="0.4"/>
    <row r="842" ht="12.75" customHeight="1" x14ac:dyDescent="0.4"/>
    <row r="843" ht="12.75" customHeight="1" x14ac:dyDescent="0.4"/>
    <row r="844" ht="12.75" customHeight="1" x14ac:dyDescent="0.4"/>
    <row r="845" ht="12.75" customHeight="1" x14ac:dyDescent="0.4"/>
    <row r="846" ht="12.75" customHeight="1" x14ac:dyDescent="0.4"/>
    <row r="847" ht="12.75" customHeight="1" x14ac:dyDescent="0.4"/>
    <row r="848" ht="12.75" customHeight="1" x14ac:dyDescent="0.4"/>
    <row r="849" ht="12.75" customHeight="1" x14ac:dyDescent="0.4"/>
    <row r="850" ht="12.75" customHeight="1" x14ac:dyDescent="0.4"/>
    <row r="851" ht="12.75" customHeight="1" x14ac:dyDescent="0.4"/>
    <row r="852" ht="12.75" customHeight="1" x14ac:dyDescent="0.4"/>
    <row r="853" ht="12.75" customHeight="1" x14ac:dyDescent="0.4"/>
    <row r="854" ht="12.75" customHeight="1" x14ac:dyDescent="0.4"/>
    <row r="855" ht="12.75" customHeight="1" x14ac:dyDescent="0.4"/>
    <row r="856" ht="12.75" customHeight="1" x14ac:dyDescent="0.4"/>
    <row r="857" ht="12.75" customHeight="1" x14ac:dyDescent="0.4"/>
    <row r="858" ht="12.75" customHeight="1" x14ac:dyDescent="0.4"/>
    <row r="859" ht="12.75" customHeight="1" x14ac:dyDescent="0.4"/>
    <row r="860" ht="12.75" customHeight="1" x14ac:dyDescent="0.4"/>
    <row r="861" ht="12.75" customHeight="1" x14ac:dyDescent="0.4"/>
    <row r="862" ht="12.75" customHeight="1" x14ac:dyDescent="0.4"/>
    <row r="863" ht="12.75" customHeight="1" x14ac:dyDescent="0.4"/>
    <row r="864" ht="12.75" customHeight="1" x14ac:dyDescent="0.4"/>
    <row r="865" ht="12.75" customHeight="1" x14ac:dyDescent="0.4"/>
    <row r="866" ht="12.75" customHeight="1" x14ac:dyDescent="0.4"/>
    <row r="867" ht="12.75" customHeight="1" x14ac:dyDescent="0.4"/>
    <row r="868" ht="12.75" customHeight="1" x14ac:dyDescent="0.4"/>
    <row r="869" ht="12.75" customHeight="1" x14ac:dyDescent="0.4"/>
    <row r="870" ht="12.75" customHeight="1" x14ac:dyDescent="0.4"/>
    <row r="871" ht="12.75" customHeight="1" x14ac:dyDescent="0.4"/>
    <row r="872" ht="12.75" customHeight="1" x14ac:dyDescent="0.4"/>
    <row r="873" ht="12.75" customHeight="1" x14ac:dyDescent="0.4"/>
    <row r="874" ht="12.75" customHeight="1" x14ac:dyDescent="0.4"/>
    <row r="875" ht="12.75" customHeight="1" x14ac:dyDescent="0.4"/>
    <row r="876" ht="12.75" customHeight="1" x14ac:dyDescent="0.4"/>
    <row r="877" ht="12.75" customHeight="1" x14ac:dyDescent="0.4"/>
    <row r="878" ht="12.75" customHeight="1" x14ac:dyDescent="0.4"/>
    <row r="879" ht="12.75" customHeight="1" x14ac:dyDescent="0.4"/>
    <row r="880" ht="12.75" customHeight="1" x14ac:dyDescent="0.4"/>
    <row r="881" ht="12.75" customHeight="1" x14ac:dyDescent="0.4"/>
    <row r="882" ht="12.75" customHeight="1" x14ac:dyDescent="0.4"/>
    <row r="883" ht="12.75" customHeight="1" x14ac:dyDescent="0.4"/>
    <row r="884" ht="12.75" customHeight="1" x14ac:dyDescent="0.4"/>
    <row r="885" ht="12.75" customHeight="1" x14ac:dyDescent="0.4"/>
    <row r="886" ht="12.75" customHeight="1" x14ac:dyDescent="0.4"/>
    <row r="887" ht="12.75" customHeight="1" x14ac:dyDescent="0.4"/>
    <row r="888" ht="12.75" customHeight="1" x14ac:dyDescent="0.4"/>
    <row r="889" ht="12.75" customHeight="1" x14ac:dyDescent="0.4"/>
    <row r="890" ht="12.75" customHeight="1" x14ac:dyDescent="0.4"/>
    <row r="891" ht="12.75" customHeight="1" x14ac:dyDescent="0.4"/>
    <row r="892" ht="12.75" customHeight="1" x14ac:dyDescent="0.4"/>
    <row r="893" ht="12.75" customHeight="1" x14ac:dyDescent="0.4"/>
    <row r="894" ht="12.75" customHeight="1" x14ac:dyDescent="0.4"/>
    <row r="895" ht="12.75" customHeight="1" x14ac:dyDescent="0.4"/>
    <row r="896" ht="12.75" customHeight="1" x14ac:dyDescent="0.4"/>
    <row r="897" ht="12.75" customHeight="1" x14ac:dyDescent="0.4"/>
    <row r="898" ht="12.75" customHeight="1" x14ac:dyDescent="0.4"/>
    <row r="899" ht="12.75" customHeight="1" x14ac:dyDescent="0.4"/>
    <row r="900" ht="12.75" customHeight="1" x14ac:dyDescent="0.4"/>
    <row r="901" ht="12.75" customHeight="1" x14ac:dyDescent="0.4"/>
    <row r="902" ht="12.75" customHeight="1" x14ac:dyDescent="0.4"/>
    <row r="903" ht="12.75" customHeight="1" x14ac:dyDescent="0.4"/>
    <row r="904" ht="12.75" customHeight="1" x14ac:dyDescent="0.4"/>
    <row r="905" ht="12.75" customHeight="1" x14ac:dyDescent="0.4"/>
    <row r="906" ht="12.75" customHeight="1" x14ac:dyDescent="0.4"/>
    <row r="907" ht="12.75" customHeight="1" x14ac:dyDescent="0.4"/>
    <row r="908" ht="12.75" customHeight="1" x14ac:dyDescent="0.4"/>
    <row r="909" ht="12.75" customHeight="1" x14ac:dyDescent="0.4"/>
    <row r="910" ht="12.75" customHeight="1" x14ac:dyDescent="0.4"/>
    <row r="911" ht="12.75" customHeight="1" x14ac:dyDescent="0.4"/>
    <row r="912" ht="12.75" customHeight="1" x14ac:dyDescent="0.4"/>
    <row r="913" ht="12.75" customHeight="1" x14ac:dyDescent="0.4"/>
    <row r="914" ht="12.75" customHeight="1" x14ac:dyDescent="0.4"/>
    <row r="915" ht="12.75" customHeight="1" x14ac:dyDescent="0.4"/>
    <row r="916" ht="12.75" customHeight="1" x14ac:dyDescent="0.4"/>
    <row r="917" ht="12.75" customHeight="1" x14ac:dyDescent="0.4"/>
    <row r="918" ht="12.75" customHeight="1" x14ac:dyDescent="0.4"/>
    <row r="919" ht="12.75" customHeight="1" x14ac:dyDescent="0.4"/>
    <row r="920" ht="12.75" customHeight="1" x14ac:dyDescent="0.4"/>
    <row r="921" ht="12.75" customHeight="1" x14ac:dyDescent="0.4"/>
    <row r="922" ht="12.75" customHeight="1" x14ac:dyDescent="0.4"/>
    <row r="923" ht="12.75" customHeight="1" x14ac:dyDescent="0.4"/>
    <row r="924" ht="12.75" customHeight="1" x14ac:dyDescent="0.4"/>
    <row r="925" ht="12.75" customHeight="1" x14ac:dyDescent="0.4"/>
    <row r="926" ht="12.75" customHeight="1" x14ac:dyDescent="0.4"/>
    <row r="927" ht="12.75" customHeight="1" x14ac:dyDescent="0.4"/>
    <row r="928" ht="12.75" customHeight="1" x14ac:dyDescent="0.4"/>
    <row r="929" ht="12.75" customHeight="1" x14ac:dyDescent="0.4"/>
    <row r="930" ht="12.75" customHeight="1" x14ac:dyDescent="0.4"/>
    <row r="931" ht="12.75" customHeight="1" x14ac:dyDescent="0.4"/>
    <row r="932" ht="12.75" customHeight="1" x14ac:dyDescent="0.4"/>
    <row r="933" ht="12.75" customHeight="1" x14ac:dyDescent="0.4"/>
    <row r="934" ht="12.75" customHeight="1" x14ac:dyDescent="0.4"/>
    <row r="935" ht="12.75" customHeight="1" x14ac:dyDescent="0.4"/>
    <row r="936" ht="12.75" customHeight="1" x14ac:dyDescent="0.4"/>
    <row r="937" ht="12.75" customHeight="1" x14ac:dyDescent="0.4"/>
    <row r="938" ht="12.75" customHeight="1" x14ac:dyDescent="0.4"/>
    <row r="939" ht="12.75" customHeight="1" x14ac:dyDescent="0.4"/>
    <row r="940" ht="12.75" customHeight="1" x14ac:dyDescent="0.4"/>
    <row r="941" ht="12.75" customHeight="1" x14ac:dyDescent="0.4"/>
    <row r="942" ht="12.75" customHeight="1" x14ac:dyDescent="0.4"/>
    <row r="943" ht="12.75" customHeight="1" x14ac:dyDescent="0.4"/>
    <row r="944" ht="12.75" customHeight="1" x14ac:dyDescent="0.4"/>
    <row r="945" ht="12.75" customHeight="1" x14ac:dyDescent="0.4"/>
    <row r="946" ht="12.75" customHeight="1" x14ac:dyDescent="0.4"/>
    <row r="947" ht="12.75" customHeight="1" x14ac:dyDescent="0.4"/>
    <row r="948" ht="12.75" customHeight="1" x14ac:dyDescent="0.4"/>
    <row r="949" ht="12.75" customHeight="1" x14ac:dyDescent="0.4"/>
    <row r="950" ht="12.75" customHeight="1" x14ac:dyDescent="0.4"/>
    <row r="951" ht="12.75" customHeight="1" x14ac:dyDescent="0.4"/>
    <row r="952" ht="12.75" customHeight="1" x14ac:dyDescent="0.4"/>
    <row r="953" ht="12.75" customHeight="1" x14ac:dyDescent="0.4"/>
    <row r="954" ht="12.75" customHeight="1" x14ac:dyDescent="0.4"/>
    <row r="955" ht="12.75" customHeight="1" x14ac:dyDescent="0.4"/>
    <row r="956" ht="12.75" customHeight="1" x14ac:dyDescent="0.4"/>
    <row r="957" ht="12.75" customHeight="1" x14ac:dyDescent="0.4"/>
    <row r="958" ht="12.75" customHeight="1" x14ac:dyDescent="0.4"/>
    <row r="959" ht="12.75" customHeight="1" x14ac:dyDescent="0.4"/>
    <row r="960" ht="12.75" customHeight="1" x14ac:dyDescent="0.4"/>
    <row r="961" ht="12.75" customHeight="1" x14ac:dyDescent="0.4"/>
    <row r="962" ht="12.75" customHeight="1" x14ac:dyDescent="0.4"/>
    <row r="963" ht="12.75" customHeight="1" x14ac:dyDescent="0.4"/>
    <row r="964" ht="12.75" customHeight="1" x14ac:dyDescent="0.4"/>
    <row r="965" ht="12.75" customHeight="1" x14ac:dyDescent="0.4"/>
    <row r="966" ht="12.75" customHeight="1" x14ac:dyDescent="0.4"/>
    <row r="967" ht="12.75" customHeight="1" x14ac:dyDescent="0.4"/>
    <row r="968" ht="12.75" customHeight="1" x14ac:dyDescent="0.4"/>
    <row r="969" ht="12.75" customHeight="1" x14ac:dyDescent="0.4"/>
    <row r="970" ht="12.75" customHeight="1" x14ac:dyDescent="0.4"/>
    <row r="971" ht="12.75" customHeight="1" x14ac:dyDescent="0.4"/>
    <row r="972" ht="12.75" customHeight="1" x14ac:dyDescent="0.4"/>
    <row r="973" ht="12.75" customHeight="1" x14ac:dyDescent="0.4"/>
    <row r="974" ht="12.75" customHeight="1" x14ac:dyDescent="0.4"/>
    <row r="975" ht="12.75" customHeight="1" x14ac:dyDescent="0.4"/>
    <row r="976" ht="12.75" customHeight="1" x14ac:dyDescent="0.4"/>
    <row r="977" ht="12.75" customHeight="1" x14ac:dyDescent="0.4"/>
    <row r="978" ht="12.75" customHeight="1" x14ac:dyDescent="0.4"/>
    <row r="979" ht="12.75" customHeight="1" x14ac:dyDescent="0.4"/>
    <row r="980" ht="12.75" customHeight="1" x14ac:dyDescent="0.4"/>
    <row r="981" ht="12.75" customHeight="1" x14ac:dyDescent="0.4"/>
    <row r="982" ht="12.75" customHeight="1" x14ac:dyDescent="0.4"/>
    <row r="983" ht="12.75" customHeight="1" x14ac:dyDescent="0.4"/>
    <row r="984" ht="12.75" customHeight="1" x14ac:dyDescent="0.4"/>
    <row r="985" ht="12.75" customHeight="1" x14ac:dyDescent="0.4"/>
    <row r="986" ht="12.75" customHeight="1" x14ac:dyDescent="0.4"/>
    <row r="987" ht="12.75" customHeight="1" x14ac:dyDescent="0.4"/>
    <row r="988" ht="12.75" customHeight="1" x14ac:dyDescent="0.4"/>
    <row r="989" ht="12.75" customHeight="1" x14ac:dyDescent="0.4"/>
    <row r="990" ht="12.75" customHeight="1" x14ac:dyDescent="0.4"/>
    <row r="991" ht="12.75" customHeight="1" x14ac:dyDescent="0.4"/>
    <row r="992" ht="12.75" customHeight="1" x14ac:dyDescent="0.4"/>
    <row r="993" ht="12.75" customHeight="1" x14ac:dyDescent="0.4"/>
    <row r="994" ht="12.75" customHeight="1" x14ac:dyDescent="0.4"/>
    <row r="995" ht="12.75" customHeight="1" x14ac:dyDescent="0.4"/>
    <row r="996" ht="12.75" customHeight="1" x14ac:dyDescent="0.4"/>
    <row r="997" ht="12.75" customHeight="1" x14ac:dyDescent="0.4"/>
    <row r="998" ht="12.75" customHeight="1" x14ac:dyDescent="0.4"/>
    <row r="999" ht="12.75" customHeight="1" x14ac:dyDescent="0.4"/>
    <row r="1000" ht="12.75" customHeight="1" x14ac:dyDescent="0.4"/>
  </sheetData>
  <mergeCells count="87">
    <mergeCell ref="C57:D57"/>
    <mergeCell ref="B67:D67"/>
    <mergeCell ref="A68:E68"/>
    <mergeCell ref="C69:D69"/>
    <mergeCell ref="C129:D129"/>
    <mergeCell ref="A44:D44"/>
    <mergeCell ref="C45:D45"/>
    <mergeCell ref="C52:D52"/>
    <mergeCell ref="B55:D55"/>
    <mergeCell ref="A56:E56"/>
    <mergeCell ref="B38:D38"/>
    <mergeCell ref="B39:C41"/>
    <mergeCell ref="A42:D42"/>
    <mergeCell ref="E42:I42"/>
    <mergeCell ref="B43:D43"/>
    <mergeCell ref="B25:B27"/>
    <mergeCell ref="C25:C27"/>
    <mergeCell ref="B28:B30"/>
    <mergeCell ref="A37:D37"/>
    <mergeCell ref="E37:I37"/>
    <mergeCell ref="C28:C30"/>
    <mergeCell ref="A31:D31"/>
    <mergeCell ref="B32:D32"/>
    <mergeCell ref="B33:D33"/>
    <mergeCell ref="B34:D34"/>
    <mergeCell ref="B35:D35"/>
    <mergeCell ref="B36:D36"/>
    <mergeCell ref="A17:D17"/>
    <mergeCell ref="B18:D18"/>
    <mergeCell ref="B19:B21"/>
    <mergeCell ref="C19:C21"/>
    <mergeCell ref="B22:B24"/>
    <mergeCell ref="C22:C24"/>
    <mergeCell ref="B12:D12"/>
    <mergeCell ref="E12:AC12"/>
    <mergeCell ref="AD12:AD13"/>
    <mergeCell ref="B13:D13"/>
    <mergeCell ref="B14:C16"/>
    <mergeCell ref="B261:D261"/>
    <mergeCell ref="C262:D262"/>
    <mergeCell ref="C263:D263"/>
    <mergeCell ref="C264:D264"/>
    <mergeCell ref="B235:D235"/>
    <mergeCell ref="A236:E236"/>
    <mergeCell ref="C237:D237"/>
    <mergeCell ref="B247:D247"/>
    <mergeCell ref="A248:E248"/>
    <mergeCell ref="C249:D249"/>
    <mergeCell ref="B259:D259"/>
    <mergeCell ref="A212:E212"/>
    <mergeCell ref="C213:D213"/>
    <mergeCell ref="B223:D223"/>
    <mergeCell ref="A224:E224"/>
    <mergeCell ref="C225:D225"/>
    <mergeCell ref="C189:D189"/>
    <mergeCell ref="B199:D199"/>
    <mergeCell ref="A200:E200"/>
    <mergeCell ref="C201:D201"/>
    <mergeCell ref="B211:D211"/>
    <mergeCell ref="B175:D175"/>
    <mergeCell ref="A176:E176"/>
    <mergeCell ref="C177:D177"/>
    <mergeCell ref="B187:D187"/>
    <mergeCell ref="A188:E188"/>
    <mergeCell ref="A152:E152"/>
    <mergeCell ref="C153:D153"/>
    <mergeCell ref="B163:D163"/>
    <mergeCell ref="A164:E164"/>
    <mergeCell ref="C165:D165"/>
    <mergeCell ref="A116:E116"/>
    <mergeCell ref="C117:D117"/>
    <mergeCell ref="B127:D127"/>
    <mergeCell ref="A128:E128"/>
    <mergeCell ref="B151:D151"/>
    <mergeCell ref="B139:D139"/>
    <mergeCell ref="A140:E140"/>
    <mergeCell ref="C141:D141"/>
    <mergeCell ref="C93:D93"/>
    <mergeCell ref="B103:D103"/>
    <mergeCell ref="A104:E104"/>
    <mergeCell ref="C105:D105"/>
    <mergeCell ref="B115:D115"/>
    <mergeCell ref="B79:D79"/>
    <mergeCell ref="A80:E80"/>
    <mergeCell ref="C81:D81"/>
    <mergeCell ref="B91:D91"/>
    <mergeCell ref="A92:E92"/>
  </mergeCells>
  <conditionalFormatting sqref="E13:AC13">
    <cfRule type="expression" dxfId="28" priority="29">
      <formula>E30=E264</formula>
    </cfRule>
  </conditionalFormatting>
  <conditionalFormatting sqref="E14:AC15">
    <cfRule type="containsBlanks" dxfId="27" priority="1">
      <formula>LEN(TRIM(E14))=0</formula>
    </cfRule>
  </conditionalFormatting>
  <conditionalFormatting sqref="E19:AC20">
    <cfRule type="containsBlanks" dxfId="26" priority="2">
      <formula>LEN(TRIM(E19))=0</formula>
    </cfRule>
  </conditionalFormatting>
  <conditionalFormatting sqref="E22:AC23 E25:AC26 E33:AC33 E35:AC35 E39:AC40">
    <cfRule type="containsBlanks" dxfId="25" priority="3">
      <formula>LEN(TRIM(E22))=0</formula>
    </cfRule>
  </conditionalFormatting>
  <conditionalFormatting sqref="E30:AC30">
    <cfRule type="expression" dxfId="24" priority="4">
      <formula>E30&lt;&gt;E47</formula>
    </cfRule>
    <cfRule type="expression" dxfId="23" priority="5">
      <formula>E30&lt;&gt;E34</formula>
    </cfRule>
  </conditionalFormatting>
  <conditionalFormatting sqref="E34:AC34">
    <cfRule type="expression" dxfId="22" priority="6">
      <formula>E30&lt;&gt;E34</formula>
    </cfRule>
    <cfRule type="expression" dxfId="21" priority="7">
      <formula>E30=E34</formula>
    </cfRule>
    <cfRule type="expression" dxfId="20" priority="8">
      <formula>E34&lt;&gt;E30</formula>
    </cfRule>
    <cfRule type="expression" dxfId="19" priority="9">
      <formula>E34&lt;&gt;E64</formula>
    </cfRule>
  </conditionalFormatting>
  <conditionalFormatting sqref="E45:AC54">
    <cfRule type="containsBlanks" dxfId="18" priority="10">
      <formula>LEN(TRIM(E45))=0</formula>
    </cfRule>
  </conditionalFormatting>
  <conditionalFormatting sqref="E57:AC66">
    <cfRule type="containsBlanks" dxfId="17" priority="11">
      <formula>LEN(TRIM(E57))=0</formula>
    </cfRule>
  </conditionalFormatting>
  <conditionalFormatting sqref="E69:AC78">
    <cfRule type="containsBlanks" dxfId="16" priority="12">
      <formula>LEN(TRIM(E69))=0</formula>
    </cfRule>
  </conditionalFormatting>
  <conditionalFormatting sqref="E81:AC90">
    <cfRule type="containsBlanks" dxfId="15" priority="13">
      <formula>LEN(TRIM(E81))=0</formula>
    </cfRule>
  </conditionalFormatting>
  <conditionalFormatting sqref="E93:AC102">
    <cfRule type="containsBlanks" dxfId="14" priority="14">
      <formula>LEN(TRIM(E93))=0</formula>
    </cfRule>
  </conditionalFormatting>
  <conditionalFormatting sqref="E105:AC114">
    <cfRule type="containsBlanks" dxfId="13" priority="15">
      <formula>LEN(TRIM(E105))=0</formula>
    </cfRule>
  </conditionalFormatting>
  <conditionalFormatting sqref="E117:AC126">
    <cfRule type="containsBlanks" dxfId="12" priority="16">
      <formula>LEN(TRIM(E117))=0</formula>
    </cfRule>
  </conditionalFormatting>
  <conditionalFormatting sqref="E129:AC138">
    <cfRule type="containsBlanks" dxfId="11" priority="17">
      <formula>LEN(TRIM(E129))=0</formula>
    </cfRule>
  </conditionalFormatting>
  <conditionalFormatting sqref="E141:AC150">
    <cfRule type="containsBlanks" dxfId="10" priority="18">
      <formula>LEN(TRIM(E141))=0</formula>
    </cfRule>
  </conditionalFormatting>
  <conditionalFormatting sqref="E153:AC162">
    <cfRule type="containsBlanks" dxfId="9" priority="19">
      <formula>LEN(TRIM(E153))=0</formula>
    </cfRule>
  </conditionalFormatting>
  <conditionalFormatting sqref="E165:AC174">
    <cfRule type="containsBlanks" dxfId="8" priority="20">
      <formula>LEN(TRIM(E165))=0</formula>
    </cfRule>
  </conditionalFormatting>
  <conditionalFormatting sqref="E177:AC186">
    <cfRule type="containsBlanks" dxfId="7" priority="21">
      <formula>LEN(TRIM(E177))=0</formula>
    </cfRule>
  </conditionalFormatting>
  <conditionalFormatting sqref="E189:AC198">
    <cfRule type="containsBlanks" dxfId="6" priority="22">
      <formula>LEN(TRIM(E189))=0</formula>
    </cfRule>
  </conditionalFormatting>
  <conditionalFormatting sqref="E201:AC210">
    <cfRule type="containsBlanks" dxfId="5" priority="23">
      <formula>LEN(TRIM(E201))=0</formula>
    </cfRule>
  </conditionalFormatting>
  <conditionalFormatting sqref="E213:AC222">
    <cfRule type="containsBlanks" dxfId="4" priority="24">
      <formula>LEN(TRIM(E213))=0</formula>
    </cfRule>
  </conditionalFormatting>
  <conditionalFormatting sqref="E225:AC234">
    <cfRule type="containsBlanks" dxfId="3" priority="25">
      <formula>LEN(TRIM(E225))=0</formula>
    </cfRule>
  </conditionalFormatting>
  <conditionalFormatting sqref="E237:AC246">
    <cfRule type="containsBlanks" dxfId="2" priority="26">
      <formula>LEN(TRIM(E237))=0</formula>
    </cfRule>
  </conditionalFormatting>
  <conditionalFormatting sqref="E249:AC258">
    <cfRule type="containsBlanks" dxfId="1" priority="27">
      <formula>LEN(TRIM(E249))=0</formula>
    </cfRule>
  </conditionalFormatting>
  <conditionalFormatting sqref="E262:AC263">
    <cfRule type="containsBlanks" dxfId="0" priority="28">
      <formula>LEN(TRIM(E262))=0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DPRD KABUPATEN</vt:lpstr>
      <vt:lpstr>KAMPUNGMANDAR</vt:lpstr>
      <vt:lpstr>KAMPUNGMELAYU</vt:lpstr>
      <vt:lpstr>KARANGREJO</vt:lpstr>
      <vt:lpstr>KEBALENAN</vt:lpstr>
      <vt:lpstr>KEPATIHAN</vt:lpstr>
      <vt:lpstr>KERTOSARI</vt:lpstr>
      <vt:lpstr>LATENG</vt:lpstr>
      <vt:lpstr>PAKIS</vt:lpstr>
      <vt:lpstr>PANDEREJO</vt:lpstr>
      <vt:lpstr>PENGANTIGAN</vt:lpstr>
      <vt:lpstr>PENGANJURAN</vt:lpstr>
      <vt:lpstr>SINGONEGARAN</vt:lpstr>
      <vt:lpstr>SINGOTRUNAN</vt:lpstr>
      <vt:lpstr>SOBO</vt:lpstr>
      <vt:lpstr>SUMBERREJO</vt:lpstr>
      <vt:lpstr>TAMANBARU</vt:lpstr>
      <vt:lpstr>TEMENGGUNGAN</vt:lpstr>
      <vt:lpstr>TUKANGKAYU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TEKHUM KPU BWI</dc:creator>
  <cp:lastModifiedBy>mas ambon</cp:lastModifiedBy>
  <dcterms:created xsi:type="dcterms:W3CDTF">2026-01-14T02:26:01Z</dcterms:created>
  <dcterms:modified xsi:type="dcterms:W3CDTF">2026-07-15T09:27:29Z</dcterms:modified>
</cp:coreProperties>
</file>