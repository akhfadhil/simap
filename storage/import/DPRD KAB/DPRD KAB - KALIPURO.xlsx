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KALIPURO\"/>
    </mc:Choice>
  </mc:AlternateContent>
  <xr:revisionPtr revIDLastSave="0" documentId="13_ncr:1_{75F7EA5E-AF2D-4171-BFF7-CC060843028D}" xr6:coauthVersionLast="47" xr6:coauthVersionMax="47" xr10:uidLastSave="{00000000-0000-0000-0000-000000000000}"/>
  <bookViews>
    <workbookView xWindow="0" yWindow="5715" windowWidth="21600" windowHeight="6577" tabRatio="880" activeTab="9" xr2:uid="{F263E089-6C93-4E6F-AA5B-BD89F8333161}"/>
  </bookViews>
  <sheets>
    <sheet name="DPRD KABUPATEN" sheetId="1" r:id="rId1"/>
    <sheet name="BULUSAN" sheetId="9" r:id="rId2"/>
    <sheet name="BULUSARI" sheetId="10" r:id="rId3"/>
    <sheet name="GOMBENGSARI" sheetId="11" r:id="rId4"/>
    <sheet name="KALIPURO" sheetId="15" r:id="rId5"/>
    <sheet name="KELIR" sheetId="16" r:id="rId6"/>
    <sheet name="KETAPANG" sheetId="17" r:id="rId7"/>
    <sheet name="KLATAK" sheetId="3" r:id="rId8"/>
    <sheet name="PESUCEN" sheetId="18" r:id="rId9"/>
    <sheet name="TELEMUNG" sheetId="1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3" i="19" l="1"/>
  <c r="T34" i="19"/>
  <c r="T35" i="19"/>
  <c r="E52" i="17"/>
  <c r="T88" i="16"/>
  <c r="U88" i="16"/>
  <c r="V88" i="16"/>
  <c r="AR124" i="15"/>
  <c r="AR63" i="15"/>
  <c r="AR64" i="15"/>
  <c r="AR65" i="15"/>
  <c r="AR66" i="15"/>
  <c r="AR67" i="15"/>
  <c r="AR68" i="15"/>
  <c r="AR69" i="15"/>
  <c r="AC153" i="11"/>
  <c r="AC154" i="11"/>
  <c r="AC155" i="11"/>
  <c r="AC45" i="11"/>
  <c r="AC46" i="11"/>
  <c r="AC47" i="11"/>
  <c r="AC48" i="11"/>
  <c r="AC49" i="11"/>
  <c r="AC50" i="11"/>
  <c r="AC51" i="11"/>
  <c r="AC158" i="9"/>
  <c r="AC159" i="9"/>
  <c r="AC160" i="9"/>
  <c r="AC161" i="9"/>
  <c r="AC153" i="9"/>
  <c r="AC154" i="9"/>
  <c r="AC155" i="9"/>
  <c r="AC81" i="9"/>
  <c r="AC82" i="9"/>
  <c r="AC83" i="9"/>
  <c r="AC84" i="9"/>
  <c r="AC85" i="9"/>
  <c r="AC45" i="9"/>
  <c r="AC46" i="9"/>
  <c r="AC47" i="9"/>
  <c r="AC48" i="9"/>
  <c r="AC49" i="9"/>
  <c r="AC50" i="9"/>
  <c r="AC51" i="9"/>
  <c r="T121" i="19"/>
  <c r="T120" i="19"/>
  <c r="T119" i="19"/>
  <c r="T118" i="19"/>
  <c r="T117" i="19"/>
  <c r="T116" i="19"/>
  <c r="T115" i="19"/>
  <c r="P176" i="19"/>
  <c r="O176" i="19"/>
  <c r="P171" i="19"/>
  <c r="O171" i="19"/>
  <c r="P162" i="19"/>
  <c r="O162" i="19"/>
  <c r="P156" i="19"/>
  <c r="O156" i="19"/>
  <c r="P151" i="19"/>
  <c r="O151" i="19"/>
  <c r="P142" i="19"/>
  <c r="O142" i="19"/>
  <c r="P134" i="19"/>
  <c r="O134" i="19"/>
  <c r="P125" i="19"/>
  <c r="O125" i="19"/>
  <c r="P122" i="19"/>
  <c r="O122" i="19"/>
  <c r="P113" i="19"/>
  <c r="O113" i="19"/>
  <c r="P107" i="19"/>
  <c r="O107" i="19"/>
  <c r="P98" i="19"/>
  <c r="O98" i="19"/>
  <c r="P91" i="19"/>
  <c r="O91" i="19"/>
  <c r="P88" i="19"/>
  <c r="O88" i="19"/>
  <c r="P79" i="19"/>
  <c r="O79" i="19"/>
  <c r="P70" i="19"/>
  <c r="O70" i="19"/>
  <c r="P61" i="19"/>
  <c r="O61" i="19"/>
  <c r="P52" i="19"/>
  <c r="O52" i="19"/>
  <c r="P41" i="19"/>
  <c r="O41" i="19"/>
  <c r="P36" i="19"/>
  <c r="O36" i="19"/>
  <c r="P29" i="19"/>
  <c r="O29" i="19"/>
  <c r="P28" i="19"/>
  <c r="O28" i="19"/>
  <c r="P27" i="19"/>
  <c r="O27" i="19"/>
  <c r="P24" i="19"/>
  <c r="O24" i="19"/>
  <c r="P21" i="19"/>
  <c r="O21" i="19"/>
  <c r="P16" i="19"/>
  <c r="O16" i="19"/>
  <c r="L176" i="19"/>
  <c r="K176" i="19"/>
  <c r="J176" i="19"/>
  <c r="I176" i="19"/>
  <c r="L171" i="19"/>
  <c r="K171" i="19"/>
  <c r="J171" i="19"/>
  <c r="I171" i="19"/>
  <c r="L162" i="19"/>
  <c r="K162" i="19"/>
  <c r="J162" i="19"/>
  <c r="I162" i="19"/>
  <c r="L156" i="19"/>
  <c r="K156" i="19"/>
  <c r="J156" i="19"/>
  <c r="I156" i="19"/>
  <c r="L151" i="19"/>
  <c r="K151" i="19"/>
  <c r="J151" i="19"/>
  <c r="I151" i="19"/>
  <c r="L142" i="19"/>
  <c r="K142" i="19"/>
  <c r="J142" i="19"/>
  <c r="I142" i="19"/>
  <c r="L134" i="19"/>
  <c r="K134" i="19"/>
  <c r="J134" i="19"/>
  <c r="I134" i="19"/>
  <c r="L125" i="19"/>
  <c r="K125" i="19"/>
  <c r="J125" i="19"/>
  <c r="I125" i="19"/>
  <c r="L122" i="19"/>
  <c r="K122" i="19"/>
  <c r="J122" i="19"/>
  <c r="I122" i="19"/>
  <c r="L113" i="19"/>
  <c r="K113" i="19"/>
  <c r="J113" i="19"/>
  <c r="I113" i="19"/>
  <c r="L107" i="19"/>
  <c r="K107" i="19"/>
  <c r="J107" i="19"/>
  <c r="I107" i="19"/>
  <c r="L98" i="19"/>
  <c r="K98" i="19"/>
  <c r="J98" i="19"/>
  <c r="I98" i="19"/>
  <c r="L91" i="19"/>
  <c r="K91" i="19"/>
  <c r="J91" i="19"/>
  <c r="I91" i="19"/>
  <c r="L88" i="19"/>
  <c r="K88" i="19"/>
  <c r="J88" i="19"/>
  <c r="I88" i="19"/>
  <c r="L79" i="19"/>
  <c r="K79" i="19"/>
  <c r="J79" i="19"/>
  <c r="I79" i="19"/>
  <c r="L70" i="19"/>
  <c r="K70" i="19"/>
  <c r="J70" i="19"/>
  <c r="I70" i="19"/>
  <c r="L61" i="19"/>
  <c r="K61" i="19"/>
  <c r="J61" i="19"/>
  <c r="I61" i="19"/>
  <c r="L52" i="19"/>
  <c r="K52" i="19"/>
  <c r="J52" i="19"/>
  <c r="I52" i="19"/>
  <c r="L41" i="19"/>
  <c r="K41" i="19"/>
  <c r="J41" i="19"/>
  <c r="I41" i="19"/>
  <c r="L36" i="19"/>
  <c r="K36" i="19"/>
  <c r="J36" i="19"/>
  <c r="I36" i="19"/>
  <c r="L29" i="19"/>
  <c r="K29" i="19"/>
  <c r="J29" i="19"/>
  <c r="I29" i="19"/>
  <c r="L28" i="19"/>
  <c r="K28" i="19"/>
  <c r="J28" i="19"/>
  <c r="I28" i="19"/>
  <c r="L27" i="19"/>
  <c r="K27" i="19"/>
  <c r="J27" i="19"/>
  <c r="I27" i="19"/>
  <c r="L24" i="19"/>
  <c r="K24" i="19"/>
  <c r="J24" i="19"/>
  <c r="I24" i="19"/>
  <c r="L21" i="19"/>
  <c r="K21" i="19"/>
  <c r="J21" i="19"/>
  <c r="I21" i="19"/>
  <c r="L16" i="19"/>
  <c r="K16" i="19"/>
  <c r="J16" i="19"/>
  <c r="I16" i="19"/>
  <c r="R121" i="18"/>
  <c r="R120" i="18"/>
  <c r="R119" i="18"/>
  <c r="R118" i="18"/>
  <c r="R117" i="18"/>
  <c r="R116" i="18"/>
  <c r="R115" i="18"/>
  <c r="N176" i="18"/>
  <c r="M176" i="18"/>
  <c r="L176" i="18"/>
  <c r="N171" i="18"/>
  <c r="M171" i="18"/>
  <c r="L171" i="18"/>
  <c r="N162" i="18"/>
  <c r="M162" i="18"/>
  <c r="L162" i="18"/>
  <c r="N156" i="18"/>
  <c r="M156" i="18"/>
  <c r="L156" i="18"/>
  <c r="N151" i="18"/>
  <c r="M151" i="18"/>
  <c r="L151" i="18"/>
  <c r="N142" i="18"/>
  <c r="M142" i="18"/>
  <c r="L142" i="18"/>
  <c r="N134" i="18"/>
  <c r="M134" i="18"/>
  <c r="L134" i="18"/>
  <c r="N125" i="18"/>
  <c r="M125" i="18"/>
  <c r="L125" i="18"/>
  <c r="N122" i="18"/>
  <c r="M122" i="18"/>
  <c r="L122" i="18"/>
  <c r="N113" i="18"/>
  <c r="M113" i="18"/>
  <c r="L113" i="18"/>
  <c r="N107" i="18"/>
  <c r="M107" i="18"/>
  <c r="L107" i="18"/>
  <c r="N98" i="18"/>
  <c r="M98" i="18"/>
  <c r="L98" i="18"/>
  <c r="N91" i="18"/>
  <c r="M91" i="18"/>
  <c r="L91" i="18"/>
  <c r="N88" i="18"/>
  <c r="M88" i="18"/>
  <c r="L88" i="18"/>
  <c r="N79" i="18"/>
  <c r="M79" i="18"/>
  <c r="L79" i="18"/>
  <c r="N70" i="18"/>
  <c r="M70" i="18"/>
  <c r="L70" i="18"/>
  <c r="N61" i="18"/>
  <c r="M61" i="18"/>
  <c r="L61" i="18"/>
  <c r="N52" i="18"/>
  <c r="M52" i="18"/>
  <c r="L52" i="18"/>
  <c r="N41" i="18"/>
  <c r="M41" i="18"/>
  <c r="L41" i="18"/>
  <c r="N36" i="18"/>
  <c r="M36" i="18"/>
  <c r="L36" i="18"/>
  <c r="N29" i="18"/>
  <c r="M29" i="18"/>
  <c r="L29" i="18"/>
  <c r="N28" i="18"/>
  <c r="M28" i="18"/>
  <c r="L28" i="18"/>
  <c r="N27" i="18"/>
  <c r="M27" i="18"/>
  <c r="L27" i="18"/>
  <c r="N24" i="18"/>
  <c r="M24" i="18"/>
  <c r="L24" i="18"/>
  <c r="N21" i="18"/>
  <c r="M21" i="18"/>
  <c r="L21" i="18"/>
  <c r="N16" i="18"/>
  <c r="M16" i="18"/>
  <c r="L16" i="18"/>
  <c r="AV121" i="3"/>
  <c r="AV120" i="3"/>
  <c r="AV119" i="3"/>
  <c r="AV118" i="3"/>
  <c r="AV117" i="3"/>
  <c r="AV116" i="3"/>
  <c r="AV115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BE121" i="17"/>
  <c r="BE120" i="17"/>
  <c r="BE119" i="17"/>
  <c r="BE118" i="17"/>
  <c r="BE117" i="17"/>
  <c r="BE116" i="17"/>
  <c r="BE115" i="17"/>
  <c r="AW176" i="17"/>
  <c r="AV176" i="17"/>
  <c r="AU176" i="17"/>
  <c r="AT176" i="17"/>
  <c r="AS176" i="17"/>
  <c r="AR176" i="17"/>
  <c r="AW171" i="17"/>
  <c r="AV171" i="17"/>
  <c r="AU171" i="17"/>
  <c r="AT171" i="17"/>
  <c r="AS171" i="17"/>
  <c r="AR171" i="17"/>
  <c r="AW162" i="17"/>
  <c r="AV162" i="17"/>
  <c r="AU162" i="17"/>
  <c r="AT162" i="17"/>
  <c r="AS162" i="17"/>
  <c r="AR162" i="17"/>
  <c r="AW156" i="17"/>
  <c r="AV156" i="17"/>
  <c r="AU156" i="17"/>
  <c r="AT156" i="17"/>
  <c r="AS156" i="17"/>
  <c r="AR156" i="17"/>
  <c r="AW151" i="17"/>
  <c r="AV151" i="17"/>
  <c r="AU151" i="17"/>
  <c r="AT151" i="17"/>
  <c r="AS151" i="17"/>
  <c r="AR151" i="17"/>
  <c r="AW142" i="17"/>
  <c r="AV142" i="17"/>
  <c r="AU142" i="17"/>
  <c r="AT142" i="17"/>
  <c r="AS142" i="17"/>
  <c r="AR142" i="17"/>
  <c r="AW134" i="17"/>
  <c r="AV134" i="17"/>
  <c r="AU134" i="17"/>
  <c r="AT134" i="17"/>
  <c r="AS134" i="17"/>
  <c r="AR134" i="17"/>
  <c r="AW125" i="17"/>
  <c r="AV125" i="17"/>
  <c r="AU125" i="17"/>
  <c r="AT125" i="17"/>
  <c r="AS125" i="17"/>
  <c r="AR125" i="17"/>
  <c r="AW122" i="17"/>
  <c r="AV122" i="17"/>
  <c r="AU122" i="17"/>
  <c r="AT122" i="17"/>
  <c r="AS122" i="17"/>
  <c r="AR122" i="17"/>
  <c r="AW113" i="17"/>
  <c r="AV113" i="17"/>
  <c r="AU113" i="17"/>
  <c r="AT113" i="17"/>
  <c r="AS113" i="17"/>
  <c r="AR113" i="17"/>
  <c r="AW107" i="17"/>
  <c r="AV107" i="17"/>
  <c r="AU107" i="17"/>
  <c r="AT107" i="17"/>
  <c r="AS107" i="17"/>
  <c r="AR107" i="17"/>
  <c r="AW98" i="17"/>
  <c r="AV98" i="17"/>
  <c r="AU98" i="17"/>
  <c r="AT98" i="17"/>
  <c r="AS98" i="17"/>
  <c r="AR98" i="17"/>
  <c r="AW91" i="17"/>
  <c r="AV91" i="17"/>
  <c r="AU91" i="17"/>
  <c r="AT91" i="17"/>
  <c r="AS91" i="17"/>
  <c r="AR91" i="17"/>
  <c r="AW88" i="17"/>
  <c r="AV88" i="17"/>
  <c r="AU88" i="17"/>
  <c r="AT88" i="17"/>
  <c r="AS88" i="17"/>
  <c r="AR88" i="17"/>
  <c r="AW79" i="17"/>
  <c r="AV79" i="17"/>
  <c r="AU79" i="17"/>
  <c r="AT79" i="17"/>
  <c r="AS79" i="17"/>
  <c r="AR79" i="17"/>
  <c r="AW70" i="17"/>
  <c r="AV70" i="17"/>
  <c r="AU70" i="17"/>
  <c r="AT70" i="17"/>
  <c r="AS70" i="17"/>
  <c r="AR70" i="17"/>
  <c r="AW61" i="17"/>
  <c r="AV61" i="17"/>
  <c r="AU61" i="17"/>
  <c r="AT61" i="17"/>
  <c r="AS61" i="17"/>
  <c r="AR61" i="17"/>
  <c r="AW52" i="17"/>
  <c r="AV52" i="17"/>
  <c r="AU52" i="17"/>
  <c r="AT52" i="17"/>
  <c r="AS52" i="17"/>
  <c r="AR52" i="17"/>
  <c r="AW41" i="17"/>
  <c r="AV41" i="17"/>
  <c r="AU41" i="17"/>
  <c r="AT41" i="17"/>
  <c r="AS41" i="17"/>
  <c r="AR41" i="17"/>
  <c r="AW36" i="17"/>
  <c r="AV36" i="17"/>
  <c r="AU36" i="17"/>
  <c r="AT36" i="17"/>
  <c r="AS36" i="17"/>
  <c r="AR36" i="17"/>
  <c r="AW29" i="17"/>
  <c r="AV29" i="17"/>
  <c r="AU29" i="17"/>
  <c r="AT29" i="17"/>
  <c r="AS29" i="17"/>
  <c r="AR29" i="17"/>
  <c r="AW28" i="17"/>
  <c r="AV28" i="17"/>
  <c r="AU28" i="17"/>
  <c r="AT28" i="17"/>
  <c r="AS28" i="17"/>
  <c r="AR28" i="17"/>
  <c r="AW27" i="17"/>
  <c r="AV27" i="17"/>
  <c r="AU27" i="17"/>
  <c r="AT27" i="17"/>
  <c r="AS27" i="17"/>
  <c r="AR27" i="17"/>
  <c r="AW24" i="17"/>
  <c r="AV24" i="17"/>
  <c r="AU24" i="17"/>
  <c r="AT24" i="17"/>
  <c r="AS24" i="17"/>
  <c r="AR24" i="17"/>
  <c r="AW21" i="17"/>
  <c r="AV21" i="17"/>
  <c r="AU21" i="17"/>
  <c r="AT21" i="17"/>
  <c r="AS21" i="17"/>
  <c r="AR21" i="17"/>
  <c r="AW16" i="17"/>
  <c r="AV16" i="17"/>
  <c r="AU16" i="17"/>
  <c r="AT16" i="17"/>
  <c r="AS16" i="17"/>
  <c r="AR16" i="17"/>
  <c r="P176" i="17"/>
  <c r="O176" i="17"/>
  <c r="N176" i="17"/>
  <c r="M176" i="17"/>
  <c r="L176" i="17"/>
  <c r="K176" i="17"/>
  <c r="J176" i="17"/>
  <c r="I176" i="17"/>
  <c r="H176" i="17"/>
  <c r="G176" i="17"/>
  <c r="F176" i="17"/>
  <c r="P171" i="17"/>
  <c r="O171" i="17"/>
  <c r="N171" i="17"/>
  <c r="M171" i="17"/>
  <c r="L171" i="17"/>
  <c r="K171" i="17"/>
  <c r="J171" i="17"/>
  <c r="I171" i="17"/>
  <c r="H171" i="17"/>
  <c r="G171" i="17"/>
  <c r="F171" i="17"/>
  <c r="P162" i="17"/>
  <c r="O162" i="17"/>
  <c r="N162" i="17"/>
  <c r="M162" i="17"/>
  <c r="L162" i="17"/>
  <c r="K162" i="17"/>
  <c r="J162" i="17"/>
  <c r="I162" i="17"/>
  <c r="H162" i="17"/>
  <c r="G162" i="17"/>
  <c r="F162" i="17"/>
  <c r="P156" i="17"/>
  <c r="O156" i="17"/>
  <c r="N156" i="17"/>
  <c r="M156" i="17"/>
  <c r="L156" i="17"/>
  <c r="K156" i="17"/>
  <c r="J156" i="17"/>
  <c r="I156" i="17"/>
  <c r="H156" i="17"/>
  <c r="G156" i="17"/>
  <c r="F156" i="17"/>
  <c r="P151" i="17"/>
  <c r="O151" i="17"/>
  <c r="N151" i="17"/>
  <c r="M151" i="17"/>
  <c r="L151" i="17"/>
  <c r="K151" i="17"/>
  <c r="J151" i="17"/>
  <c r="I151" i="17"/>
  <c r="H151" i="17"/>
  <c r="G151" i="17"/>
  <c r="F151" i="17"/>
  <c r="P142" i="17"/>
  <c r="O142" i="17"/>
  <c r="N142" i="17"/>
  <c r="M142" i="17"/>
  <c r="L142" i="17"/>
  <c r="K142" i="17"/>
  <c r="J142" i="17"/>
  <c r="I142" i="17"/>
  <c r="H142" i="17"/>
  <c r="G142" i="17"/>
  <c r="F142" i="17"/>
  <c r="P134" i="17"/>
  <c r="O134" i="17"/>
  <c r="N134" i="17"/>
  <c r="M134" i="17"/>
  <c r="L134" i="17"/>
  <c r="K134" i="17"/>
  <c r="J134" i="17"/>
  <c r="I134" i="17"/>
  <c r="H134" i="17"/>
  <c r="G134" i="17"/>
  <c r="F134" i="17"/>
  <c r="P125" i="17"/>
  <c r="O125" i="17"/>
  <c r="N125" i="17"/>
  <c r="M125" i="17"/>
  <c r="L125" i="17"/>
  <c r="K125" i="17"/>
  <c r="J125" i="17"/>
  <c r="I125" i="17"/>
  <c r="H125" i="17"/>
  <c r="G125" i="17"/>
  <c r="F125" i="17"/>
  <c r="P122" i="17"/>
  <c r="O122" i="17"/>
  <c r="N122" i="17"/>
  <c r="M122" i="17"/>
  <c r="L122" i="17"/>
  <c r="K122" i="17"/>
  <c r="J122" i="17"/>
  <c r="I122" i="17"/>
  <c r="H122" i="17"/>
  <c r="G122" i="17"/>
  <c r="F122" i="17"/>
  <c r="P113" i="17"/>
  <c r="O113" i="17"/>
  <c r="N113" i="17"/>
  <c r="M113" i="17"/>
  <c r="L113" i="17"/>
  <c r="K113" i="17"/>
  <c r="J113" i="17"/>
  <c r="I113" i="17"/>
  <c r="H113" i="17"/>
  <c r="G113" i="17"/>
  <c r="F113" i="17"/>
  <c r="P107" i="17"/>
  <c r="O107" i="17"/>
  <c r="N107" i="17"/>
  <c r="M107" i="17"/>
  <c r="L107" i="17"/>
  <c r="K107" i="17"/>
  <c r="J107" i="17"/>
  <c r="I107" i="17"/>
  <c r="H107" i="17"/>
  <c r="G107" i="17"/>
  <c r="F107" i="17"/>
  <c r="P98" i="17"/>
  <c r="O98" i="17"/>
  <c r="N98" i="17"/>
  <c r="M98" i="17"/>
  <c r="L98" i="17"/>
  <c r="K98" i="17"/>
  <c r="J98" i="17"/>
  <c r="I98" i="17"/>
  <c r="H98" i="17"/>
  <c r="G98" i="17"/>
  <c r="F98" i="17"/>
  <c r="P91" i="17"/>
  <c r="O91" i="17"/>
  <c r="N91" i="17"/>
  <c r="M91" i="17"/>
  <c r="L91" i="17"/>
  <c r="K91" i="17"/>
  <c r="J91" i="17"/>
  <c r="I91" i="17"/>
  <c r="H91" i="17"/>
  <c r="G91" i="17"/>
  <c r="F91" i="17"/>
  <c r="P88" i="17"/>
  <c r="O88" i="17"/>
  <c r="N88" i="17"/>
  <c r="M88" i="17"/>
  <c r="L88" i="17"/>
  <c r="K88" i="17"/>
  <c r="J88" i="17"/>
  <c r="I88" i="17"/>
  <c r="H88" i="17"/>
  <c r="G88" i="17"/>
  <c r="F88" i="17"/>
  <c r="P79" i="17"/>
  <c r="O79" i="17"/>
  <c r="N79" i="17"/>
  <c r="M79" i="17"/>
  <c r="L79" i="17"/>
  <c r="K79" i="17"/>
  <c r="J79" i="17"/>
  <c r="I79" i="17"/>
  <c r="H79" i="17"/>
  <c r="G79" i="17"/>
  <c r="F79" i="17"/>
  <c r="P70" i="17"/>
  <c r="O70" i="17"/>
  <c r="N70" i="17"/>
  <c r="M70" i="17"/>
  <c r="L70" i="17"/>
  <c r="K70" i="17"/>
  <c r="J70" i="17"/>
  <c r="I70" i="17"/>
  <c r="H70" i="17"/>
  <c r="G70" i="17"/>
  <c r="F70" i="17"/>
  <c r="P61" i="17"/>
  <c r="O61" i="17"/>
  <c r="N61" i="17"/>
  <c r="M61" i="17"/>
  <c r="L61" i="17"/>
  <c r="K61" i="17"/>
  <c r="J61" i="17"/>
  <c r="I61" i="17"/>
  <c r="H61" i="17"/>
  <c r="G61" i="17"/>
  <c r="F61" i="17"/>
  <c r="P52" i="17"/>
  <c r="O52" i="17"/>
  <c r="N52" i="17"/>
  <c r="M52" i="17"/>
  <c r="L52" i="17"/>
  <c r="K52" i="17"/>
  <c r="J52" i="17"/>
  <c r="I52" i="17"/>
  <c r="H52" i="17"/>
  <c r="G52" i="17"/>
  <c r="F52" i="17"/>
  <c r="P41" i="17"/>
  <c r="O41" i="17"/>
  <c r="N41" i="17"/>
  <c r="M41" i="17"/>
  <c r="L41" i="17"/>
  <c r="K41" i="17"/>
  <c r="J41" i="17"/>
  <c r="I41" i="17"/>
  <c r="H41" i="17"/>
  <c r="G41" i="17"/>
  <c r="F41" i="17"/>
  <c r="P36" i="17"/>
  <c r="O36" i="17"/>
  <c r="N36" i="17"/>
  <c r="M36" i="17"/>
  <c r="L36" i="17"/>
  <c r="K36" i="17"/>
  <c r="J36" i="17"/>
  <c r="I36" i="17"/>
  <c r="H36" i="17"/>
  <c r="G36" i="17"/>
  <c r="F36" i="17"/>
  <c r="P29" i="17"/>
  <c r="O29" i="17"/>
  <c r="N29" i="17"/>
  <c r="M29" i="17"/>
  <c r="L29" i="17"/>
  <c r="K29" i="17"/>
  <c r="J29" i="17"/>
  <c r="I29" i="17"/>
  <c r="H29" i="17"/>
  <c r="G29" i="17"/>
  <c r="F29" i="17"/>
  <c r="P28" i="17"/>
  <c r="O28" i="17"/>
  <c r="N28" i="17"/>
  <c r="M28" i="17"/>
  <c r="L28" i="17"/>
  <c r="K28" i="17"/>
  <c r="J28" i="17"/>
  <c r="I28" i="17"/>
  <c r="H28" i="17"/>
  <c r="G28" i="17"/>
  <c r="F28" i="17"/>
  <c r="P27" i="17"/>
  <c r="O27" i="17"/>
  <c r="N27" i="17"/>
  <c r="M27" i="17"/>
  <c r="L27" i="17"/>
  <c r="K27" i="17"/>
  <c r="J27" i="17"/>
  <c r="I27" i="17"/>
  <c r="H27" i="17"/>
  <c r="G27" i="17"/>
  <c r="F27" i="17"/>
  <c r="P24" i="17"/>
  <c r="O24" i="17"/>
  <c r="N24" i="17"/>
  <c r="M24" i="17"/>
  <c r="L24" i="17"/>
  <c r="K24" i="17"/>
  <c r="J24" i="17"/>
  <c r="I24" i="17"/>
  <c r="H24" i="17"/>
  <c r="G24" i="17"/>
  <c r="F24" i="17"/>
  <c r="P21" i="17"/>
  <c r="O21" i="17"/>
  <c r="N21" i="17"/>
  <c r="M21" i="17"/>
  <c r="L21" i="17"/>
  <c r="K21" i="17"/>
  <c r="J21" i="17"/>
  <c r="I21" i="17"/>
  <c r="H21" i="17"/>
  <c r="G21" i="17"/>
  <c r="F21" i="17"/>
  <c r="P16" i="17"/>
  <c r="O16" i="17"/>
  <c r="N16" i="17"/>
  <c r="M16" i="17"/>
  <c r="L16" i="17"/>
  <c r="K16" i="17"/>
  <c r="J16" i="17"/>
  <c r="I16" i="17"/>
  <c r="H16" i="17"/>
  <c r="G16" i="17"/>
  <c r="F16" i="17"/>
  <c r="AA176" i="17"/>
  <c r="Z176" i="17"/>
  <c r="Y176" i="17"/>
  <c r="X176" i="17"/>
  <c r="W176" i="17"/>
  <c r="V176" i="17"/>
  <c r="U176" i="17"/>
  <c r="T176" i="17"/>
  <c r="S176" i="17"/>
  <c r="R176" i="17"/>
  <c r="Q176" i="17"/>
  <c r="AA171" i="17"/>
  <c r="Z171" i="17"/>
  <c r="Y171" i="17"/>
  <c r="X171" i="17"/>
  <c r="W171" i="17"/>
  <c r="V171" i="17"/>
  <c r="U171" i="17"/>
  <c r="T171" i="17"/>
  <c r="S171" i="17"/>
  <c r="R171" i="17"/>
  <c r="Q171" i="17"/>
  <c r="AA162" i="17"/>
  <c r="Z162" i="17"/>
  <c r="Y162" i="17"/>
  <c r="X162" i="17"/>
  <c r="W162" i="17"/>
  <c r="V162" i="17"/>
  <c r="U162" i="17"/>
  <c r="T162" i="17"/>
  <c r="S162" i="17"/>
  <c r="R162" i="17"/>
  <c r="Q162" i="17"/>
  <c r="AA156" i="17"/>
  <c r="Z156" i="17"/>
  <c r="Y156" i="17"/>
  <c r="X156" i="17"/>
  <c r="W156" i="17"/>
  <c r="V156" i="17"/>
  <c r="U156" i="17"/>
  <c r="T156" i="17"/>
  <c r="S156" i="17"/>
  <c r="R156" i="17"/>
  <c r="Q156" i="17"/>
  <c r="AA151" i="17"/>
  <c r="Z151" i="17"/>
  <c r="Y151" i="17"/>
  <c r="X151" i="17"/>
  <c r="W151" i="17"/>
  <c r="V151" i="17"/>
  <c r="U151" i="17"/>
  <c r="T151" i="17"/>
  <c r="S151" i="17"/>
  <c r="R151" i="17"/>
  <c r="Q151" i="17"/>
  <c r="AA142" i="17"/>
  <c r="Z142" i="17"/>
  <c r="Y142" i="17"/>
  <c r="X142" i="17"/>
  <c r="W142" i="17"/>
  <c r="V142" i="17"/>
  <c r="U142" i="17"/>
  <c r="T142" i="17"/>
  <c r="S142" i="17"/>
  <c r="R142" i="17"/>
  <c r="Q142" i="17"/>
  <c r="AA134" i="17"/>
  <c r="Z134" i="17"/>
  <c r="Y134" i="17"/>
  <c r="X134" i="17"/>
  <c r="W134" i="17"/>
  <c r="V134" i="17"/>
  <c r="U134" i="17"/>
  <c r="T134" i="17"/>
  <c r="S134" i="17"/>
  <c r="R134" i="17"/>
  <c r="Q134" i="17"/>
  <c r="AA125" i="17"/>
  <c r="Z125" i="17"/>
  <c r="Y125" i="17"/>
  <c r="X125" i="17"/>
  <c r="W125" i="17"/>
  <c r="V125" i="17"/>
  <c r="U125" i="17"/>
  <c r="T125" i="17"/>
  <c r="S125" i="17"/>
  <c r="R125" i="17"/>
  <c r="Q125" i="17"/>
  <c r="AA122" i="17"/>
  <c r="Z122" i="17"/>
  <c r="Y122" i="17"/>
  <c r="X122" i="17"/>
  <c r="W122" i="17"/>
  <c r="V122" i="17"/>
  <c r="U122" i="17"/>
  <c r="T122" i="17"/>
  <c r="S122" i="17"/>
  <c r="R122" i="17"/>
  <c r="Q122" i="17"/>
  <c r="AA113" i="17"/>
  <c r="Z113" i="17"/>
  <c r="Y113" i="17"/>
  <c r="X113" i="17"/>
  <c r="W113" i="17"/>
  <c r="V113" i="17"/>
  <c r="U113" i="17"/>
  <c r="T113" i="17"/>
  <c r="S113" i="17"/>
  <c r="R113" i="17"/>
  <c r="Q113" i="17"/>
  <c r="AA107" i="17"/>
  <c r="Z107" i="17"/>
  <c r="Y107" i="17"/>
  <c r="X107" i="17"/>
  <c r="W107" i="17"/>
  <c r="V107" i="17"/>
  <c r="U107" i="17"/>
  <c r="T107" i="17"/>
  <c r="S107" i="17"/>
  <c r="R107" i="17"/>
  <c r="Q107" i="17"/>
  <c r="AA98" i="17"/>
  <c r="Z98" i="17"/>
  <c r="Y98" i="17"/>
  <c r="X98" i="17"/>
  <c r="W98" i="17"/>
  <c r="V98" i="17"/>
  <c r="U98" i="17"/>
  <c r="T98" i="17"/>
  <c r="S98" i="17"/>
  <c r="R98" i="17"/>
  <c r="Q98" i="17"/>
  <c r="AA91" i="17"/>
  <c r="Z91" i="17"/>
  <c r="Y91" i="17"/>
  <c r="X91" i="17"/>
  <c r="W91" i="17"/>
  <c r="V91" i="17"/>
  <c r="U91" i="17"/>
  <c r="T91" i="17"/>
  <c r="S91" i="17"/>
  <c r="R91" i="17"/>
  <c r="Q91" i="17"/>
  <c r="AA88" i="17"/>
  <c r="Z88" i="17"/>
  <c r="Y88" i="17"/>
  <c r="X88" i="17"/>
  <c r="W88" i="17"/>
  <c r="V88" i="17"/>
  <c r="U88" i="17"/>
  <c r="T88" i="17"/>
  <c r="S88" i="17"/>
  <c r="R88" i="17"/>
  <c r="Q88" i="17"/>
  <c r="AA79" i="17"/>
  <c r="Z79" i="17"/>
  <c r="Y79" i="17"/>
  <c r="X79" i="17"/>
  <c r="W79" i="17"/>
  <c r="V79" i="17"/>
  <c r="U79" i="17"/>
  <c r="T79" i="17"/>
  <c r="S79" i="17"/>
  <c r="R79" i="17"/>
  <c r="Q79" i="17"/>
  <c r="AA70" i="17"/>
  <c r="Z70" i="17"/>
  <c r="Y70" i="17"/>
  <c r="X70" i="17"/>
  <c r="W70" i="17"/>
  <c r="V70" i="17"/>
  <c r="U70" i="17"/>
  <c r="T70" i="17"/>
  <c r="S70" i="17"/>
  <c r="R70" i="17"/>
  <c r="Q70" i="17"/>
  <c r="AA61" i="17"/>
  <c r="Z61" i="17"/>
  <c r="Y61" i="17"/>
  <c r="X61" i="17"/>
  <c r="W61" i="17"/>
  <c r="V61" i="17"/>
  <c r="U61" i="17"/>
  <c r="T61" i="17"/>
  <c r="S61" i="17"/>
  <c r="R61" i="17"/>
  <c r="Q61" i="17"/>
  <c r="AA52" i="17"/>
  <c r="Z52" i="17"/>
  <c r="Y52" i="17"/>
  <c r="X52" i="17"/>
  <c r="W52" i="17"/>
  <c r="V52" i="17"/>
  <c r="U52" i="17"/>
  <c r="T52" i="17"/>
  <c r="S52" i="17"/>
  <c r="R52" i="17"/>
  <c r="Q52" i="17"/>
  <c r="AA41" i="17"/>
  <c r="Z41" i="17"/>
  <c r="Y41" i="17"/>
  <c r="X41" i="17"/>
  <c r="W41" i="17"/>
  <c r="V41" i="17"/>
  <c r="U41" i="17"/>
  <c r="T41" i="17"/>
  <c r="S41" i="17"/>
  <c r="R41" i="17"/>
  <c r="Q41" i="17"/>
  <c r="AA36" i="17"/>
  <c r="Z36" i="17"/>
  <c r="Y36" i="17"/>
  <c r="X36" i="17"/>
  <c r="W36" i="17"/>
  <c r="V36" i="17"/>
  <c r="U36" i="17"/>
  <c r="T36" i="17"/>
  <c r="S36" i="17"/>
  <c r="R36" i="17"/>
  <c r="Q36" i="17"/>
  <c r="AA29" i="17"/>
  <c r="Z29" i="17"/>
  <c r="Y29" i="17"/>
  <c r="X29" i="17"/>
  <c r="W29" i="17"/>
  <c r="V29" i="17"/>
  <c r="U29" i="17"/>
  <c r="T29" i="17"/>
  <c r="S29" i="17"/>
  <c r="R29" i="17"/>
  <c r="Q29" i="17"/>
  <c r="AA28" i="17"/>
  <c r="Z28" i="17"/>
  <c r="Y28" i="17"/>
  <c r="X28" i="17"/>
  <c r="W28" i="17"/>
  <c r="V28" i="17"/>
  <c r="U28" i="17"/>
  <c r="T28" i="17"/>
  <c r="S28" i="17"/>
  <c r="R28" i="17"/>
  <c r="Q28" i="17"/>
  <c r="AA27" i="17"/>
  <c r="Z27" i="17"/>
  <c r="Y27" i="17"/>
  <c r="X27" i="17"/>
  <c r="W27" i="17"/>
  <c r="V27" i="17"/>
  <c r="U27" i="17"/>
  <c r="T27" i="17"/>
  <c r="S27" i="17"/>
  <c r="R27" i="17"/>
  <c r="Q27" i="17"/>
  <c r="AA24" i="17"/>
  <c r="Z24" i="17"/>
  <c r="Y24" i="17"/>
  <c r="X24" i="17"/>
  <c r="W24" i="17"/>
  <c r="V24" i="17"/>
  <c r="U24" i="17"/>
  <c r="T24" i="17"/>
  <c r="S24" i="17"/>
  <c r="R24" i="17"/>
  <c r="Q24" i="17"/>
  <c r="AA21" i="17"/>
  <c r="Z21" i="17"/>
  <c r="Y21" i="17"/>
  <c r="X21" i="17"/>
  <c r="W21" i="17"/>
  <c r="V21" i="17"/>
  <c r="U21" i="17"/>
  <c r="T21" i="17"/>
  <c r="S21" i="17"/>
  <c r="R21" i="17"/>
  <c r="Q21" i="17"/>
  <c r="AA16" i="17"/>
  <c r="Z16" i="17"/>
  <c r="Y16" i="17"/>
  <c r="X16" i="17"/>
  <c r="W16" i="17"/>
  <c r="V16" i="17"/>
  <c r="U16" i="17"/>
  <c r="T16" i="17"/>
  <c r="S16" i="17"/>
  <c r="R16" i="17"/>
  <c r="Q16" i="17"/>
  <c r="AL176" i="17"/>
  <c r="AK176" i="17"/>
  <c r="AJ176" i="17"/>
  <c r="AI176" i="17"/>
  <c r="AH176" i="17"/>
  <c r="AG176" i="17"/>
  <c r="AF176" i="17"/>
  <c r="AE176" i="17"/>
  <c r="AD176" i="17"/>
  <c r="AC176" i="17"/>
  <c r="AB176" i="17"/>
  <c r="AL171" i="17"/>
  <c r="AK171" i="17"/>
  <c r="AJ171" i="17"/>
  <c r="AI171" i="17"/>
  <c r="AH171" i="17"/>
  <c r="AG171" i="17"/>
  <c r="AF171" i="17"/>
  <c r="AE171" i="17"/>
  <c r="AD171" i="17"/>
  <c r="AC171" i="17"/>
  <c r="AB171" i="17"/>
  <c r="AL162" i="17"/>
  <c r="AK162" i="17"/>
  <c r="AJ162" i="17"/>
  <c r="AI162" i="17"/>
  <c r="AH162" i="17"/>
  <c r="AG162" i="17"/>
  <c r="AF162" i="17"/>
  <c r="AE162" i="17"/>
  <c r="AD162" i="17"/>
  <c r="AC162" i="17"/>
  <c r="AB162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L125" i="17"/>
  <c r="AK125" i="17"/>
  <c r="AJ125" i="17"/>
  <c r="AI125" i="17"/>
  <c r="AH125" i="17"/>
  <c r="AG125" i="17"/>
  <c r="AF125" i="17"/>
  <c r="AE125" i="17"/>
  <c r="AD125" i="17"/>
  <c r="AC125" i="17"/>
  <c r="AB125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L113" i="17"/>
  <c r="AK113" i="17"/>
  <c r="AJ113" i="17"/>
  <c r="AI113" i="17"/>
  <c r="AH113" i="17"/>
  <c r="AG113" i="17"/>
  <c r="AF113" i="17"/>
  <c r="AE113" i="17"/>
  <c r="AD113" i="17"/>
  <c r="AC113" i="17"/>
  <c r="AB113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L98" i="17"/>
  <c r="AK98" i="17"/>
  <c r="AJ98" i="17"/>
  <c r="AI98" i="17"/>
  <c r="AH98" i="17"/>
  <c r="AG98" i="17"/>
  <c r="AF98" i="17"/>
  <c r="AE98" i="17"/>
  <c r="AD98" i="17"/>
  <c r="AC98" i="17"/>
  <c r="AB98" i="17"/>
  <c r="AL91" i="17"/>
  <c r="AK91" i="17"/>
  <c r="AJ91" i="17"/>
  <c r="AI91" i="17"/>
  <c r="AH91" i="17"/>
  <c r="AG91" i="17"/>
  <c r="AF91" i="17"/>
  <c r="AE91" i="17"/>
  <c r="AD91" i="17"/>
  <c r="AC91" i="17"/>
  <c r="AB91" i="17"/>
  <c r="AL88" i="17"/>
  <c r="AK88" i="17"/>
  <c r="AJ88" i="17"/>
  <c r="AI88" i="17"/>
  <c r="AH88" i="17"/>
  <c r="AG88" i="17"/>
  <c r="AF88" i="17"/>
  <c r="AE88" i="17"/>
  <c r="AD88" i="17"/>
  <c r="AC88" i="17"/>
  <c r="AB88" i="17"/>
  <c r="AL79" i="17"/>
  <c r="AK79" i="17"/>
  <c r="AJ79" i="17"/>
  <c r="AI79" i="17"/>
  <c r="AH79" i="17"/>
  <c r="AG79" i="17"/>
  <c r="AF79" i="17"/>
  <c r="AE79" i="17"/>
  <c r="AD79" i="17"/>
  <c r="AC79" i="17"/>
  <c r="AB79" i="17"/>
  <c r="AL70" i="17"/>
  <c r="AK70" i="17"/>
  <c r="AJ70" i="17"/>
  <c r="AI70" i="17"/>
  <c r="AH70" i="17"/>
  <c r="AG70" i="17"/>
  <c r="AF70" i="17"/>
  <c r="AE70" i="17"/>
  <c r="AD70" i="17"/>
  <c r="AC70" i="17"/>
  <c r="AB70" i="17"/>
  <c r="AL61" i="17"/>
  <c r="AK61" i="17"/>
  <c r="AJ61" i="17"/>
  <c r="AI61" i="17"/>
  <c r="AH61" i="17"/>
  <c r="AG61" i="17"/>
  <c r="AF61" i="17"/>
  <c r="AE61" i="17"/>
  <c r="AD61" i="17"/>
  <c r="AC61" i="17"/>
  <c r="AB61" i="17"/>
  <c r="AL52" i="17"/>
  <c r="AK52" i="17"/>
  <c r="AJ52" i="17"/>
  <c r="AI52" i="17"/>
  <c r="AH52" i="17"/>
  <c r="AG52" i="17"/>
  <c r="AF52" i="17"/>
  <c r="AE52" i="17"/>
  <c r="AD52" i="17"/>
  <c r="AC52" i="17"/>
  <c r="AB52" i="17"/>
  <c r="AL41" i="17"/>
  <c r="AK41" i="17"/>
  <c r="AJ41" i="17"/>
  <c r="AI41" i="17"/>
  <c r="AH41" i="17"/>
  <c r="AG41" i="17"/>
  <c r="AF41" i="17"/>
  <c r="AE41" i="17"/>
  <c r="AD41" i="17"/>
  <c r="AC41" i="17"/>
  <c r="AB41" i="17"/>
  <c r="AL36" i="17"/>
  <c r="AK36" i="17"/>
  <c r="AJ36" i="17"/>
  <c r="AI36" i="17"/>
  <c r="AH36" i="17"/>
  <c r="AG36" i="17"/>
  <c r="AF36" i="17"/>
  <c r="AE36" i="17"/>
  <c r="AD36" i="17"/>
  <c r="AC36" i="17"/>
  <c r="AB36" i="17"/>
  <c r="AL29" i="17"/>
  <c r="AK29" i="17"/>
  <c r="AJ29" i="17"/>
  <c r="AI29" i="17"/>
  <c r="AH29" i="17"/>
  <c r="AG29" i="17"/>
  <c r="AF29" i="17"/>
  <c r="AE29" i="17"/>
  <c r="AD29" i="17"/>
  <c r="AC29" i="17"/>
  <c r="AB29" i="17"/>
  <c r="AL28" i="17"/>
  <c r="AK28" i="17"/>
  <c r="AJ28" i="17"/>
  <c r="AI28" i="17"/>
  <c r="AH28" i="17"/>
  <c r="AG28" i="17"/>
  <c r="AF28" i="17"/>
  <c r="AE28" i="17"/>
  <c r="AD28" i="17"/>
  <c r="AC28" i="17"/>
  <c r="AB28" i="17"/>
  <c r="AL27" i="17"/>
  <c r="AK27" i="17"/>
  <c r="AJ27" i="17"/>
  <c r="AI27" i="17"/>
  <c r="AH27" i="17"/>
  <c r="AG27" i="17"/>
  <c r="AF27" i="17"/>
  <c r="AE27" i="17"/>
  <c r="AD27" i="17"/>
  <c r="AC27" i="17"/>
  <c r="AB27" i="17"/>
  <c r="AL24" i="17"/>
  <c r="AK24" i="17"/>
  <c r="AJ24" i="17"/>
  <c r="AI24" i="17"/>
  <c r="AH24" i="17"/>
  <c r="AG24" i="17"/>
  <c r="AF24" i="17"/>
  <c r="AE24" i="17"/>
  <c r="AD24" i="17"/>
  <c r="AC24" i="17"/>
  <c r="AB24" i="17"/>
  <c r="AL21" i="17"/>
  <c r="AK21" i="17"/>
  <c r="AJ21" i="17"/>
  <c r="AI21" i="17"/>
  <c r="AH21" i="17"/>
  <c r="AG21" i="17"/>
  <c r="AF21" i="17"/>
  <c r="AE21" i="17"/>
  <c r="AD21" i="17"/>
  <c r="AC21" i="17"/>
  <c r="AB21" i="17"/>
  <c r="AL16" i="17"/>
  <c r="AK16" i="17"/>
  <c r="AJ16" i="17"/>
  <c r="AI16" i="17"/>
  <c r="AH16" i="17"/>
  <c r="AG16" i="17"/>
  <c r="AF16" i="17"/>
  <c r="AE16" i="17"/>
  <c r="AD16" i="17"/>
  <c r="AC16" i="17"/>
  <c r="AB16" i="17"/>
  <c r="W121" i="16"/>
  <c r="W120" i="16"/>
  <c r="W119" i="16"/>
  <c r="W118" i="16"/>
  <c r="W117" i="16"/>
  <c r="W116" i="16"/>
  <c r="W115" i="16"/>
  <c r="AR121" i="15"/>
  <c r="AR120" i="15"/>
  <c r="AR119" i="15"/>
  <c r="AR118" i="15"/>
  <c r="AR117" i="15"/>
  <c r="AR116" i="15"/>
  <c r="AR115" i="15"/>
  <c r="AK176" i="15"/>
  <c r="AJ176" i="15"/>
  <c r="AI176" i="15"/>
  <c r="AH176" i="15"/>
  <c r="AG176" i="15"/>
  <c r="AK171" i="15"/>
  <c r="AJ171" i="15"/>
  <c r="AI171" i="15"/>
  <c r="AH171" i="15"/>
  <c r="AG171" i="15"/>
  <c r="AK162" i="15"/>
  <c r="AJ162" i="15"/>
  <c r="AI162" i="15"/>
  <c r="AH162" i="15"/>
  <c r="AG162" i="15"/>
  <c r="AK156" i="15"/>
  <c r="AJ156" i="15"/>
  <c r="AI156" i="15"/>
  <c r="AH156" i="15"/>
  <c r="AG156" i="15"/>
  <c r="AK151" i="15"/>
  <c r="AJ151" i="15"/>
  <c r="AI151" i="15"/>
  <c r="AH151" i="15"/>
  <c r="AG151" i="15"/>
  <c r="AK142" i="15"/>
  <c r="AJ142" i="15"/>
  <c r="AI142" i="15"/>
  <c r="AH142" i="15"/>
  <c r="AG142" i="15"/>
  <c r="AK134" i="15"/>
  <c r="AJ134" i="15"/>
  <c r="AI134" i="15"/>
  <c r="AH134" i="15"/>
  <c r="AG134" i="15"/>
  <c r="AK125" i="15"/>
  <c r="AJ125" i="15"/>
  <c r="AI125" i="15"/>
  <c r="AH125" i="15"/>
  <c r="AG125" i="15"/>
  <c r="AK122" i="15"/>
  <c r="AJ122" i="15"/>
  <c r="AI122" i="15"/>
  <c r="AH122" i="15"/>
  <c r="AG122" i="15"/>
  <c r="AK113" i="15"/>
  <c r="AJ113" i="15"/>
  <c r="AI113" i="15"/>
  <c r="AH113" i="15"/>
  <c r="AG113" i="15"/>
  <c r="AK107" i="15"/>
  <c r="AJ107" i="15"/>
  <c r="AI107" i="15"/>
  <c r="AH107" i="15"/>
  <c r="AG107" i="15"/>
  <c r="AK98" i="15"/>
  <c r="AJ98" i="15"/>
  <c r="AI98" i="15"/>
  <c r="AH98" i="15"/>
  <c r="AG98" i="15"/>
  <c r="AK91" i="15"/>
  <c r="AJ91" i="15"/>
  <c r="AI91" i="15"/>
  <c r="AH91" i="15"/>
  <c r="AG91" i="15"/>
  <c r="AK88" i="15"/>
  <c r="AJ88" i="15"/>
  <c r="AI88" i="15"/>
  <c r="AH88" i="15"/>
  <c r="AG88" i="15"/>
  <c r="AK79" i="15"/>
  <c r="AJ79" i="15"/>
  <c r="AI79" i="15"/>
  <c r="AH79" i="15"/>
  <c r="AG79" i="15"/>
  <c r="AK70" i="15"/>
  <c r="AJ70" i="15"/>
  <c r="AI70" i="15"/>
  <c r="AH70" i="15"/>
  <c r="AG70" i="15"/>
  <c r="AK61" i="15"/>
  <c r="AJ61" i="15"/>
  <c r="AI61" i="15"/>
  <c r="AH61" i="15"/>
  <c r="AG61" i="15"/>
  <c r="AK52" i="15"/>
  <c r="AJ52" i="15"/>
  <c r="AI52" i="15"/>
  <c r="AH52" i="15"/>
  <c r="AG52" i="15"/>
  <c r="AK41" i="15"/>
  <c r="AJ41" i="15"/>
  <c r="AI41" i="15"/>
  <c r="AH41" i="15"/>
  <c r="AG41" i="15"/>
  <c r="AK36" i="15"/>
  <c r="AJ36" i="15"/>
  <c r="AI36" i="15"/>
  <c r="AK29" i="15"/>
  <c r="AJ29" i="15"/>
  <c r="AI29" i="15"/>
  <c r="AH29" i="15"/>
  <c r="AG29" i="15"/>
  <c r="AK28" i="15"/>
  <c r="AJ28" i="15"/>
  <c r="AI28" i="15"/>
  <c r="AH28" i="15"/>
  <c r="AG28" i="15"/>
  <c r="AK27" i="15"/>
  <c r="AJ27" i="15"/>
  <c r="AI27" i="15"/>
  <c r="AH27" i="15"/>
  <c r="AG27" i="15"/>
  <c r="AK24" i="15"/>
  <c r="AJ24" i="15"/>
  <c r="AI24" i="15"/>
  <c r="AH24" i="15"/>
  <c r="AG24" i="15"/>
  <c r="AK21" i="15"/>
  <c r="AJ21" i="15"/>
  <c r="AI21" i="15"/>
  <c r="AH21" i="15"/>
  <c r="AG21" i="15"/>
  <c r="AK16" i="15"/>
  <c r="AJ16" i="15"/>
  <c r="AI16" i="15"/>
  <c r="AH16" i="15"/>
  <c r="AG1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U171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U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AC121" i="11"/>
  <c r="AC120" i="11"/>
  <c r="AC119" i="11"/>
  <c r="AC118" i="11"/>
  <c r="AC117" i="11"/>
  <c r="AC116" i="11"/>
  <c r="AC115" i="11"/>
  <c r="R121" i="10"/>
  <c r="R120" i="10"/>
  <c r="R119" i="10"/>
  <c r="R118" i="10"/>
  <c r="R117" i="10"/>
  <c r="R116" i="10"/>
  <c r="R115" i="10"/>
  <c r="AC121" i="9"/>
  <c r="AC120" i="9"/>
  <c r="AC119" i="9"/>
  <c r="AC118" i="9"/>
  <c r="AC117" i="9"/>
  <c r="AC116" i="9"/>
  <c r="AC115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AQ176" i="15"/>
  <c r="AP176" i="15"/>
  <c r="AO176" i="15"/>
  <c r="AN176" i="15"/>
  <c r="AM176" i="15"/>
  <c r="AL176" i="15"/>
  <c r="AF176" i="15"/>
  <c r="AE176" i="15"/>
  <c r="AD176" i="15"/>
  <c r="AC176" i="15"/>
  <c r="AB176" i="15"/>
  <c r="AA176" i="15"/>
  <c r="Z176" i="15"/>
  <c r="Y176" i="15"/>
  <c r="X176" i="15"/>
  <c r="W176" i="15"/>
  <c r="V176" i="15"/>
  <c r="E176" i="15"/>
  <c r="V176" i="16"/>
  <c r="U176" i="16"/>
  <c r="T176" i="16"/>
  <c r="S176" i="16"/>
  <c r="R176" i="16"/>
  <c r="Q176" i="16"/>
  <c r="P176" i="16"/>
  <c r="O176" i="16"/>
  <c r="N176" i="16"/>
  <c r="M176" i="16"/>
  <c r="L176" i="16"/>
  <c r="K176" i="16"/>
  <c r="J176" i="16"/>
  <c r="I176" i="16"/>
  <c r="H176" i="16"/>
  <c r="G176" i="16"/>
  <c r="F176" i="16"/>
  <c r="E176" i="16"/>
  <c r="BD176" i="17"/>
  <c r="BC176" i="17"/>
  <c r="BB176" i="17"/>
  <c r="BA176" i="17"/>
  <c r="AZ176" i="17"/>
  <c r="AY176" i="17"/>
  <c r="AX176" i="17"/>
  <c r="AQ176" i="17"/>
  <c r="AP176" i="17"/>
  <c r="AO176" i="17"/>
  <c r="AN176" i="17"/>
  <c r="AM176" i="17"/>
  <c r="E176" i="17"/>
  <c r="AU176" i="3"/>
  <c r="E176" i="3"/>
  <c r="Q176" i="18"/>
  <c r="P176" i="18"/>
  <c r="O176" i="18"/>
  <c r="K176" i="18"/>
  <c r="J176" i="18"/>
  <c r="I176" i="18"/>
  <c r="H176" i="18"/>
  <c r="G176" i="18"/>
  <c r="F176" i="18"/>
  <c r="E176" i="18"/>
  <c r="S176" i="19"/>
  <c r="R176" i="19"/>
  <c r="Q176" i="19"/>
  <c r="N176" i="19"/>
  <c r="M176" i="19"/>
  <c r="H176" i="19"/>
  <c r="G176" i="19"/>
  <c r="F176" i="19"/>
  <c r="E176" i="1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AQ171" i="15"/>
  <c r="AP171" i="15"/>
  <c r="AO171" i="15"/>
  <c r="AN171" i="15"/>
  <c r="AM171" i="15"/>
  <c r="AL171" i="15"/>
  <c r="AF171" i="15"/>
  <c r="AE171" i="15"/>
  <c r="AD171" i="15"/>
  <c r="AC171" i="15"/>
  <c r="AB171" i="15"/>
  <c r="AA171" i="15"/>
  <c r="Z171" i="15"/>
  <c r="Y171" i="15"/>
  <c r="X171" i="15"/>
  <c r="W171" i="15"/>
  <c r="V171" i="15"/>
  <c r="E171" i="15"/>
  <c r="V171" i="16"/>
  <c r="U171" i="16"/>
  <c r="T171" i="16"/>
  <c r="S171" i="16"/>
  <c r="R171" i="16"/>
  <c r="Q171" i="16"/>
  <c r="P171" i="16"/>
  <c r="O171" i="16"/>
  <c r="N171" i="16"/>
  <c r="M171" i="16"/>
  <c r="L171" i="16"/>
  <c r="K171" i="16"/>
  <c r="J171" i="16"/>
  <c r="I171" i="16"/>
  <c r="H171" i="16"/>
  <c r="G171" i="16"/>
  <c r="F171" i="16"/>
  <c r="E171" i="16"/>
  <c r="BD171" i="17"/>
  <c r="BC171" i="17"/>
  <c r="BB171" i="17"/>
  <c r="BA171" i="17"/>
  <c r="AZ171" i="17"/>
  <c r="AY171" i="17"/>
  <c r="AX171" i="17"/>
  <c r="AQ171" i="17"/>
  <c r="AP171" i="17"/>
  <c r="AO171" i="17"/>
  <c r="AN171" i="17"/>
  <c r="AM171" i="17"/>
  <c r="E171" i="17"/>
  <c r="AU171" i="3"/>
  <c r="E171" i="3"/>
  <c r="Q171" i="18"/>
  <c r="P171" i="18"/>
  <c r="O171" i="18"/>
  <c r="K171" i="18"/>
  <c r="J171" i="18"/>
  <c r="I171" i="18"/>
  <c r="H171" i="18"/>
  <c r="G171" i="18"/>
  <c r="F171" i="18"/>
  <c r="E171" i="18"/>
  <c r="S171" i="19"/>
  <c r="R171" i="19"/>
  <c r="Q171" i="19"/>
  <c r="N171" i="19"/>
  <c r="M171" i="19"/>
  <c r="H171" i="19"/>
  <c r="G171" i="19"/>
  <c r="F171" i="19"/>
  <c r="E171" i="1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AQ162" i="15"/>
  <c r="AP162" i="15"/>
  <c r="AO162" i="15"/>
  <c r="AN162" i="15"/>
  <c r="AM162" i="15"/>
  <c r="AL162" i="15"/>
  <c r="AF162" i="15"/>
  <c r="AE162" i="15"/>
  <c r="AD162" i="15"/>
  <c r="AC162" i="15"/>
  <c r="AB162" i="15"/>
  <c r="AA162" i="15"/>
  <c r="Z162" i="15"/>
  <c r="Y162" i="15"/>
  <c r="X162" i="15"/>
  <c r="W162" i="15"/>
  <c r="V162" i="15"/>
  <c r="E162" i="15"/>
  <c r="V162" i="16"/>
  <c r="U162" i="16"/>
  <c r="T162" i="16"/>
  <c r="S162" i="16"/>
  <c r="R162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BD162" i="17"/>
  <c r="BC162" i="17"/>
  <c r="BB162" i="17"/>
  <c r="BA162" i="17"/>
  <c r="AZ162" i="17"/>
  <c r="AY162" i="17"/>
  <c r="AX162" i="17"/>
  <c r="AQ162" i="17"/>
  <c r="AP162" i="17"/>
  <c r="AO162" i="17"/>
  <c r="AN162" i="17"/>
  <c r="AM162" i="17"/>
  <c r="E162" i="17"/>
  <c r="AU162" i="3"/>
  <c r="E162" i="3"/>
  <c r="Q162" i="18"/>
  <c r="P162" i="18"/>
  <c r="O162" i="18"/>
  <c r="K162" i="18"/>
  <c r="J162" i="18"/>
  <c r="I162" i="18"/>
  <c r="H162" i="18"/>
  <c r="G162" i="18"/>
  <c r="F162" i="18"/>
  <c r="E162" i="18"/>
  <c r="S162" i="19"/>
  <c r="R162" i="19"/>
  <c r="Q162" i="19"/>
  <c r="N162" i="19"/>
  <c r="M162" i="19"/>
  <c r="H162" i="19"/>
  <c r="G162" i="19"/>
  <c r="F162" i="19"/>
  <c r="E162" i="1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AQ156" i="15"/>
  <c r="AP156" i="15"/>
  <c r="AO156" i="15"/>
  <c r="AN156" i="15"/>
  <c r="AM156" i="15"/>
  <c r="AL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E156" i="15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BD156" i="17"/>
  <c r="BC156" i="17"/>
  <c r="BB156" i="17"/>
  <c r="BA156" i="17"/>
  <c r="AZ156" i="17"/>
  <c r="AY156" i="17"/>
  <c r="AX156" i="17"/>
  <c r="AQ156" i="17"/>
  <c r="AP156" i="17"/>
  <c r="AO156" i="17"/>
  <c r="AN156" i="17"/>
  <c r="AM156" i="17"/>
  <c r="E156" i="17"/>
  <c r="AU156" i="3"/>
  <c r="E156" i="3"/>
  <c r="Q156" i="18"/>
  <c r="P156" i="18"/>
  <c r="O156" i="18"/>
  <c r="K156" i="18"/>
  <c r="J156" i="18"/>
  <c r="I156" i="18"/>
  <c r="H156" i="18"/>
  <c r="G156" i="18"/>
  <c r="F156" i="18"/>
  <c r="E156" i="18"/>
  <c r="S156" i="19"/>
  <c r="R156" i="19"/>
  <c r="Q156" i="19"/>
  <c r="N156" i="19"/>
  <c r="M156" i="19"/>
  <c r="H156" i="19"/>
  <c r="G156" i="19"/>
  <c r="F156" i="19"/>
  <c r="E156" i="1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AQ151" i="15"/>
  <c r="AP151" i="15"/>
  <c r="AO151" i="15"/>
  <c r="AN151" i="15"/>
  <c r="AM151" i="15"/>
  <c r="AL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E151" i="15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BD151" i="17"/>
  <c r="BC151" i="17"/>
  <c r="BB151" i="17"/>
  <c r="BA151" i="17"/>
  <c r="AZ151" i="17"/>
  <c r="AY151" i="17"/>
  <c r="AX151" i="17"/>
  <c r="AQ151" i="17"/>
  <c r="AP151" i="17"/>
  <c r="AO151" i="17"/>
  <c r="AN151" i="17"/>
  <c r="AM151" i="17"/>
  <c r="E151" i="17"/>
  <c r="AU151" i="3"/>
  <c r="E151" i="3"/>
  <c r="Q151" i="18"/>
  <c r="P151" i="18"/>
  <c r="O151" i="18"/>
  <c r="K151" i="18"/>
  <c r="J151" i="18"/>
  <c r="I151" i="18"/>
  <c r="H151" i="18"/>
  <c r="G151" i="18"/>
  <c r="F151" i="18"/>
  <c r="E151" i="18"/>
  <c r="S151" i="19"/>
  <c r="R151" i="19"/>
  <c r="Q151" i="19"/>
  <c r="N151" i="19"/>
  <c r="M151" i="19"/>
  <c r="H151" i="19"/>
  <c r="G151" i="19"/>
  <c r="F151" i="19"/>
  <c r="E151" i="1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AQ142" i="15"/>
  <c r="AP142" i="15"/>
  <c r="AO142" i="15"/>
  <c r="AN142" i="15"/>
  <c r="AM142" i="15"/>
  <c r="AL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E142" i="15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BD142" i="17"/>
  <c r="BC142" i="17"/>
  <c r="BB142" i="17"/>
  <c r="BA142" i="17"/>
  <c r="AZ142" i="17"/>
  <c r="AY142" i="17"/>
  <c r="AX142" i="17"/>
  <c r="AQ142" i="17"/>
  <c r="AP142" i="17"/>
  <c r="AO142" i="17"/>
  <c r="AN142" i="17"/>
  <c r="AM142" i="17"/>
  <c r="E142" i="17"/>
  <c r="AU142" i="3"/>
  <c r="E142" i="3"/>
  <c r="Q142" i="18"/>
  <c r="P142" i="18"/>
  <c r="O142" i="18"/>
  <c r="K142" i="18"/>
  <c r="J142" i="18"/>
  <c r="I142" i="18"/>
  <c r="H142" i="18"/>
  <c r="G142" i="18"/>
  <c r="F142" i="18"/>
  <c r="E142" i="18"/>
  <c r="S142" i="19"/>
  <c r="R142" i="19"/>
  <c r="Q142" i="19"/>
  <c r="N142" i="19"/>
  <c r="M142" i="19"/>
  <c r="H142" i="19"/>
  <c r="G142" i="19"/>
  <c r="F142" i="19"/>
  <c r="E142" i="1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AQ134" i="15"/>
  <c r="AP134" i="15"/>
  <c r="AO134" i="15"/>
  <c r="AN134" i="15"/>
  <c r="AM134" i="15"/>
  <c r="AL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E134" i="15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BD134" i="17"/>
  <c r="BC134" i="17"/>
  <c r="BB134" i="17"/>
  <c r="BA134" i="17"/>
  <c r="AZ134" i="17"/>
  <c r="AY134" i="17"/>
  <c r="AX134" i="17"/>
  <c r="AQ134" i="17"/>
  <c r="AP134" i="17"/>
  <c r="AO134" i="17"/>
  <c r="AN134" i="17"/>
  <c r="AM134" i="17"/>
  <c r="E134" i="17"/>
  <c r="AU134" i="3"/>
  <c r="E134" i="3"/>
  <c r="Q134" i="18"/>
  <c r="P134" i="18"/>
  <c r="O134" i="18"/>
  <c r="K134" i="18"/>
  <c r="J134" i="18"/>
  <c r="I134" i="18"/>
  <c r="H134" i="18"/>
  <c r="G134" i="18"/>
  <c r="F134" i="18"/>
  <c r="E134" i="18"/>
  <c r="S134" i="19"/>
  <c r="R134" i="19"/>
  <c r="Q134" i="19"/>
  <c r="N134" i="19"/>
  <c r="M134" i="19"/>
  <c r="H134" i="19"/>
  <c r="G134" i="19"/>
  <c r="F134" i="19"/>
  <c r="E134" i="1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AQ125" i="15"/>
  <c r="AP125" i="15"/>
  <c r="AO125" i="15"/>
  <c r="AN125" i="15"/>
  <c r="AM125" i="15"/>
  <c r="AL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E125" i="15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BD125" i="17"/>
  <c r="BC125" i="17"/>
  <c r="BB125" i="17"/>
  <c r="BA125" i="17"/>
  <c r="AZ125" i="17"/>
  <c r="AY125" i="17"/>
  <c r="AX125" i="17"/>
  <c r="AQ125" i="17"/>
  <c r="AP125" i="17"/>
  <c r="AO125" i="17"/>
  <c r="AN125" i="17"/>
  <c r="AM125" i="17"/>
  <c r="E125" i="17"/>
  <c r="AU125" i="3"/>
  <c r="E125" i="3"/>
  <c r="Q125" i="18"/>
  <c r="P125" i="18"/>
  <c r="O125" i="18"/>
  <c r="K125" i="18"/>
  <c r="J125" i="18"/>
  <c r="I125" i="18"/>
  <c r="H125" i="18"/>
  <c r="G125" i="18"/>
  <c r="F125" i="18"/>
  <c r="E125" i="18"/>
  <c r="S125" i="19"/>
  <c r="R125" i="19"/>
  <c r="Q125" i="19"/>
  <c r="N125" i="19"/>
  <c r="M125" i="19"/>
  <c r="H125" i="19"/>
  <c r="G125" i="19"/>
  <c r="F125" i="19"/>
  <c r="E125" i="1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AQ122" i="15"/>
  <c r="AP122" i="15"/>
  <c r="AO122" i="15"/>
  <c r="AN122" i="15"/>
  <c r="AM122" i="15"/>
  <c r="AL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E122" i="15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BD122" i="17"/>
  <c r="BC122" i="17"/>
  <c r="BB122" i="17"/>
  <c r="BA122" i="17"/>
  <c r="AZ122" i="17"/>
  <c r="AY122" i="17"/>
  <c r="AX122" i="17"/>
  <c r="AQ122" i="17"/>
  <c r="AP122" i="17"/>
  <c r="AO122" i="17"/>
  <c r="AN122" i="17"/>
  <c r="AM122" i="17"/>
  <c r="E122" i="17"/>
  <c r="AU122" i="3"/>
  <c r="E122" i="3"/>
  <c r="Q122" i="18"/>
  <c r="P122" i="18"/>
  <c r="O122" i="18"/>
  <c r="K122" i="18"/>
  <c r="J122" i="18"/>
  <c r="I122" i="18"/>
  <c r="H122" i="18"/>
  <c r="G122" i="18"/>
  <c r="F122" i="18"/>
  <c r="E122" i="18"/>
  <c r="S122" i="19"/>
  <c r="R122" i="19"/>
  <c r="Q122" i="19"/>
  <c r="N122" i="19"/>
  <c r="M122" i="19"/>
  <c r="H122" i="19"/>
  <c r="G122" i="19"/>
  <c r="F122" i="19"/>
  <c r="E122" i="1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AQ113" i="15"/>
  <c r="AP113" i="15"/>
  <c r="AO113" i="15"/>
  <c r="AN113" i="15"/>
  <c r="AM113" i="15"/>
  <c r="AL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E113" i="15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BD113" i="17"/>
  <c r="BC113" i="17"/>
  <c r="BB113" i="17"/>
  <c r="BA113" i="17"/>
  <c r="AZ113" i="17"/>
  <c r="AY113" i="17"/>
  <c r="AX113" i="17"/>
  <c r="AQ113" i="17"/>
  <c r="AP113" i="17"/>
  <c r="AO113" i="17"/>
  <c r="AN113" i="17"/>
  <c r="AM113" i="17"/>
  <c r="E113" i="17"/>
  <c r="AU113" i="3"/>
  <c r="E113" i="3"/>
  <c r="Q113" i="18"/>
  <c r="P113" i="18"/>
  <c r="O113" i="18"/>
  <c r="K113" i="18"/>
  <c r="J113" i="18"/>
  <c r="I113" i="18"/>
  <c r="H113" i="18"/>
  <c r="G113" i="18"/>
  <c r="F113" i="18"/>
  <c r="E113" i="18"/>
  <c r="S113" i="19"/>
  <c r="R113" i="19"/>
  <c r="Q113" i="19"/>
  <c r="N113" i="19"/>
  <c r="M113" i="19"/>
  <c r="H113" i="19"/>
  <c r="G113" i="19"/>
  <c r="F113" i="19"/>
  <c r="E113" i="1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AQ107" i="15"/>
  <c r="AP107" i="15"/>
  <c r="AO107" i="15"/>
  <c r="AN107" i="15"/>
  <c r="AM107" i="15"/>
  <c r="AL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E107" i="15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BD107" i="17"/>
  <c r="BC107" i="17"/>
  <c r="BB107" i="17"/>
  <c r="BA107" i="17"/>
  <c r="AZ107" i="17"/>
  <c r="AY107" i="17"/>
  <c r="AX107" i="17"/>
  <c r="AQ107" i="17"/>
  <c r="AP107" i="17"/>
  <c r="AO107" i="17"/>
  <c r="AN107" i="17"/>
  <c r="AM107" i="17"/>
  <c r="E107" i="17"/>
  <c r="AU107" i="3"/>
  <c r="E107" i="3"/>
  <c r="Q107" i="18"/>
  <c r="P107" i="18"/>
  <c r="O107" i="18"/>
  <c r="K107" i="18"/>
  <c r="J107" i="18"/>
  <c r="I107" i="18"/>
  <c r="H107" i="18"/>
  <c r="G107" i="18"/>
  <c r="F107" i="18"/>
  <c r="E107" i="18"/>
  <c r="S107" i="19"/>
  <c r="R107" i="19"/>
  <c r="Q107" i="19"/>
  <c r="N107" i="19"/>
  <c r="M107" i="19"/>
  <c r="H107" i="19"/>
  <c r="G107" i="19"/>
  <c r="F107" i="19"/>
  <c r="E107" i="1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AQ98" i="15"/>
  <c r="AP98" i="15"/>
  <c r="AO98" i="15"/>
  <c r="AN98" i="15"/>
  <c r="AM98" i="15"/>
  <c r="AL98" i="15"/>
  <c r="AF98" i="15"/>
  <c r="AE98" i="15"/>
  <c r="AD98" i="15"/>
  <c r="AC98" i="15"/>
  <c r="AB98" i="15"/>
  <c r="AA98" i="15"/>
  <c r="Z98" i="15"/>
  <c r="Y98" i="15"/>
  <c r="X98" i="15"/>
  <c r="W98" i="15"/>
  <c r="V98" i="15"/>
  <c r="E98" i="15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BD98" i="17"/>
  <c r="BC98" i="17"/>
  <c r="BB98" i="17"/>
  <c r="BA98" i="17"/>
  <c r="AZ98" i="17"/>
  <c r="AY98" i="17"/>
  <c r="AX98" i="17"/>
  <c r="AQ98" i="17"/>
  <c r="AP98" i="17"/>
  <c r="AO98" i="17"/>
  <c r="AN98" i="17"/>
  <c r="AM98" i="17"/>
  <c r="E98" i="17"/>
  <c r="AU98" i="3"/>
  <c r="E98" i="3"/>
  <c r="Q98" i="18"/>
  <c r="P98" i="18"/>
  <c r="O98" i="18"/>
  <c r="K98" i="18"/>
  <c r="J98" i="18"/>
  <c r="I98" i="18"/>
  <c r="H98" i="18"/>
  <c r="G98" i="18"/>
  <c r="F98" i="18"/>
  <c r="E98" i="18"/>
  <c r="S98" i="19"/>
  <c r="R98" i="19"/>
  <c r="Q98" i="19"/>
  <c r="N98" i="19"/>
  <c r="M98" i="19"/>
  <c r="H98" i="19"/>
  <c r="G98" i="19"/>
  <c r="F98" i="19"/>
  <c r="E98" i="1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AQ91" i="15"/>
  <c r="AP91" i="15"/>
  <c r="AO91" i="15"/>
  <c r="AN91" i="15"/>
  <c r="AM91" i="15"/>
  <c r="AL91" i="15"/>
  <c r="AF91" i="15"/>
  <c r="AE91" i="15"/>
  <c r="AD91" i="15"/>
  <c r="AC91" i="15"/>
  <c r="AB91" i="15"/>
  <c r="AA91" i="15"/>
  <c r="Z91" i="15"/>
  <c r="Y91" i="15"/>
  <c r="X91" i="15"/>
  <c r="W91" i="15"/>
  <c r="V91" i="15"/>
  <c r="E91" i="15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BD91" i="17"/>
  <c r="BC91" i="17"/>
  <c r="BB91" i="17"/>
  <c r="BA91" i="17"/>
  <c r="AZ91" i="17"/>
  <c r="AY91" i="17"/>
  <c r="AX91" i="17"/>
  <c r="AQ91" i="17"/>
  <c r="AP91" i="17"/>
  <c r="AO91" i="17"/>
  <c r="AN91" i="17"/>
  <c r="AM91" i="17"/>
  <c r="E91" i="17"/>
  <c r="AU91" i="3"/>
  <c r="E91" i="3"/>
  <c r="Q91" i="18"/>
  <c r="P91" i="18"/>
  <c r="O91" i="18"/>
  <c r="K91" i="18"/>
  <c r="J91" i="18"/>
  <c r="I91" i="18"/>
  <c r="H91" i="18"/>
  <c r="G91" i="18"/>
  <c r="F91" i="18"/>
  <c r="E91" i="18"/>
  <c r="S91" i="19"/>
  <c r="R91" i="19"/>
  <c r="Q91" i="19"/>
  <c r="N91" i="19"/>
  <c r="M91" i="19"/>
  <c r="H91" i="19"/>
  <c r="G91" i="19"/>
  <c r="F91" i="19"/>
  <c r="E91" i="1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AQ88" i="15"/>
  <c r="AP88" i="15"/>
  <c r="AO88" i="15"/>
  <c r="AN88" i="15"/>
  <c r="AM88" i="15"/>
  <c r="AL88" i="15"/>
  <c r="AF88" i="15"/>
  <c r="AE88" i="15"/>
  <c r="AD88" i="15"/>
  <c r="AC88" i="15"/>
  <c r="AB88" i="15"/>
  <c r="AA88" i="15"/>
  <c r="Z88" i="15"/>
  <c r="Y88" i="15"/>
  <c r="X88" i="15"/>
  <c r="W88" i="15"/>
  <c r="V88" i="15"/>
  <c r="E88" i="15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BD88" i="17"/>
  <c r="BC88" i="17"/>
  <c r="BB88" i="17"/>
  <c r="BA88" i="17"/>
  <c r="AZ88" i="17"/>
  <c r="AY88" i="17"/>
  <c r="AX88" i="17"/>
  <c r="AQ88" i="17"/>
  <c r="AP88" i="17"/>
  <c r="AO88" i="17"/>
  <c r="AN88" i="17"/>
  <c r="AM88" i="17"/>
  <c r="E88" i="17"/>
  <c r="AU88" i="3"/>
  <c r="E88" i="3"/>
  <c r="Q88" i="18"/>
  <c r="P88" i="18"/>
  <c r="O88" i="18"/>
  <c r="K88" i="18"/>
  <c r="J88" i="18"/>
  <c r="I88" i="18"/>
  <c r="H88" i="18"/>
  <c r="G88" i="18"/>
  <c r="F88" i="18"/>
  <c r="E88" i="18"/>
  <c r="S88" i="19"/>
  <c r="R88" i="19"/>
  <c r="Q88" i="19"/>
  <c r="N88" i="19"/>
  <c r="M88" i="19"/>
  <c r="H88" i="19"/>
  <c r="G88" i="19"/>
  <c r="F88" i="19"/>
  <c r="E88" i="1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Q79" i="15"/>
  <c r="AP79" i="15"/>
  <c r="AO79" i="15"/>
  <c r="AN79" i="15"/>
  <c r="AM79" i="15"/>
  <c r="AL79" i="15"/>
  <c r="AF79" i="15"/>
  <c r="AE79" i="15"/>
  <c r="AD79" i="15"/>
  <c r="AC79" i="15"/>
  <c r="AB79" i="15"/>
  <c r="AA79" i="15"/>
  <c r="Z79" i="15"/>
  <c r="Y79" i="15"/>
  <c r="X79" i="15"/>
  <c r="W79" i="15"/>
  <c r="V79" i="15"/>
  <c r="E79" i="15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BD79" i="17"/>
  <c r="BC79" i="17"/>
  <c r="BB79" i="17"/>
  <c r="BA79" i="17"/>
  <c r="AZ79" i="17"/>
  <c r="AY79" i="17"/>
  <c r="AX79" i="17"/>
  <c r="AQ79" i="17"/>
  <c r="AP79" i="17"/>
  <c r="AO79" i="17"/>
  <c r="AN79" i="17"/>
  <c r="AM79" i="17"/>
  <c r="E79" i="17"/>
  <c r="AU79" i="3"/>
  <c r="E79" i="3"/>
  <c r="Q79" i="18"/>
  <c r="P79" i="18"/>
  <c r="O79" i="18"/>
  <c r="K79" i="18"/>
  <c r="J79" i="18"/>
  <c r="I79" i="18"/>
  <c r="H79" i="18"/>
  <c r="G79" i="18"/>
  <c r="F79" i="18"/>
  <c r="E79" i="18"/>
  <c r="S79" i="19"/>
  <c r="R79" i="19"/>
  <c r="Q79" i="19"/>
  <c r="N79" i="19"/>
  <c r="M79" i="19"/>
  <c r="H79" i="19"/>
  <c r="G79" i="19"/>
  <c r="F79" i="19"/>
  <c r="E79" i="1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AQ70" i="15"/>
  <c r="AP70" i="15"/>
  <c r="AO70" i="15"/>
  <c r="AN70" i="15"/>
  <c r="AM70" i="15"/>
  <c r="AL70" i="15"/>
  <c r="AF70" i="15"/>
  <c r="AE70" i="15"/>
  <c r="AD70" i="15"/>
  <c r="AC70" i="15"/>
  <c r="AB70" i="15"/>
  <c r="AA70" i="15"/>
  <c r="Z70" i="15"/>
  <c r="Y70" i="15"/>
  <c r="X70" i="15"/>
  <c r="W70" i="15"/>
  <c r="V70" i="15"/>
  <c r="E70" i="15"/>
  <c r="V70" i="16"/>
  <c r="U70" i="16"/>
  <c r="T70" i="16"/>
  <c r="S70" i="16"/>
  <c r="R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BD70" i="17"/>
  <c r="BC70" i="17"/>
  <c r="BB70" i="17"/>
  <c r="BA70" i="17"/>
  <c r="AZ70" i="17"/>
  <c r="AY70" i="17"/>
  <c r="AX70" i="17"/>
  <c r="AQ70" i="17"/>
  <c r="AP70" i="17"/>
  <c r="AO70" i="17"/>
  <c r="AN70" i="17"/>
  <c r="AM70" i="17"/>
  <c r="E70" i="17"/>
  <c r="AU70" i="3"/>
  <c r="E70" i="3"/>
  <c r="Q70" i="18"/>
  <c r="P70" i="18"/>
  <c r="O70" i="18"/>
  <c r="K70" i="18"/>
  <c r="J70" i="18"/>
  <c r="I70" i="18"/>
  <c r="H70" i="18"/>
  <c r="G70" i="18"/>
  <c r="F70" i="18"/>
  <c r="E70" i="18"/>
  <c r="S70" i="19"/>
  <c r="R70" i="19"/>
  <c r="Q70" i="19"/>
  <c r="N70" i="19"/>
  <c r="M70" i="19"/>
  <c r="H70" i="19"/>
  <c r="G70" i="19"/>
  <c r="F70" i="19"/>
  <c r="E70" i="1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AQ61" i="15"/>
  <c r="AP61" i="15"/>
  <c r="AO61" i="15"/>
  <c r="AN61" i="15"/>
  <c r="AM61" i="15"/>
  <c r="AL61" i="15"/>
  <c r="AF61" i="15"/>
  <c r="AE61" i="15"/>
  <c r="AD61" i="15"/>
  <c r="AC61" i="15"/>
  <c r="AB61" i="15"/>
  <c r="AA61" i="15"/>
  <c r="Z61" i="15"/>
  <c r="Y61" i="15"/>
  <c r="X61" i="15"/>
  <c r="W61" i="15"/>
  <c r="V61" i="15"/>
  <c r="E61" i="15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BD61" i="17"/>
  <c r="BC61" i="17"/>
  <c r="BB61" i="17"/>
  <c r="BA61" i="17"/>
  <c r="AZ61" i="17"/>
  <c r="AY61" i="17"/>
  <c r="AX61" i="17"/>
  <c r="AQ61" i="17"/>
  <c r="AP61" i="17"/>
  <c r="AO61" i="17"/>
  <c r="AN61" i="17"/>
  <c r="AM61" i="17"/>
  <c r="E61" i="17"/>
  <c r="AU61" i="3"/>
  <c r="E61" i="3"/>
  <c r="Q61" i="18"/>
  <c r="P61" i="18"/>
  <c r="O61" i="18"/>
  <c r="K61" i="18"/>
  <c r="J61" i="18"/>
  <c r="I61" i="18"/>
  <c r="H61" i="18"/>
  <c r="G61" i="18"/>
  <c r="F61" i="18"/>
  <c r="E61" i="18"/>
  <c r="S61" i="19"/>
  <c r="R61" i="19"/>
  <c r="Q61" i="19"/>
  <c r="N61" i="19"/>
  <c r="M61" i="19"/>
  <c r="H61" i="19"/>
  <c r="G61" i="19"/>
  <c r="F61" i="19"/>
  <c r="E61" i="1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Q52" i="10"/>
  <c r="P52" i="10"/>
  <c r="O52" i="10"/>
  <c r="N52" i="10"/>
  <c r="M52" i="10"/>
  <c r="L52" i="10"/>
  <c r="K52" i="10"/>
  <c r="J52" i="10"/>
  <c r="I52" i="10"/>
  <c r="H52" i="10"/>
  <c r="G52" i="10"/>
  <c r="F52" i="10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Q52" i="15"/>
  <c r="AP52" i="15"/>
  <c r="AO52" i="15"/>
  <c r="AN52" i="15"/>
  <c r="AM52" i="15"/>
  <c r="AL52" i="15"/>
  <c r="AF52" i="15"/>
  <c r="AE52" i="15"/>
  <c r="AD52" i="15"/>
  <c r="AC52" i="15"/>
  <c r="AB52" i="15"/>
  <c r="AA52" i="15"/>
  <c r="Z52" i="15"/>
  <c r="Y52" i="15"/>
  <c r="X52" i="15"/>
  <c r="W52" i="15"/>
  <c r="V52" i="15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BD52" i="17"/>
  <c r="BC52" i="17"/>
  <c r="BB52" i="17"/>
  <c r="BA52" i="17"/>
  <c r="AZ52" i="17"/>
  <c r="AY52" i="17"/>
  <c r="AX52" i="17"/>
  <c r="AQ52" i="17"/>
  <c r="AP52" i="17"/>
  <c r="AO52" i="17"/>
  <c r="AN52" i="17"/>
  <c r="AM52" i="17"/>
  <c r="AU52" i="3"/>
  <c r="Q52" i="18"/>
  <c r="P52" i="18"/>
  <c r="O52" i="18"/>
  <c r="K52" i="18"/>
  <c r="J52" i="18"/>
  <c r="I52" i="18"/>
  <c r="H52" i="18"/>
  <c r="G52" i="18"/>
  <c r="F52" i="18"/>
  <c r="S52" i="19"/>
  <c r="R52" i="19"/>
  <c r="Q52" i="19"/>
  <c r="N52" i="19"/>
  <c r="M52" i="19"/>
  <c r="H52" i="19"/>
  <c r="G52" i="19"/>
  <c r="F52" i="19"/>
  <c r="E52" i="9"/>
  <c r="E52" i="10"/>
  <c r="E52" i="11"/>
  <c r="E52" i="15"/>
  <c r="E52" i="16"/>
  <c r="E52" i="3"/>
  <c r="E52" i="18"/>
  <c r="E52" i="19"/>
  <c r="G30" i="15" l="1"/>
  <c r="F30" i="15"/>
  <c r="P30" i="17"/>
  <c r="L30" i="3"/>
  <c r="J30" i="17"/>
  <c r="J179" i="17"/>
  <c r="J181" i="17" s="1"/>
  <c r="M30" i="3"/>
  <c r="J30" i="3"/>
  <c r="M30" i="17"/>
  <c r="L30" i="17"/>
  <c r="J30" i="15"/>
  <c r="N30" i="17"/>
  <c r="N179" i="17"/>
  <c r="N181" i="17" s="1"/>
  <c r="AE30" i="17"/>
  <c r="AE179" i="17"/>
  <c r="AE181" i="17" s="1"/>
  <c r="T30" i="17"/>
  <c r="T179" i="17"/>
  <c r="T181" i="17" s="1"/>
  <c r="I30" i="17"/>
  <c r="U30" i="3"/>
  <c r="I30" i="3"/>
  <c r="E119" i="1"/>
  <c r="K30" i="17"/>
  <c r="K179" i="17"/>
  <c r="K181" i="17" s="1"/>
  <c r="E117" i="1"/>
  <c r="E120" i="1"/>
  <c r="AH30" i="15"/>
  <c r="AS30" i="17"/>
  <c r="E118" i="1"/>
  <c r="E121" i="1"/>
  <c r="H30" i="15"/>
  <c r="I30" i="15"/>
  <c r="AW30" i="17"/>
  <c r="L30" i="19"/>
  <c r="N30" i="3"/>
  <c r="O30" i="19"/>
  <c r="E115" i="1"/>
  <c r="E116" i="1"/>
  <c r="AI30" i="15"/>
  <c r="AK179" i="15"/>
  <c r="AK181" i="15" s="1"/>
  <c r="AT30" i="17"/>
  <c r="AR179" i="17"/>
  <c r="AR181" i="17" s="1"/>
  <c r="AJ30" i="15"/>
  <c r="AU30" i="17"/>
  <c r="AS179" i="17"/>
  <c r="AS181" i="17" s="1"/>
  <c r="J30" i="19"/>
  <c r="AK30" i="15"/>
  <c r="AV30" i="17"/>
  <c r="K30" i="19"/>
  <c r="AJ179" i="15"/>
  <c r="AJ181" i="15" s="1"/>
  <c r="P30" i="19"/>
  <c r="M179" i="17"/>
  <c r="M181" i="17" s="1"/>
  <c r="P179" i="17"/>
  <c r="P181" i="17" s="1"/>
  <c r="AI179" i="15"/>
  <c r="AI181" i="15" s="1"/>
  <c r="AV179" i="17"/>
  <c r="AV181" i="17" s="1"/>
  <c r="AW179" i="17"/>
  <c r="AW181" i="17" s="1"/>
  <c r="AU179" i="17"/>
  <c r="AU181" i="17" s="1"/>
  <c r="AT179" i="17"/>
  <c r="AT181" i="17" s="1"/>
  <c r="O179" i="19"/>
  <c r="O181" i="19" s="1"/>
  <c r="AG179" i="15"/>
  <c r="AG181" i="15" s="1"/>
  <c r="L30" i="18"/>
  <c r="P179" i="19"/>
  <c r="P181" i="19" s="1"/>
  <c r="AH179" i="15"/>
  <c r="AH181" i="15" s="1"/>
  <c r="G30" i="17"/>
  <c r="G179" i="17"/>
  <c r="G181" i="17" s="1"/>
  <c r="G30" i="3"/>
  <c r="AG30" i="15"/>
  <c r="H30" i="17"/>
  <c r="AR30" i="17"/>
  <c r="AL30" i="3"/>
  <c r="H30" i="3"/>
  <c r="I179" i="19"/>
  <c r="I181" i="19" s="1"/>
  <c r="J179" i="19"/>
  <c r="J181" i="19" s="1"/>
  <c r="L179" i="19"/>
  <c r="L181" i="19" s="1"/>
  <c r="I30" i="19"/>
  <c r="K179" i="19"/>
  <c r="K181" i="19" s="1"/>
  <c r="M30" i="18"/>
  <c r="N30" i="18"/>
  <c r="L179" i="18"/>
  <c r="L181" i="18" s="1"/>
  <c r="N179" i="18"/>
  <c r="N181" i="18" s="1"/>
  <c r="M179" i="18"/>
  <c r="M181" i="18" s="1"/>
  <c r="T30" i="3"/>
  <c r="P30" i="3"/>
  <c r="S30" i="3"/>
  <c r="V179" i="3"/>
  <c r="V181" i="3" s="1"/>
  <c r="AD179" i="3"/>
  <c r="AD181" i="3" s="1"/>
  <c r="W179" i="3"/>
  <c r="W181" i="3" s="1"/>
  <c r="K30" i="3"/>
  <c r="R30" i="3"/>
  <c r="P179" i="3"/>
  <c r="P181" i="3" s="1"/>
  <c r="M179" i="3"/>
  <c r="M181" i="3" s="1"/>
  <c r="Q179" i="3"/>
  <c r="Q181" i="3" s="1"/>
  <c r="S179" i="3"/>
  <c r="S181" i="3" s="1"/>
  <c r="Q30" i="3"/>
  <c r="F179" i="3"/>
  <c r="F181" i="3" s="1"/>
  <c r="N179" i="3"/>
  <c r="N181" i="3" s="1"/>
  <c r="R179" i="3"/>
  <c r="R181" i="3" s="1"/>
  <c r="G179" i="3"/>
  <c r="G181" i="3" s="1"/>
  <c r="O179" i="3"/>
  <c r="O181" i="3" s="1"/>
  <c r="I179" i="3"/>
  <c r="I181" i="3" s="1"/>
  <c r="J179" i="3"/>
  <c r="J181" i="3" s="1"/>
  <c r="K179" i="3"/>
  <c r="K181" i="3" s="1"/>
  <c r="L179" i="3"/>
  <c r="L181" i="3" s="1"/>
  <c r="F30" i="3"/>
  <c r="H179" i="3"/>
  <c r="H181" i="3" s="1"/>
  <c r="AG30" i="3"/>
  <c r="O30" i="3"/>
  <c r="AT179" i="3"/>
  <c r="AT181" i="3" s="1"/>
  <c r="AF30" i="3"/>
  <c r="AA179" i="3"/>
  <c r="AA181" i="3" s="1"/>
  <c r="AE179" i="3"/>
  <c r="AE181" i="3" s="1"/>
  <c r="T179" i="3"/>
  <c r="T181" i="3" s="1"/>
  <c r="AB179" i="3"/>
  <c r="AB181" i="3" s="1"/>
  <c r="U179" i="3"/>
  <c r="U181" i="3" s="1"/>
  <c r="AC179" i="3"/>
  <c r="AC181" i="3" s="1"/>
  <c r="AG179" i="3"/>
  <c r="AG181" i="3" s="1"/>
  <c r="Y179" i="3"/>
  <c r="Y181" i="3" s="1"/>
  <c r="X179" i="3"/>
  <c r="X181" i="3" s="1"/>
  <c r="AC30" i="3"/>
  <c r="V30" i="3"/>
  <c r="AK30" i="3"/>
  <c r="Y30" i="3"/>
  <c r="Z30" i="3"/>
  <c r="X30" i="3"/>
  <c r="AA30" i="3"/>
  <c r="AB30" i="3"/>
  <c r="AF179" i="3"/>
  <c r="AF181" i="3" s="1"/>
  <c r="Z179" i="3"/>
  <c r="Z181" i="3" s="1"/>
  <c r="W30" i="3"/>
  <c r="AH30" i="3"/>
  <c r="AD30" i="3"/>
  <c r="AI30" i="3"/>
  <c r="AE30" i="3"/>
  <c r="AI179" i="3"/>
  <c r="AI181" i="3" s="1"/>
  <c r="AJ179" i="3"/>
  <c r="AJ181" i="3" s="1"/>
  <c r="AR179" i="3"/>
  <c r="AR181" i="3" s="1"/>
  <c r="AN179" i="3"/>
  <c r="AN181" i="3" s="1"/>
  <c r="AH179" i="3"/>
  <c r="AH181" i="3" s="1"/>
  <c r="AP179" i="3"/>
  <c r="AP181" i="3" s="1"/>
  <c r="AQ179" i="3"/>
  <c r="AQ181" i="3" s="1"/>
  <c r="AK179" i="3"/>
  <c r="AK181" i="3" s="1"/>
  <c r="AS179" i="3"/>
  <c r="AS181" i="3" s="1"/>
  <c r="AJ30" i="3"/>
  <c r="AM30" i="3"/>
  <c r="AO30" i="3"/>
  <c r="AO179" i="3"/>
  <c r="AO181" i="3" s="1"/>
  <c r="AP30" i="3"/>
  <c r="AQ30" i="3"/>
  <c r="AR30" i="3"/>
  <c r="AS30" i="3"/>
  <c r="AL179" i="3"/>
  <c r="AL181" i="3" s="1"/>
  <c r="AN30" i="3"/>
  <c r="AT30" i="3"/>
  <c r="AM179" i="3"/>
  <c r="AM181" i="3" s="1"/>
  <c r="F30" i="17"/>
  <c r="F179" i="17"/>
  <c r="F181" i="17" s="1"/>
  <c r="O30" i="17"/>
  <c r="O179" i="17"/>
  <c r="O181" i="17" s="1"/>
  <c r="L179" i="17"/>
  <c r="L181" i="17" s="1"/>
  <c r="H179" i="17"/>
  <c r="H181" i="17" s="1"/>
  <c r="I179" i="17"/>
  <c r="I181" i="17" s="1"/>
  <c r="Q30" i="17"/>
  <c r="Q179" i="17"/>
  <c r="Q181" i="17" s="1"/>
  <c r="AD30" i="17"/>
  <c r="AD179" i="17"/>
  <c r="AD181" i="17" s="1"/>
  <c r="S179" i="17"/>
  <c r="S181" i="17" s="1"/>
  <c r="R30" i="17"/>
  <c r="R179" i="17"/>
  <c r="R181" i="17" s="1"/>
  <c r="U30" i="17"/>
  <c r="U179" i="17"/>
  <c r="U181" i="17" s="1"/>
  <c r="S30" i="17"/>
  <c r="V30" i="17"/>
  <c r="V179" i="17"/>
  <c r="V181" i="17" s="1"/>
  <c r="W30" i="17"/>
  <c r="W179" i="17"/>
  <c r="W181" i="17" s="1"/>
  <c r="X30" i="17"/>
  <c r="X179" i="17"/>
  <c r="X181" i="17" s="1"/>
  <c r="AJ30" i="17"/>
  <c r="AJ179" i="17"/>
  <c r="AJ181" i="17" s="1"/>
  <c r="Y30" i="17"/>
  <c r="Y179" i="17"/>
  <c r="Y181" i="17" s="1"/>
  <c r="AK179" i="17"/>
  <c r="AK181" i="17" s="1"/>
  <c r="Z30" i="17"/>
  <c r="Z179" i="17"/>
  <c r="Z181" i="17" s="1"/>
  <c r="AK30" i="17"/>
  <c r="AA30" i="17"/>
  <c r="AA179" i="17"/>
  <c r="AA181" i="17" s="1"/>
  <c r="AB30" i="17"/>
  <c r="AB179" i="17"/>
  <c r="AB181" i="17" s="1"/>
  <c r="AC30" i="17"/>
  <c r="AC179" i="17"/>
  <c r="AC181" i="17" s="1"/>
  <c r="AF30" i="17"/>
  <c r="AF179" i="17"/>
  <c r="AF181" i="17" s="1"/>
  <c r="AG30" i="17"/>
  <c r="AG179" i="17"/>
  <c r="AG181" i="17" s="1"/>
  <c r="AH30" i="17"/>
  <c r="AH179" i="17"/>
  <c r="AH181" i="17" s="1"/>
  <c r="AI30" i="17"/>
  <c r="AI179" i="17"/>
  <c r="AI181" i="17" s="1"/>
  <c r="AL30" i="17"/>
  <c r="AL179" i="17"/>
  <c r="AL181" i="17" s="1"/>
  <c r="F179" i="15"/>
  <c r="F181" i="15" s="1"/>
  <c r="K179" i="15"/>
  <c r="K181" i="15" s="1"/>
  <c r="K30" i="15"/>
  <c r="I179" i="15"/>
  <c r="I181" i="15" s="1"/>
  <c r="G179" i="15"/>
  <c r="G181" i="15" s="1"/>
  <c r="H179" i="15"/>
  <c r="H181" i="15" s="1"/>
  <c r="N179" i="15"/>
  <c r="N181" i="15" s="1"/>
  <c r="L30" i="15"/>
  <c r="M30" i="15"/>
  <c r="N30" i="15"/>
  <c r="L179" i="15"/>
  <c r="L181" i="15" s="1"/>
  <c r="Q30" i="15"/>
  <c r="O179" i="15"/>
  <c r="O181" i="15" s="1"/>
  <c r="R30" i="15"/>
  <c r="S30" i="15"/>
  <c r="T30" i="15"/>
  <c r="R179" i="15"/>
  <c r="R181" i="15" s="1"/>
  <c r="T179" i="15"/>
  <c r="T181" i="15" s="1"/>
  <c r="P179" i="15"/>
  <c r="P181" i="15" s="1"/>
  <c r="O30" i="15"/>
  <c r="M179" i="15"/>
  <c r="M181" i="15" s="1"/>
  <c r="U30" i="15"/>
  <c r="S179" i="15"/>
  <c r="S181" i="15" s="1"/>
  <c r="U179" i="15"/>
  <c r="U181" i="15" s="1"/>
  <c r="Q179" i="15"/>
  <c r="Q181" i="15" s="1"/>
  <c r="P30" i="15"/>
  <c r="J179" i="15"/>
  <c r="J181" i="15" s="1"/>
  <c r="T175" i="19"/>
  <c r="T161" i="19"/>
  <c r="T112" i="19"/>
  <c r="T96" i="19"/>
  <c r="T97" i="19"/>
  <c r="R111" i="18"/>
  <c r="R112" i="18"/>
  <c r="AV161" i="3"/>
  <c r="AV111" i="3"/>
  <c r="AV112" i="3"/>
  <c r="AV97" i="3"/>
  <c r="BE112" i="17"/>
  <c r="W175" i="16"/>
  <c r="W112" i="16"/>
  <c r="W97" i="16"/>
  <c r="AR112" i="15"/>
  <c r="O179" i="16" l="1"/>
  <c r="O181" i="16" s="1"/>
  <c r="N179" i="16"/>
  <c r="N181" i="16" s="1"/>
  <c r="Q179" i="16"/>
  <c r="Q181" i="16" s="1"/>
  <c r="P179" i="16"/>
  <c r="P181" i="16" s="1"/>
  <c r="M179" i="16"/>
  <c r="M181" i="16" s="1"/>
  <c r="L179" i="16"/>
  <c r="L181" i="16" s="1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P28" i="16"/>
  <c r="O28" i="16"/>
  <c r="N28" i="16"/>
  <c r="M28" i="16"/>
  <c r="L28" i="16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Q179" i="10"/>
  <c r="Q181" i="10" s="1"/>
  <c r="P179" i="10"/>
  <c r="P181" i="10" s="1"/>
  <c r="Q41" i="10"/>
  <c r="P41" i="10"/>
  <c r="Q36" i="10"/>
  <c r="P36" i="10"/>
  <c r="Q29" i="10"/>
  <c r="P29" i="10"/>
  <c r="Q28" i="10"/>
  <c r="P28" i="10"/>
  <c r="Q27" i="10"/>
  <c r="P27" i="10"/>
  <c r="Q24" i="10"/>
  <c r="P24" i="10"/>
  <c r="Q21" i="10"/>
  <c r="P21" i="10"/>
  <c r="Q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179" i="9"/>
  <c r="P181" i="9" s="1"/>
  <c r="U179" i="9"/>
  <c r="U181" i="9" s="1"/>
  <c r="T179" i="9"/>
  <c r="T181" i="9" s="1"/>
  <c r="Y41" i="9"/>
  <c r="X41" i="9"/>
  <c r="W41" i="9"/>
  <c r="V41" i="9"/>
  <c r="U41" i="9"/>
  <c r="T41" i="9"/>
  <c r="S41" i="9"/>
  <c r="R41" i="9"/>
  <c r="Q41" i="9"/>
  <c r="P41" i="9"/>
  <c r="Y36" i="9"/>
  <c r="X36" i="9"/>
  <c r="W36" i="9"/>
  <c r="V36" i="9"/>
  <c r="U36" i="9"/>
  <c r="T36" i="9"/>
  <c r="S36" i="9"/>
  <c r="R36" i="9"/>
  <c r="Q36" i="9"/>
  <c r="P36" i="9"/>
  <c r="Y29" i="9"/>
  <c r="X29" i="9"/>
  <c r="W29" i="9"/>
  <c r="V29" i="9"/>
  <c r="U29" i="9"/>
  <c r="T29" i="9"/>
  <c r="S29" i="9"/>
  <c r="R29" i="9"/>
  <c r="Q29" i="9"/>
  <c r="P29" i="9"/>
  <c r="Y28" i="9"/>
  <c r="X28" i="9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4" i="9"/>
  <c r="X24" i="9"/>
  <c r="W24" i="9"/>
  <c r="V24" i="9"/>
  <c r="U24" i="9"/>
  <c r="T24" i="9"/>
  <c r="S24" i="9"/>
  <c r="R24" i="9"/>
  <c r="Q24" i="9"/>
  <c r="P24" i="9"/>
  <c r="Y21" i="9"/>
  <c r="X21" i="9"/>
  <c r="W21" i="9"/>
  <c r="V21" i="9"/>
  <c r="U21" i="9"/>
  <c r="T21" i="9"/>
  <c r="S21" i="9"/>
  <c r="R21" i="9"/>
  <c r="Q21" i="9"/>
  <c r="P21" i="9"/>
  <c r="Y16" i="9"/>
  <c r="X16" i="9"/>
  <c r="W16" i="9"/>
  <c r="V16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K30" i="9" s="1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L30" i="9" l="1"/>
  <c r="M30" i="9"/>
  <c r="N30" i="9"/>
  <c r="L30" i="16"/>
  <c r="F30" i="10"/>
  <c r="G30" i="10"/>
  <c r="M30" i="16"/>
  <c r="I30" i="10"/>
  <c r="J30" i="10"/>
  <c r="P30" i="16"/>
  <c r="K30" i="10"/>
  <c r="Q30" i="16"/>
  <c r="H30" i="10"/>
  <c r="N30" i="16"/>
  <c r="O30" i="16"/>
  <c r="X30" i="9"/>
  <c r="Y30" i="9"/>
  <c r="P30" i="10"/>
  <c r="Q30" i="10"/>
  <c r="F179" i="10"/>
  <c r="F181" i="10" s="1"/>
  <c r="G179" i="10"/>
  <c r="G181" i="10" s="1"/>
  <c r="I179" i="10"/>
  <c r="I181" i="10" s="1"/>
  <c r="J179" i="10"/>
  <c r="J181" i="10" s="1"/>
  <c r="H179" i="10"/>
  <c r="H181" i="10" s="1"/>
  <c r="K179" i="10"/>
  <c r="K181" i="10" s="1"/>
  <c r="P30" i="9"/>
  <c r="V179" i="9"/>
  <c r="V181" i="9" s="1"/>
  <c r="T30" i="9"/>
  <c r="Y179" i="9"/>
  <c r="Y181" i="9" s="1"/>
  <c r="R30" i="9"/>
  <c r="S30" i="9"/>
  <c r="G30" i="9"/>
  <c r="U30" i="9"/>
  <c r="I30" i="9"/>
  <c r="V30" i="9"/>
  <c r="W30" i="9"/>
  <c r="R179" i="9"/>
  <c r="R181" i="9" s="1"/>
  <c r="W179" i="9"/>
  <c r="W181" i="9" s="1"/>
  <c r="X179" i="9"/>
  <c r="X181" i="9" s="1"/>
  <c r="Q30" i="9"/>
  <c r="F30" i="9"/>
  <c r="H30" i="9"/>
  <c r="S179" i="9"/>
  <c r="S181" i="9" s="1"/>
  <c r="Q179" i="9"/>
  <c r="Q181" i="9" s="1"/>
  <c r="F179" i="9"/>
  <c r="F181" i="9" s="1"/>
  <c r="G179" i="9"/>
  <c r="G181" i="9" s="1"/>
  <c r="H179" i="9"/>
  <c r="H181" i="9" s="1"/>
  <c r="J179" i="9"/>
  <c r="J181" i="9" s="1"/>
  <c r="J30" i="9"/>
  <c r="K179" i="9"/>
  <c r="K181" i="9" s="1"/>
  <c r="L179" i="9"/>
  <c r="L181" i="9" s="1"/>
  <c r="N179" i="9"/>
  <c r="N181" i="9" s="1"/>
  <c r="M179" i="9"/>
  <c r="M181" i="9" s="1"/>
  <c r="I179" i="9"/>
  <c r="I181" i="9" s="1"/>
  <c r="T180" i="19"/>
  <c r="T174" i="19"/>
  <c r="T173" i="19"/>
  <c r="T170" i="19"/>
  <c r="T169" i="19"/>
  <c r="T168" i="19"/>
  <c r="T167" i="19"/>
  <c r="T166" i="19"/>
  <c r="T165" i="19"/>
  <c r="T164" i="19"/>
  <c r="T160" i="19"/>
  <c r="T159" i="19"/>
  <c r="T158" i="19"/>
  <c r="T155" i="19"/>
  <c r="T154" i="19"/>
  <c r="T153" i="19"/>
  <c r="T150" i="19"/>
  <c r="T149" i="19"/>
  <c r="T148" i="19"/>
  <c r="T147" i="19"/>
  <c r="T146" i="19"/>
  <c r="T145" i="19"/>
  <c r="T144" i="19"/>
  <c r="T141" i="19"/>
  <c r="T140" i="19"/>
  <c r="T139" i="19"/>
  <c r="T138" i="19"/>
  <c r="T137" i="19"/>
  <c r="T136" i="19"/>
  <c r="T133" i="19"/>
  <c r="T132" i="19"/>
  <c r="T131" i="19"/>
  <c r="T130" i="19"/>
  <c r="T129" i="19"/>
  <c r="T128" i="19"/>
  <c r="T127" i="19"/>
  <c r="T124" i="19"/>
  <c r="T111" i="19"/>
  <c r="T110" i="19"/>
  <c r="T109" i="19"/>
  <c r="T106" i="19"/>
  <c r="T105" i="19"/>
  <c r="T104" i="19"/>
  <c r="T103" i="19"/>
  <c r="T102" i="19"/>
  <c r="T101" i="19"/>
  <c r="T100" i="19"/>
  <c r="T95" i="19"/>
  <c r="T94" i="19"/>
  <c r="T93" i="19"/>
  <c r="T90" i="19"/>
  <c r="T87" i="19"/>
  <c r="T86" i="19"/>
  <c r="T85" i="19"/>
  <c r="T84" i="19"/>
  <c r="T83" i="19"/>
  <c r="T82" i="19"/>
  <c r="T81" i="19"/>
  <c r="T78" i="19"/>
  <c r="T77" i="19"/>
  <c r="T76" i="19"/>
  <c r="T75" i="19"/>
  <c r="T74" i="19"/>
  <c r="T73" i="19"/>
  <c r="T72" i="19"/>
  <c r="T69" i="19"/>
  <c r="T68" i="19"/>
  <c r="T67" i="19"/>
  <c r="T66" i="19"/>
  <c r="T65" i="19"/>
  <c r="T64" i="19"/>
  <c r="T63" i="19"/>
  <c r="T60" i="19"/>
  <c r="T59" i="19"/>
  <c r="T58" i="19"/>
  <c r="T57" i="19"/>
  <c r="T56" i="19"/>
  <c r="T55" i="19"/>
  <c r="T54" i="19"/>
  <c r="T51" i="19"/>
  <c r="T50" i="19"/>
  <c r="T49" i="19"/>
  <c r="T48" i="19"/>
  <c r="T47" i="19"/>
  <c r="T46" i="19"/>
  <c r="T45" i="19"/>
  <c r="S41" i="19"/>
  <c r="R41" i="19"/>
  <c r="Q41" i="19"/>
  <c r="N41" i="19"/>
  <c r="M41" i="19"/>
  <c r="H41" i="19"/>
  <c r="G41" i="19"/>
  <c r="F41" i="19"/>
  <c r="E41" i="19"/>
  <c r="T40" i="19"/>
  <c r="T39" i="19"/>
  <c r="S36" i="19"/>
  <c r="R36" i="19"/>
  <c r="Q36" i="19"/>
  <c r="N36" i="19"/>
  <c r="M36" i="19"/>
  <c r="H36" i="19"/>
  <c r="G36" i="19"/>
  <c r="F36" i="19"/>
  <c r="E36" i="19"/>
  <c r="S29" i="19"/>
  <c r="R29" i="19"/>
  <c r="Q29" i="19"/>
  <c r="N29" i="19"/>
  <c r="M29" i="19"/>
  <c r="H29" i="19"/>
  <c r="G29" i="19"/>
  <c r="F29" i="19"/>
  <c r="E29" i="19"/>
  <c r="S28" i="19"/>
  <c r="R28" i="19"/>
  <c r="Q28" i="19"/>
  <c r="N28" i="19"/>
  <c r="M28" i="19"/>
  <c r="H28" i="19"/>
  <c r="G28" i="19"/>
  <c r="F28" i="19"/>
  <c r="E28" i="19"/>
  <c r="S27" i="19"/>
  <c r="R27" i="19"/>
  <c r="Q27" i="19"/>
  <c r="N27" i="19"/>
  <c r="M27" i="19"/>
  <c r="H27" i="19"/>
  <c r="G27" i="19"/>
  <c r="F27" i="19"/>
  <c r="E27" i="19"/>
  <c r="T26" i="19"/>
  <c r="T25" i="19"/>
  <c r="S24" i="19"/>
  <c r="R24" i="19"/>
  <c r="Q24" i="19"/>
  <c r="N24" i="19"/>
  <c r="M24" i="19"/>
  <c r="H24" i="19"/>
  <c r="G24" i="19"/>
  <c r="F24" i="19"/>
  <c r="E24" i="19"/>
  <c r="T23" i="19"/>
  <c r="T22" i="19"/>
  <c r="S21" i="19"/>
  <c r="R21" i="19"/>
  <c r="Q21" i="19"/>
  <c r="N21" i="19"/>
  <c r="M21" i="19"/>
  <c r="H21" i="19"/>
  <c r="G21" i="19"/>
  <c r="F21" i="19"/>
  <c r="E21" i="19"/>
  <c r="T20" i="19"/>
  <c r="T19" i="19"/>
  <c r="S16" i="19"/>
  <c r="R16" i="19"/>
  <c r="Q16" i="19"/>
  <c r="N16" i="19"/>
  <c r="M16" i="19"/>
  <c r="H16" i="19"/>
  <c r="G16" i="19"/>
  <c r="F16" i="19"/>
  <c r="E16" i="19"/>
  <c r="T15" i="19"/>
  <c r="T14" i="19"/>
  <c r="R180" i="18"/>
  <c r="R175" i="18"/>
  <c r="R174" i="18"/>
  <c r="R173" i="18"/>
  <c r="R170" i="18"/>
  <c r="R169" i="18"/>
  <c r="R168" i="18"/>
  <c r="R167" i="18"/>
  <c r="R166" i="18"/>
  <c r="R165" i="18"/>
  <c r="R164" i="18"/>
  <c r="R161" i="18"/>
  <c r="R160" i="18"/>
  <c r="R159" i="18"/>
  <c r="R158" i="18"/>
  <c r="R155" i="18"/>
  <c r="R154" i="18"/>
  <c r="R153" i="18"/>
  <c r="R150" i="18"/>
  <c r="R149" i="18"/>
  <c r="R148" i="18"/>
  <c r="R147" i="18"/>
  <c r="R146" i="18"/>
  <c r="R145" i="18"/>
  <c r="R144" i="18"/>
  <c r="R141" i="18"/>
  <c r="R140" i="18"/>
  <c r="R139" i="18"/>
  <c r="R138" i="18"/>
  <c r="R137" i="18"/>
  <c r="R136" i="18"/>
  <c r="R133" i="18"/>
  <c r="R132" i="18"/>
  <c r="R131" i="18"/>
  <c r="R130" i="18"/>
  <c r="R129" i="18"/>
  <c r="R128" i="18"/>
  <c r="R127" i="18"/>
  <c r="R124" i="18"/>
  <c r="R110" i="18"/>
  <c r="R109" i="18"/>
  <c r="R106" i="18"/>
  <c r="R105" i="18"/>
  <c r="R104" i="18"/>
  <c r="R103" i="18"/>
  <c r="R102" i="18"/>
  <c r="R101" i="18"/>
  <c r="R100" i="18"/>
  <c r="R97" i="18"/>
  <c r="R96" i="18"/>
  <c r="R95" i="18"/>
  <c r="R94" i="18"/>
  <c r="R93" i="18"/>
  <c r="R90" i="18"/>
  <c r="R87" i="18"/>
  <c r="R86" i="18"/>
  <c r="R85" i="18"/>
  <c r="R84" i="18"/>
  <c r="R83" i="18"/>
  <c r="R82" i="18"/>
  <c r="R81" i="18"/>
  <c r="R78" i="18"/>
  <c r="R77" i="18"/>
  <c r="R76" i="18"/>
  <c r="R75" i="18"/>
  <c r="R74" i="18"/>
  <c r="R73" i="18"/>
  <c r="R72" i="18"/>
  <c r="R69" i="18"/>
  <c r="R68" i="18"/>
  <c r="R67" i="18"/>
  <c r="R66" i="18"/>
  <c r="R65" i="18"/>
  <c r="R64" i="18"/>
  <c r="R63" i="18"/>
  <c r="R60" i="18"/>
  <c r="R59" i="18"/>
  <c r="R58" i="18"/>
  <c r="R57" i="18"/>
  <c r="R56" i="18"/>
  <c r="R55" i="18"/>
  <c r="R54" i="18"/>
  <c r="R51" i="18"/>
  <c r="R50" i="18"/>
  <c r="R49" i="18"/>
  <c r="R48" i="18"/>
  <c r="R47" i="18"/>
  <c r="R46" i="18"/>
  <c r="R45" i="18"/>
  <c r="Q41" i="18"/>
  <c r="P41" i="18"/>
  <c r="O41" i="18"/>
  <c r="K41" i="18"/>
  <c r="J41" i="18"/>
  <c r="I41" i="18"/>
  <c r="H41" i="18"/>
  <c r="G41" i="18"/>
  <c r="F41" i="18"/>
  <c r="E41" i="18"/>
  <c r="R40" i="18"/>
  <c r="R39" i="18"/>
  <c r="Q36" i="18"/>
  <c r="P36" i="18"/>
  <c r="O36" i="18"/>
  <c r="K36" i="18"/>
  <c r="J36" i="18"/>
  <c r="I36" i="18"/>
  <c r="H36" i="18"/>
  <c r="G36" i="18"/>
  <c r="F36" i="18"/>
  <c r="E36" i="18"/>
  <c r="R35" i="18"/>
  <c r="R34" i="18"/>
  <c r="R33" i="18"/>
  <c r="Q29" i="18"/>
  <c r="P29" i="18"/>
  <c r="O29" i="18"/>
  <c r="K29" i="18"/>
  <c r="J29" i="18"/>
  <c r="I29" i="18"/>
  <c r="H29" i="18"/>
  <c r="G29" i="18"/>
  <c r="F29" i="18"/>
  <c r="E29" i="18"/>
  <c r="Q28" i="18"/>
  <c r="P28" i="18"/>
  <c r="O28" i="18"/>
  <c r="K28" i="18"/>
  <c r="J28" i="18"/>
  <c r="I28" i="18"/>
  <c r="H28" i="18"/>
  <c r="G28" i="18"/>
  <c r="F28" i="18"/>
  <c r="E28" i="18"/>
  <c r="Q27" i="18"/>
  <c r="P27" i="18"/>
  <c r="O27" i="18"/>
  <c r="K27" i="18"/>
  <c r="J27" i="18"/>
  <c r="I27" i="18"/>
  <c r="H27" i="18"/>
  <c r="G27" i="18"/>
  <c r="F27" i="18"/>
  <c r="E27" i="18"/>
  <c r="R26" i="18"/>
  <c r="R25" i="18"/>
  <c r="Q24" i="18"/>
  <c r="P24" i="18"/>
  <c r="O24" i="18"/>
  <c r="K24" i="18"/>
  <c r="J24" i="18"/>
  <c r="I24" i="18"/>
  <c r="H24" i="18"/>
  <c r="G24" i="18"/>
  <c r="F24" i="18"/>
  <c r="E24" i="18"/>
  <c r="R23" i="18"/>
  <c r="R22" i="18"/>
  <c r="Q21" i="18"/>
  <c r="P21" i="18"/>
  <c r="O21" i="18"/>
  <c r="K21" i="18"/>
  <c r="J21" i="18"/>
  <c r="I21" i="18"/>
  <c r="H21" i="18"/>
  <c r="G21" i="18"/>
  <c r="F21" i="18"/>
  <c r="E21" i="18"/>
  <c r="R20" i="18"/>
  <c r="R19" i="18"/>
  <c r="Q16" i="18"/>
  <c r="P16" i="18"/>
  <c r="O16" i="18"/>
  <c r="K16" i="18"/>
  <c r="J16" i="18"/>
  <c r="I16" i="18"/>
  <c r="H16" i="18"/>
  <c r="G16" i="18"/>
  <c r="F16" i="18"/>
  <c r="E16" i="18"/>
  <c r="R15" i="18"/>
  <c r="R14" i="18"/>
  <c r="X41" i="11"/>
  <c r="W41" i="11"/>
  <c r="V41" i="11"/>
  <c r="U41" i="11"/>
  <c r="T41" i="11"/>
  <c r="S41" i="11"/>
  <c r="R41" i="11"/>
  <c r="Q41" i="11"/>
  <c r="P41" i="11"/>
  <c r="X36" i="11"/>
  <c r="W36" i="11"/>
  <c r="V36" i="11"/>
  <c r="U36" i="11"/>
  <c r="T36" i="11"/>
  <c r="S36" i="11"/>
  <c r="R36" i="11"/>
  <c r="Q36" i="11"/>
  <c r="P36" i="11"/>
  <c r="X29" i="11"/>
  <c r="W29" i="11"/>
  <c r="V29" i="11"/>
  <c r="U29" i="11"/>
  <c r="T29" i="11"/>
  <c r="S29" i="11"/>
  <c r="R29" i="11"/>
  <c r="Q29" i="11"/>
  <c r="P29" i="11"/>
  <c r="X28" i="11"/>
  <c r="W28" i="11"/>
  <c r="V28" i="11"/>
  <c r="U28" i="11"/>
  <c r="T28" i="11"/>
  <c r="S28" i="11"/>
  <c r="R28" i="11"/>
  <c r="Q28" i="11"/>
  <c r="P28" i="11"/>
  <c r="X27" i="11"/>
  <c r="W27" i="11"/>
  <c r="V27" i="11"/>
  <c r="U27" i="11"/>
  <c r="T27" i="11"/>
  <c r="S27" i="11"/>
  <c r="R27" i="11"/>
  <c r="Q27" i="11"/>
  <c r="P27" i="11"/>
  <c r="X24" i="11"/>
  <c r="W24" i="11"/>
  <c r="V24" i="11"/>
  <c r="U24" i="11"/>
  <c r="T24" i="11"/>
  <c r="S24" i="11"/>
  <c r="R24" i="11"/>
  <c r="Q24" i="11"/>
  <c r="P24" i="11"/>
  <c r="X21" i="11"/>
  <c r="W21" i="11"/>
  <c r="V21" i="11"/>
  <c r="U21" i="11"/>
  <c r="T21" i="11"/>
  <c r="S21" i="11"/>
  <c r="R21" i="11"/>
  <c r="Q21" i="11"/>
  <c r="P21" i="11"/>
  <c r="X16" i="11"/>
  <c r="W16" i="11"/>
  <c r="V16" i="11"/>
  <c r="U16" i="11"/>
  <c r="T16" i="11"/>
  <c r="S16" i="11"/>
  <c r="R16" i="11"/>
  <c r="Q16" i="11"/>
  <c r="P16" i="11"/>
  <c r="BE180" i="17"/>
  <c r="BE175" i="17"/>
  <c r="BE174" i="17"/>
  <c r="BE173" i="17"/>
  <c r="BE170" i="17"/>
  <c r="BE169" i="17"/>
  <c r="BE168" i="17"/>
  <c r="BE167" i="17"/>
  <c r="BE166" i="17"/>
  <c r="BE165" i="17"/>
  <c r="BE164" i="17"/>
  <c r="BE161" i="17"/>
  <c r="BE160" i="17"/>
  <c r="BE159" i="17"/>
  <c r="BE158" i="17"/>
  <c r="BE155" i="17"/>
  <c r="BE154" i="17"/>
  <c r="BE153" i="17"/>
  <c r="BE150" i="17"/>
  <c r="BE149" i="17"/>
  <c r="BE148" i="17"/>
  <c r="BE147" i="17"/>
  <c r="BE146" i="17"/>
  <c r="BE145" i="17"/>
  <c r="BE144" i="17"/>
  <c r="BE141" i="17"/>
  <c r="BE140" i="17"/>
  <c r="BE139" i="17"/>
  <c r="BE138" i="17"/>
  <c r="BE137" i="17"/>
  <c r="BE136" i="17"/>
  <c r="BE133" i="17"/>
  <c r="BE132" i="17"/>
  <c r="BE131" i="17"/>
  <c r="BE130" i="17"/>
  <c r="BE129" i="17"/>
  <c r="BE128" i="17"/>
  <c r="BE127" i="17"/>
  <c r="BE124" i="17"/>
  <c r="BE111" i="17"/>
  <c r="BE110" i="17"/>
  <c r="BE109" i="17"/>
  <c r="BE106" i="17"/>
  <c r="BE105" i="17"/>
  <c r="BE104" i="17"/>
  <c r="BE103" i="17"/>
  <c r="BE102" i="17"/>
  <c r="BE101" i="17"/>
  <c r="BE100" i="17"/>
  <c r="BE97" i="17"/>
  <c r="BE96" i="17"/>
  <c r="BE95" i="17"/>
  <c r="BE94" i="17"/>
  <c r="BE93" i="17"/>
  <c r="BE90" i="17"/>
  <c r="BE87" i="17"/>
  <c r="BE86" i="17"/>
  <c r="BE85" i="17"/>
  <c r="BE84" i="17"/>
  <c r="BE83" i="17"/>
  <c r="BE82" i="17"/>
  <c r="BE81" i="17"/>
  <c r="BE78" i="17"/>
  <c r="BE77" i="17"/>
  <c r="BE76" i="17"/>
  <c r="BE75" i="17"/>
  <c r="BE74" i="17"/>
  <c r="BE73" i="17"/>
  <c r="BE72" i="17"/>
  <c r="BE69" i="17"/>
  <c r="BE68" i="17"/>
  <c r="BE67" i="17"/>
  <c r="BE66" i="17"/>
  <c r="BE65" i="17"/>
  <c r="BE64" i="17"/>
  <c r="BE63" i="17"/>
  <c r="BE60" i="17"/>
  <c r="BE59" i="17"/>
  <c r="BE58" i="17"/>
  <c r="BE57" i="17"/>
  <c r="BE56" i="17"/>
  <c r="BE55" i="17"/>
  <c r="BE54" i="17"/>
  <c r="BE51" i="17"/>
  <c r="BE50" i="17"/>
  <c r="BE49" i="17"/>
  <c r="BE48" i="17"/>
  <c r="BE47" i="17"/>
  <c r="BE46" i="17"/>
  <c r="BE45" i="17"/>
  <c r="BD41" i="17"/>
  <c r="BC41" i="17"/>
  <c r="BB41" i="17"/>
  <c r="BA41" i="17"/>
  <c r="AZ41" i="17"/>
  <c r="AY41" i="17"/>
  <c r="AX41" i="17"/>
  <c r="AQ41" i="17"/>
  <c r="AP41" i="17"/>
  <c r="AO41" i="17"/>
  <c r="AN41" i="17"/>
  <c r="AM41" i="17"/>
  <c r="E41" i="17"/>
  <c r="BE40" i="17"/>
  <c r="BE39" i="17"/>
  <c r="BD36" i="17"/>
  <c r="BC36" i="17"/>
  <c r="BB36" i="17"/>
  <c r="BA36" i="17"/>
  <c r="AZ36" i="17"/>
  <c r="AY36" i="17"/>
  <c r="AX36" i="17"/>
  <c r="AQ36" i="17"/>
  <c r="AP36" i="17"/>
  <c r="AO36" i="17"/>
  <c r="AN36" i="17"/>
  <c r="AM36" i="17"/>
  <c r="E36" i="17"/>
  <c r="BE35" i="17"/>
  <c r="BE34" i="17"/>
  <c r="BE33" i="17"/>
  <c r="BD29" i="17"/>
  <c r="BC29" i="17"/>
  <c r="BB29" i="17"/>
  <c r="BA29" i="17"/>
  <c r="AZ29" i="17"/>
  <c r="AY29" i="17"/>
  <c r="AX29" i="17"/>
  <c r="AQ29" i="17"/>
  <c r="AP29" i="17"/>
  <c r="AO29" i="17"/>
  <c r="AN29" i="17"/>
  <c r="AM29" i="17"/>
  <c r="E29" i="17"/>
  <c r="BD28" i="17"/>
  <c r="BC28" i="17"/>
  <c r="BB28" i="17"/>
  <c r="BA28" i="17"/>
  <c r="AZ28" i="17"/>
  <c r="AY28" i="17"/>
  <c r="AX28" i="17"/>
  <c r="AQ28" i="17"/>
  <c r="AP28" i="17"/>
  <c r="AO28" i="17"/>
  <c r="AN28" i="17"/>
  <c r="AM28" i="17"/>
  <c r="E28" i="17"/>
  <c r="BD27" i="17"/>
  <c r="BC27" i="17"/>
  <c r="BB27" i="17"/>
  <c r="BA27" i="17"/>
  <c r="AZ27" i="17"/>
  <c r="AY27" i="17"/>
  <c r="AX27" i="17"/>
  <c r="AQ27" i="17"/>
  <c r="AP27" i="17"/>
  <c r="AO27" i="17"/>
  <c r="AN27" i="17"/>
  <c r="AM27" i="17"/>
  <c r="E27" i="17"/>
  <c r="BE26" i="17"/>
  <c r="BE25" i="17"/>
  <c r="BD24" i="17"/>
  <c r="BC24" i="17"/>
  <c r="BB24" i="17"/>
  <c r="BA24" i="17"/>
  <c r="AZ24" i="17"/>
  <c r="AY24" i="17"/>
  <c r="AX24" i="17"/>
  <c r="AQ24" i="17"/>
  <c r="AP24" i="17"/>
  <c r="AO24" i="17"/>
  <c r="AN24" i="17"/>
  <c r="AM24" i="17"/>
  <c r="E24" i="17"/>
  <c r="BE23" i="17"/>
  <c r="BE22" i="17"/>
  <c r="BD21" i="17"/>
  <c r="BC21" i="17"/>
  <c r="BB21" i="17"/>
  <c r="BA21" i="17"/>
  <c r="AZ21" i="17"/>
  <c r="AY21" i="17"/>
  <c r="AX21" i="17"/>
  <c r="AQ21" i="17"/>
  <c r="AP21" i="17"/>
  <c r="AO21" i="17"/>
  <c r="AN21" i="17"/>
  <c r="AM21" i="17"/>
  <c r="E21" i="17"/>
  <c r="BE20" i="17"/>
  <c r="BE19" i="17"/>
  <c r="BD16" i="17"/>
  <c r="BC16" i="17"/>
  <c r="BB16" i="17"/>
  <c r="BA16" i="17"/>
  <c r="AZ16" i="17"/>
  <c r="AY16" i="17"/>
  <c r="AX16" i="17"/>
  <c r="AQ16" i="17"/>
  <c r="AP16" i="17"/>
  <c r="AO16" i="17"/>
  <c r="AN16" i="17"/>
  <c r="AM16" i="17"/>
  <c r="E16" i="17"/>
  <c r="BE15" i="17"/>
  <c r="BE14" i="17"/>
  <c r="W180" i="16"/>
  <c r="W174" i="16"/>
  <c r="W173" i="16"/>
  <c r="W170" i="16"/>
  <c r="W169" i="16"/>
  <c r="W168" i="16"/>
  <c r="W167" i="16"/>
  <c r="W166" i="16"/>
  <c r="W165" i="16"/>
  <c r="W164" i="16"/>
  <c r="W161" i="16"/>
  <c r="W160" i="16"/>
  <c r="W159" i="16"/>
  <c r="W158" i="16"/>
  <c r="W155" i="16"/>
  <c r="W154" i="16"/>
  <c r="W153" i="16"/>
  <c r="W150" i="16"/>
  <c r="W149" i="16"/>
  <c r="W148" i="16"/>
  <c r="W147" i="16"/>
  <c r="W146" i="16"/>
  <c r="W145" i="16"/>
  <c r="W144" i="16"/>
  <c r="W141" i="16"/>
  <c r="W140" i="16"/>
  <c r="W139" i="16"/>
  <c r="W138" i="16"/>
  <c r="W137" i="16"/>
  <c r="W136" i="16"/>
  <c r="W133" i="16"/>
  <c r="W132" i="16"/>
  <c r="W131" i="16"/>
  <c r="W130" i="16"/>
  <c r="W129" i="16"/>
  <c r="W128" i="16"/>
  <c r="W127" i="16"/>
  <c r="W124" i="16"/>
  <c r="W111" i="16"/>
  <c r="W110" i="16"/>
  <c r="W109" i="16"/>
  <c r="W106" i="16"/>
  <c r="W105" i="16"/>
  <c r="W104" i="16"/>
  <c r="W103" i="16"/>
  <c r="W102" i="16"/>
  <c r="W101" i="16"/>
  <c r="W100" i="16"/>
  <c r="W96" i="16"/>
  <c r="W95" i="16"/>
  <c r="W94" i="16"/>
  <c r="W93" i="16"/>
  <c r="W90" i="16"/>
  <c r="W87" i="16"/>
  <c r="W86" i="16"/>
  <c r="W85" i="16"/>
  <c r="W84" i="16"/>
  <c r="W83" i="16"/>
  <c r="W82" i="16"/>
  <c r="W81" i="16"/>
  <c r="W78" i="16"/>
  <c r="W77" i="16"/>
  <c r="W76" i="16"/>
  <c r="W75" i="16"/>
  <c r="W74" i="16"/>
  <c r="W73" i="16"/>
  <c r="W72" i="16"/>
  <c r="W69" i="16"/>
  <c r="W68" i="16"/>
  <c r="W67" i="16"/>
  <c r="W66" i="16"/>
  <c r="W65" i="16"/>
  <c r="W64" i="16"/>
  <c r="W63" i="16"/>
  <c r="W60" i="16"/>
  <c r="W59" i="16"/>
  <c r="W58" i="16"/>
  <c r="W57" i="16"/>
  <c r="W56" i="16"/>
  <c r="W55" i="16"/>
  <c r="W54" i="16"/>
  <c r="W51" i="16"/>
  <c r="W50" i="16"/>
  <c r="W49" i="16"/>
  <c r="W48" i="16"/>
  <c r="W47" i="16"/>
  <c r="W46" i="16"/>
  <c r="W45" i="16"/>
  <c r="V41" i="16"/>
  <c r="U41" i="16"/>
  <c r="T41" i="16"/>
  <c r="S41" i="16"/>
  <c r="R41" i="16"/>
  <c r="K41" i="16"/>
  <c r="J41" i="16"/>
  <c r="I41" i="16"/>
  <c r="H41" i="16"/>
  <c r="G41" i="16"/>
  <c r="F41" i="16"/>
  <c r="E41" i="16"/>
  <c r="W40" i="16"/>
  <c r="W39" i="16"/>
  <c r="V36" i="16"/>
  <c r="U36" i="16"/>
  <c r="T36" i="16"/>
  <c r="S36" i="16"/>
  <c r="R36" i="16"/>
  <c r="K36" i="16"/>
  <c r="J36" i="16"/>
  <c r="I36" i="16"/>
  <c r="H36" i="16"/>
  <c r="G36" i="16"/>
  <c r="F36" i="16"/>
  <c r="E36" i="16"/>
  <c r="W35" i="16"/>
  <c r="W34" i="16"/>
  <c r="W33" i="16"/>
  <c r="V29" i="16"/>
  <c r="U29" i="16"/>
  <c r="T29" i="16"/>
  <c r="S29" i="16"/>
  <c r="R29" i="16"/>
  <c r="K29" i="16"/>
  <c r="J29" i="16"/>
  <c r="I29" i="16"/>
  <c r="H29" i="16"/>
  <c r="G29" i="16"/>
  <c r="F29" i="16"/>
  <c r="E29" i="16"/>
  <c r="V28" i="16"/>
  <c r="U28" i="16"/>
  <c r="T28" i="16"/>
  <c r="S28" i="16"/>
  <c r="R28" i="16"/>
  <c r="K28" i="16"/>
  <c r="J28" i="16"/>
  <c r="I28" i="16"/>
  <c r="H28" i="16"/>
  <c r="G28" i="16"/>
  <c r="F28" i="16"/>
  <c r="E28" i="16"/>
  <c r="V27" i="16"/>
  <c r="U27" i="16"/>
  <c r="T27" i="16"/>
  <c r="S27" i="16"/>
  <c r="R27" i="16"/>
  <c r="K27" i="16"/>
  <c r="J27" i="16"/>
  <c r="I27" i="16"/>
  <c r="H27" i="16"/>
  <c r="G27" i="16"/>
  <c r="F27" i="16"/>
  <c r="E27" i="16"/>
  <c r="W26" i="16"/>
  <c r="W25" i="16"/>
  <c r="V24" i="16"/>
  <c r="U24" i="16"/>
  <c r="T24" i="16"/>
  <c r="S24" i="16"/>
  <c r="R24" i="16"/>
  <c r="K24" i="16"/>
  <c r="J24" i="16"/>
  <c r="I24" i="16"/>
  <c r="H24" i="16"/>
  <c r="G24" i="16"/>
  <c r="F24" i="16"/>
  <c r="E24" i="16"/>
  <c r="W23" i="16"/>
  <c r="W22" i="16"/>
  <c r="V21" i="16"/>
  <c r="U21" i="16"/>
  <c r="T21" i="16"/>
  <c r="S21" i="16"/>
  <c r="R21" i="16"/>
  <c r="K21" i="16"/>
  <c r="J21" i="16"/>
  <c r="I21" i="16"/>
  <c r="H21" i="16"/>
  <c r="G21" i="16"/>
  <c r="F21" i="16"/>
  <c r="E21" i="16"/>
  <c r="W20" i="16"/>
  <c r="W19" i="16"/>
  <c r="V16" i="16"/>
  <c r="U16" i="16"/>
  <c r="T16" i="16"/>
  <c r="S16" i="16"/>
  <c r="R16" i="16"/>
  <c r="K16" i="16"/>
  <c r="J16" i="16"/>
  <c r="I16" i="16"/>
  <c r="H16" i="16"/>
  <c r="G16" i="16"/>
  <c r="F16" i="16"/>
  <c r="E16" i="16"/>
  <c r="W15" i="16"/>
  <c r="W14" i="16"/>
  <c r="AR180" i="15"/>
  <c r="AR175" i="15"/>
  <c r="AR174" i="15"/>
  <c r="AR173" i="15"/>
  <c r="AR170" i="15"/>
  <c r="AR169" i="15"/>
  <c r="AR168" i="15"/>
  <c r="AR167" i="15"/>
  <c r="AR166" i="15"/>
  <c r="AR165" i="15"/>
  <c r="AR164" i="15"/>
  <c r="AR161" i="15"/>
  <c r="AR160" i="15"/>
  <c r="AR159" i="15"/>
  <c r="AR158" i="15"/>
  <c r="AR155" i="15"/>
  <c r="AR154" i="15"/>
  <c r="AR153" i="15"/>
  <c r="AR150" i="15"/>
  <c r="AR149" i="15"/>
  <c r="AR148" i="15"/>
  <c r="AR147" i="15"/>
  <c r="AR146" i="15"/>
  <c r="AR145" i="15"/>
  <c r="AR144" i="15"/>
  <c r="AR141" i="15"/>
  <c r="AR140" i="15"/>
  <c r="AR139" i="15"/>
  <c r="AR138" i="15"/>
  <c r="AR137" i="15"/>
  <c r="AR136" i="15"/>
  <c r="AR133" i="15"/>
  <c r="AR132" i="15"/>
  <c r="AR131" i="15"/>
  <c r="AR130" i="15"/>
  <c r="AR129" i="15"/>
  <c r="AR128" i="15"/>
  <c r="AR127" i="15"/>
  <c r="AR111" i="15"/>
  <c r="AR110" i="15"/>
  <c r="AR109" i="15"/>
  <c r="AR106" i="15"/>
  <c r="AR105" i="15"/>
  <c r="AR104" i="15"/>
  <c r="AR103" i="15"/>
  <c r="AR102" i="15"/>
  <c r="AR101" i="15"/>
  <c r="AR100" i="15"/>
  <c r="AR97" i="15"/>
  <c r="AR96" i="15"/>
  <c r="AR95" i="15"/>
  <c r="AR94" i="15"/>
  <c r="AR93" i="15"/>
  <c r="AR90" i="15"/>
  <c r="AR87" i="15"/>
  <c r="AR86" i="15"/>
  <c r="AR85" i="15"/>
  <c r="AR84" i="15"/>
  <c r="AR83" i="15"/>
  <c r="AR82" i="15"/>
  <c r="AR81" i="15"/>
  <c r="AR78" i="15"/>
  <c r="AR77" i="15"/>
  <c r="AR76" i="15"/>
  <c r="AR75" i="15"/>
  <c r="AR74" i="15"/>
  <c r="AR73" i="15"/>
  <c r="AR72" i="15"/>
  <c r="AR60" i="15"/>
  <c r="AR59" i="15"/>
  <c r="AR58" i="15"/>
  <c r="AR57" i="15"/>
  <c r="AR56" i="15"/>
  <c r="AR55" i="15"/>
  <c r="AR54" i="15"/>
  <c r="AR51" i="15"/>
  <c r="AR50" i="15"/>
  <c r="AR49" i="15"/>
  <c r="AR48" i="15"/>
  <c r="AR47" i="15"/>
  <c r="AR46" i="15"/>
  <c r="AR45" i="15"/>
  <c r="AQ41" i="15"/>
  <c r="AP41" i="15"/>
  <c r="AO41" i="15"/>
  <c r="AN41" i="15"/>
  <c r="AM41" i="15"/>
  <c r="AL41" i="15"/>
  <c r="AF41" i="15"/>
  <c r="AE41" i="15"/>
  <c r="AD41" i="15"/>
  <c r="AC41" i="15"/>
  <c r="AB41" i="15"/>
  <c r="AA41" i="15"/>
  <c r="Z41" i="15"/>
  <c r="Y41" i="15"/>
  <c r="X41" i="15"/>
  <c r="W41" i="15"/>
  <c r="V41" i="15"/>
  <c r="E41" i="15"/>
  <c r="AR40" i="15"/>
  <c r="AR39" i="15"/>
  <c r="AQ36" i="15"/>
  <c r="AP36" i="15"/>
  <c r="AO36" i="15"/>
  <c r="AN36" i="15"/>
  <c r="AM36" i="15"/>
  <c r="AL36" i="15"/>
  <c r="E36" i="15"/>
  <c r="AR35" i="15"/>
  <c r="AR34" i="15"/>
  <c r="AR33" i="15"/>
  <c r="AQ29" i="15"/>
  <c r="AP29" i="15"/>
  <c r="AO29" i="15"/>
  <c r="AN29" i="15"/>
  <c r="AM29" i="15"/>
  <c r="AL29" i="15"/>
  <c r="AF29" i="15"/>
  <c r="AE29" i="15"/>
  <c r="AD29" i="15"/>
  <c r="AC29" i="15"/>
  <c r="AB29" i="15"/>
  <c r="AA29" i="15"/>
  <c r="Z29" i="15"/>
  <c r="Y29" i="15"/>
  <c r="X29" i="15"/>
  <c r="W29" i="15"/>
  <c r="V29" i="15"/>
  <c r="E29" i="15"/>
  <c r="AQ28" i="15"/>
  <c r="AP28" i="15"/>
  <c r="AO28" i="15"/>
  <c r="AN28" i="15"/>
  <c r="AM28" i="15"/>
  <c r="AL28" i="15"/>
  <c r="AF28" i="15"/>
  <c r="AE28" i="15"/>
  <c r="AD28" i="15"/>
  <c r="AC28" i="15"/>
  <c r="AB28" i="15"/>
  <c r="AA28" i="15"/>
  <c r="Z28" i="15"/>
  <c r="Y28" i="15"/>
  <c r="X28" i="15"/>
  <c r="W28" i="15"/>
  <c r="V28" i="15"/>
  <c r="E28" i="15"/>
  <c r="AQ27" i="15"/>
  <c r="AP27" i="15"/>
  <c r="AO27" i="15"/>
  <c r="AN27" i="15"/>
  <c r="AM27" i="15"/>
  <c r="AL27" i="15"/>
  <c r="AF27" i="15"/>
  <c r="AE27" i="15"/>
  <c r="AD27" i="15"/>
  <c r="AC27" i="15"/>
  <c r="AB27" i="15"/>
  <c r="AA27" i="15"/>
  <c r="Z27" i="15"/>
  <c r="Y27" i="15"/>
  <c r="X27" i="15"/>
  <c r="W27" i="15"/>
  <c r="V27" i="15"/>
  <c r="E27" i="15"/>
  <c r="AR26" i="15"/>
  <c r="AR25" i="15"/>
  <c r="AQ24" i="15"/>
  <c r="AP24" i="15"/>
  <c r="AO24" i="15"/>
  <c r="AN24" i="15"/>
  <c r="AM24" i="15"/>
  <c r="AL24" i="15"/>
  <c r="AF24" i="15"/>
  <c r="AE24" i="15"/>
  <c r="AD24" i="15"/>
  <c r="AC24" i="15"/>
  <c r="AB24" i="15"/>
  <c r="AA24" i="15"/>
  <c r="Z24" i="15"/>
  <c r="Y24" i="15"/>
  <c r="X24" i="15"/>
  <c r="W24" i="15"/>
  <c r="V24" i="15"/>
  <c r="E24" i="15"/>
  <c r="AR23" i="15"/>
  <c r="AR22" i="15"/>
  <c r="AQ21" i="15"/>
  <c r="AP21" i="15"/>
  <c r="AO21" i="15"/>
  <c r="AN21" i="15"/>
  <c r="AM21" i="15"/>
  <c r="AL21" i="15"/>
  <c r="AF21" i="15"/>
  <c r="AE21" i="15"/>
  <c r="AD21" i="15"/>
  <c r="AC21" i="15"/>
  <c r="AB21" i="15"/>
  <c r="AA21" i="15"/>
  <c r="Z21" i="15"/>
  <c r="Y21" i="15"/>
  <c r="X21" i="15"/>
  <c r="W21" i="15"/>
  <c r="V21" i="15"/>
  <c r="E21" i="15"/>
  <c r="AR20" i="15"/>
  <c r="AR19" i="15"/>
  <c r="AQ16" i="15"/>
  <c r="AP16" i="15"/>
  <c r="AO16" i="15"/>
  <c r="AN16" i="15"/>
  <c r="AM16" i="15"/>
  <c r="AL16" i="15"/>
  <c r="AF16" i="15"/>
  <c r="AE16" i="15"/>
  <c r="AD16" i="15"/>
  <c r="AC16" i="15"/>
  <c r="AB16" i="15"/>
  <c r="AA16" i="15"/>
  <c r="Z16" i="15"/>
  <c r="Y16" i="15"/>
  <c r="X16" i="15"/>
  <c r="W16" i="15"/>
  <c r="V16" i="15"/>
  <c r="E16" i="15"/>
  <c r="AR15" i="15"/>
  <c r="AR14" i="15"/>
  <c r="AC97" i="11"/>
  <c r="R97" i="10"/>
  <c r="AC97" i="9"/>
  <c r="BC30" i="17" l="1"/>
  <c r="BD30" i="17"/>
  <c r="W91" i="16"/>
  <c r="R91" i="18"/>
  <c r="W70" i="16"/>
  <c r="AR125" i="15"/>
  <c r="R125" i="18"/>
  <c r="T125" i="19"/>
  <c r="AR176" i="15"/>
  <c r="S30" i="19"/>
  <c r="BB30" i="17"/>
  <c r="R113" i="18"/>
  <c r="BE91" i="17"/>
  <c r="T176" i="19"/>
  <c r="R30" i="11"/>
  <c r="AR162" i="15"/>
  <c r="W98" i="16"/>
  <c r="W113" i="16"/>
  <c r="AR156" i="15"/>
  <c r="V30" i="16"/>
  <c r="E30" i="16"/>
  <c r="W125" i="16"/>
  <c r="G30" i="16"/>
  <c r="H30" i="16"/>
  <c r="J30" i="16"/>
  <c r="BE156" i="17"/>
  <c r="E97" i="1"/>
  <c r="AR113" i="15"/>
  <c r="T134" i="19"/>
  <c r="BE88" i="17"/>
  <c r="AR151" i="15"/>
  <c r="W142" i="16"/>
  <c r="W162" i="16"/>
  <c r="Q30" i="19"/>
  <c r="T61" i="19"/>
  <c r="R171" i="18"/>
  <c r="T107" i="19"/>
  <c r="T156" i="19"/>
  <c r="T162" i="19"/>
  <c r="T113" i="19"/>
  <c r="T91" i="19"/>
  <c r="M30" i="19"/>
  <c r="T151" i="19"/>
  <c r="N30" i="19"/>
  <c r="T79" i="19"/>
  <c r="T98" i="19"/>
  <c r="R142" i="18"/>
  <c r="J30" i="18"/>
  <c r="R52" i="18"/>
  <c r="R162" i="18"/>
  <c r="BE70" i="17"/>
  <c r="BE176" i="17"/>
  <c r="BE142" i="17"/>
  <c r="BE125" i="17"/>
  <c r="BE52" i="17"/>
  <c r="BE162" i="17"/>
  <c r="BE113" i="17"/>
  <c r="BE107" i="17"/>
  <c r="AY30" i="17"/>
  <c r="AZ30" i="17"/>
  <c r="I30" i="16"/>
  <c r="W88" i="16"/>
  <c r="W156" i="16"/>
  <c r="AR134" i="15"/>
  <c r="AR107" i="15"/>
  <c r="AR88" i="15"/>
  <c r="AR70" i="15"/>
  <c r="AR79" i="15"/>
  <c r="AR98" i="15"/>
  <c r="AR61" i="15"/>
  <c r="T30" i="11"/>
  <c r="AR52" i="15"/>
  <c r="AM30" i="15"/>
  <c r="AR142" i="15"/>
  <c r="AN30" i="15"/>
  <c r="AR91" i="15"/>
  <c r="AR171" i="15"/>
  <c r="W52" i="16"/>
  <c r="W171" i="16"/>
  <c r="W79" i="16"/>
  <c r="W151" i="16"/>
  <c r="W61" i="16"/>
  <c r="W134" i="16"/>
  <c r="W107" i="16"/>
  <c r="S30" i="16"/>
  <c r="T30" i="16"/>
  <c r="W176" i="16"/>
  <c r="BE79" i="17"/>
  <c r="BE98" i="17"/>
  <c r="AP30" i="17"/>
  <c r="BE171" i="17"/>
  <c r="BE151" i="17"/>
  <c r="BE61" i="17"/>
  <c r="BE134" i="17"/>
  <c r="R98" i="18"/>
  <c r="R79" i="18"/>
  <c r="R151" i="18"/>
  <c r="R61" i="18"/>
  <c r="R134" i="18"/>
  <c r="R107" i="18"/>
  <c r="R176" i="18"/>
  <c r="R88" i="18"/>
  <c r="R156" i="18"/>
  <c r="R36" i="18"/>
  <c r="R70" i="18"/>
  <c r="T88" i="19"/>
  <c r="T142" i="19"/>
  <c r="T70" i="19"/>
  <c r="T52" i="19"/>
  <c r="E30" i="19"/>
  <c r="T171" i="19"/>
  <c r="F30" i="19"/>
  <c r="G30" i="19"/>
  <c r="H30" i="19"/>
  <c r="T24" i="19"/>
  <c r="R30" i="19"/>
  <c r="R21" i="18"/>
  <c r="R29" i="18"/>
  <c r="F179" i="18"/>
  <c r="F181" i="18" s="1"/>
  <c r="G179" i="18"/>
  <c r="G181" i="18" s="1"/>
  <c r="J179" i="18"/>
  <c r="J181" i="18" s="1"/>
  <c r="K179" i="18"/>
  <c r="K181" i="18" s="1"/>
  <c r="O179" i="18"/>
  <c r="O181" i="18" s="1"/>
  <c r="P179" i="18"/>
  <c r="P181" i="18" s="1"/>
  <c r="AO179" i="17"/>
  <c r="AO181" i="17" s="1"/>
  <c r="AM30" i="17"/>
  <c r="AN30" i="17"/>
  <c r="U30" i="16"/>
  <c r="W24" i="16"/>
  <c r="T179" i="16"/>
  <c r="T181" i="16" s="1"/>
  <c r="F30" i="16"/>
  <c r="W30" i="15"/>
  <c r="X30" i="15"/>
  <c r="AA30" i="15"/>
  <c r="Y30" i="15"/>
  <c r="AF30" i="15"/>
  <c r="AO30" i="15"/>
  <c r="AL30" i="15"/>
  <c r="AP30" i="15"/>
  <c r="Z30" i="15"/>
  <c r="T179" i="11"/>
  <c r="T181" i="11" s="1"/>
  <c r="U179" i="11"/>
  <c r="U181" i="11" s="1"/>
  <c r="P179" i="11"/>
  <c r="P181" i="11" s="1"/>
  <c r="V179" i="11"/>
  <c r="V181" i="11" s="1"/>
  <c r="Q179" i="11"/>
  <c r="Q181" i="11" s="1"/>
  <c r="W179" i="11"/>
  <c r="W181" i="11" s="1"/>
  <c r="R179" i="11"/>
  <c r="R181" i="11" s="1"/>
  <c r="S179" i="11"/>
  <c r="S181" i="11" s="1"/>
  <c r="X179" i="11"/>
  <c r="X181" i="11" s="1"/>
  <c r="S30" i="11"/>
  <c r="U30" i="11"/>
  <c r="V30" i="11"/>
  <c r="W30" i="11"/>
  <c r="X30" i="11"/>
  <c r="P30" i="11"/>
  <c r="Q30" i="11"/>
  <c r="T21" i="19"/>
  <c r="T122" i="19"/>
  <c r="T16" i="19"/>
  <c r="E179" i="19"/>
  <c r="E181" i="19" s="1"/>
  <c r="T29" i="19"/>
  <c r="M179" i="19"/>
  <c r="M181" i="19" s="1"/>
  <c r="H179" i="19"/>
  <c r="H181" i="19" s="1"/>
  <c r="F179" i="19"/>
  <c r="F181" i="19" s="1"/>
  <c r="N179" i="19"/>
  <c r="N181" i="19" s="1"/>
  <c r="T36" i="19"/>
  <c r="R179" i="19"/>
  <c r="R181" i="19" s="1"/>
  <c r="Q179" i="19"/>
  <c r="Q181" i="19" s="1"/>
  <c r="T27" i="19"/>
  <c r="S179" i="19"/>
  <c r="S181" i="19" s="1"/>
  <c r="T28" i="19"/>
  <c r="G179" i="19"/>
  <c r="G181" i="19" s="1"/>
  <c r="T41" i="19"/>
  <c r="Q179" i="18"/>
  <c r="Q181" i="18" s="1"/>
  <c r="I179" i="18"/>
  <c r="I181" i="18" s="1"/>
  <c r="H179" i="18"/>
  <c r="H181" i="18" s="1"/>
  <c r="H30" i="18"/>
  <c r="R24" i="18"/>
  <c r="R16" i="18"/>
  <c r="F30" i="18"/>
  <c r="I30" i="18"/>
  <c r="K30" i="18"/>
  <c r="G30" i="18"/>
  <c r="R27" i="18"/>
  <c r="O30" i="18"/>
  <c r="R122" i="18"/>
  <c r="P30" i="18"/>
  <c r="R41" i="18"/>
  <c r="E30" i="18"/>
  <c r="Q30" i="18"/>
  <c r="R28" i="18"/>
  <c r="E179" i="18"/>
  <c r="W41" i="16"/>
  <c r="W122" i="16"/>
  <c r="W21" i="16"/>
  <c r="W28" i="16"/>
  <c r="W16" i="16"/>
  <c r="R30" i="16"/>
  <c r="W36" i="16"/>
  <c r="J179" i="16"/>
  <c r="J181" i="16" s="1"/>
  <c r="E179" i="16"/>
  <c r="E181" i="16" s="1"/>
  <c r="W27" i="16"/>
  <c r="R179" i="16"/>
  <c r="R181" i="16" s="1"/>
  <c r="I179" i="16"/>
  <c r="I181" i="16" s="1"/>
  <c r="G179" i="16"/>
  <c r="G181" i="16" s="1"/>
  <c r="U179" i="16"/>
  <c r="U181" i="16" s="1"/>
  <c r="V179" i="16"/>
  <c r="V181" i="16" s="1"/>
  <c r="K30" i="16"/>
  <c r="K179" i="16"/>
  <c r="K181" i="16" s="1"/>
  <c r="F179" i="16"/>
  <c r="F181" i="16" s="1"/>
  <c r="S179" i="16"/>
  <c r="S181" i="16" s="1"/>
  <c r="H179" i="16"/>
  <c r="H181" i="16" s="1"/>
  <c r="AD30" i="15"/>
  <c r="V30" i="15"/>
  <c r="AE30" i="15"/>
  <c r="AQ30" i="15"/>
  <c r="E30" i="15"/>
  <c r="BE24" i="17"/>
  <c r="AP179" i="17"/>
  <c r="AP181" i="17" s="1"/>
  <c r="E179" i="17"/>
  <c r="E181" i="17" s="1"/>
  <c r="AO30" i="17"/>
  <c r="AM179" i="17"/>
  <c r="AM181" i="17" s="1"/>
  <c r="BE28" i="17"/>
  <c r="BE122" i="17"/>
  <c r="BE27" i="17"/>
  <c r="E30" i="17"/>
  <c r="AX30" i="17"/>
  <c r="AQ30" i="17"/>
  <c r="AQ179" i="17"/>
  <c r="AQ181" i="17" s="1"/>
  <c r="BA30" i="17"/>
  <c r="AX179" i="17"/>
  <c r="AX181" i="17" s="1"/>
  <c r="AY179" i="17"/>
  <c r="AY181" i="17" s="1"/>
  <c r="BE36" i="17"/>
  <c r="AZ179" i="17"/>
  <c r="AZ181" i="17" s="1"/>
  <c r="BA179" i="17"/>
  <c r="BA181" i="17" s="1"/>
  <c r="BB179" i="17"/>
  <c r="BB181" i="17" s="1"/>
  <c r="BE41" i="17"/>
  <c r="BC179" i="17"/>
  <c r="BC181" i="17" s="1"/>
  <c r="BE21" i="17"/>
  <c r="BD179" i="17"/>
  <c r="BD181" i="17" s="1"/>
  <c r="BE16" i="17"/>
  <c r="AN179" i="17"/>
  <c r="AN181" i="17" s="1"/>
  <c r="BE29" i="17"/>
  <c r="W29" i="16"/>
  <c r="V179" i="15"/>
  <c r="V181" i="15" s="1"/>
  <c r="W179" i="15"/>
  <c r="W181" i="15" s="1"/>
  <c r="AB30" i="15"/>
  <c r="AF179" i="15"/>
  <c r="AF181" i="15" s="1"/>
  <c r="X179" i="15"/>
  <c r="X181" i="15" s="1"/>
  <c r="Y179" i="15"/>
  <c r="Y181" i="15" s="1"/>
  <c r="AR36" i="15"/>
  <c r="AL179" i="15"/>
  <c r="AL181" i="15" s="1"/>
  <c r="AM179" i="15"/>
  <c r="AM181" i="15" s="1"/>
  <c r="AR122" i="15"/>
  <c r="AB179" i="15"/>
  <c r="AB181" i="15" s="1"/>
  <c r="AA179" i="15"/>
  <c r="AA181" i="15" s="1"/>
  <c r="AC30" i="15"/>
  <c r="AR21" i="15"/>
  <c r="AC179" i="15"/>
  <c r="AC181" i="15" s="1"/>
  <c r="AR41" i="15"/>
  <c r="AD179" i="15"/>
  <c r="AD181" i="15" s="1"/>
  <c r="AR24" i="15"/>
  <c r="AR29" i="15"/>
  <c r="AE179" i="15"/>
  <c r="AE181" i="15" s="1"/>
  <c r="AQ179" i="15"/>
  <c r="AQ181" i="15" s="1"/>
  <c r="Z179" i="15"/>
  <c r="Z181" i="15" s="1"/>
  <c r="AN179" i="15"/>
  <c r="AN181" i="15" s="1"/>
  <c r="AR16" i="15"/>
  <c r="AO179" i="15"/>
  <c r="AO181" i="15" s="1"/>
  <c r="AP179" i="15"/>
  <c r="AP181" i="15" s="1"/>
  <c r="AR27" i="15"/>
  <c r="E179" i="15"/>
  <c r="AR28" i="15"/>
  <c r="T30" i="19" l="1"/>
  <c r="R30" i="18"/>
  <c r="BE30" i="17"/>
  <c r="BE181" i="17"/>
  <c r="W30" i="16"/>
  <c r="W181" i="16"/>
  <c r="AR30" i="15"/>
  <c r="T179" i="19"/>
  <c r="T181" i="19"/>
  <c r="R179" i="18"/>
  <c r="E181" i="18"/>
  <c r="R181" i="18" s="1"/>
  <c r="W179" i="16"/>
  <c r="BE179" i="17"/>
  <c r="AR179" i="15"/>
  <c r="E181" i="15"/>
  <c r="AR181" i="15" s="1"/>
  <c r="AC180" i="11" l="1"/>
  <c r="AC175" i="11"/>
  <c r="AC174" i="11"/>
  <c r="AC173" i="11"/>
  <c r="AC170" i="11"/>
  <c r="AC169" i="11"/>
  <c r="AC168" i="11"/>
  <c r="AC167" i="11"/>
  <c r="AC166" i="11"/>
  <c r="AC165" i="11"/>
  <c r="AC164" i="11"/>
  <c r="AC161" i="11"/>
  <c r="AC160" i="11"/>
  <c r="AC159" i="11"/>
  <c r="AC158" i="11"/>
  <c r="AC150" i="11"/>
  <c r="AC149" i="11"/>
  <c r="AC148" i="11"/>
  <c r="AC147" i="11"/>
  <c r="AC146" i="11"/>
  <c r="AC145" i="11"/>
  <c r="AC144" i="11"/>
  <c r="AC141" i="11"/>
  <c r="AC140" i="11"/>
  <c r="AC139" i="11"/>
  <c r="AC138" i="11"/>
  <c r="AC137" i="11"/>
  <c r="AC136" i="11"/>
  <c r="AC133" i="11"/>
  <c r="AC132" i="11"/>
  <c r="AC131" i="11"/>
  <c r="AC130" i="11"/>
  <c r="AC129" i="11"/>
  <c r="AC128" i="11"/>
  <c r="AC127" i="11"/>
  <c r="AC124" i="11"/>
  <c r="AC112" i="11"/>
  <c r="AC111" i="11"/>
  <c r="AC110" i="11"/>
  <c r="AC109" i="11"/>
  <c r="AC106" i="11"/>
  <c r="AC105" i="11"/>
  <c r="AC104" i="11"/>
  <c r="AC103" i="11"/>
  <c r="AC102" i="11"/>
  <c r="AC101" i="11"/>
  <c r="AC100" i="11"/>
  <c r="AC96" i="11"/>
  <c r="AC95" i="11"/>
  <c r="AC94" i="11"/>
  <c r="AC93" i="11"/>
  <c r="AC90" i="11"/>
  <c r="AC87" i="11"/>
  <c r="AC86" i="11"/>
  <c r="AC85" i="11"/>
  <c r="AC84" i="11"/>
  <c r="AC83" i="11"/>
  <c r="AC82" i="11"/>
  <c r="AC81" i="11"/>
  <c r="AC78" i="11"/>
  <c r="AC77" i="11"/>
  <c r="AC76" i="11"/>
  <c r="AC75" i="11"/>
  <c r="AC74" i="11"/>
  <c r="AC73" i="11"/>
  <c r="AC72" i="11"/>
  <c r="AC69" i="11"/>
  <c r="AC68" i="11"/>
  <c r="AC67" i="11"/>
  <c r="AC66" i="11"/>
  <c r="AC65" i="11"/>
  <c r="AC64" i="11"/>
  <c r="AC63" i="11"/>
  <c r="AC60" i="11"/>
  <c r="AC59" i="11"/>
  <c r="AC58" i="11"/>
  <c r="AC57" i="11"/>
  <c r="AC56" i="11"/>
  <c r="AC55" i="11"/>
  <c r="AC54" i="11"/>
  <c r="AB41" i="11"/>
  <c r="AA41" i="11"/>
  <c r="Z41" i="11"/>
  <c r="Y41" i="11"/>
  <c r="O41" i="11"/>
  <c r="N41" i="11"/>
  <c r="M41" i="11"/>
  <c r="L41" i="11"/>
  <c r="K41" i="11"/>
  <c r="J41" i="11"/>
  <c r="I41" i="11"/>
  <c r="H41" i="11"/>
  <c r="G41" i="11"/>
  <c r="F41" i="11"/>
  <c r="E41" i="11"/>
  <c r="AC40" i="11"/>
  <c r="AC39" i="11"/>
  <c r="AB36" i="11"/>
  <c r="AA36" i="11"/>
  <c r="Z36" i="11"/>
  <c r="Y36" i="11"/>
  <c r="O36" i="11"/>
  <c r="N36" i="11"/>
  <c r="M36" i="11"/>
  <c r="L36" i="11"/>
  <c r="K36" i="11"/>
  <c r="J36" i="11"/>
  <c r="I36" i="11"/>
  <c r="H36" i="11"/>
  <c r="G36" i="11"/>
  <c r="F36" i="11"/>
  <c r="E36" i="11"/>
  <c r="AC35" i="11"/>
  <c r="AC34" i="11"/>
  <c r="AC33" i="11"/>
  <c r="AB29" i="11"/>
  <c r="AA29" i="11"/>
  <c r="Z29" i="11"/>
  <c r="Y29" i="11"/>
  <c r="O29" i="11"/>
  <c r="N29" i="11"/>
  <c r="M29" i="11"/>
  <c r="L29" i="11"/>
  <c r="K29" i="11"/>
  <c r="J29" i="11"/>
  <c r="I29" i="11"/>
  <c r="H29" i="11"/>
  <c r="G29" i="11"/>
  <c r="F29" i="11"/>
  <c r="E29" i="11"/>
  <c r="AB28" i="11"/>
  <c r="AA28" i="11"/>
  <c r="Z28" i="11"/>
  <c r="Y28" i="11"/>
  <c r="O28" i="11"/>
  <c r="N28" i="11"/>
  <c r="M28" i="11"/>
  <c r="L28" i="11"/>
  <c r="K28" i="11"/>
  <c r="J28" i="11"/>
  <c r="I28" i="11"/>
  <c r="H28" i="11"/>
  <c r="G28" i="11"/>
  <c r="F28" i="11"/>
  <c r="E28" i="11"/>
  <c r="AB27" i="11"/>
  <c r="AA27" i="11"/>
  <c r="Z27" i="11"/>
  <c r="Y27" i="11"/>
  <c r="O27" i="11"/>
  <c r="N27" i="11"/>
  <c r="M27" i="11"/>
  <c r="L27" i="11"/>
  <c r="K27" i="11"/>
  <c r="J27" i="11"/>
  <c r="I27" i="11"/>
  <c r="H27" i="11"/>
  <c r="G27" i="11"/>
  <c r="F27" i="11"/>
  <c r="E27" i="11"/>
  <c r="AC26" i="11"/>
  <c r="AC25" i="11"/>
  <c r="AB24" i="11"/>
  <c r="AA24" i="11"/>
  <c r="Z24" i="11"/>
  <c r="Y24" i="11"/>
  <c r="O24" i="11"/>
  <c r="N24" i="11"/>
  <c r="M24" i="11"/>
  <c r="L24" i="11"/>
  <c r="K24" i="11"/>
  <c r="J24" i="11"/>
  <c r="I24" i="11"/>
  <c r="H24" i="11"/>
  <c r="G24" i="11"/>
  <c r="F24" i="11"/>
  <c r="E24" i="11"/>
  <c r="AC23" i="11"/>
  <c r="AC22" i="11"/>
  <c r="AB21" i="11"/>
  <c r="AA21" i="11"/>
  <c r="Z21" i="11"/>
  <c r="Y21" i="11"/>
  <c r="O21" i="11"/>
  <c r="N21" i="11"/>
  <c r="M21" i="11"/>
  <c r="L21" i="11"/>
  <c r="K21" i="11"/>
  <c r="J21" i="11"/>
  <c r="I21" i="11"/>
  <c r="H21" i="11"/>
  <c r="G21" i="11"/>
  <c r="F21" i="11"/>
  <c r="E21" i="11"/>
  <c r="AC20" i="11"/>
  <c r="AC19" i="11"/>
  <c r="AB16" i="11"/>
  <c r="AA16" i="11"/>
  <c r="Z16" i="11"/>
  <c r="Y16" i="11"/>
  <c r="O16" i="11"/>
  <c r="N16" i="11"/>
  <c r="M16" i="11"/>
  <c r="L16" i="11"/>
  <c r="K16" i="11"/>
  <c r="J16" i="11"/>
  <c r="I16" i="11"/>
  <c r="H16" i="11"/>
  <c r="G16" i="11"/>
  <c r="F16" i="11"/>
  <c r="E16" i="11"/>
  <c r="AC15" i="11"/>
  <c r="AC14" i="11"/>
  <c r="R180" i="10"/>
  <c r="R175" i="10"/>
  <c r="R174" i="10"/>
  <c r="R173" i="10"/>
  <c r="R170" i="10"/>
  <c r="R169" i="10"/>
  <c r="R168" i="10"/>
  <c r="R167" i="10"/>
  <c r="R166" i="10"/>
  <c r="R165" i="10"/>
  <c r="R164" i="10"/>
  <c r="R161" i="10"/>
  <c r="R160" i="10"/>
  <c r="R159" i="10"/>
  <c r="R158" i="10"/>
  <c r="R155" i="10"/>
  <c r="R154" i="10"/>
  <c r="R153" i="10"/>
  <c r="R150" i="10"/>
  <c r="R149" i="10"/>
  <c r="R148" i="10"/>
  <c r="R147" i="10"/>
  <c r="R146" i="10"/>
  <c r="R145" i="10"/>
  <c r="R144" i="10"/>
  <c r="R141" i="10"/>
  <c r="R140" i="10"/>
  <c r="R139" i="10"/>
  <c r="R138" i="10"/>
  <c r="R137" i="10"/>
  <c r="R136" i="10"/>
  <c r="R133" i="10"/>
  <c r="R132" i="10"/>
  <c r="R131" i="10"/>
  <c r="R130" i="10"/>
  <c r="R129" i="10"/>
  <c r="R128" i="10"/>
  <c r="R127" i="10"/>
  <c r="R124" i="10"/>
  <c r="R125" i="10" s="1"/>
  <c r="R112" i="10"/>
  <c r="R111" i="10"/>
  <c r="R110" i="10"/>
  <c r="R109" i="10"/>
  <c r="R106" i="10"/>
  <c r="R105" i="10"/>
  <c r="R104" i="10"/>
  <c r="R103" i="10"/>
  <c r="R102" i="10"/>
  <c r="R101" i="10"/>
  <c r="R100" i="10"/>
  <c r="R96" i="10"/>
  <c r="R95" i="10"/>
  <c r="R94" i="10"/>
  <c r="R93" i="10"/>
  <c r="R90" i="10"/>
  <c r="R87" i="10"/>
  <c r="R86" i="10"/>
  <c r="R85" i="10"/>
  <c r="R84" i="10"/>
  <c r="R83" i="10"/>
  <c r="R82" i="10"/>
  <c r="R81" i="10"/>
  <c r="R78" i="10"/>
  <c r="R77" i="10"/>
  <c r="R76" i="10"/>
  <c r="R75" i="10"/>
  <c r="R74" i="10"/>
  <c r="R73" i="10"/>
  <c r="R72" i="10"/>
  <c r="R69" i="10"/>
  <c r="R68" i="10"/>
  <c r="R67" i="10"/>
  <c r="R66" i="10"/>
  <c r="R65" i="10"/>
  <c r="R64" i="10"/>
  <c r="R63" i="10"/>
  <c r="R60" i="10"/>
  <c r="R59" i="10"/>
  <c r="R58" i="10"/>
  <c r="R57" i="10"/>
  <c r="R56" i="10"/>
  <c r="R55" i="10"/>
  <c r="R54" i="10"/>
  <c r="R51" i="10"/>
  <c r="R50" i="10"/>
  <c r="R49" i="10"/>
  <c r="R48" i="10"/>
  <c r="R47" i="10"/>
  <c r="R46" i="10"/>
  <c r="R45" i="10"/>
  <c r="O41" i="10"/>
  <c r="N41" i="10"/>
  <c r="M41" i="10"/>
  <c r="L41" i="10"/>
  <c r="E41" i="10"/>
  <c r="R40" i="10"/>
  <c r="R39" i="10"/>
  <c r="O36" i="10"/>
  <c r="N36" i="10"/>
  <c r="M36" i="10"/>
  <c r="L36" i="10"/>
  <c r="E36" i="10"/>
  <c r="R35" i="10"/>
  <c r="R34" i="10"/>
  <c r="R33" i="10"/>
  <c r="O29" i="10"/>
  <c r="N29" i="10"/>
  <c r="M29" i="10"/>
  <c r="L29" i="10"/>
  <c r="E29" i="10"/>
  <c r="O28" i="10"/>
  <c r="N28" i="10"/>
  <c r="M28" i="10"/>
  <c r="L28" i="10"/>
  <c r="E28" i="10"/>
  <c r="O27" i="10"/>
  <c r="N27" i="10"/>
  <c r="M27" i="10"/>
  <c r="L27" i="10"/>
  <c r="E27" i="10"/>
  <c r="R26" i="10"/>
  <c r="R25" i="10"/>
  <c r="O24" i="10"/>
  <c r="N24" i="10"/>
  <c r="M24" i="10"/>
  <c r="L24" i="10"/>
  <c r="E24" i="10"/>
  <c r="R23" i="10"/>
  <c r="R22" i="10"/>
  <c r="O21" i="10"/>
  <c r="N21" i="10"/>
  <c r="M21" i="10"/>
  <c r="L21" i="10"/>
  <c r="E21" i="10"/>
  <c r="R20" i="10"/>
  <c r="R19" i="10"/>
  <c r="O16" i="10"/>
  <c r="N16" i="10"/>
  <c r="M16" i="10"/>
  <c r="L16" i="10"/>
  <c r="E16" i="10"/>
  <c r="R15" i="10"/>
  <c r="R14" i="10"/>
  <c r="AC180" i="9"/>
  <c r="AC175" i="9"/>
  <c r="AC174" i="9"/>
  <c r="AC173" i="9"/>
  <c r="AC170" i="9"/>
  <c r="AC169" i="9"/>
  <c r="AC168" i="9"/>
  <c r="AC167" i="9"/>
  <c r="AC166" i="9"/>
  <c r="AC165" i="9"/>
  <c r="AC164" i="9"/>
  <c r="AC150" i="9"/>
  <c r="AC149" i="9"/>
  <c r="AC148" i="9"/>
  <c r="AC147" i="9"/>
  <c r="AC146" i="9"/>
  <c r="AC145" i="9"/>
  <c r="AC144" i="9"/>
  <c r="AC141" i="9"/>
  <c r="AC140" i="9"/>
  <c r="AC139" i="9"/>
  <c r="AC138" i="9"/>
  <c r="AC137" i="9"/>
  <c r="AC136" i="9"/>
  <c r="AC133" i="9"/>
  <c r="AC132" i="9"/>
  <c r="AC131" i="9"/>
  <c r="AC130" i="9"/>
  <c r="AC129" i="9"/>
  <c r="AC128" i="9"/>
  <c r="AC127" i="9"/>
  <c r="AC124" i="9"/>
  <c r="AC112" i="9"/>
  <c r="AC111" i="9"/>
  <c r="AC110" i="9"/>
  <c r="AC109" i="9"/>
  <c r="AC106" i="9"/>
  <c r="AC105" i="9"/>
  <c r="AC104" i="9"/>
  <c r="AC103" i="9"/>
  <c r="AC102" i="9"/>
  <c r="AC101" i="9"/>
  <c r="AC100" i="9"/>
  <c r="AC96" i="9"/>
  <c r="AC95" i="9"/>
  <c r="AC94" i="9"/>
  <c r="AC93" i="9"/>
  <c r="AC90" i="9"/>
  <c r="AC87" i="9"/>
  <c r="AC86" i="9"/>
  <c r="AC78" i="9"/>
  <c r="AC77" i="9"/>
  <c r="AC76" i="9"/>
  <c r="AC75" i="9"/>
  <c r="AC74" i="9"/>
  <c r="AC73" i="9"/>
  <c r="AC72" i="9"/>
  <c r="AC69" i="9"/>
  <c r="AC68" i="9"/>
  <c r="AC67" i="9"/>
  <c r="AC66" i="9"/>
  <c r="AC65" i="9"/>
  <c r="AC64" i="9"/>
  <c r="AC63" i="9"/>
  <c r="AC60" i="9"/>
  <c r="AC59" i="9"/>
  <c r="AC58" i="9"/>
  <c r="AC57" i="9"/>
  <c r="AC56" i="9"/>
  <c r="AC55" i="9"/>
  <c r="AC54" i="9"/>
  <c r="AB41" i="9"/>
  <c r="AA41" i="9"/>
  <c r="Z41" i="9"/>
  <c r="O41" i="9"/>
  <c r="E41" i="9"/>
  <c r="AC40" i="9"/>
  <c r="AC39" i="9"/>
  <c r="AB36" i="9"/>
  <c r="AA36" i="9"/>
  <c r="Z36" i="9"/>
  <c r="O36" i="9"/>
  <c r="E36" i="9"/>
  <c r="AC35" i="9"/>
  <c r="AC34" i="9"/>
  <c r="AC33" i="9"/>
  <c r="AB29" i="9"/>
  <c r="AA29" i="9"/>
  <c r="Z29" i="9"/>
  <c r="O29" i="9"/>
  <c r="E29" i="9"/>
  <c r="AB28" i="9"/>
  <c r="AA28" i="9"/>
  <c r="Z28" i="9"/>
  <c r="O28" i="9"/>
  <c r="E28" i="9"/>
  <c r="AB27" i="9"/>
  <c r="AA27" i="9"/>
  <c r="Z27" i="9"/>
  <c r="O27" i="9"/>
  <c r="E27" i="9"/>
  <c r="AC26" i="9"/>
  <c r="AC25" i="9"/>
  <c r="AB24" i="9"/>
  <c r="AA24" i="9"/>
  <c r="Z24" i="9"/>
  <c r="O24" i="9"/>
  <c r="E24" i="9"/>
  <c r="AC23" i="9"/>
  <c r="AC22" i="9"/>
  <c r="AB21" i="9"/>
  <c r="AA21" i="9"/>
  <c r="Z21" i="9"/>
  <c r="O21" i="9"/>
  <c r="E21" i="9"/>
  <c r="AC20" i="9"/>
  <c r="AC19" i="9"/>
  <c r="AB16" i="9"/>
  <c r="AA16" i="9"/>
  <c r="Z16" i="9"/>
  <c r="O16" i="9"/>
  <c r="E16" i="9"/>
  <c r="AC15" i="9"/>
  <c r="AC14" i="9"/>
  <c r="AU41" i="3"/>
  <c r="AU36" i="3"/>
  <c r="AU27" i="3"/>
  <c r="AU28" i="3"/>
  <c r="AU29" i="3"/>
  <c r="AU24" i="3"/>
  <c r="AU21" i="3"/>
  <c r="AU16" i="3"/>
  <c r="AV180" i="3"/>
  <c r="AV175" i="3"/>
  <c r="AV174" i="3"/>
  <c r="AV173" i="3"/>
  <c r="AV170" i="3"/>
  <c r="AV169" i="3"/>
  <c r="AV168" i="3"/>
  <c r="AV167" i="3"/>
  <c r="AV166" i="3"/>
  <c r="AV165" i="3"/>
  <c r="AV164" i="3"/>
  <c r="AV160" i="3"/>
  <c r="AV159" i="3"/>
  <c r="AV158" i="3"/>
  <c r="AV155" i="3"/>
  <c r="AV154" i="3"/>
  <c r="AV153" i="3"/>
  <c r="AV150" i="3"/>
  <c r="AV149" i="3"/>
  <c r="AV148" i="3"/>
  <c r="AV147" i="3"/>
  <c r="AV146" i="3"/>
  <c r="AV145" i="3"/>
  <c r="AV144" i="3"/>
  <c r="AV141" i="3"/>
  <c r="AV140" i="3"/>
  <c r="AV139" i="3"/>
  <c r="AV138" i="3"/>
  <c r="AV137" i="3"/>
  <c r="AV136" i="3"/>
  <c r="AV133" i="3"/>
  <c r="AV132" i="3"/>
  <c r="AV131" i="3"/>
  <c r="AV130" i="3"/>
  <c r="AV129" i="3"/>
  <c r="AV128" i="3"/>
  <c r="AV127" i="3"/>
  <c r="AV124" i="3"/>
  <c r="AV110" i="3"/>
  <c r="AV109" i="3"/>
  <c r="AV106" i="3"/>
  <c r="AV105" i="3"/>
  <c r="AV104" i="3"/>
  <c r="AV103" i="3"/>
  <c r="AV102" i="3"/>
  <c r="AV101" i="3"/>
  <c r="AV100" i="3"/>
  <c r="AV96" i="3"/>
  <c r="AV95" i="3"/>
  <c r="AV94" i="3"/>
  <c r="AV93" i="3"/>
  <c r="AV90" i="3"/>
  <c r="AV87" i="3"/>
  <c r="AV86" i="3"/>
  <c r="AV85" i="3"/>
  <c r="AV84" i="3"/>
  <c r="AV83" i="3"/>
  <c r="AV82" i="3"/>
  <c r="AV81" i="3"/>
  <c r="AV78" i="3"/>
  <c r="AV77" i="3"/>
  <c r="AV76" i="3"/>
  <c r="AV75" i="3"/>
  <c r="AV74" i="3"/>
  <c r="AV73" i="3"/>
  <c r="AV72" i="3"/>
  <c r="AV69" i="3"/>
  <c r="AV68" i="3"/>
  <c r="AV67" i="3"/>
  <c r="AV66" i="3"/>
  <c r="AV65" i="3"/>
  <c r="AV64" i="3"/>
  <c r="AV63" i="3"/>
  <c r="AV60" i="3"/>
  <c r="AV59" i="3"/>
  <c r="AV58" i="3"/>
  <c r="AV57" i="3"/>
  <c r="AV56" i="3"/>
  <c r="AV55" i="3"/>
  <c r="AV54" i="3"/>
  <c r="AV51" i="3"/>
  <c r="AV50" i="3"/>
  <c r="AV49" i="3"/>
  <c r="AV48" i="3"/>
  <c r="AV47" i="3"/>
  <c r="AV46" i="3"/>
  <c r="AV45" i="3"/>
  <c r="E41" i="3"/>
  <c r="AV40" i="3"/>
  <c r="AV39" i="3"/>
  <c r="E36" i="3"/>
  <c r="AV35" i="3"/>
  <c r="AV34" i="3"/>
  <c r="AV33" i="3"/>
  <c r="E29" i="3"/>
  <c r="E28" i="3"/>
  <c r="E27" i="3"/>
  <c r="AV26" i="3"/>
  <c r="AV25" i="3"/>
  <c r="E24" i="3"/>
  <c r="AV23" i="3"/>
  <c r="AV22" i="3"/>
  <c r="E21" i="3"/>
  <c r="AV20" i="3"/>
  <c r="AV19" i="3"/>
  <c r="E16" i="3"/>
  <c r="AV15" i="3"/>
  <c r="AV14" i="3"/>
  <c r="AC98" i="11" l="1"/>
  <c r="E40" i="1"/>
  <c r="R91" i="10"/>
  <c r="Y30" i="11"/>
  <c r="E69" i="1"/>
  <c r="E102" i="1"/>
  <c r="E103" i="1"/>
  <c r="E33" i="1"/>
  <c r="E149" i="1"/>
  <c r="E87" i="1"/>
  <c r="E93" i="1"/>
  <c r="E95" i="1"/>
  <c r="E133" i="1"/>
  <c r="E159" i="1"/>
  <c r="E154" i="1"/>
  <c r="E20" i="1"/>
  <c r="E49" i="1"/>
  <c r="E101" i="1"/>
  <c r="E63" i="1"/>
  <c r="E19" i="1"/>
  <c r="E45" i="1"/>
  <c r="E164" i="1"/>
  <c r="AC61" i="11"/>
  <c r="E130" i="1"/>
  <c r="R142" i="10"/>
  <c r="E35" i="1"/>
  <c r="AC176" i="11"/>
  <c r="E67" i="1"/>
  <c r="E94" i="1"/>
  <c r="E155" i="1"/>
  <c r="E34" i="1"/>
  <c r="E64" i="1"/>
  <c r="E127" i="1"/>
  <c r="E180" i="1"/>
  <c r="AC156" i="11"/>
  <c r="E150" i="1"/>
  <c r="E65" i="1"/>
  <c r="AC91" i="9"/>
  <c r="E90" i="1"/>
  <c r="E91" i="1" s="1"/>
  <c r="E128" i="1"/>
  <c r="E175" i="1"/>
  <c r="E30" i="9"/>
  <c r="E66" i="1"/>
  <c r="E129" i="1"/>
  <c r="E153" i="1"/>
  <c r="E48" i="1"/>
  <c r="E73" i="1"/>
  <c r="E100" i="1"/>
  <c r="AC142" i="9"/>
  <c r="E136" i="1"/>
  <c r="E160" i="1"/>
  <c r="E137" i="1"/>
  <c r="E161" i="1"/>
  <c r="E131" i="1"/>
  <c r="J30" i="11"/>
  <c r="E46" i="1"/>
  <c r="E74" i="1"/>
  <c r="E132" i="1"/>
  <c r="E158" i="1"/>
  <c r="AC79" i="9"/>
  <c r="E72" i="1"/>
  <c r="E22" i="1"/>
  <c r="E75" i="1"/>
  <c r="E76" i="1"/>
  <c r="E165" i="1"/>
  <c r="E78" i="1"/>
  <c r="E55" i="1"/>
  <c r="E81" i="1"/>
  <c r="E57" i="1"/>
  <c r="E82" i="1"/>
  <c r="AC113" i="9"/>
  <c r="E109" i="1"/>
  <c r="E144" i="1"/>
  <c r="E169" i="1"/>
  <c r="E47" i="1"/>
  <c r="E50" i="1"/>
  <c r="E23" i="1"/>
  <c r="E139" i="1"/>
  <c r="E105" i="1"/>
  <c r="E166" i="1"/>
  <c r="E167" i="1"/>
  <c r="E25" i="1"/>
  <c r="E58" i="1"/>
  <c r="E83" i="1"/>
  <c r="E110" i="1"/>
  <c r="E145" i="1"/>
  <c r="E170" i="1"/>
  <c r="E140" i="1"/>
  <c r="E141" i="1"/>
  <c r="E168" i="1"/>
  <c r="E59" i="1"/>
  <c r="E146" i="1"/>
  <c r="R61" i="10"/>
  <c r="E68" i="1"/>
  <c r="E96" i="1"/>
  <c r="E104" i="1"/>
  <c r="E54" i="1"/>
  <c r="E14" i="1"/>
  <c r="E26" i="1"/>
  <c r="E84" i="1"/>
  <c r="E15" i="1"/>
  <c r="E85" i="1"/>
  <c r="E112" i="1"/>
  <c r="E147" i="1"/>
  <c r="AC176" i="9"/>
  <c r="E173" i="1"/>
  <c r="E138" i="1"/>
  <c r="E51" i="1"/>
  <c r="I30" i="11"/>
  <c r="E77" i="1"/>
  <c r="E106" i="1"/>
  <c r="E56" i="1"/>
  <c r="R171" i="10"/>
  <c r="E111" i="1"/>
  <c r="E60" i="1"/>
  <c r="E39" i="1"/>
  <c r="E86" i="1"/>
  <c r="AC125" i="9"/>
  <c r="E124" i="1"/>
  <c r="E125" i="1" s="1"/>
  <c r="E148" i="1"/>
  <c r="E174" i="1"/>
  <c r="AC134" i="11"/>
  <c r="AC52" i="11"/>
  <c r="AC79" i="11"/>
  <c r="AC107" i="11"/>
  <c r="AC162" i="11"/>
  <c r="AC88" i="11"/>
  <c r="AC113" i="11"/>
  <c r="R88" i="10"/>
  <c r="R113" i="10"/>
  <c r="R176" i="10"/>
  <c r="R98" i="10"/>
  <c r="AC98" i="9"/>
  <c r="AC134" i="9"/>
  <c r="AC52" i="9"/>
  <c r="AC156" i="9"/>
  <c r="AC61" i="9"/>
  <c r="AC171" i="9"/>
  <c r="AC88" i="9"/>
  <c r="AC107" i="9"/>
  <c r="AC162" i="9"/>
  <c r="AC151" i="9"/>
  <c r="AC70" i="9"/>
  <c r="R151" i="10"/>
  <c r="R70" i="10"/>
  <c r="R156" i="10"/>
  <c r="R52" i="10"/>
  <c r="R107" i="10"/>
  <c r="R134" i="10"/>
  <c r="R79" i="10"/>
  <c r="R162" i="10"/>
  <c r="AC142" i="11"/>
  <c r="AC171" i="11"/>
  <c r="AC70" i="11"/>
  <c r="AC91" i="11"/>
  <c r="AC151" i="11"/>
  <c r="E30" i="11"/>
  <c r="AC125" i="11"/>
  <c r="AV171" i="3"/>
  <c r="AV107" i="3"/>
  <c r="AV134" i="3"/>
  <c r="AV79" i="3"/>
  <c r="AV142" i="3"/>
  <c r="AV156" i="3"/>
  <c r="AV98" i="3"/>
  <c r="AV162" i="3"/>
  <c r="AV52" i="3"/>
  <c r="AV61" i="3"/>
  <c r="AV176" i="3"/>
  <c r="AV88" i="3"/>
  <c r="AV113" i="3"/>
  <c r="AV151" i="3"/>
  <c r="AV91" i="3"/>
  <c r="AV70" i="3"/>
  <c r="AV125" i="3"/>
  <c r="E179" i="3"/>
  <c r="E181" i="3" s="1"/>
  <c r="AU179" i="3"/>
  <c r="AU181" i="3" s="1"/>
  <c r="M30" i="11"/>
  <c r="O30" i="11"/>
  <c r="O30" i="9"/>
  <c r="Z30" i="9"/>
  <c r="AA30" i="9"/>
  <c r="AU30" i="3"/>
  <c r="I179" i="11"/>
  <c r="I181" i="11" s="1"/>
  <c r="AA30" i="11"/>
  <c r="G30" i="11"/>
  <c r="H30" i="11"/>
  <c r="F30" i="11"/>
  <c r="E30" i="10"/>
  <c r="L30" i="10"/>
  <c r="O30" i="10"/>
  <c r="L179" i="10"/>
  <c r="L181" i="10" s="1"/>
  <c r="O179" i="9"/>
  <c r="O181" i="9" s="1"/>
  <c r="AC21" i="9"/>
  <c r="H179" i="11"/>
  <c r="H181" i="11" s="1"/>
  <c r="AC21" i="11"/>
  <c r="K179" i="11"/>
  <c r="K181" i="11" s="1"/>
  <c r="AC24" i="11"/>
  <c r="AC28" i="11"/>
  <c r="L179" i="11"/>
  <c r="L181" i="11" s="1"/>
  <c r="O179" i="11"/>
  <c r="O181" i="11" s="1"/>
  <c r="Y179" i="11"/>
  <c r="Y181" i="11" s="1"/>
  <c r="E179" i="11"/>
  <c r="E181" i="11" s="1"/>
  <c r="AC16" i="11"/>
  <c r="AC29" i="11"/>
  <c r="Z179" i="11"/>
  <c r="Z181" i="11" s="1"/>
  <c r="L30" i="11"/>
  <c r="AA179" i="11"/>
  <c r="AA181" i="11" s="1"/>
  <c r="AC36" i="11"/>
  <c r="AB179" i="11"/>
  <c r="AB181" i="11" s="1"/>
  <c r="N30" i="11"/>
  <c r="AC41" i="11"/>
  <c r="AC27" i="11"/>
  <c r="N179" i="11"/>
  <c r="N181" i="11" s="1"/>
  <c r="M179" i="11"/>
  <c r="M181" i="11" s="1"/>
  <c r="Z30" i="11"/>
  <c r="AB30" i="11"/>
  <c r="G179" i="11"/>
  <c r="G181" i="11" s="1"/>
  <c r="AC122" i="11"/>
  <c r="K30" i="11"/>
  <c r="J179" i="11"/>
  <c r="J181" i="11" s="1"/>
  <c r="F179" i="11"/>
  <c r="F181" i="11" s="1"/>
  <c r="O179" i="10"/>
  <c r="O181" i="10" s="1"/>
  <c r="N179" i="10"/>
  <c r="N181" i="10" s="1"/>
  <c r="R28" i="10"/>
  <c r="M179" i="10"/>
  <c r="M181" i="10" s="1"/>
  <c r="R27" i="10"/>
  <c r="R29" i="10"/>
  <c r="R122" i="10"/>
  <c r="R36" i="10"/>
  <c r="R16" i="10"/>
  <c r="M30" i="10"/>
  <c r="R21" i="10"/>
  <c r="R24" i="10"/>
  <c r="R41" i="10"/>
  <c r="N30" i="10"/>
  <c r="E179" i="10"/>
  <c r="AC36" i="9"/>
  <c r="Z179" i="9"/>
  <c r="Z181" i="9" s="1"/>
  <c r="AC29" i="9"/>
  <c r="AC24" i="9"/>
  <c r="AB179" i="9"/>
  <c r="AB181" i="9" s="1"/>
  <c r="AC41" i="9"/>
  <c r="AB30" i="9"/>
  <c r="AA179" i="9"/>
  <c r="AA181" i="9" s="1"/>
  <c r="AC27" i="9"/>
  <c r="AC16" i="9"/>
  <c r="E179" i="9"/>
  <c r="AC28" i="9"/>
  <c r="E30" i="3"/>
  <c r="AV21" i="3"/>
  <c r="AV27" i="3"/>
  <c r="AV24" i="3"/>
  <c r="AV41" i="3"/>
  <c r="AV16" i="3"/>
  <c r="AV36" i="3"/>
  <c r="AV29" i="3"/>
  <c r="AV122" i="3"/>
  <c r="AV28" i="3"/>
  <c r="E156" i="1" l="1"/>
  <c r="E61" i="1"/>
  <c r="E52" i="1"/>
  <c r="E162" i="1"/>
  <c r="E142" i="1"/>
  <c r="E70" i="1"/>
  <c r="E79" i="1"/>
  <c r="E151" i="1"/>
  <c r="E134" i="1"/>
  <c r="E107" i="1"/>
  <c r="E98" i="1"/>
  <c r="E171" i="1"/>
  <c r="E113" i="1"/>
  <c r="E88" i="1"/>
  <c r="E176" i="1"/>
  <c r="AC122" i="9"/>
  <c r="E122" i="1"/>
  <c r="AV181" i="3"/>
  <c r="AV179" i="3"/>
  <c r="AC30" i="9"/>
  <c r="AC30" i="11"/>
  <c r="AC179" i="11"/>
  <c r="AC181" i="11"/>
  <c r="R30" i="10"/>
  <c r="R179" i="10"/>
  <c r="E181" i="10"/>
  <c r="R181" i="10" s="1"/>
  <c r="AC179" i="9"/>
  <c r="E181" i="9"/>
  <c r="AC181" i="9" s="1"/>
  <c r="AV30" i="3"/>
  <c r="E179" i="1" l="1"/>
  <c r="E181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<sst xmlns="http://schemas.openxmlformats.org/spreadsheetml/2006/main" count="2710" uniqueCount="221">
  <si>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</si>
  <si>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</si>
  <si>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</si>
  <si>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</si>
  <si>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</si>
  <si>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</si>
  <si>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</si>
  <si>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</si>
  <si>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</si>
  <si>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</si>
  <si>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</si>
  <si>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</si>
  <si>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</si>
  <si>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</si>
  <si>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</si>
  <si>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</si>
  <si>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</si>
  <si>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</si>
  <si>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</si>
  <si>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</si>
  <si>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</si>
  <si>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</si>
  <si>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</si>
  <si>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</si>
  <si>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</si>
  <si>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</si>
  <si>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</si>
  <si>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</si>
  <si>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</si>
  <si>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</si>
  <si>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</si>
  <si>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</si>
  <si>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</si>
  <si>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</si>
  <si>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</si>
  <si>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</si>
  <si>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</si>
  <si>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</si>
  <si>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</si>
  <si>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</si>
  <si>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</si>
  <si>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</si>
  <si>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</si>
  <si>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</si>
  <si>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</si>
  <si>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</si>
  <si>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</si>
  <si>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</si>
  <si>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</si>
  <si>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</si>
  <si>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</si>
  <si>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</si>
  <si>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</si>
  <si>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</si>
  <si>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</si>
  <si>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</si>
  <si>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</si>
  <si>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</si>
  <si>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</si>
  <si>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</si>
  <si>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</si>
  <si>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</si>
  <si>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</si>
  <si>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</si>
  <si>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</si>
  <si>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</si>
  <si>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</si>
  <si>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</si>
  <si>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</si>
  <si>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</si>
  <si>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</si>
  <si>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</si>
  <si>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</si>
  <si>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</si>
  <si>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</si>
  <si>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</si>
  <si>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</si>
  <si>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</si>
  <si>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</si>
  <si>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</si>
  <si>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</si>
  <si>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</si>
  <si>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</si>
  <si>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</si>
  <si>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</si>
  <si>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</si>
  <si>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</si>
  <si>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</si>
  <si>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</si>
  <si>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</si>
  <si>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</si>
  <si>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</si>
  <si>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</si>
  <si>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</si>
  <si>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</si>
  <si>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</si>
  <si>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</si>
  <si>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</si>
  <si>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</si>
  <si>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</si>
  <si>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</si>
  <si>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</si>
  <si>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</si>
  <si>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</si>
  <si>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</si>
  <si>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</si>
  <si>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</si>
  <si>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</si>
  <si>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</si>
  <si>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</si>
  <si>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TPS 031</t>
  </si>
  <si>
    <t>TPS 032</t>
  </si>
  <si>
    <t>TPS 033</t>
  </si>
  <si>
    <t>TPS 034</t>
  </si>
  <si>
    <t>HJ. SITI MAKHROCHATIN NI’MAH, S.PD., M.M.</t>
  </si>
  <si>
    <t>A. TAUFIK</t>
  </si>
  <si>
    <t>KHOIRUL FAHMI ISKANDAR, S.PD</t>
  </si>
  <si>
    <t>AKHMAD, S.PD., M.M.</t>
  </si>
  <si>
    <t>SOFI WULANDARI, S.H.</t>
  </si>
  <si>
    <t>AL MA’ARIF</t>
  </si>
  <si>
    <t>ASRILA DISKA RIMUNDA</t>
  </si>
  <si>
    <t>ANIK MUSYAROFAH</t>
  </si>
  <si>
    <t>JOKO MISBONO</t>
  </si>
  <si>
    <t>REKTO PUSPITASARI</t>
  </si>
  <si>
    <t>AHMAD KHOMSI WAHYUDI</t>
  </si>
  <si>
    <t>ACHI RIZAL FIRDAUS</t>
  </si>
  <si>
    <t>I MADE CAHYANA NEGARA, S.E.</t>
  </si>
  <si>
    <t>AGUS WAHYU PANOTO, S.H.</t>
  </si>
  <si>
    <t>IIS SUMIYATI</t>
  </si>
  <si>
    <t>ACHMAD MUZAMMIL</t>
  </si>
  <si>
    <t>WENDRIAWANTO</t>
  </si>
  <si>
    <t>PUTRI MEGA AYU WIDIARTI</t>
  </si>
  <si>
    <t>UMI KULSUM, S.H.</t>
  </si>
  <si>
    <t>SONNY PRAKOSO INDRA, S.E.</t>
  </si>
  <si>
    <t>ERJUNA SITI FATIMAH</t>
  </si>
  <si>
    <t>SITI MARIYAM</t>
  </si>
  <si>
    <t>HERU SUKARNO, S.H.</t>
  </si>
  <si>
    <t>AHMAD MUZAYYIN</t>
  </si>
  <si>
    <t>DRS. MOH. PADIL</t>
  </si>
  <si>
    <t>ALEX WIJAYA KUSUMA</t>
  </si>
  <si>
    <t>DANY FARDA MIHMDIAT</t>
  </si>
  <si>
    <t>UNTUNG AL AKBAR</t>
  </si>
  <si>
    <t>SETYO PONCO UTOMO</t>
  </si>
  <si>
    <t>LIA ALYSTIA NINGRUM, S.PD.</t>
  </si>
  <si>
    <t>ELY SODIKIN</t>
  </si>
  <si>
    <t>BAGUS WAHONO</t>
  </si>
  <si>
    <t>ARTIS YOGYA KARTIKA</t>
  </si>
  <si>
    <t>IMAM HAKTONO</t>
  </si>
  <si>
    <t>FAISOL AZZ, A.MD.</t>
  </si>
  <si>
    <t>HAYATUL MAKIN</t>
  </si>
  <si>
    <t>SAKI HANDAYANI</t>
  </si>
  <si>
    <t>ASMAWIYANTO, A.MA.</t>
  </si>
  <si>
    <t>SANTI SETYOWATI</t>
  </si>
  <si>
    <t>SUPARNO, S.T.</t>
  </si>
  <si>
    <t>YAKUP YULIANTO</t>
  </si>
  <si>
    <t>TRIA UTAMA</t>
  </si>
  <si>
    <t>ANIS KHAFIFAH MZ</t>
  </si>
  <si>
    <t>H. HARIONO</t>
  </si>
  <si>
    <t>GOPUR BACHITAR, S.T.</t>
  </si>
  <si>
    <t>BONIMAH</t>
  </si>
  <si>
    <t>AGUS PRAYOGI</t>
  </si>
  <si>
    <t>DWI FITRIA PRATIWI</t>
  </si>
  <si>
    <t>NURUL MAKIYAH, S.PD.</t>
  </si>
  <si>
    <t>HJ. SUPRIYANTI, S.E.</t>
  </si>
  <si>
    <t>FIRMAN</t>
  </si>
  <si>
    <t>SAIFUL</t>
  </si>
  <si>
    <t>SULTAN BAUZIR</t>
  </si>
  <si>
    <t>PUTRI ANTARI</t>
  </si>
  <si>
    <t>TAUFIQ TANTOWI</t>
  </si>
  <si>
    <t>SATRA BUDI UTOMO</t>
  </si>
  <si>
    <t>DEKY ZULKARNAIN</t>
  </si>
  <si>
    <t>WINARTI, S.PD.</t>
  </si>
  <si>
    <t>DIDIT HARYANTO</t>
  </si>
  <si>
    <t>H. SRI FIDIASTUTIK</t>
  </si>
  <si>
    <t>MOH. KHOLIL ARROSYID, S.H.</t>
  </si>
  <si>
    <t>JULISETYO PUJI RAHAYU, S.SOS., S.H., M.H.</t>
  </si>
  <si>
    <t>MOH. YANI</t>
  </si>
  <si>
    <t>YUSUF KURNIAWAN</t>
  </si>
  <si>
    <t>MASIYAH KURNIAWATI YULIATIN</t>
  </si>
  <si>
    <t>MOHAMMAD SYAFRIL</t>
  </si>
  <si>
    <t>SUKIRNO</t>
  </si>
  <si>
    <t>WINDA DWI KURNIAWATI</t>
  </si>
  <si>
    <t>RADHITYA KEMARA YUSANDHI, S.E.</t>
  </si>
  <si>
    <t>HEKSA SHINTA PRATIWI</t>
  </si>
  <si>
    <t>NADYA SHARA DIVA ROSSANO</t>
  </si>
  <si>
    <t>JAENURI, S.H., M.H.</t>
  </si>
  <si>
    <t>INDRIYANI</t>
  </si>
  <si>
    <t>AHMAD KHOIRUL ANAM</t>
  </si>
  <si>
    <t>ISLAMIYAH</t>
  </si>
  <si>
    <t>BUANG HARYANTO</t>
  </si>
  <si>
    <t>SYAIFUR ROHMAN, S.PD.</t>
  </si>
  <si>
    <t>HADI SANTOSO</t>
  </si>
  <si>
    <t>ARRUUM WULAN ALFURQONI</t>
  </si>
  <si>
    <t>KALIPURO</t>
  </si>
  <si>
    <t>BULUSAN</t>
  </si>
  <si>
    <t>BULUSARI</t>
  </si>
  <si>
    <t>GOMBENGSARI</t>
  </si>
  <si>
    <t>TPS 035</t>
  </si>
  <si>
    <t>TPS 036</t>
  </si>
  <si>
    <t>TPS 037</t>
  </si>
  <si>
    <t>TPS 038</t>
  </si>
  <si>
    <t>TPS 039</t>
  </si>
  <si>
    <t>KELIR</t>
  </si>
  <si>
    <t>KETAPANG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</si>
  <si>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</si>
  <si>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</si>
  <si>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</si>
  <si>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</si>
  <si>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</si>
  <si>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</si>
  <si>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</si>
  <si>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</si>
  <si>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</si>
  <si>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</si>
  <si>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</si>
  <si>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</si>
  <si>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</si>
  <si>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KLATAK</t>
  </si>
  <si>
    <t>PESUCEN</t>
  </si>
  <si>
    <t>TELEMUNG</t>
  </si>
  <si>
    <t>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</si>
</sst>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8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 wrapText="1" readingOrder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</cellXfs>
  <cellStyles count="1">
    <cellStyle name="Normal" xfId="0" builtinId="0"/>
  </cellStyles>
  <dxfs count="21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10" zoomScaleNormal="100" workbookViewId="0">
      <selection activeCell="G21" sqref="G21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104</v>
      </c>
      <c r="D8" s="43" t="s">
        <v>193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105</v>
      </c>
      <c r="D9" s="43" t="s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107</v>
      </c>
      <c r="D10" s="43" t="s">
        <v>108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56" t="s">
        <v>1</v>
      </c>
      <c r="C12" s="69"/>
      <c r="D12" s="60"/>
      <c r="E12" s="78" t="s">
        <v>103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7" t="s">
        <v>3</v>
      </c>
      <c r="C13" s="69"/>
      <c r="D13" s="60"/>
      <c r="E13" s="79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80" t="s">
        <v>22</v>
      </c>
      <c r="C14" s="68"/>
      <c r="D14" s="6" t="s">
        <v>23</v>
      </c>
      <c r="E14" s="9">
        <f>BULUSAN!AC14+BULUSARI!R14+GOMBENGSARI!AC14+KALIPURO!AR14+KELIR!W14+KETAPANG!BE14+KLATAK!AV14+PESUCEN!R14+TELEMUNG!T14</f>
        <v>31987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81"/>
      <c r="C15" s="74"/>
      <c r="D15" s="6" t="s">
        <v>24</v>
      </c>
      <c r="E15" s="9">
        <f>BULUSAN!AC15+BULUSARI!R15+GOMBENGSARI!AC15+KALIPURO!AR15+KELIR!W15+KETAPANG!BE15+KLATAK!AV15+PESUCEN!R15+TELEMUNG!T15</f>
        <v>33057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79"/>
      <c r="C16" s="75"/>
      <c r="D16" s="5" t="s">
        <v>25</v>
      </c>
      <c r="E16" s="25">
        <f t="shared" ref="E16" si="0">SUM(E14:E15)</f>
        <v>65044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61"/>
      <c r="B17" s="69"/>
      <c r="C17" s="69"/>
      <c r="D17" s="60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77" t="s">
        <v>27</v>
      </c>
      <c r="C18" s="69"/>
      <c r="D18" s="60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82" t="s">
        <v>28</v>
      </c>
      <c r="C19" s="83" t="s">
        <v>29</v>
      </c>
      <c r="D19" s="6" t="s">
        <v>23</v>
      </c>
      <c r="E19" s="9">
        <f>BULUSAN!AC19+BULUSARI!R19+GOMBENGSARI!AC19+KALIPURO!AR19+KELIR!W19+KETAPANG!BE19+KLATAK!AV19+PESUCEN!R19+TELEMUNG!T19</f>
        <v>24074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74"/>
      <c r="C20" s="84"/>
      <c r="D20" s="6" t="s">
        <v>24</v>
      </c>
      <c r="E20" s="9">
        <f>BULUSAN!AC20+BULUSARI!R20+GOMBENGSARI!AC20+KALIPURO!AR20+KELIR!W20+KETAPANG!BE20+KLATAK!AV20+PESUCEN!R20+TELEMUNG!T20</f>
        <v>26769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75"/>
      <c r="C21" s="85"/>
      <c r="D21" s="5" t="s">
        <v>25</v>
      </c>
      <c r="E21" s="25">
        <f t="shared" ref="E21" si="1">SUM(E19:E20)</f>
        <v>50843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82" t="s">
        <v>30</v>
      </c>
      <c r="C22" s="83" t="s">
        <v>31</v>
      </c>
      <c r="D22" s="6" t="s">
        <v>23</v>
      </c>
      <c r="E22" s="9">
        <f>BULUSAN!AC22+BULUSARI!R22+GOMBENGSARI!AC22+KALIPURO!AR22+KELIR!W22+KETAPANG!BE22+KLATAK!AV22+PESUCEN!R22+TELEMUNG!T22</f>
        <v>110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74"/>
      <c r="C23" s="84"/>
      <c r="D23" s="6" t="s">
        <v>24</v>
      </c>
      <c r="E23" s="9">
        <f>BULUSAN!AC23+BULUSARI!R23+GOMBENGSARI!AC23+KALIPURO!AR23+KELIR!W23+KETAPANG!BE23+KLATAK!AV23+PESUCEN!R23+TELEMUNG!T23</f>
        <v>92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75"/>
      <c r="C24" s="85"/>
      <c r="D24" s="5" t="s">
        <v>25</v>
      </c>
      <c r="E24" s="25">
        <f t="shared" ref="E24" si="2">SUM(E22:E23)</f>
        <v>202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82" t="s">
        <v>32</v>
      </c>
      <c r="C25" s="83" t="s">
        <v>33</v>
      </c>
      <c r="D25" s="6" t="s">
        <v>23</v>
      </c>
      <c r="E25" s="9">
        <f>BULUSAN!AC25+BULUSARI!R25+GOMBENGSARI!AC25+KALIPURO!AR25+KELIR!W25+KETAPANG!BE25+KLATAK!AV25+PESUCEN!R25+TELEMUNG!T25</f>
        <v>349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74"/>
      <c r="C26" s="84"/>
      <c r="D26" s="6" t="s">
        <v>24</v>
      </c>
      <c r="E26" s="9">
        <f>BULUSAN!AC26+BULUSARI!R26+GOMBENGSARI!AC26+KALIPURO!AR26+KELIR!W26+KETAPANG!BE26+KLATAK!AV26+PESUCEN!R26+TELEMUNG!T26</f>
        <v>422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75"/>
      <c r="C27" s="85"/>
      <c r="D27" s="5" t="s">
        <v>25</v>
      </c>
      <c r="E27" s="25">
        <f t="shared" ref="E27" si="3">SUM(E25:E26)</f>
        <v>771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86" t="s">
        <v>34</v>
      </c>
      <c r="C28" s="87" t="s">
        <v>35</v>
      </c>
      <c r="D28" s="5" t="s">
        <v>23</v>
      </c>
      <c r="E28" s="25">
        <f t="shared" ref="E28:E29" si="4">E19+E22+E25</f>
        <v>24533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74"/>
      <c r="C29" s="84"/>
      <c r="D29" s="5" t="s">
        <v>24</v>
      </c>
      <c r="E29" s="25">
        <f t="shared" si="4"/>
        <v>27283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75"/>
      <c r="C30" s="85"/>
      <c r="D30" s="5" t="s">
        <v>25</v>
      </c>
      <c r="E30" s="25">
        <f t="shared" ref="E30" si="5">SUM(E28:E29)</f>
        <v>51816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61"/>
      <c r="B31" s="69"/>
      <c r="C31" s="69"/>
      <c r="D31" s="60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56" t="s">
        <v>37</v>
      </c>
      <c r="C32" s="69"/>
      <c r="D32" s="60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7" t="s">
        <v>38</v>
      </c>
      <c r="C33" s="69"/>
      <c r="D33" s="60"/>
      <c r="E33" s="9">
        <f>BULUSAN!AC33+BULUSARI!R33+GOMBENGSARI!AC33+KALIPURO!AR33+KELIR!W33+KETAPANG!BE33+KLATAK!AV33+PESUCEN!R33+TELEMUNG!T33</f>
        <v>66218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7" t="s">
        <v>39</v>
      </c>
      <c r="C34" s="69"/>
      <c r="D34" s="60"/>
      <c r="E34" s="9">
        <f>BULUSAN!AC34+BULUSARI!R34+GOMBENGSARI!AC34+KALIPURO!AR34+KELIR!W34+KETAPANG!BE34+KLATAK!AV34+PESUCEN!R34+TELEMUNG!T34</f>
        <v>51816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7" t="s">
        <v>40</v>
      </c>
      <c r="C35" s="69"/>
      <c r="D35" s="60"/>
      <c r="E35" s="9">
        <f>BULUSAN!AC35+BULUSARI!R35+GOMBENGSARI!AC35+KALIPURO!AR35+KELIR!W35+KETAPANG!BE35+KLATAK!AV35+PESUCEN!R35+TELEMUNG!T35</f>
        <v>96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7" t="s">
        <v>41</v>
      </c>
      <c r="C36" s="69"/>
      <c r="D36" s="60"/>
      <c r="E36" s="25">
        <f t="shared" ref="E36" si="6">E33-(E34+E35)</f>
        <v>14306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61"/>
      <c r="B37" s="69"/>
      <c r="C37" s="69"/>
      <c r="D37" s="69"/>
      <c r="E37" s="69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56" t="s">
        <v>43</v>
      </c>
      <c r="C38" s="69"/>
      <c r="D38" s="60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72" t="s">
        <v>44</v>
      </c>
      <c r="C39" s="68"/>
      <c r="D39" s="6" t="s">
        <v>23</v>
      </c>
      <c r="E39" s="9">
        <f>BULUSAN!AC39+BULUSARI!R39+GOMBENGSARI!AC39+KALIPURO!AR39+KELIR!W39+KETAPANG!BE39+KLATAK!AV39+PESUCEN!R39+TELEMUNG!T39</f>
        <v>63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73"/>
      <c r="C40" s="74"/>
      <c r="D40" s="6" t="s">
        <v>24</v>
      </c>
      <c r="E40" s="9">
        <f>BULUSAN!AC40+BULUSARI!R40+GOMBENGSARI!AC40+KALIPURO!AR40+KELIR!W40+KETAPANG!BE40+KLATAK!AV40+PESUCEN!R40+TELEMUNG!T40</f>
        <v>82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71"/>
      <c r="C41" s="75"/>
      <c r="D41" s="5" t="s">
        <v>25</v>
      </c>
      <c r="E41" s="25">
        <f t="shared" ref="E41" si="7">SUM(E39:E40)</f>
        <v>145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70"/>
      <c r="B42" s="71"/>
      <c r="C42" s="71"/>
      <c r="D42" s="75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56" t="s">
        <v>46</v>
      </c>
      <c r="C43" s="69"/>
      <c r="D43" s="60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72" t="s">
        <v>47</v>
      </c>
      <c r="B44" s="76"/>
      <c r="C44" s="76"/>
      <c r="D44" s="68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59" t="s">
        <v>49</v>
      </c>
      <c r="D45" s="60"/>
      <c r="E45" s="9">
        <f>BULUSAN!AC45+BULUSARI!R45+GOMBENGSARI!AC45+KALIPURO!AR45+KELIR!W45+KETAPANG!BE45+KLATAK!AV45+PESUCEN!R45+TELEMUNG!T45</f>
        <v>1800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46">
        <v>1</v>
      </c>
      <c r="C46" s="24" t="s">
        <v>114</v>
      </c>
      <c r="D46" s="47"/>
      <c r="E46" s="9">
        <f>BULUSAN!AC46+BULUSARI!R46+GOMBENGSARI!AC46+KALIPURO!AR46+KELIR!W46+KETAPANG!BE46+KLATAK!AV46+PESUCEN!R46+TELEMUNG!T46</f>
        <v>3113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46">
        <v>2</v>
      </c>
      <c r="C47" s="24" t="s">
        <v>115</v>
      </c>
      <c r="D47" s="47"/>
      <c r="E47" s="9">
        <f>BULUSAN!AC47+BULUSARI!R47+GOMBENGSARI!AC47+KALIPURO!AR47+KELIR!W47+KETAPANG!BE47+KLATAK!AV47+PESUCEN!R47+TELEMUNG!T47</f>
        <v>1164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46">
        <v>3</v>
      </c>
      <c r="C48" s="24" t="s">
        <v>116</v>
      </c>
      <c r="D48" s="47"/>
      <c r="E48" s="9">
        <f>BULUSAN!AC48+BULUSARI!R48+GOMBENGSARI!AC48+KALIPURO!AR48+KELIR!W48+KETAPANG!BE48+KLATAK!AV48+PESUCEN!R48+TELEMUNG!T48</f>
        <v>179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46">
        <v>4</v>
      </c>
      <c r="C49" s="24" t="s">
        <v>117</v>
      </c>
      <c r="D49" s="47"/>
      <c r="E49" s="9">
        <f>BULUSAN!AC49+BULUSARI!R49+GOMBENGSARI!AC49+KALIPURO!AR49+KELIR!W49+KETAPANG!BE49+KLATAK!AV49+PESUCEN!R49+TELEMUNG!T49</f>
        <v>60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46">
        <v>5</v>
      </c>
      <c r="C50" s="24" t="s">
        <v>118</v>
      </c>
      <c r="D50" s="47"/>
      <c r="E50" s="9">
        <f>BULUSAN!AC50+BULUSARI!R50+GOMBENGSARI!AC50+KALIPURO!AR50+KELIR!W50+KETAPANG!BE50+KLATAK!AV50+PESUCEN!R50+TELEMUNG!T50</f>
        <v>45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46">
        <v>6</v>
      </c>
      <c r="C51" s="24" t="s">
        <v>119</v>
      </c>
      <c r="D51" s="47"/>
      <c r="E51" s="9">
        <f>BULUSAN!AC51+BULUSARI!R51+GOMBENGSARI!AC51+KALIPURO!AR51+KELIR!W51+KETAPANG!BE51+KLATAK!AV51+PESUCEN!R51+TELEMUNG!T51</f>
        <v>118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6" t="s">
        <v>26</v>
      </c>
      <c r="B52" s="53" t="s">
        <v>51</v>
      </c>
      <c r="C52" s="69"/>
      <c r="D52" s="60"/>
      <c r="E52" s="5">
        <f>SUM(E45:E51)</f>
        <v>6479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0"/>
      <c r="B53" s="71"/>
      <c r="C53" s="71"/>
      <c r="D53" s="71"/>
      <c r="E53" s="71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11" t="s">
        <v>48</v>
      </c>
      <c r="B54" s="17" t="s">
        <v>30</v>
      </c>
      <c r="C54" s="59" t="s">
        <v>52</v>
      </c>
      <c r="D54" s="60"/>
      <c r="E54" s="9">
        <f>BULUSAN!AC54+BULUSARI!R54+GOMBENGSARI!AC54+KALIPURO!AR54+KELIR!W54+KETAPANG!BE54+KLATAK!AV54+PESUCEN!R54+TELEMUNG!T54</f>
        <v>1894</v>
      </c>
      <c r="F54" s="40"/>
      <c r="G54" s="1"/>
      <c r="H54" s="1"/>
      <c r="I54" s="1"/>
      <c r="J54" s="1"/>
      <c r="K54" s="1"/>
      <c r="L54" s="1"/>
      <c r="M54" s="1"/>
      <c r="N54" s="1"/>
      <c r="O54" s="1"/>
      <c r="P54" s="34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</row>
    <row r="55" spans="1:216" ht="15.75" customHeight="1" x14ac:dyDescent="0.4">
      <c r="A55" s="11" t="s">
        <v>50</v>
      </c>
      <c r="B55" s="46">
        <v>1</v>
      </c>
      <c r="C55" s="24" t="s">
        <v>120</v>
      </c>
      <c r="D55" s="47"/>
      <c r="E55" s="9">
        <f>BULUSAN!AC55+BULUSARI!R55+GOMBENGSARI!AC55+KALIPURO!AR55+KELIR!W55+KETAPANG!BE55+KLATAK!AV55+PESUCEN!R55+TELEMUNG!T55</f>
        <v>1509</v>
      </c>
      <c r="F55" s="42"/>
      <c r="G55" s="27"/>
      <c r="H55" s="27"/>
      <c r="I55" s="27"/>
      <c r="J55" s="27"/>
      <c r="K55" s="27"/>
      <c r="L55" s="27"/>
      <c r="M55" s="27"/>
      <c r="N55" s="27"/>
      <c r="O55" s="27"/>
      <c r="P55" s="37"/>
      <c r="Q55" s="30"/>
      <c r="R55" s="30"/>
      <c r="S55" s="30"/>
      <c r="T55" s="30"/>
      <c r="U55" s="30"/>
      <c r="V55" s="30"/>
      <c r="W55" s="38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0"/>
      <c r="BM55" s="30"/>
      <c r="BN55" s="30"/>
      <c r="BO55" s="30"/>
      <c r="BP55" s="30"/>
      <c r="BQ55" s="30"/>
      <c r="BR55" s="38"/>
      <c r="BS55" s="30"/>
      <c r="BT55" s="30"/>
      <c r="BU55" s="30"/>
      <c r="BV55" s="30"/>
      <c r="BW55" s="30"/>
      <c r="BX55" s="30"/>
      <c r="BY55" s="30"/>
      <c r="BZ55" s="30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8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8"/>
      <c r="EZ55" s="38"/>
      <c r="FA55" s="38"/>
      <c r="FB55" s="38"/>
      <c r="FC55" s="38"/>
      <c r="FD55" s="38"/>
      <c r="FE55" s="38"/>
      <c r="FF55" s="30"/>
      <c r="FG55" s="30"/>
      <c r="FH55" s="30"/>
      <c r="FI55" s="30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</row>
    <row r="56" spans="1:216" ht="15.75" customHeight="1" x14ac:dyDescent="0.4">
      <c r="A56" s="7"/>
      <c r="B56" s="46">
        <v>2</v>
      </c>
      <c r="C56" s="24" t="s">
        <v>121</v>
      </c>
      <c r="D56" s="47"/>
      <c r="E56" s="9">
        <f>BULUSAN!AC56+BULUSARI!R56+GOMBENGSARI!AC56+KALIPURO!AR56+KELIR!W56+KETAPANG!BE56+KLATAK!AV56+PESUCEN!R56+TELEMUNG!T56</f>
        <v>553</v>
      </c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7"/>
      <c r="B57" s="46">
        <v>3</v>
      </c>
      <c r="C57" s="24" t="s">
        <v>122</v>
      </c>
      <c r="D57" s="47"/>
      <c r="E57" s="9">
        <f>BULUSAN!AC57+BULUSARI!R57+GOMBENGSARI!AC57+KALIPURO!AR57+KELIR!W57+KETAPANG!BE57+KLATAK!AV57+PESUCEN!R57+TELEMUNG!T57</f>
        <v>582</v>
      </c>
      <c r="F57" s="39"/>
      <c r="G57" s="20"/>
      <c r="H57" s="20"/>
      <c r="I57" s="20"/>
      <c r="J57" s="20"/>
      <c r="K57" s="20"/>
      <c r="L57" s="20"/>
      <c r="M57" s="20"/>
      <c r="N57" s="20"/>
      <c r="O57" s="20"/>
      <c r="P57" s="32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</row>
    <row r="58" spans="1:216" ht="15.75" customHeight="1" x14ac:dyDescent="0.4">
      <c r="A58" s="7"/>
      <c r="B58" s="46">
        <v>4</v>
      </c>
      <c r="C58" s="24" t="s">
        <v>123</v>
      </c>
      <c r="D58" s="47"/>
      <c r="E58" s="9">
        <f>BULUSAN!AC58+BULUSARI!R58+GOMBENGSARI!AC58+KALIPURO!AR58+KELIR!W58+KETAPANG!BE58+KLATAK!AV58+PESUCEN!R58+TELEMUNG!T58</f>
        <v>236</v>
      </c>
      <c r="F58" s="39"/>
      <c r="G58" s="20"/>
      <c r="H58" s="20"/>
      <c r="I58" s="20"/>
      <c r="J58" s="20"/>
      <c r="K58" s="20"/>
      <c r="L58" s="20"/>
      <c r="M58" s="20"/>
      <c r="N58" s="20"/>
      <c r="O58" s="20"/>
      <c r="P58" s="32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</row>
    <row r="59" spans="1:216" ht="15.75" customHeight="1" x14ac:dyDescent="0.4">
      <c r="A59" s="7"/>
      <c r="B59" s="46">
        <v>5</v>
      </c>
      <c r="C59" s="24" t="s">
        <v>124</v>
      </c>
      <c r="D59" s="47"/>
      <c r="E59" s="9">
        <f>BULUSAN!AC59+BULUSARI!R59+GOMBENGSARI!AC59+KALIPURO!AR59+KELIR!W59+KETAPANG!BE59+KLATAK!AV59+PESUCEN!R59+TELEMUNG!T59</f>
        <v>94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46">
        <v>6</v>
      </c>
      <c r="C60" s="24" t="s">
        <v>125</v>
      </c>
      <c r="D60" s="47"/>
      <c r="E60" s="9">
        <f>BULUSAN!AC60+BULUSARI!R60+GOMBENGSARI!AC60+KALIPURO!AR60+KELIR!W60+KETAPANG!BE60+KLATAK!AV60+PESUCEN!R60+TELEMUNG!T60</f>
        <v>1255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6" t="s">
        <v>26</v>
      </c>
      <c r="B61" s="53" t="s">
        <v>51</v>
      </c>
      <c r="C61" s="69"/>
      <c r="D61" s="60"/>
      <c r="E61" s="5">
        <f>SUM(E54:E60)</f>
        <v>6123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0"/>
      <c r="B62" s="71"/>
      <c r="C62" s="71"/>
      <c r="D62" s="71"/>
      <c r="E62" s="71"/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11" t="s">
        <v>48</v>
      </c>
      <c r="B63" s="17" t="s">
        <v>32</v>
      </c>
      <c r="C63" s="59" t="s">
        <v>53</v>
      </c>
      <c r="D63" s="60"/>
      <c r="E63" s="9">
        <f>BULUSAN!AC63+BULUSARI!R63+GOMBENGSARI!AC63+KALIPURO!AR63+KELIR!W63+KETAPANG!BE63+KLATAK!AV63+PESUCEN!R63+TELEMUNG!T63</f>
        <v>1732</v>
      </c>
      <c r="F63" s="40"/>
      <c r="G63" s="1"/>
      <c r="H63" s="1"/>
      <c r="I63" s="1"/>
      <c r="J63" s="1"/>
      <c r="K63" s="1"/>
      <c r="L63" s="1"/>
      <c r="M63" s="1"/>
      <c r="N63" s="1"/>
      <c r="O63" s="1"/>
      <c r="P63" s="34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</row>
    <row r="64" spans="1:216" ht="15.75" customHeight="1" x14ac:dyDescent="0.4">
      <c r="A64" s="11" t="s">
        <v>50</v>
      </c>
      <c r="B64" s="46">
        <v>1</v>
      </c>
      <c r="C64" s="24" t="s">
        <v>126</v>
      </c>
      <c r="D64" s="47"/>
      <c r="E64" s="9">
        <f>BULUSAN!AC64+BULUSARI!R64+GOMBENGSARI!AC64+KALIPURO!AR64+KELIR!W64+KETAPANG!BE64+KLATAK!AV64+PESUCEN!R64+TELEMUNG!T64</f>
        <v>4981</v>
      </c>
      <c r="F64" s="42"/>
      <c r="G64" s="27"/>
      <c r="H64" s="27"/>
      <c r="I64" s="27"/>
      <c r="J64" s="27"/>
      <c r="K64" s="27"/>
      <c r="L64" s="27"/>
      <c r="M64" s="27"/>
      <c r="N64" s="27"/>
      <c r="O64" s="27"/>
      <c r="P64" s="37"/>
      <c r="Q64" s="30"/>
      <c r="R64" s="30"/>
      <c r="S64" s="30"/>
      <c r="T64" s="30"/>
      <c r="U64" s="30"/>
      <c r="V64" s="30"/>
      <c r="W64" s="38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0"/>
      <c r="BM64" s="30"/>
      <c r="BN64" s="30"/>
      <c r="BO64" s="30"/>
      <c r="BP64" s="30"/>
      <c r="BQ64" s="30"/>
      <c r="BR64" s="38"/>
      <c r="BS64" s="30"/>
      <c r="BT64" s="30"/>
      <c r="BU64" s="30"/>
      <c r="BV64" s="30"/>
      <c r="BW64" s="30"/>
      <c r="BX64" s="30"/>
      <c r="BY64" s="30"/>
      <c r="BZ64" s="30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8"/>
      <c r="EZ64" s="38"/>
      <c r="FA64" s="38"/>
      <c r="FB64" s="38"/>
      <c r="FC64" s="38"/>
      <c r="FD64" s="38"/>
      <c r="FE64" s="38"/>
      <c r="FF64" s="30"/>
      <c r="FG64" s="30"/>
      <c r="FH64" s="30"/>
      <c r="FI64" s="30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</row>
    <row r="65" spans="1:216" ht="15.75" customHeight="1" x14ac:dyDescent="0.4">
      <c r="A65" s="7"/>
      <c r="B65" s="46">
        <v>2</v>
      </c>
      <c r="C65" s="24" t="s">
        <v>127</v>
      </c>
      <c r="D65" s="47"/>
      <c r="E65" s="9">
        <f>BULUSAN!AC65+BULUSARI!R65+GOMBENGSARI!AC65+KALIPURO!AR65+KELIR!W65+KETAPANG!BE65+KLATAK!AV65+PESUCEN!R65+TELEMUNG!T65</f>
        <v>2624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6">
        <v>3</v>
      </c>
      <c r="C66" s="24" t="s">
        <v>128</v>
      </c>
      <c r="D66" s="47"/>
      <c r="E66" s="9">
        <f>BULUSAN!AC66+BULUSARI!R66+GOMBENGSARI!AC66+KALIPURO!AR66+KELIR!W66+KETAPANG!BE66+KLATAK!AV66+PESUCEN!R66+TELEMUNG!T66</f>
        <v>178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7"/>
      <c r="B67" s="46">
        <v>4</v>
      </c>
      <c r="C67" s="24" t="s">
        <v>129</v>
      </c>
      <c r="D67" s="47"/>
      <c r="E67" s="9">
        <f>BULUSAN!AC67+BULUSARI!R67+GOMBENGSARI!AC67+KALIPURO!AR67+KELIR!W67+KETAPANG!BE67+KLATAK!AV67+PESUCEN!R67+TELEMUNG!T67</f>
        <v>94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7"/>
      <c r="B68" s="46">
        <v>5</v>
      </c>
      <c r="C68" s="24" t="s">
        <v>130</v>
      </c>
      <c r="D68" s="47"/>
      <c r="E68" s="9">
        <f>BULUSAN!AC68+BULUSARI!R68+GOMBENGSARI!AC68+KALIPURO!AR68+KELIR!W68+KETAPANG!BE68+KLATAK!AV68+PESUCEN!R68+TELEMUNG!T68</f>
        <v>160</v>
      </c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7"/>
      <c r="B69" s="46">
        <v>6</v>
      </c>
      <c r="C69" s="24" t="s">
        <v>131</v>
      </c>
      <c r="D69" s="47"/>
      <c r="E69" s="9">
        <f>BULUSAN!AC69+BULUSARI!R69+GOMBENGSARI!AC69+KALIPURO!AR69+KELIR!W69+KETAPANG!BE69+KLATAK!AV69+PESUCEN!R69+TELEMUNG!T69</f>
        <v>80</v>
      </c>
      <c r="F69" s="39"/>
      <c r="G69" s="20"/>
      <c r="H69" s="20"/>
      <c r="I69" s="20"/>
      <c r="J69" s="20"/>
      <c r="K69" s="20"/>
      <c r="L69" s="20"/>
      <c r="M69" s="20"/>
      <c r="N69" s="20"/>
      <c r="O69" s="20"/>
      <c r="P69" s="32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</row>
    <row r="70" spans="1:216" ht="15.75" customHeight="1" x14ac:dyDescent="0.4">
      <c r="A70" s="6" t="s">
        <v>26</v>
      </c>
      <c r="B70" s="53" t="s">
        <v>51</v>
      </c>
      <c r="C70" s="69"/>
      <c r="D70" s="60"/>
      <c r="E70" s="5">
        <f>SUM(E63:E69)</f>
        <v>9849</v>
      </c>
      <c r="F70" s="39"/>
      <c r="G70" s="20"/>
      <c r="H70" s="20"/>
      <c r="I70" s="20"/>
      <c r="J70" s="20"/>
      <c r="K70" s="20"/>
      <c r="L70" s="20"/>
      <c r="M70" s="20"/>
      <c r="N70" s="20"/>
      <c r="O70" s="20"/>
      <c r="P70" s="32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</row>
    <row r="71" spans="1:216" ht="15.75" customHeight="1" x14ac:dyDescent="0.4">
      <c r="A71" s="70"/>
      <c r="B71" s="71"/>
      <c r="C71" s="71"/>
      <c r="D71" s="71"/>
      <c r="E71" s="71"/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11" t="s">
        <v>48</v>
      </c>
      <c r="B72" s="17" t="s">
        <v>34</v>
      </c>
      <c r="C72" s="59" t="s">
        <v>54</v>
      </c>
      <c r="D72" s="60"/>
      <c r="E72" s="9">
        <f>BULUSAN!AC72+BULUSARI!R72+GOMBENGSARI!AC72+KALIPURO!AR72+KELIR!W72+KETAPANG!BE72+KLATAK!AV72+PESUCEN!R72+TELEMUNG!T72</f>
        <v>1147</v>
      </c>
      <c r="F72" s="40"/>
      <c r="G72" s="1"/>
      <c r="H72" s="1"/>
      <c r="I72" s="1"/>
      <c r="J72" s="1"/>
      <c r="K72" s="1"/>
      <c r="L72" s="1"/>
      <c r="M72" s="1"/>
      <c r="N72" s="1"/>
      <c r="O72" s="1"/>
      <c r="P72" s="34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</row>
    <row r="73" spans="1:216" ht="15.75" customHeight="1" x14ac:dyDescent="0.4">
      <c r="A73" s="11" t="s">
        <v>50</v>
      </c>
      <c r="B73" s="46">
        <v>1</v>
      </c>
      <c r="C73" s="24" t="s">
        <v>132</v>
      </c>
      <c r="D73" s="47"/>
      <c r="E73" s="9">
        <f>BULUSAN!AC73+BULUSARI!R73+GOMBENGSARI!AC73+KALIPURO!AR73+KELIR!W73+KETAPANG!BE73+KLATAK!AV73+PESUCEN!R73+TELEMUNG!T73</f>
        <v>5456</v>
      </c>
      <c r="F73" s="42"/>
      <c r="G73" s="27"/>
      <c r="H73" s="27"/>
      <c r="I73" s="27"/>
      <c r="J73" s="27"/>
      <c r="K73" s="27"/>
      <c r="L73" s="27"/>
      <c r="M73" s="27"/>
      <c r="N73" s="27"/>
      <c r="O73" s="27"/>
      <c r="P73" s="37"/>
      <c r="Q73" s="30"/>
      <c r="R73" s="30"/>
      <c r="S73" s="30"/>
      <c r="T73" s="30"/>
      <c r="U73" s="30"/>
      <c r="V73" s="30"/>
      <c r="W73" s="38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0"/>
      <c r="BM73" s="30"/>
      <c r="BN73" s="30"/>
      <c r="BO73" s="30"/>
      <c r="BP73" s="30"/>
      <c r="BQ73" s="30"/>
      <c r="BR73" s="38"/>
      <c r="BS73" s="30"/>
      <c r="BT73" s="30"/>
      <c r="BU73" s="30"/>
      <c r="BV73" s="30"/>
      <c r="BW73" s="30"/>
      <c r="BX73" s="30"/>
      <c r="BY73" s="30"/>
      <c r="BZ73" s="30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8"/>
      <c r="EZ73" s="38"/>
      <c r="FA73" s="38"/>
      <c r="FB73" s="38"/>
      <c r="FC73" s="38"/>
      <c r="FD73" s="38"/>
      <c r="FE73" s="38"/>
      <c r="FF73" s="30"/>
      <c r="FG73" s="30"/>
      <c r="FH73" s="30"/>
      <c r="FI73" s="30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</row>
    <row r="74" spans="1:216" ht="15.75" customHeight="1" x14ac:dyDescent="0.4">
      <c r="A74" s="7"/>
      <c r="B74" s="46">
        <v>2</v>
      </c>
      <c r="C74" s="24" t="s">
        <v>133</v>
      </c>
      <c r="D74" s="47"/>
      <c r="E74" s="9">
        <f>BULUSAN!AC74+BULUSARI!R74+GOMBENGSARI!AC74+KALIPURO!AR74+KELIR!W74+KETAPANG!BE74+KLATAK!AV74+PESUCEN!R74+TELEMUNG!T74</f>
        <v>4157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46">
        <v>3</v>
      </c>
      <c r="C75" s="24" t="s">
        <v>134</v>
      </c>
      <c r="D75" s="47"/>
      <c r="E75" s="9">
        <f>BULUSAN!AC75+BULUSARI!R75+GOMBENGSARI!AC75+KALIPURO!AR75+KELIR!W75+KETAPANG!BE75+KLATAK!AV75+PESUCEN!R75+TELEMUNG!T75</f>
        <v>57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6">
        <v>4</v>
      </c>
      <c r="C76" s="24" t="s">
        <v>135</v>
      </c>
      <c r="D76" s="47"/>
      <c r="E76" s="9">
        <f>BULUSAN!AC76+BULUSARI!R76+GOMBENGSARI!AC76+KALIPURO!AR76+KELIR!W76+KETAPANG!BE76+KLATAK!AV76+PESUCEN!R76+TELEMUNG!T76</f>
        <v>57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6">
        <v>5</v>
      </c>
      <c r="C77" s="24" t="s">
        <v>136</v>
      </c>
      <c r="D77" s="47"/>
      <c r="E77" s="9">
        <f>BULUSAN!AC77+BULUSARI!R77+GOMBENGSARI!AC77+KALIPURO!AR77+KELIR!W77+KETAPANG!BE77+KLATAK!AV77+PESUCEN!R77+TELEMUNG!T77</f>
        <v>31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6">
        <v>6</v>
      </c>
      <c r="C78" s="24" t="s">
        <v>137</v>
      </c>
      <c r="D78" s="47"/>
      <c r="E78" s="9">
        <f>BULUSAN!AC78+BULUSARI!R78+GOMBENGSARI!AC78+KALIPURO!AR78+KELIR!W78+KETAPANG!BE78+KLATAK!AV78+PESUCEN!R78+TELEMUNG!T78</f>
        <v>19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53" t="s">
        <v>51</v>
      </c>
      <c r="C79" s="69"/>
      <c r="D79" s="60"/>
      <c r="E79" s="5">
        <f>SUM(E72:E78)</f>
        <v>10924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70"/>
      <c r="B80" s="71"/>
      <c r="C80" s="71"/>
      <c r="D80" s="71"/>
      <c r="E80" s="71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55</v>
      </c>
      <c r="C81" s="59" t="s">
        <v>56</v>
      </c>
      <c r="D81" s="60"/>
      <c r="E81" s="9">
        <f>BULUSAN!AC81+BULUSARI!R81+GOMBENGSARI!AC81+KALIPURO!AR81+KELIR!W81+KETAPANG!BE81+KLATAK!AV81+PESUCEN!R81+TELEMUNG!T81</f>
        <v>453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46">
        <v>1</v>
      </c>
      <c r="C82" s="24" t="s">
        <v>138</v>
      </c>
      <c r="D82" s="47"/>
      <c r="E82" s="9">
        <f>BULUSAN!AC82+BULUSARI!R82+GOMBENGSARI!AC82+KALIPURO!AR82+KELIR!W82+KETAPANG!BE82+KLATAK!AV82+PESUCEN!R82+TELEMUNG!T82</f>
        <v>1971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46">
        <v>2</v>
      </c>
      <c r="C83" s="24" t="s">
        <v>139</v>
      </c>
      <c r="D83" s="47"/>
      <c r="E83" s="9">
        <f>BULUSAN!AC83+BULUSARI!R83+GOMBENGSARI!AC83+KALIPURO!AR83+KELIR!W83+KETAPANG!BE83+KLATAK!AV83+PESUCEN!R83+TELEMUNG!T83</f>
        <v>49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46">
        <v>3</v>
      </c>
      <c r="C84" s="24" t="s">
        <v>140</v>
      </c>
      <c r="D84" s="47"/>
      <c r="E84" s="9">
        <f>BULUSAN!AC84+BULUSARI!R84+GOMBENGSARI!AC84+KALIPURO!AR84+KELIR!W84+KETAPANG!BE84+KLATAK!AV84+PESUCEN!R84+TELEMUNG!T84</f>
        <v>63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46">
        <v>4</v>
      </c>
      <c r="C85" s="24" t="s">
        <v>141</v>
      </c>
      <c r="D85" s="47"/>
      <c r="E85" s="9">
        <f>BULUSAN!AC85+BULUSARI!R85+GOMBENGSARI!AC85+KALIPURO!AR85+KELIR!W85+KETAPANG!BE85+KLATAK!AV85+PESUCEN!R85+TELEMUNG!T85</f>
        <v>70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46">
        <v>5</v>
      </c>
      <c r="C86" s="24" t="s">
        <v>142</v>
      </c>
      <c r="D86" s="47"/>
      <c r="E86" s="9">
        <f>BULUSAN!AC86+BULUSARI!R86+GOMBENGSARI!AC86+KALIPURO!AR86+KELIR!W86+KETAPANG!BE86+KLATAK!AV86+PESUCEN!R86+TELEMUNG!T86</f>
        <v>553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46">
        <v>6</v>
      </c>
      <c r="C87" s="24" t="s">
        <v>143</v>
      </c>
      <c r="D87" s="47"/>
      <c r="E87" s="9">
        <f>BULUSAN!AC87+BULUSARI!R87+GOMBENGSARI!AC87+KALIPURO!AR87+KELIR!W87+KETAPANG!BE87+KLATAK!AV87+PESUCEN!R87+TELEMUNG!T87</f>
        <v>1449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6" t="s">
        <v>26</v>
      </c>
      <c r="B88" s="53" t="s">
        <v>51</v>
      </c>
      <c r="C88" s="69"/>
      <c r="D88" s="60"/>
      <c r="E88" s="5">
        <f>SUM(E81:E87)</f>
        <v>4608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0"/>
      <c r="B89" s="71"/>
      <c r="C89" s="71"/>
      <c r="D89" s="71"/>
      <c r="E89" s="71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11" t="s">
        <v>48</v>
      </c>
      <c r="B90" s="17" t="s">
        <v>57</v>
      </c>
      <c r="C90" s="59" t="s">
        <v>58</v>
      </c>
      <c r="D90" s="60"/>
      <c r="E90" s="9">
        <f>BULUSAN!AC90+BULUSARI!R90+GOMBENGSARI!AC90+KALIPURO!AR90+KELIR!W90+KETAPANG!BE90+KLATAK!AV90+PESUCEN!R90+TELEMUNG!T90</f>
        <v>223</v>
      </c>
      <c r="F90" s="40"/>
      <c r="G90" s="1"/>
      <c r="H90" s="1"/>
      <c r="I90" s="1"/>
      <c r="J90" s="1"/>
      <c r="K90" s="1"/>
      <c r="L90" s="1"/>
      <c r="M90" s="1"/>
      <c r="N90" s="1"/>
      <c r="O90" s="1"/>
      <c r="P90" s="34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</row>
    <row r="91" spans="1:216" ht="15.75" customHeight="1" x14ac:dyDescent="0.4">
      <c r="A91" s="6" t="s">
        <v>26</v>
      </c>
      <c r="B91" s="53" t="s">
        <v>51</v>
      </c>
      <c r="C91" s="54"/>
      <c r="D91" s="55"/>
      <c r="E91" s="5">
        <f>SUM(E90:E90)</f>
        <v>223</v>
      </c>
      <c r="F91" s="42"/>
      <c r="G91" s="27"/>
      <c r="H91" s="27"/>
      <c r="I91" s="27"/>
      <c r="J91" s="27"/>
      <c r="K91" s="27"/>
      <c r="L91" s="27"/>
      <c r="M91" s="27"/>
      <c r="N91" s="27"/>
      <c r="O91" s="27"/>
      <c r="P91" s="37"/>
      <c r="Q91" s="30"/>
      <c r="R91" s="30"/>
      <c r="S91" s="30"/>
      <c r="T91" s="30"/>
      <c r="U91" s="30"/>
      <c r="V91" s="30"/>
      <c r="W91" s="38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0"/>
      <c r="BM91" s="30"/>
      <c r="BN91" s="30"/>
      <c r="BO91" s="30"/>
      <c r="BP91" s="30"/>
      <c r="BQ91" s="30"/>
      <c r="BR91" s="38"/>
      <c r="BS91" s="30"/>
      <c r="BT91" s="30"/>
      <c r="BU91" s="30"/>
      <c r="BV91" s="30"/>
      <c r="BW91" s="30"/>
      <c r="BX91" s="30"/>
      <c r="BY91" s="30"/>
      <c r="BZ91" s="30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8"/>
      <c r="EZ91" s="38"/>
      <c r="FA91" s="38"/>
      <c r="FB91" s="38"/>
      <c r="FC91" s="38"/>
      <c r="FD91" s="38"/>
      <c r="FE91" s="38"/>
      <c r="FF91" s="30"/>
      <c r="FG91" s="30"/>
      <c r="FH91" s="30"/>
      <c r="FI91" s="30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</row>
    <row r="92" spans="1:216" ht="15.75" customHeight="1" x14ac:dyDescent="0.4">
      <c r="A92" s="61"/>
      <c r="B92" s="62"/>
      <c r="C92" s="62"/>
      <c r="D92" s="62"/>
      <c r="E92" s="63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59</v>
      </c>
      <c r="C93" s="59" t="s">
        <v>60</v>
      </c>
      <c r="D93" s="60"/>
      <c r="E93" s="9">
        <f>BULUSAN!AC93+BULUSARI!R93+GOMBENGSARI!AC93+KALIPURO!AR93+KELIR!W93+KETAPANG!BE93+KLATAK!AV93+PESUCEN!R93+TELEMUNG!T93</f>
        <v>131</v>
      </c>
      <c r="F93" s="39"/>
      <c r="G93" s="20"/>
      <c r="H93" s="20"/>
      <c r="I93" s="20"/>
      <c r="J93" s="20"/>
      <c r="K93" s="20"/>
      <c r="L93" s="20"/>
      <c r="M93" s="20"/>
      <c r="N93" s="20"/>
      <c r="O93" s="20"/>
      <c r="P93" s="32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</row>
    <row r="94" spans="1:216" ht="15.75" customHeight="1" x14ac:dyDescent="0.4">
      <c r="A94" s="11" t="s">
        <v>50</v>
      </c>
      <c r="B94" s="46">
        <v>1</v>
      </c>
      <c r="C94" s="24" t="s">
        <v>144</v>
      </c>
      <c r="D94" s="47"/>
      <c r="E94" s="9">
        <f>BULUSAN!AC94+BULUSARI!R94+GOMBENGSARI!AC94+KALIPURO!AR94+KELIR!W94+KETAPANG!BE94+KLATAK!AV94+PESUCEN!R94+TELEMUNG!T94</f>
        <v>31</v>
      </c>
      <c r="F94" s="39"/>
      <c r="G94" s="20"/>
      <c r="H94" s="20"/>
      <c r="I94" s="20"/>
      <c r="J94" s="20"/>
      <c r="K94" s="20"/>
      <c r="L94" s="20"/>
      <c r="M94" s="20"/>
      <c r="N94" s="20"/>
      <c r="O94" s="20"/>
      <c r="P94" s="32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</row>
    <row r="95" spans="1:216" ht="15.75" customHeight="1" x14ac:dyDescent="0.4">
      <c r="A95" s="7"/>
      <c r="B95" s="46">
        <v>2</v>
      </c>
      <c r="C95" s="24" t="s">
        <v>145</v>
      </c>
      <c r="D95" s="47"/>
      <c r="E95" s="9">
        <f>BULUSAN!AC95+BULUSARI!R95+GOMBENGSARI!AC95+KALIPURO!AR95+KELIR!W95+KETAPANG!BE95+KLATAK!AV95+PESUCEN!R95+TELEMUNG!T95</f>
        <v>26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46">
        <v>3</v>
      </c>
      <c r="C96" s="24" t="s">
        <v>146</v>
      </c>
      <c r="D96" s="47"/>
      <c r="E96" s="9">
        <f>BULUSAN!AC96+BULUSARI!R96+GOMBENGSARI!AC96+KALIPURO!AR96+KELIR!W96+KETAPANG!BE96+KLATAK!AV96+PESUCEN!R96+TELEMUNG!T96</f>
        <v>7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46">
        <v>4</v>
      </c>
      <c r="C97" s="24" t="s">
        <v>147</v>
      </c>
      <c r="D97" s="47"/>
      <c r="E97" s="9">
        <f>BULUSAN!AC97+BULUSARI!R97+GOMBENGSARI!AC97+KALIPURO!AR97+KELIR!W97+KETAPANG!BE97+KLATAK!AV97+PESUCEN!R97+TELEMUNG!T97</f>
        <v>14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6" t="s">
        <v>26</v>
      </c>
      <c r="B98" s="53" t="s">
        <v>51</v>
      </c>
      <c r="C98" s="54"/>
      <c r="D98" s="55"/>
      <c r="E98" s="5">
        <f>SUM(E93:E97)</f>
        <v>209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61"/>
      <c r="B99" s="62"/>
      <c r="C99" s="62"/>
      <c r="D99" s="62"/>
      <c r="E99" s="63"/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11" t="s">
        <v>48</v>
      </c>
      <c r="B100" s="17" t="s">
        <v>61</v>
      </c>
      <c r="C100" s="59" t="s">
        <v>62</v>
      </c>
      <c r="D100" s="60"/>
      <c r="E100" s="9">
        <f>BULUSAN!AC100+BULUSARI!R100+GOMBENGSARI!AC100+KALIPURO!AR100+KELIR!W100+KETAPANG!BE100+KLATAK!AV100+PESUCEN!R100+TELEMUNG!T100</f>
        <v>356</v>
      </c>
      <c r="F100" s="40"/>
      <c r="G100" s="1"/>
      <c r="H100" s="1"/>
      <c r="I100" s="1"/>
      <c r="J100" s="1"/>
      <c r="K100" s="1"/>
      <c r="L100" s="1"/>
      <c r="M100" s="1"/>
      <c r="N100" s="1"/>
      <c r="O100" s="1"/>
      <c r="P100" s="34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</row>
    <row r="101" spans="1:216" ht="15.75" customHeight="1" x14ac:dyDescent="0.4">
      <c r="A101" s="11" t="s">
        <v>50</v>
      </c>
      <c r="B101" s="46">
        <v>1</v>
      </c>
      <c r="C101" s="24" t="s">
        <v>148</v>
      </c>
      <c r="D101" s="47"/>
      <c r="E101" s="9">
        <f>BULUSAN!AC101+BULUSARI!R101+GOMBENGSARI!AC101+KALIPURO!AR101+KELIR!W101+KETAPANG!BE101+KLATAK!AV101+PESUCEN!R101+TELEMUNG!T101</f>
        <v>1664</v>
      </c>
      <c r="F101" s="42"/>
      <c r="G101" s="27"/>
      <c r="H101" s="27"/>
      <c r="I101" s="27"/>
      <c r="J101" s="27"/>
      <c r="K101" s="27"/>
      <c r="L101" s="27"/>
      <c r="M101" s="27"/>
      <c r="N101" s="27"/>
      <c r="O101" s="27"/>
      <c r="P101" s="37"/>
      <c r="Q101" s="30"/>
      <c r="R101" s="30"/>
      <c r="S101" s="30"/>
      <c r="T101" s="30"/>
      <c r="U101" s="30"/>
      <c r="V101" s="30"/>
      <c r="W101" s="38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0"/>
      <c r="BM101" s="30"/>
      <c r="BN101" s="30"/>
      <c r="BO101" s="30"/>
      <c r="BP101" s="30"/>
      <c r="BQ101" s="30"/>
      <c r="BR101" s="38"/>
      <c r="BS101" s="30"/>
      <c r="BT101" s="30"/>
      <c r="BU101" s="30"/>
      <c r="BV101" s="30"/>
      <c r="BW101" s="30"/>
      <c r="BX101" s="30"/>
      <c r="BY101" s="30"/>
      <c r="BZ101" s="30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8"/>
      <c r="EZ101" s="38"/>
      <c r="FA101" s="38"/>
      <c r="FB101" s="38"/>
      <c r="FC101" s="38"/>
      <c r="FD101" s="38"/>
      <c r="FE101" s="38"/>
      <c r="FF101" s="30"/>
      <c r="FG101" s="30"/>
      <c r="FH101" s="30"/>
      <c r="FI101" s="30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</row>
    <row r="102" spans="1:216" ht="15.75" customHeight="1" x14ac:dyDescent="0.4">
      <c r="A102" s="7"/>
      <c r="B102" s="46">
        <v>2</v>
      </c>
      <c r="C102" s="24" t="s">
        <v>149</v>
      </c>
      <c r="D102" s="47"/>
      <c r="E102" s="9">
        <f>BULUSAN!AC102+BULUSARI!R102+GOMBENGSARI!AC102+KALIPURO!AR102+KELIR!W102+KETAPANG!BE102+KLATAK!AV102+PESUCEN!R102+TELEMUNG!T102</f>
        <v>72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7"/>
      <c r="B103" s="46">
        <v>3</v>
      </c>
      <c r="C103" s="24" t="s">
        <v>150</v>
      </c>
      <c r="D103" s="47"/>
      <c r="E103" s="9">
        <f>BULUSAN!AC103+BULUSARI!R103+GOMBENGSARI!AC103+KALIPURO!AR103+KELIR!W103+KETAPANG!BE103+KLATAK!AV103+PESUCEN!R103+TELEMUNG!T103</f>
        <v>55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7"/>
      <c r="B104" s="46">
        <v>4</v>
      </c>
      <c r="C104" s="24" t="s">
        <v>151</v>
      </c>
      <c r="D104" s="47"/>
      <c r="E104" s="9">
        <f>BULUSAN!AC104+BULUSARI!R104+GOMBENGSARI!AC104+KALIPURO!AR104+KELIR!W104+KETAPANG!BE104+KLATAK!AV104+PESUCEN!R104+TELEMUNG!T104</f>
        <v>15</v>
      </c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7"/>
      <c r="B105" s="46">
        <v>5</v>
      </c>
      <c r="C105" s="24" t="s">
        <v>152</v>
      </c>
      <c r="D105" s="47"/>
      <c r="E105" s="9">
        <f>BULUSAN!AC105+BULUSARI!R105+GOMBENGSARI!AC105+KALIPURO!AR105+KELIR!W105+KETAPANG!BE105+KLATAK!AV105+PESUCEN!R105+TELEMUNG!T105</f>
        <v>25</v>
      </c>
      <c r="F105" s="39"/>
      <c r="G105" s="20"/>
      <c r="H105" s="20"/>
      <c r="I105" s="20"/>
      <c r="J105" s="20"/>
      <c r="K105" s="20"/>
      <c r="L105" s="20"/>
      <c r="M105" s="20"/>
      <c r="N105" s="20"/>
      <c r="O105" s="20"/>
      <c r="P105" s="32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</row>
    <row r="106" spans="1:216" ht="15.75" customHeight="1" x14ac:dyDescent="0.4">
      <c r="A106" s="7"/>
      <c r="B106" s="46">
        <v>6</v>
      </c>
      <c r="C106" s="24" t="s">
        <v>153</v>
      </c>
      <c r="D106" s="47"/>
      <c r="E106" s="9">
        <f>BULUSAN!AC106+BULUSARI!R106+GOMBENGSARI!AC106+KALIPURO!AR106+KELIR!W106+KETAPANG!BE106+KLATAK!AV106+PESUCEN!R106+TELEMUNG!T106</f>
        <v>45</v>
      </c>
      <c r="F106" s="39"/>
      <c r="G106" s="20"/>
      <c r="H106" s="20"/>
      <c r="I106" s="20"/>
      <c r="J106" s="20"/>
      <c r="K106" s="20"/>
      <c r="L106" s="20"/>
      <c r="M106" s="20"/>
      <c r="N106" s="20"/>
      <c r="O106" s="20"/>
      <c r="P106" s="32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</row>
    <row r="107" spans="1:216" ht="15.75" customHeight="1" x14ac:dyDescent="0.4">
      <c r="A107" s="6" t="s">
        <v>26</v>
      </c>
      <c r="B107" s="53" t="s">
        <v>51</v>
      </c>
      <c r="C107" s="54"/>
      <c r="D107" s="55"/>
      <c r="E107" s="5">
        <f>SUM(E100:E106)</f>
        <v>2232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61"/>
      <c r="B108" s="62"/>
      <c r="C108" s="62"/>
      <c r="D108" s="62"/>
      <c r="E108" s="63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11" t="s">
        <v>48</v>
      </c>
      <c r="B109" s="17" t="s">
        <v>63</v>
      </c>
      <c r="C109" s="59" t="s">
        <v>64</v>
      </c>
      <c r="D109" s="60"/>
      <c r="E109" s="9">
        <f>BULUSAN!AC109+BULUSARI!R109+GOMBENGSARI!AC109+KALIPURO!AR109+KELIR!W109+KETAPANG!BE109+KLATAK!AV109+PESUCEN!R109+TELEMUNG!T109</f>
        <v>21</v>
      </c>
      <c r="F109" s="40"/>
      <c r="G109" s="1"/>
      <c r="H109" s="1"/>
      <c r="I109" s="1"/>
      <c r="J109" s="1"/>
      <c r="K109" s="1"/>
      <c r="L109" s="1"/>
      <c r="M109" s="1"/>
      <c r="N109" s="1"/>
      <c r="O109" s="1"/>
      <c r="P109" s="34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</row>
    <row r="110" spans="1:216" ht="15.75" customHeight="1" x14ac:dyDescent="0.4">
      <c r="A110" s="11" t="s">
        <v>50</v>
      </c>
      <c r="B110" s="46">
        <v>1</v>
      </c>
      <c r="C110" s="24" t="s">
        <v>154</v>
      </c>
      <c r="D110" s="45"/>
      <c r="E110" s="9">
        <f>BULUSAN!AC110+BULUSARI!R110+GOMBENGSARI!AC110+KALIPURO!AR110+KELIR!W110+KETAPANG!BE110+KLATAK!AV110+PESUCEN!R110+TELEMUNG!T110</f>
        <v>6</v>
      </c>
      <c r="F110" s="42"/>
      <c r="G110" s="27"/>
      <c r="H110" s="27"/>
      <c r="I110" s="27"/>
      <c r="J110" s="27"/>
      <c r="K110" s="27"/>
      <c r="L110" s="27"/>
      <c r="M110" s="27"/>
      <c r="N110" s="27"/>
      <c r="O110" s="27"/>
      <c r="P110" s="37"/>
      <c r="Q110" s="30"/>
      <c r="R110" s="30"/>
      <c r="S110" s="30"/>
      <c r="T110" s="30"/>
      <c r="U110" s="30"/>
      <c r="V110" s="30"/>
      <c r="W110" s="38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0"/>
      <c r="BM110" s="30"/>
      <c r="BN110" s="30"/>
      <c r="BO110" s="30"/>
      <c r="BP110" s="30"/>
      <c r="BQ110" s="30"/>
      <c r="BR110" s="38"/>
      <c r="BS110" s="30"/>
      <c r="BT110" s="30"/>
      <c r="BU110" s="30"/>
      <c r="BV110" s="30"/>
      <c r="BW110" s="30"/>
      <c r="BX110" s="30"/>
      <c r="BY110" s="30"/>
      <c r="BZ110" s="30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8"/>
      <c r="EZ110" s="38"/>
      <c r="FA110" s="38"/>
      <c r="FB110" s="38"/>
      <c r="FC110" s="38"/>
      <c r="FD110" s="38"/>
      <c r="FE110" s="38"/>
      <c r="FF110" s="30"/>
      <c r="FG110" s="30"/>
      <c r="FH110" s="30"/>
      <c r="FI110" s="30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</row>
    <row r="111" spans="1:216" ht="15.75" customHeight="1" x14ac:dyDescent="0.4">
      <c r="A111" s="7"/>
      <c r="B111" s="46">
        <v>2</v>
      </c>
      <c r="C111" s="24" t="s">
        <v>155</v>
      </c>
      <c r="D111" s="45"/>
      <c r="E111" s="9">
        <f>BULUSAN!AC111+BULUSARI!R111+GOMBENGSARI!AC111+KALIPURO!AR111+KELIR!W111+KETAPANG!BE111+KLATAK!AV111+PESUCEN!R111+TELEMUNG!T111</f>
        <v>3</v>
      </c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6">
        <v>3</v>
      </c>
      <c r="C112" s="24" t="s">
        <v>156</v>
      </c>
      <c r="D112" s="45"/>
      <c r="E112" s="9">
        <f>BULUSAN!AC112+BULUSARI!R112+GOMBENGSARI!AC112+KALIPURO!AR112+KELIR!W112+KETAPANG!BE112+KLATAK!AV112+PESUCEN!R112+TELEMUNG!T112</f>
        <v>3</v>
      </c>
      <c r="F112" s="39"/>
      <c r="G112" s="20"/>
      <c r="H112" s="20"/>
      <c r="I112" s="20"/>
      <c r="J112" s="20"/>
      <c r="K112" s="20"/>
      <c r="L112" s="20"/>
      <c r="M112" s="20"/>
      <c r="N112" s="20"/>
      <c r="O112" s="20"/>
      <c r="P112" s="32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</row>
    <row r="113" spans="1:216" ht="15.75" customHeight="1" x14ac:dyDescent="0.4">
      <c r="A113" s="6" t="s">
        <v>26</v>
      </c>
      <c r="B113" s="53" t="s">
        <v>51</v>
      </c>
      <c r="C113" s="54"/>
      <c r="D113" s="55"/>
      <c r="E113" s="5">
        <f>SUM(E109:E112)</f>
        <v>33</v>
      </c>
      <c r="F113" s="39"/>
      <c r="G113" s="20"/>
      <c r="H113" s="20"/>
      <c r="I113" s="20"/>
      <c r="J113" s="20"/>
      <c r="K113" s="20"/>
      <c r="L113" s="20"/>
      <c r="M113" s="20"/>
      <c r="N113" s="20"/>
      <c r="O113" s="20"/>
      <c r="P113" s="32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</row>
    <row r="114" spans="1:216" ht="15.75" customHeight="1" x14ac:dyDescent="0.4">
      <c r="A114" s="61"/>
      <c r="B114" s="62"/>
      <c r="C114" s="62"/>
      <c r="D114" s="62"/>
      <c r="E114" s="63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11" t="s">
        <v>48</v>
      </c>
      <c r="B115" s="44" t="s">
        <v>65</v>
      </c>
      <c r="C115" s="67" t="s">
        <v>66</v>
      </c>
      <c r="D115" s="68"/>
      <c r="E115" s="9">
        <f>BULUSAN!AC115+BULUSARI!R115+GOMBENGSARI!AC115+KALIPURO!AR115+KELIR!W115+KETAPANG!BE115+KLATAK!AV115+PESUCEN!R115+TELEMUNG!T115</f>
        <v>134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48" t="s">
        <v>50</v>
      </c>
      <c r="B116" s="46">
        <v>1</v>
      </c>
      <c r="C116" s="24" t="s">
        <v>157</v>
      </c>
      <c r="D116" s="47"/>
      <c r="E116" s="9">
        <f>BULUSAN!AC116+BULUSARI!R116+GOMBENGSARI!AC116+KALIPURO!AR116+KELIR!W116+KETAPANG!BE116+KLATAK!AV116+PESUCEN!R116+TELEMUNG!T116</f>
        <v>1230</v>
      </c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7"/>
      <c r="B117" s="46">
        <v>2</v>
      </c>
      <c r="C117" s="24" t="s">
        <v>158</v>
      </c>
      <c r="D117" s="47"/>
      <c r="E117" s="9">
        <f>BULUSAN!AC117+BULUSARI!R117+GOMBENGSARI!AC117+KALIPURO!AR117+KELIR!W117+KETAPANG!BE117+KLATAK!AV117+PESUCEN!R117+TELEMUNG!T117</f>
        <v>611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7"/>
      <c r="B118" s="46">
        <v>3</v>
      </c>
      <c r="C118" s="24" t="s">
        <v>159</v>
      </c>
      <c r="D118" s="47"/>
      <c r="E118" s="9">
        <f>BULUSAN!AC118+BULUSARI!R118+GOMBENGSARI!AC118+KALIPURO!AR118+KELIR!W118+KETAPANG!BE118+KLATAK!AV118+PESUCEN!R118+TELEMUNG!T118</f>
        <v>8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46">
        <v>4</v>
      </c>
      <c r="C119" s="24" t="s">
        <v>160</v>
      </c>
      <c r="D119" s="47"/>
      <c r="E119" s="9">
        <f>BULUSAN!AC119+BULUSARI!R119+GOMBENGSARI!AC119+KALIPURO!AR119+KELIR!W119+KETAPANG!BE119+KLATAK!AV119+PESUCEN!R119+TELEMUNG!T119</f>
        <v>20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46">
        <v>5</v>
      </c>
      <c r="C120" s="24" t="s">
        <v>161</v>
      </c>
      <c r="D120" s="47"/>
      <c r="E120" s="9">
        <f>BULUSAN!AC120+BULUSARI!R120+GOMBENGSARI!AC120+KALIPURO!AR120+KELIR!W120+KETAPANG!BE120+KLATAK!AV120+PESUCEN!R120+TELEMUNG!T120</f>
        <v>3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46">
        <v>6</v>
      </c>
      <c r="C121" s="24" t="s">
        <v>162</v>
      </c>
      <c r="D121" s="47"/>
      <c r="E121" s="9">
        <f>BULUSAN!AC121+BULUSARI!R121+GOMBENGSARI!AC121+KALIPURO!AR121+KELIR!W121+KETAPANG!BE121+KLATAK!AV121+PESUCEN!R121+TELEMUNG!T121</f>
        <v>6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6" t="s">
        <v>26</v>
      </c>
      <c r="B122" s="64" t="s">
        <v>51</v>
      </c>
      <c r="C122" s="65"/>
      <c r="D122" s="66"/>
      <c r="E122" s="5">
        <f>SUM(E115:E121)</f>
        <v>2012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61"/>
      <c r="B123" s="62"/>
      <c r="C123" s="62"/>
      <c r="D123" s="62"/>
      <c r="E123" s="63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11" t="s">
        <v>48</v>
      </c>
      <c r="B124" s="17" t="s">
        <v>67</v>
      </c>
      <c r="C124" s="59" t="s">
        <v>68</v>
      </c>
      <c r="D124" s="60"/>
      <c r="E124" s="9">
        <f>BULUSAN!AC124+BULUSARI!R124+GOMBENGSARI!AC124+KALIPURO!AR124+KELIR!W124+KETAPANG!BE124+KLATAK!AV124+PESUCEN!R124+TELEMUNG!T124</f>
        <v>45</v>
      </c>
      <c r="F124" s="40"/>
      <c r="G124" s="1"/>
      <c r="H124" s="1"/>
      <c r="I124" s="1"/>
      <c r="J124" s="1"/>
      <c r="K124" s="1"/>
      <c r="L124" s="1"/>
      <c r="M124" s="1"/>
      <c r="N124" s="1"/>
      <c r="O124" s="1"/>
      <c r="P124" s="34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</row>
    <row r="125" spans="1:216" ht="15.75" customHeight="1" x14ac:dyDescent="0.4">
      <c r="A125" s="6" t="s">
        <v>26</v>
      </c>
      <c r="B125" s="53" t="s">
        <v>51</v>
      </c>
      <c r="C125" s="54"/>
      <c r="D125" s="55"/>
      <c r="E125" s="5">
        <f>SUM(E124:E124)</f>
        <v>45</v>
      </c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61"/>
      <c r="B126" s="62"/>
      <c r="C126" s="62"/>
      <c r="D126" s="62"/>
      <c r="E126" s="63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11" t="s">
        <v>48</v>
      </c>
      <c r="B127" s="17" t="s">
        <v>69</v>
      </c>
      <c r="C127" s="59" t="s">
        <v>70</v>
      </c>
      <c r="D127" s="60"/>
      <c r="E127" s="9">
        <f>BULUSAN!AC127+BULUSARI!R127+GOMBENGSARI!AC127+KALIPURO!AR127+KELIR!W127+KETAPANG!BE127+KLATAK!AV127+PESUCEN!R127+TELEMUNG!T127</f>
        <v>148</v>
      </c>
      <c r="F127" s="40"/>
      <c r="G127" s="1"/>
      <c r="H127" s="1"/>
      <c r="I127" s="1"/>
      <c r="J127" s="1"/>
      <c r="K127" s="1"/>
      <c r="L127" s="1"/>
      <c r="M127" s="1"/>
      <c r="N127" s="1"/>
      <c r="O127" s="1"/>
      <c r="P127" s="34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</row>
    <row r="128" spans="1:216" ht="15.75" customHeight="1" x14ac:dyDescent="0.4">
      <c r="A128" s="11" t="s">
        <v>50</v>
      </c>
      <c r="B128" s="46">
        <v>1</v>
      </c>
      <c r="C128" s="24" t="s">
        <v>163</v>
      </c>
      <c r="D128" s="47"/>
      <c r="E128" s="9">
        <f>BULUSAN!AC128+BULUSARI!R128+GOMBENGSARI!AC128+KALIPURO!AR128+KELIR!W128+KETAPANG!BE128+KLATAK!AV128+PESUCEN!R128+TELEMUNG!T128</f>
        <v>408</v>
      </c>
      <c r="F128" s="42"/>
      <c r="G128" s="27"/>
      <c r="H128" s="27"/>
      <c r="I128" s="27"/>
      <c r="J128" s="27"/>
      <c r="K128" s="27"/>
      <c r="L128" s="27"/>
      <c r="M128" s="27"/>
      <c r="N128" s="27"/>
      <c r="O128" s="27"/>
      <c r="P128" s="37"/>
      <c r="Q128" s="30"/>
      <c r="R128" s="30"/>
      <c r="S128" s="30"/>
      <c r="T128" s="30"/>
      <c r="U128" s="30"/>
      <c r="V128" s="30"/>
      <c r="W128" s="38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0"/>
      <c r="BM128" s="30"/>
      <c r="BN128" s="30"/>
      <c r="BO128" s="30"/>
      <c r="BP128" s="30"/>
      <c r="BQ128" s="30"/>
      <c r="BR128" s="38"/>
      <c r="BS128" s="30"/>
      <c r="BT128" s="30"/>
      <c r="BU128" s="30"/>
      <c r="BV128" s="30"/>
      <c r="BW128" s="30"/>
      <c r="BX128" s="30"/>
      <c r="BY128" s="30"/>
      <c r="BZ128" s="30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8"/>
      <c r="EZ128" s="38"/>
      <c r="FA128" s="38"/>
      <c r="FB128" s="38"/>
      <c r="FC128" s="38"/>
      <c r="FD128" s="38"/>
      <c r="FE128" s="38"/>
      <c r="FF128" s="30"/>
      <c r="FG128" s="30"/>
      <c r="FH128" s="30"/>
      <c r="FI128" s="30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</row>
    <row r="129" spans="1:216" ht="15.75" customHeight="1" x14ac:dyDescent="0.4">
      <c r="A129" s="7"/>
      <c r="B129" s="46">
        <v>2</v>
      </c>
      <c r="C129" s="24" t="s">
        <v>164</v>
      </c>
      <c r="D129" s="47"/>
      <c r="E129" s="9">
        <f>BULUSAN!AC129+BULUSARI!R129+GOMBENGSARI!AC129+KALIPURO!AR129+KELIR!W129+KETAPANG!BE129+KLATAK!AV129+PESUCEN!R129+TELEMUNG!T129</f>
        <v>108</v>
      </c>
      <c r="F129" s="39"/>
      <c r="G129" s="20"/>
      <c r="H129" s="20"/>
      <c r="I129" s="20"/>
      <c r="J129" s="20"/>
      <c r="K129" s="20"/>
      <c r="L129" s="20"/>
      <c r="M129" s="20"/>
      <c r="N129" s="20"/>
      <c r="O129" s="20"/>
      <c r="P129" s="32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</row>
    <row r="130" spans="1:216" ht="15.75" customHeight="1" x14ac:dyDescent="0.4">
      <c r="A130" s="7"/>
      <c r="B130" s="46">
        <v>3</v>
      </c>
      <c r="C130" s="24" t="s">
        <v>165</v>
      </c>
      <c r="D130" s="47"/>
      <c r="E130" s="9">
        <f>BULUSAN!AC130+BULUSARI!R130+GOMBENGSARI!AC130+KALIPURO!AR130+KELIR!W130+KETAPANG!BE130+KLATAK!AV130+PESUCEN!R130+TELEMUNG!T130</f>
        <v>60</v>
      </c>
      <c r="F130" s="39"/>
      <c r="G130" s="20"/>
      <c r="H130" s="20"/>
      <c r="I130" s="20"/>
      <c r="J130" s="20"/>
      <c r="K130" s="20"/>
      <c r="L130" s="20"/>
      <c r="M130" s="20"/>
      <c r="N130" s="20"/>
      <c r="O130" s="20"/>
      <c r="P130" s="32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</row>
    <row r="131" spans="1:216" ht="15.75" customHeight="1" x14ac:dyDescent="0.4">
      <c r="A131" s="7"/>
      <c r="B131" s="46">
        <v>4</v>
      </c>
      <c r="C131" s="24" t="s">
        <v>166</v>
      </c>
      <c r="D131" s="47"/>
      <c r="E131" s="9">
        <f>BULUSAN!AC131+BULUSARI!R131+GOMBENGSARI!AC131+KALIPURO!AR131+KELIR!W131+KETAPANG!BE131+KLATAK!AV131+PESUCEN!R131+TELEMUNG!T131</f>
        <v>25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46">
        <v>5</v>
      </c>
      <c r="C132" s="24" t="s">
        <v>167</v>
      </c>
      <c r="D132" s="47"/>
      <c r="E132" s="9">
        <f>BULUSAN!AC132+BULUSARI!R132+GOMBENGSARI!AC132+KALIPURO!AR132+KELIR!W132+KETAPANG!BE132+KLATAK!AV132+PESUCEN!R132+TELEMUNG!T132</f>
        <v>25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46">
        <v>6</v>
      </c>
      <c r="C133" s="24" t="s">
        <v>168</v>
      </c>
      <c r="D133" s="47"/>
      <c r="E133" s="9">
        <f>BULUSAN!AC133+BULUSARI!R133+GOMBENGSARI!AC133+KALIPURO!AR133+KELIR!W133+KETAPANG!BE133+KLATAK!AV133+PESUCEN!R133+TELEMUNG!T133</f>
        <v>18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6" t="s">
        <v>26</v>
      </c>
      <c r="B134" s="53" t="s">
        <v>51</v>
      </c>
      <c r="C134" s="54"/>
      <c r="D134" s="55"/>
      <c r="E134" s="5">
        <f>SUM(E127:E133)</f>
        <v>792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61"/>
      <c r="B135" s="62"/>
      <c r="C135" s="62"/>
      <c r="D135" s="62"/>
      <c r="E135" s="63"/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11" t="s">
        <v>48</v>
      </c>
      <c r="B136" s="17" t="s">
        <v>71</v>
      </c>
      <c r="C136" s="59" t="s">
        <v>72</v>
      </c>
      <c r="D136" s="60"/>
      <c r="E136" s="9">
        <f>BULUSAN!AC136+BULUSARI!R136+GOMBENGSARI!AC136+KALIPURO!AR136+KELIR!W136+KETAPANG!BE136+KLATAK!AV136+PESUCEN!R136+TELEMUNG!T136</f>
        <v>27</v>
      </c>
      <c r="F136" s="40"/>
      <c r="G136" s="1"/>
      <c r="H136" s="1"/>
      <c r="I136" s="1"/>
      <c r="J136" s="1"/>
      <c r="K136" s="1"/>
      <c r="L136" s="1"/>
      <c r="M136" s="1"/>
      <c r="N136" s="1"/>
      <c r="O136" s="1"/>
      <c r="P136" s="34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</row>
    <row r="137" spans="1:216" ht="15.75" customHeight="1" x14ac:dyDescent="0.4">
      <c r="A137" s="11" t="s">
        <v>50</v>
      </c>
      <c r="B137" s="46">
        <v>1</v>
      </c>
      <c r="C137" s="24" t="s">
        <v>169</v>
      </c>
      <c r="D137" s="47"/>
      <c r="E137" s="9">
        <f>BULUSAN!AC137+BULUSARI!R137+GOMBENGSARI!AC137+KALIPURO!AR137+KELIR!W137+KETAPANG!BE137+KLATAK!AV137+PESUCEN!R137+TELEMUNG!T137</f>
        <v>27</v>
      </c>
      <c r="F137" s="42"/>
      <c r="G137" s="27"/>
      <c r="H137" s="27"/>
      <c r="I137" s="27"/>
      <c r="J137" s="27"/>
      <c r="K137" s="27"/>
      <c r="L137" s="27"/>
      <c r="M137" s="27"/>
      <c r="N137" s="27"/>
      <c r="O137" s="27"/>
      <c r="P137" s="37"/>
      <c r="Q137" s="30"/>
      <c r="R137" s="30"/>
      <c r="S137" s="30"/>
      <c r="T137" s="30"/>
      <c r="U137" s="30"/>
      <c r="V137" s="30"/>
      <c r="W137" s="38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0"/>
      <c r="BM137" s="30"/>
      <c r="BN137" s="30"/>
      <c r="BO137" s="30"/>
      <c r="BP137" s="30"/>
      <c r="BQ137" s="30"/>
      <c r="BR137" s="38"/>
      <c r="BS137" s="30"/>
      <c r="BT137" s="30"/>
      <c r="BU137" s="30"/>
      <c r="BV137" s="30"/>
      <c r="BW137" s="30"/>
      <c r="BX137" s="30"/>
      <c r="BY137" s="30"/>
      <c r="BZ137" s="30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8"/>
      <c r="EZ137" s="38"/>
      <c r="FA137" s="38"/>
      <c r="FB137" s="38"/>
      <c r="FC137" s="38"/>
      <c r="FD137" s="38"/>
      <c r="FE137" s="38"/>
      <c r="FF137" s="30"/>
      <c r="FG137" s="30"/>
      <c r="FH137" s="30"/>
      <c r="FI137" s="30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</row>
    <row r="138" spans="1:216" ht="15.75" customHeight="1" x14ac:dyDescent="0.4">
      <c r="A138" s="7"/>
      <c r="B138" s="46">
        <v>2</v>
      </c>
      <c r="C138" s="24" t="s">
        <v>170</v>
      </c>
      <c r="D138" s="47"/>
      <c r="E138" s="9">
        <f>BULUSAN!AC138+BULUSARI!R138+GOMBENGSARI!AC138+KALIPURO!AR138+KELIR!W138+KETAPANG!BE138+KLATAK!AV138+PESUCEN!R138+TELEMUNG!T138</f>
        <v>62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7"/>
      <c r="B139" s="46">
        <v>3</v>
      </c>
      <c r="C139" s="24" t="s">
        <v>171</v>
      </c>
      <c r="D139" s="47"/>
      <c r="E139" s="9">
        <f>BULUSAN!AC139+BULUSARI!R139+GOMBENGSARI!AC139+KALIPURO!AR139+KELIR!W139+KETAPANG!BE139+KLATAK!AV139+PESUCEN!R139+TELEMUNG!T139</f>
        <v>5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"/>
      <c r="B140" s="46">
        <v>4</v>
      </c>
      <c r="C140" s="24" t="s">
        <v>172</v>
      </c>
      <c r="D140" s="47"/>
      <c r="E140" s="9">
        <f>BULUSAN!AC140+BULUSARI!R140+GOMBENGSARI!AC140+KALIPURO!AR140+KELIR!W140+KETAPANG!BE140+KLATAK!AV140+PESUCEN!R140+TELEMUNG!T140</f>
        <v>12</v>
      </c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7"/>
      <c r="B141" s="46">
        <v>5</v>
      </c>
      <c r="C141" s="24" t="s">
        <v>173</v>
      </c>
      <c r="D141" s="47"/>
      <c r="E141" s="9">
        <f>BULUSAN!AC141+BULUSARI!R141+GOMBENGSARI!AC141+KALIPURO!AR141+KELIR!W141+KETAPANG!BE141+KLATAK!AV141+PESUCEN!R141+TELEMUNG!T141</f>
        <v>4</v>
      </c>
      <c r="F141" s="39"/>
      <c r="G141" s="20"/>
      <c r="H141" s="20"/>
      <c r="I141" s="20"/>
      <c r="J141" s="20"/>
      <c r="K141" s="20"/>
      <c r="L141" s="20"/>
      <c r="M141" s="20"/>
      <c r="N141" s="20"/>
      <c r="O141" s="20"/>
      <c r="P141" s="32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</row>
    <row r="142" spans="1:216" ht="15.75" customHeight="1" x14ac:dyDescent="0.4">
      <c r="A142" s="6" t="s">
        <v>26</v>
      </c>
      <c r="B142" s="53" t="s">
        <v>51</v>
      </c>
      <c r="C142" s="54"/>
      <c r="D142" s="55"/>
      <c r="E142" s="5">
        <f>SUM(E136:E141)</f>
        <v>137</v>
      </c>
      <c r="F142" s="39"/>
      <c r="G142" s="20"/>
      <c r="H142" s="20"/>
      <c r="I142" s="20"/>
      <c r="J142" s="20"/>
      <c r="K142" s="20"/>
      <c r="L142" s="20"/>
      <c r="M142" s="20"/>
      <c r="N142" s="20"/>
      <c r="O142" s="20"/>
      <c r="P142" s="32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</row>
    <row r="143" spans="1:216" ht="15.75" customHeight="1" x14ac:dyDescent="0.4">
      <c r="A143" s="61"/>
      <c r="B143" s="62"/>
      <c r="C143" s="62"/>
      <c r="D143" s="62"/>
      <c r="E143" s="63"/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11" t="s">
        <v>48</v>
      </c>
      <c r="B144" s="17" t="s">
        <v>73</v>
      </c>
      <c r="C144" s="59" t="s">
        <v>74</v>
      </c>
      <c r="D144" s="60"/>
      <c r="E144" s="9">
        <f>BULUSAN!AC144+BULUSARI!R144+GOMBENGSARI!AC144+KALIPURO!AR144+KELIR!W144+KETAPANG!BE144+KLATAK!AV144+PESUCEN!R144+TELEMUNG!T144</f>
        <v>317</v>
      </c>
      <c r="F144" s="40"/>
      <c r="G144" s="1"/>
      <c r="H144" s="1"/>
      <c r="I144" s="1"/>
      <c r="J144" s="1"/>
      <c r="K144" s="1"/>
      <c r="L144" s="1"/>
      <c r="M144" s="1"/>
      <c r="N144" s="1"/>
      <c r="O144" s="1"/>
      <c r="P144" s="34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</row>
    <row r="145" spans="1:216" ht="15.75" customHeight="1" x14ac:dyDescent="0.4">
      <c r="A145" s="11" t="s">
        <v>50</v>
      </c>
      <c r="B145" s="46">
        <v>1</v>
      </c>
      <c r="C145" s="24" t="s">
        <v>174</v>
      </c>
      <c r="D145" s="47"/>
      <c r="E145" s="9">
        <f>BULUSAN!AC145+BULUSARI!R145+GOMBENGSARI!AC145+KALIPURO!AR145+KELIR!W145+KETAPANG!BE145+KLATAK!AV145+PESUCEN!R145+TELEMUNG!T145</f>
        <v>280</v>
      </c>
      <c r="F145" s="42"/>
      <c r="G145" s="27"/>
      <c r="H145" s="27"/>
      <c r="I145" s="27"/>
      <c r="J145" s="27"/>
      <c r="K145" s="27"/>
      <c r="L145" s="27"/>
      <c r="M145" s="27"/>
      <c r="N145" s="27"/>
      <c r="O145" s="27"/>
      <c r="P145" s="37"/>
      <c r="Q145" s="30"/>
      <c r="R145" s="30"/>
      <c r="S145" s="30"/>
      <c r="T145" s="30"/>
      <c r="U145" s="30"/>
      <c r="V145" s="30"/>
      <c r="W145" s="38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0"/>
      <c r="BM145" s="30"/>
      <c r="BN145" s="30"/>
      <c r="BO145" s="30"/>
      <c r="BP145" s="30"/>
      <c r="BQ145" s="30"/>
      <c r="BR145" s="38"/>
      <c r="BS145" s="30"/>
      <c r="BT145" s="30"/>
      <c r="BU145" s="30"/>
      <c r="BV145" s="30"/>
      <c r="BW145" s="30"/>
      <c r="BX145" s="30"/>
      <c r="BY145" s="30"/>
      <c r="BZ145" s="30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8"/>
      <c r="EZ145" s="38"/>
      <c r="FA145" s="38"/>
      <c r="FB145" s="38"/>
      <c r="FC145" s="38"/>
      <c r="FD145" s="38"/>
      <c r="FE145" s="38"/>
      <c r="FF145" s="30"/>
      <c r="FG145" s="30"/>
      <c r="FH145" s="30"/>
      <c r="FI145" s="30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</row>
    <row r="146" spans="1:216" ht="15.75" customHeight="1" x14ac:dyDescent="0.4">
      <c r="A146" s="7"/>
      <c r="B146" s="46">
        <v>2</v>
      </c>
      <c r="C146" s="24" t="s">
        <v>175</v>
      </c>
      <c r="D146" s="47"/>
      <c r="E146" s="9">
        <f>BULUSAN!AC146+BULUSARI!R146+GOMBENGSARI!AC146+KALIPURO!AR146+KELIR!W146+KETAPANG!BE146+KLATAK!AV146+PESUCEN!R146+TELEMUNG!T146</f>
        <v>886</v>
      </c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6">
        <v>3</v>
      </c>
      <c r="C147" s="24" t="s">
        <v>176</v>
      </c>
      <c r="D147" s="47"/>
      <c r="E147" s="9">
        <f>BULUSAN!AC147+BULUSARI!R147+GOMBENGSARI!AC147+KALIPURO!AR147+KELIR!W147+KETAPANG!BE147+KLATAK!AV147+PESUCEN!R147+TELEMUNG!T147</f>
        <v>118</v>
      </c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6">
        <v>4</v>
      </c>
      <c r="C148" s="24" t="s">
        <v>177</v>
      </c>
      <c r="D148" s="47"/>
      <c r="E148" s="9">
        <f>BULUSAN!AC148+BULUSARI!R148+GOMBENGSARI!AC148+KALIPURO!AR148+KELIR!W148+KETAPANG!BE148+KLATAK!AV148+PESUCEN!R148+TELEMUNG!T148</f>
        <v>65</v>
      </c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6">
        <v>5</v>
      </c>
      <c r="C149" s="24" t="s">
        <v>178</v>
      </c>
      <c r="D149" s="47"/>
      <c r="E149" s="9">
        <f>BULUSAN!AC149+BULUSARI!R149+GOMBENGSARI!AC149+KALIPURO!AR149+KELIR!W149+KETAPANG!BE149+KLATAK!AV149+PESUCEN!R149+TELEMUNG!T149</f>
        <v>21</v>
      </c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6">
        <v>6</v>
      </c>
      <c r="C150" s="24" t="s">
        <v>179</v>
      </c>
      <c r="D150" s="47"/>
      <c r="E150" s="9">
        <f>BULUSAN!AC150+BULUSARI!R150+GOMBENGSARI!AC150+KALIPURO!AR150+KELIR!W150+KETAPANG!BE150+KLATAK!AV150+PESUCEN!R150+TELEMUNG!T150</f>
        <v>33</v>
      </c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53" t="s">
        <v>51</v>
      </c>
      <c r="C151" s="54"/>
      <c r="D151" s="55"/>
      <c r="E151" s="5">
        <f>SUM(E144:E150)</f>
        <v>1720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61"/>
      <c r="B152" s="62"/>
      <c r="C152" s="62"/>
      <c r="D152" s="62"/>
      <c r="E152" s="63"/>
      <c r="F152" s="39"/>
      <c r="G152" s="20"/>
      <c r="H152" s="20"/>
      <c r="I152" s="20"/>
      <c r="J152" s="20"/>
      <c r="K152" s="20"/>
      <c r="L152" s="20"/>
      <c r="M152" s="20"/>
      <c r="N152" s="20"/>
      <c r="O152" s="20"/>
      <c r="P152" s="32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</row>
    <row r="153" spans="1:216" ht="15.75" customHeight="1" x14ac:dyDescent="0.4">
      <c r="A153" s="11" t="s">
        <v>48</v>
      </c>
      <c r="B153" s="17" t="s">
        <v>75</v>
      </c>
      <c r="C153" s="59" t="s">
        <v>76</v>
      </c>
      <c r="D153" s="60"/>
      <c r="E153" s="9">
        <f>BULUSAN!AC153+BULUSARI!R153+GOMBENGSARI!AC153+KALIPURO!AR153+KELIR!W153+KETAPANG!BE153+KLATAK!AV153+PESUCEN!R153+TELEMUNG!T153</f>
        <v>245</v>
      </c>
      <c r="F153" s="40"/>
      <c r="G153" s="1"/>
      <c r="H153" s="1"/>
      <c r="I153" s="1"/>
      <c r="J153" s="1"/>
      <c r="K153" s="1"/>
      <c r="L153" s="1"/>
      <c r="M153" s="1"/>
      <c r="N153" s="1"/>
      <c r="O153" s="1"/>
      <c r="P153" s="34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</row>
    <row r="154" spans="1:216" ht="15.75" customHeight="1" x14ac:dyDescent="0.4">
      <c r="A154" s="11" t="s">
        <v>50</v>
      </c>
      <c r="B154" s="46">
        <v>1</v>
      </c>
      <c r="C154" s="24" t="s">
        <v>180</v>
      </c>
      <c r="D154" s="47"/>
      <c r="E154" s="9">
        <f>BULUSAN!AC154+BULUSARI!R154+GOMBENGSARI!AC154+KALIPURO!AR154+KELIR!W154+KETAPANG!BE154+KLATAK!AV154+PESUCEN!R154+TELEMUNG!T154</f>
        <v>613</v>
      </c>
      <c r="F154" s="42"/>
      <c r="G154" s="27"/>
      <c r="H154" s="27"/>
      <c r="I154" s="27"/>
      <c r="J154" s="27"/>
      <c r="K154" s="27"/>
      <c r="L154" s="27"/>
      <c r="M154" s="27"/>
      <c r="N154" s="27"/>
      <c r="O154" s="27"/>
      <c r="P154" s="37"/>
      <c r="Q154" s="30"/>
      <c r="R154" s="30"/>
      <c r="S154" s="30"/>
      <c r="T154" s="30"/>
      <c r="U154" s="30"/>
      <c r="V154" s="30"/>
      <c r="W154" s="38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0"/>
      <c r="BM154" s="30"/>
      <c r="BN154" s="30"/>
      <c r="BO154" s="30"/>
      <c r="BP154" s="30"/>
      <c r="BQ154" s="30"/>
      <c r="BR154" s="38"/>
      <c r="BS154" s="30"/>
      <c r="BT154" s="30"/>
      <c r="BU154" s="30"/>
      <c r="BV154" s="30"/>
      <c r="BW154" s="30"/>
      <c r="BX154" s="30"/>
      <c r="BY154" s="30"/>
      <c r="BZ154" s="30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8"/>
      <c r="EZ154" s="38"/>
      <c r="FA154" s="38"/>
      <c r="FB154" s="38"/>
      <c r="FC154" s="38"/>
      <c r="FD154" s="38"/>
      <c r="FE154" s="38"/>
      <c r="FF154" s="30"/>
      <c r="FG154" s="30"/>
      <c r="FH154" s="30"/>
      <c r="FI154" s="30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</row>
    <row r="155" spans="1:216" ht="15.75" customHeight="1" x14ac:dyDescent="0.4">
      <c r="A155" s="7"/>
      <c r="B155" s="46">
        <v>2</v>
      </c>
      <c r="C155" s="24" t="s">
        <v>181</v>
      </c>
      <c r="D155" s="47"/>
      <c r="E155" s="9">
        <f>BULUSAN!AC155+BULUSARI!R155+GOMBENGSARI!AC155+KALIPURO!AR155+KELIR!W155+KETAPANG!BE155+KLATAK!AV155+PESUCEN!R155+TELEMUNG!T155</f>
        <v>134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6" t="s">
        <v>26</v>
      </c>
      <c r="B156" s="53" t="s">
        <v>51</v>
      </c>
      <c r="C156" s="54"/>
      <c r="D156" s="55"/>
      <c r="E156" s="5">
        <f>SUM(E153:E155)</f>
        <v>992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61"/>
      <c r="B157" s="62"/>
      <c r="C157" s="62"/>
      <c r="D157" s="62"/>
      <c r="E157" s="63"/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11" t="s">
        <v>48</v>
      </c>
      <c r="B158" s="17" t="s">
        <v>77</v>
      </c>
      <c r="C158" s="59" t="s">
        <v>78</v>
      </c>
      <c r="D158" s="60"/>
      <c r="E158" s="9">
        <f>BULUSAN!AC158+BULUSARI!R158+GOMBENGSARI!AC158+KALIPURO!AR158+KELIR!W158+KETAPANG!BE158+KLATAK!AV158+PESUCEN!R158+TELEMUNG!T158</f>
        <v>24</v>
      </c>
      <c r="F158" s="40"/>
      <c r="G158" s="1"/>
      <c r="H158" s="1"/>
      <c r="I158" s="1"/>
      <c r="J158" s="1"/>
      <c r="K158" s="1"/>
      <c r="L158" s="1"/>
      <c r="M158" s="1"/>
      <c r="N158" s="1"/>
      <c r="O158" s="1"/>
      <c r="P158" s="34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</row>
    <row r="159" spans="1:216" ht="15.75" customHeight="1" x14ac:dyDescent="0.4">
      <c r="A159" s="11" t="s">
        <v>50</v>
      </c>
      <c r="B159" s="46">
        <v>1</v>
      </c>
      <c r="C159" s="24" t="s">
        <v>182</v>
      </c>
      <c r="D159" s="45"/>
      <c r="E159" s="9">
        <f>BULUSAN!AC159+BULUSARI!R159+GOMBENGSARI!AC159+KALIPURO!AR159+KELIR!W159+KETAPANG!BE159+KLATAK!AV159+PESUCEN!R159+TELEMUNG!T159</f>
        <v>32</v>
      </c>
      <c r="F159" s="42"/>
      <c r="G159" s="27"/>
      <c r="H159" s="27"/>
      <c r="I159" s="27"/>
      <c r="J159" s="27"/>
      <c r="K159" s="27"/>
      <c r="L159" s="27"/>
      <c r="M159" s="27"/>
      <c r="N159" s="27"/>
      <c r="O159" s="27"/>
      <c r="P159" s="37"/>
      <c r="Q159" s="30"/>
      <c r="R159" s="30"/>
      <c r="S159" s="30"/>
      <c r="T159" s="30"/>
      <c r="U159" s="30"/>
      <c r="V159" s="30"/>
      <c r="W159" s="38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0"/>
      <c r="BM159" s="30"/>
      <c r="BN159" s="30"/>
      <c r="BO159" s="30"/>
      <c r="BP159" s="30"/>
      <c r="BQ159" s="30"/>
      <c r="BR159" s="38"/>
      <c r="BS159" s="30"/>
      <c r="BT159" s="30"/>
      <c r="BU159" s="30"/>
      <c r="BV159" s="30"/>
      <c r="BW159" s="30"/>
      <c r="BX159" s="30"/>
      <c r="BY159" s="30"/>
      <c r="BZ159" s="30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8"/>
      <c r="EZ159" s="38"/>
      <c r="FA159" s="38"/>
      <c r="FB159" s="38"/>
      <c r="FC159" s="38"/>
      <c r="FD159" s="38"/>
      <c r="FE159" s="38"/>
      <c r="FF159" s="30"/>
      <c r="FG159" s="30"/>
      <c r="FH159" s="30"/>
      <c r="FI159" s="30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</row>
    <row r="160" spans="1:216" ht="15.75" customHeight="1" x14ac:dyDescent="0.4">
      <c r="A160" s="7"/>
      <c r="B160" s="46">
        <v>2</v>
      </c>
      <c r="C160" s="24" t="s">
        <v>183</v>
      </c>
      <c r="D160" s="45"/>
      <c r="E160" s="9">
        <f>BULUSAN!AC160+BULUSARI!R160+GOMBENGSARI!AC160+KALIPURO!AR160+KELIR!W160+KETAPANG!BE160+KLATAK!AV160+PESUCEN!R160+TELEMUNG!T160</f>
        <v>8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46">
        <v>3</v>
      </c>
      <c r="C161" s="24" t="s">
        <v>184</v>
      </c>
      <c r="D161" s="45"/>
      <c r="E161" s="9">
        <f>BULUSAN!AC161+BULUSARI!R161+GOMBENGSARI!AC161+KALIPURO!AR161+KELIR!W161+KETAPANG!BE161+KLATAK!AV161+PESUCEN!R161+TELEMUNG!T161</f>
        <v>29</v>
      </c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6" t="s">
        <v>26</v>
      </c>
      <c r="B162" s="53" t="s">
        <v>51</v>
      </c>
      <c r="C162" s="54"/>
      <c r="D162" s="55"/>
      <c r="E162" s="5">
        <f>SUM(E158:E161)</f>
        <v>93</v>
      </c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1"/>
      <c r="B163" s="62"/>
      <c r="C163" s="62"/>
      <c r="D163" s="62"/>
      <c r="E163" s="63"/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11" t="s">
        <v>48</v>
      </c>
      <c r="B164" s="17" t="s">
        <v>79</v>
      </c>
      <c r="C164" s="59" t="s">
        <v>80</v>
      </c>
      <c r="D164" s="60"/>
      <c r="E164" s="9">
        <f>BULUSAN!AC164+BULUSARI!R164+GOMBENGSARI!AC164+KALIPURO!AR164+KELIR!W164+KETAPANG!BE164+KLATAK!AV164+PESUCEN!R164+TELEMUNG!T164</f>
        <v>233</v>
      </c>
      <c r="F164" s="40"/>
      <c r="G164" s="1"/>
      <c r="H164" s="1"/>
      <c r="I164" s="1"/>
      <c r="J164" s="1"/>
      <c r="K164" s="1"/>
      <c r="L164" s="1"/>
      <c r="M164" s="1"/>
      <c r="N164" s="1"/>
      <c r="O164" s="1"/>
      <c r="P164" s="34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</row>
    <row r="165" spans="1:216" ht="15.75" customHeight="1" x14ac:dyDescent="0.4">
      <c r="A165" s="11" t="s">
        <v>50</v>
      </c>
      <c r="B165" s="46">
        <v>1</v>
      </c>
      <c r="C165" s="24" t="s">
        <v>185</v>
      </c>
      <c r="D165" s="47"/>
      <c r="E165" s="9">
        <f>BULUSAN!AC165+BULUSARI!R165+GOMBENGSARI!AC165+KALIPURO!AR165+KELIR!W165+KETAPANG!BE165+KLATAK!AV165+PESUCEN!R165+TELEMUNG!T165</f>
        <v>181</v>
      </c>
      <c r="F165" s="42"/>
      <c r="G165" s="27"/>
      <c r="H165" s="27"/>
      <c r="I165" s="27"/>
      <c r="J165" s="27"/>
      <c r="K165" s="27"/>
      <c r="L165" s="27"/>
      <c r="M165" s="27"/>
      <c r="N165" s="27"/>
      <c r="O165" s="27"/>
      <c r="P165" s="37"/>
      <c r="Q165" s="30"/>
      <c r="R165" s="30"/>
      <c r="S165" s="30"/>
      <c r="T165" s="30"/>
      <c r="U165" s="30"/>
      <c r="V165" s="30"/>
      <c r="W165" s="38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0"/>
      <c r="BM165" s="30"/>
      <c r="BN165" s="30"/>
      <c r="BO165" s="30"/>
      <c r="BP165" s="30"/>
      <c r="BQ165" s="30"/>
      <c r="BR165" s="38"/>
      <c r="BS165" s="30"/>
      <c r="BT165" s="30"/>
      <c r="BU165" s="30"/>
      <c r="BV165" s="30"/>
      <c r="BW165" s="30"/>
      <c r="BX165" s="30"/>
      <c r="BY165" s="30"/>
      <c r="BZ165" s="30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8"/>
      <c r="EZ165" s="38"/>
      <c r="FA165" s="38"/>
      <c r="FB165" s="38"/>
      <c r="FC165" s="38"/>
      <c r="FD165" s="38"/>
      <c r="FE165" s="38"/>
      <c r="FF165" s="30"/>
      <c r="FG165" s="30"/>
      <c r="FH165" s="30"/>
      <c r="FI165" s="30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U165" s="38"/>
      <c r="FV165" s="38"/>
      <c r="FW165" s="38"/>
      <c r="FX165" s="38"/>
      <c r="FY165" s="38"/>
      <c r="FZ165" s="38"/>
      <c r="GA165" s="38"/>
      <c r="GB165" s="38"/>
      <c r="GC165" s="38"/>
      <c r="GD165" s="38"/>
      <c r="GE165" s="38"/>
      <c r="GF165" s="38"/>
      <c r="GG165" s="38"/>
      <c r="GH165" s="38"/>
      <c r="GI165" s="38"/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/>
      <c r="HB165" s="38"/>
      <c r="HC165" s="38"/>
      <c r="HD165" s="38"/>
      <c r="HE165" s="38"/>
      <c r="HF165" s="38"/>
      <c r="HG165" s="38"/>
      <c r="HH165" s="38"/>
    </row>
    <row r="166" spans="1:216" ht="15.75" customHeight="1" x14ac:dyDescent="0.4">
      <c r="A166" s="7"/>
      <c r="B166" s="46">
        <v>2</v>
      </c>
      <c r="C166" s="24" t="s">
        <v>186</v>
      </c>
      <c r="D166" s="47"/>
      <c r="E166" s="9">
        <f>BULUSAN!AC166+BULUSARI!R166+GOMBENGSARI!AC166+KALIPURO!AR166+KELIR!W166+KETAPANG!BE166+KLATAK!AV166+PESUCEN!R166+TELEMUNG!T166</f>
        <v>704</v>
      </c>
      <c r="F166" s="39"/>
      <c r="G166" s="20"/>
      <c r="H166" s="20"/>
      <c r="I166" s="20"/>
      <c r="J166" s="20"/>
      <c r="K166" s="20"/>
      <c r="L166" s="20"/>
      <c r="M166" s="20"/>
      <c r="N166" s="20"/>
      <c r="O166" s="20"/>
      <c r="P166" s="32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</row>
    <row r="167" spans="1:216" ht="15.75" customHeight="1" x14ac:dyDescent="0.4">
      <c r="A167" s="7"/>
      <c r="B167" s="46">
        <v>3</v>
      </c>
      <c r="C167" s="24" t="s">
        <v>187</v>
      </c>
      <c r="D167" s="47"/>
      <c r="E167" s="9">
        <f>BULUSAN!AC167+BULUSARI!R167+GOMBENGSARI!AC167+KALIPURO!AR167+KELIR!W167+KETAPANG!BE167+KLATAK!AV167+PESUCEN!R167+TELEMUNG!T167</f>
        <v>28</v>
      </c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6">
        <v>4</v>
      </c>
      <c r="C168" s="24" t="s">
        <v>188</v>
      </c>
      <c r="D168" s="47"/>
      <c r="E168" s="9">
        <f>BULUSAN!AC168+BULUSARI!R168+GOMBENGSARI!AC168+KALIPURO!AR168+KELIR!W168+KETAPANG!BE168+KLATAK!AV168+PESUCEN!R168+TELEMUNG!T168</f>
        <v>147</v>
      </c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6">
        <v>5</v>
      </c>
      <c r="C169" s="24" t="s">
        <v>189</v>
      </c>
      <c r="D169" s="47"/>
      <c r="E169" s="9">
        <f>BULUSAN!AC169+BULUSARI!R169+GOMBENGSARI!AC169+KALIPURO!AR169+KELIR!W169+KETAPANG!BE169+KLATAK!AV169+PESUCEN!R169+TELEMUNG!T169</f>
        <v>172</v>
      </c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6">
        <v>6</v>
      </c>
      <c r="C170" s="24" t="s">
        <v>190</v>
      </c>
      <c r="D170" s="47"/>
      <c r="E170" s="9">
        <f>BULUSAN!AC170+BULUSARI!R170+GOMBENGSARI!AC170+KALIPURO!AR170+KELIR!W170+KETAPANG!BE170+KLATAK!AV170+PESUCEN!R170+TELEMUNG!T170</f>
        <v>32</v>
      </c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6" t="s">
        <v>26</v>
      </c>
      <c r="B171" s="53" t="s">
        <v>51</v>
      </c>
      <c r="C171" s="54"/>
      <c r="D171" s="55"/>
      <c r="E171" s="5">
        <f>SUM(E164:E170)</f>
        <v>1497</v>
      </c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61"/>
      <c r="B172" s="62"/>
      <c r="C172" s="62"/>
      <c r="D172" s="62"/>
      <c r="E172" s="63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11" t="s">
        <v>48</v>
      </c>
      <c r="B173" s="17" t="s">
        <v>81</v>
      </c>
      <c r="C173" s="59" t="s">
        <v>82</v>
      </c>
      <c r="D173" s="60"/>
      <c r="E173" s="9">
        <f>BULUSAN!AC173+BULUSARI!R173+GOMBENGSARI!AC173+KALIPURO!AR173+KELIR!W173+KETAPANG!BE173+KLATAK!AV173+PESUCEN!R173+TELEMUNG!T173</f>
        <v>61</v>
      </c>
      <c r="F173" s="40"/>
      <c r="G173" s="1"/>
      <c r="H173" s="1"/>
      <c r="I173" s="1"/>
      <c r="J173" s="1"/>
      <c r="K173" s="1"/>
      <c r="L173" s="1"/>
      <c r="M173" s="1"/>
      <c r="N173" s="1"/>
      <c r="O173" s="1"/>
      <c r="P173" s="34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</row>
    <row r="174" spans="1:216" ht="15.75" customHeight="1" x14ac:dyDescent="0.4">
      <c r="A174" s="11" t="s">
        <v>50</v>
      </c>
      <c r="B174" s="46">
        <v>1</v>
      </c>
      <c r="C174" s="24" t="s">
        <v>191</v>
      </c>
      <c r="D174" s="45"/>
      <c r="E174" s="9">
        <f>BULUSAN!AC174+BULUSARI!R174+GOMBENGSARI!AC174+KALIPURO!AR174+KELIR!W174+KETAPANG!BE174+KLATAK!AV174+PESUCEN!R174+TELEMUNG!T174</f>
        <v>74</v>
      </c>
      <c r="F174" s="39"/>
      <c r="G174" s="20"/>
      <c r="H174" s="20"/>
      <c r="I174" s="20"/>
      <c r="J174" s="20"/>
      <c r="K174" s="20"/>
      <c r="L174" s="20"/>
      <c r="M174" s="20"/>
      <c r="N174" s="20"/>
      <c r="O174" s="23"/>
      <c r="P174" s="35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</row>
    <row r="175" spans="1:216" ht="15.75" customHeight="1" x14ac:dyDescent="0.4">
      <c r="A175" s="7"/>
      <c r="B175" s="46">
        <v>2</v>
      </c>
      <c r="C175" s="24" t="s">
        <v>192</v>
      </c>
      <c r="D175" s="47"/>
      <c r="E175" s="9">
        <f>BULUSAN!AC175+BULUSARI!R175+GOMBENGSARI!AC175+KALIPURO!AR175+KELIR!W175+KETAPANG!BE175+KLATAK!AV175+PESUCEN!R175+TELEMUNG!T175</f>
        <v>28</v>
      </c>
      <c r="F175" s="40"/>
      <c r="G175" s="1"/>
      <c r="H175" s="1"/>
      <c r="I175" s="1"/>
      <c r="J175" s="1"/>
      <c r="K175" s="1"/>
      <c r="L175" s="1"/>
      <c r="M175" s="1"/>
      <c r="N175" s="1"/>
      <c r="O175" s="3"/>
      <c r="P175" s="35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</row>
    <row r="176" spans="1:216" ht="15.75" customHeight="1" x14ac:dyDescent="0.4">
      <c r="A176" s="6" t="s">
        <v>26</v>
      </c>
      <c r="B176" s="53" t="s">
        <v>51</v>
      </c>
      <c r="C176" s="54"/>
      <c r="D176" s="55"/>
      <c r="E176" s="5">
        <f>SUM(E173:E175)</f>
        <v>163</v>
      </c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</row>
    <row r="177" spans="1:216" ht="15.75" customHeight="1" x14ac:dyDescent="0.4">
      <c r="F177" s="39"/>
      <c r="G177" s="20"/>
      <c r="H177" s="20"/>
      <c r="I177" s="20"/>
      <c r="J177" s="20"/>
      <c r="K177" s="20"/>
      <c r="L177" s="20"/>
      <c r="M177" s="20"/>
      <c r="N177" s="20"/>
      <c r="O177" s="20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</row>
    <row r="178" spans="1:216" ht="15.75" customHeight="1" x14ac:dyDescent="0.4">
      <c r="A178" s="16" t="s">
        <v>83</v>
      </c>
      <c r="B178" s="56" t="s">
        <v>84</v>
      </c>
      <c r="C178" s="57"/>
      <c r="D178" s="58"/>
      <c r="E178" s="5"/>
      <c r="F178" s="39"/>
      <c r="G178" s="20"/>
      <c r="H178" s="20"/>
      <c r="I178" s="20"/>
      <c r="J178" s="20"/>
      <c r="K178" s="20"/>
      <c r="L178" s="20"/>
      <c r="M178" s="20"/>
      <c r="N178" s="20"/>
      <c r="O178" s="20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</row>
    <row r="179" spans="1:216" ht="15.75" customHeight="1" x14ac:dyDescent="0.4">
      <c r="A179" s="16"/>
      <c r="B179" s="19" t="s">
        <v>85</v>
      </c>
      <c r="C179" s="51" t="s">
        <v>86</v>
      </c>
      <c r="D179" s="52"/>
      <c r="E179" s="9">
        <f>BULUSAN!AC179+BULUSARI!R179+GOMBENGSARI!AC179+KALIPURO!AR179+KELIR!W179+KETAPANG!BE179+KLATAK!AV179+PESUCEN!R179+TELEMUNG!T179</f>
        <v>48131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</row>
    <row r="180" spans="1:216" ht="15.75" customHeight="1" x14ac:dyDescent="0.4">
      <c r="A180" s="13"/>
      <c r="B180" s="19" t="s">
        <v>87</v>
      </c>
      <c r="C180" s="51" t="s">
        <v>88</v>
      </c>
      <c r="D180" s="52"/>
      <c r="E180" s="9">
        <f>BULUSAN!AC180+BULUSARI!R180+GOMBENGSARI!AC180+KALIPURO!AR180+KELIR!W180+KETAPANG!BE180+KLATAK!AV180+PESUCEN!R180+TELEMUNG!T180</f>
        <v>3685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</row>
    <row r="181" spans="1:216" ht="15.75" customHeight="1" x14ac:dyDescent="0.4">
      <c r="A181" s="14"/>
      <c r="B181" s="19" t="s">
        <v>89</v>
      </c>
      <c r="C181" s="51" t="s">
        <v>90</v>
      </c>
      <c r="D181" s="52"/>
      <c r="E181" s="5">
        <f t="shared" ref="E181" si="8">SUM(E179:E180)</f>
        <v>51816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</row>
    <row r="182" spans="1:216" ht="15.75" customHeight="1" x14ac:dyDescent="0.4">
      <c r="A182" s="20"/>
      <c r="B182" s="21"/>
      <c r="C182" s="22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</row>
    <row r="183" spans="1:216" ht="15.75" customHeight="1" x14ac:dyDescent="0.4">
      <c r="A183" s="20"/>
      <c r="B183" s="21"/>
      <c r="C183" s="22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</row>
    <row r="184" spans="1:216" ht="15.75" customHeight="1" x14ac:dyDescent="0.4">
      <c r="A184" s="20"/>
      <c r="B184" s="21"/>
      <c r="C184" s="22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</row>
    <row r="185" spans="1:216" ht="15.75" hidden="1" customHeight="1" x14ac:dyDescent="0.4">
      <c r="A185" s="20"/>
      <c r="B185" s="21"/>
      <c r="C185" s="22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</row>
    <row r="186" spans="1:216" ht="15.75" hidden="1" customHeight="1" x14ac:dyDescent="0.4">
      <c r="A186" s="20"/>
      <c r="B186" s="21"/>
      <c r="C186" s="22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</row>
    <row r="187" spans="1:216" ht="15.75" hidden="1" customHeight="1" x14ac:dyDescent="0.4">
      <c r="A187" s="20"/>
      <c r="B187" s="21"/>
      <c r="C187" s="22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</row>
    <row r="188" spans="1:216" ht="15.75" hidden="1" customHeight="1" x14ac:dyDescent="0.4">
      <c r="A188" s="20"/>
      <c r="B188" s="21"/>
      <c r="C188" s="22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</row>
    <row r="189" spans="1:216" ht="15.75" hidden="1" customHeight="1" x14ac:dyDescent="0.4">
      <c r="A189" s="20"/>
      <c r="B189" s="21"/>
      <c r="C189" s="22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</row>
    <row r="190" spans="1:216" ht="15.75" hidden="1" customHeight="1" x14ac:dyDescent="0.4">
      <c r="A190" s="20"/>
      <c r="B190" s="21"/>
      <c r="C190" s="22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</row>
    <row r="191" spans="1:216" ht="15.75" hidden="1" customHeight="1" x14ac:dyDescent="0.4">
      <c r="A191" s="20"/>
      <c r="B191" s="21"/>
      <c r="C191" s="22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</row>
    <row r="192" spans="1:216" ht="15.75" hidden="1" customHeight="1" x14ac:dyDescent="0.4">
      <c r="A192" s="20"/>
      <c r="B192" s="21"/>
      <c r="C192" s="22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</row>
    <row r="193" spans="1:216" ht="15.75" hidden="1" customHeight="1" x14ac:dyDescent="0.4">
      <c r="A193" s="20"/>
      <c r="B193" s="21"/>
      <c r="C193" s="22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</row>
    <row r="194" spans="1:216" ht="15.75" hidden="1" customHeight="1" x14ac:dyDescent="0.4">
      <c r="A194" s="20"/>
      <c r="B194" s="21"/>
      <c r="C194" s="22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</row>
    <row r="195" spans="1:216" ht="15.75" hidden="1" customHeight="1" x14ac:dyDescent="0.4">
      <c r="A195" s="20"/>
      <c r="B195" s="21"/>
      <c r="C195" s="22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</row>
    <row r="196" spans="1:216" ht="15.75" hidden="1" customHeight="1" x14ac:dyDescent="0.4">
      <c r="A196" s="20"/>
      <c r="B196" s="21"/>
      <c r="C196" s="22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</row>
    <row r="197" spans="1:216" ht="15.75" hidden="1" customHeight="1" x14ac:dyDescent="0.4">
      <c r="A197" s="20"/>
      <c r="B197" s="21"/>
      <c r="C197" s="22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</row>
    <row r="198" spans="1:216" ht="15.75" hidden="1" customHeight="1" x14ac:dyDescent="0.4">
      <c r="A198" s="20"/>
      <c r="B198" s="21"/>
      <c r="C198" s="22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</row>
    <row r="199" spans="1:216" ht="15.75" hidden="1" customHeight="1" x14ac:dyDescent="0.4">
      <c r="A199" s="20"/>
      <c r="B199" s="21"/>
      <c r="C199" s="22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</row>
    <row r="200" spans="1:216" ht="15.75" hidden="1" customHeight="1" x14ac:dyDescent="0.4">
      <c r="A200" s="20"/>
      <c r="B200" s="21"/>
      <c r="C200" s="22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</row>
    <row r="201" spans="1:216" ht="15.75" hidden="1" customHeight="1" x14ac:dyDescent="0.4">
      <c r="A201" s="20"/>
      <c r="B201" s="21"/>
      <c r="C201" s="22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</row>
    <row r="202" spans="1:216" ht="15.75" hidden="1" customHeight="1" x14ac:dyDescent="0.4">
      <c r="A202" s="20"/>
      <c r="B202" s="21"/>
      <c r="C202" s="22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</row>
    <row r="203" spans="1:216" ht="15.75" hidden="1" customHeight="1" x14ac:dyDescent="0.4">
      <c r="A203" s="20"/>
      <c r="B203" s="21"/>
      <c r="C203" s="22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</row>
    <row r="204" spans="1:216" ht="15.75" hidden="1" customHeight="1" x14ac:dyDescent="0.4">
      <c r="A204" s="20"/>
      <c r="B204" s="21"/>
      <c r="C204" s="22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</row>
    <row r="205" spans="1:216" ht="15.75" hidden="1" customHeight="1" x14ac:dyDescent="0.4">
      <c r="A205" s="20"/>
      <c r="B205" s="21"/>
      <c r="C205" s="22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</row>
    <row r="206" spans="1:216" ht="15.75" hidden="1" customHeight="1" x14ac:dyDescent="0.4">
      <c r="A206" s="20"/>
      <c r="B206" s="21"/>
      <c r="C206" s="22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</row>
    <row r="207" spans="1:216" ht="15.75" hidden="1" customHeight="1" x14ac:dyDescent="0.4">
      <c r="A207" s="20"/>
      <c r="B207" s="21"/>
      <c r="C207" s="22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</row>
    <row r="208" spans="1:216" ht="15.75" hidden="1" customHeight="1" x14ac:dyDescent="0.4">
      <c r="A208" s="20"/>
      <c r="B208" s="21"/>
      <c r="C208" s="22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</row>
    <row r="209" spans="1:216" ht="15.75" hidden="1" customHeight="1" x14ac:dyDescent="0.4">
      <c r="A209" s="20"/>
      <c r="B209" s="21"/>
      <c r="C209" s="22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</row>
    <row r="210" spans="1:216" ht="15.75" hidden="1" customHeight="1" x14ac:dyDescent="0.4">
      <c r="A210" s="20"/>
      <c r="B210" s="21"/>
      <c r="C210" s="22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</row>
    <row r="211" spans="1:216" ht="15.75" hidden="1" customHeight="1" x14ac:dyDescent="0.4">
      <c r="A211" s="20"/>
      <c r="B211" s="21"/>
      <c r="C211" s="22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</row>
    <row r="212" spans="1:216" ht="15.75" hidden="1" customHeight="1" x14ac:dyDescent="0.4">
      <c r="A212" s="20"/>
      <c r="B212" s="21"/>
      <c r="C212" s="22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</row>
    <row r="213" spans="1:216" ht="15.75" hidden="1" customHeight="1" x14ac:dyDescent="0.4">
      <c r="A213" s="20"/>
      <c r="B213" s="21"/>
      <c r="C213" s="22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</row>
    <row r="214" spans="1:216" ht="15.75" hidden="1" customHeight="1" x14ac:dyDescent="0.4">
      <c r="A214" s="20"/>
      <c r="B214" s="21"/>
      <c r="C214" s="22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</row>
    <row r="215" spans="1:216" ht="15.75" hidden="1" customHeight="1" x14ac:dyDescent="0.4">
      <c r="A215" s="20"/>
      <c r="B215" s="21"/>
      <c r="C215" s="22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</row>
    <row r="216" spans="1:216" ht="15.75" hidden="1" customHeight="1" x14ac:dyDescent="0.4">
      <c r="A216" s="20"/>
      <c r="B216" s="21"/>
      <c r="C216" s="22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</row>
    <row r="217" spans="1:216" ht="15.75" hidden="1" customHeight="1" x14ac:dyDescent="0.4">
      <c r="A217" s="20"/>
      <c r="B217" s="21"/>
      <c r="C217" s="22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</row>
    <row r="218" spans="1:216" ht="15.75" hidden="1" customHeight="1" x14ac:dyDescent="0.4">
      <c r="A218" s="20"/>
      <c r="B218" s="21"/>
      <c r="C218" s="22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</row>
    <row r="219" spans="1:216" ht="15.75" hidden="1" customHeight="1" x14ac:dyDescent="0.4">
      <c r="A219" s="20"/>
      <c r="B219" s="21"/>
      <c r="C219" s="22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</row>
    <row r="220" spans="1:216" ht="15.75" hidden="1" customHeight="1" x14ac:dyDescent="0.4">
      <c r="A220" s="20"/>
      <c r="B220" s="21"/>
      <c r="C220" s="22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</row>
    <row r="221" spans="1:216" ht="15.75" hidden="1" customHeight="1" x14ac:dyDescent="0.4">
      <c r="A221" s="20"/>
      <c r="B221" s="21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</row>
    <row r="222" spans="1:216" ht="15.75" hidden="1" customHeight="1" x14ac:dyDescent="0.4">
      <c r="A222" s="20"/>
      <c r="B222" s="21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</row>
    <row r="223" spans="1:216" ht="15.75" hidden="1" customHeight="1" x14ac:dyDescent="0.4">
      <c r="A223" s="20"/>
      <c r="B223" s="21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</row>
    <row r="224" spans="1:216" ht="15.75" hidden="1" customHeight="1" x14ac:dyDescent="0.4">
      <c r="A224" s="20"/>
      <c r="B224" s="21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</row>
    <row r="225" spans="1:216" ht="15.75" hidden="1" customHeight="1" x14ac:dyDescent="0.4">
      <c r="A225" s="20"/>
      <c r="B225" s="21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</row>
    <row r="226" spans="1:216" ht="15.75" hidden="1" customHeight="1" x14ac:dyDescent="0.4">
      <c r="A226" s="20"/>
      <c r="B226" s="21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</row>
    <row r="227" spans="1:216" ht="15.75" hidden="1" customHeight="1" x14ac:dyDescent="0.4">
      <c r="A227" s="20"/>
      <c r="B227" s="21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</row>
    <row r="228" spans="1:216" ht="15.75" hidden="1" customHeight="1" x14ac:dyDescent="0.4">
      <c r="A228" s="20"/>
      <c r="B228" s="21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</row>
    <row r="229" spans="1:216" ht="15.75" hidden="1" customHeight="1" x14ac:dyDescent="0.4">
      <c r="A229" s="20"/>
      <c r="B229" s="21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</row>
    <row r="230" spans="1:216" ht="15.75" hidden="1" customHeight="1" x14ac:dyDescent="0.4">
      <c r="A230" s="20"/>
      <c r="B230" s="21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</row>
    <row r="231" spans="1:216" ht="15.75" hidden="1" customHeight="1" x14ac:dyDescent="0.4">
      <c r="A231" s="20"/>
      <c r="B231" s="21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</row>
    <row r="232" spans="1:216" ht="15.75" hidden="1" customHeight="1" x14ac:dyDescent="0.4">
      <c r="A232" s="20"/>
      <c r="B232" s="21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</row>
    <row r="233" spans="1:216" ht="15.75" hidden="1" customHeight="1" x14ac:dyDescent="0.4">
      <c r="A233" s="20"/>
      <c r="B233" s="21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</row>
    <row r="234" spans="1:216" ht="15.75" hidden="1" customHeight="1" x14ac:dyDescent="0.4">
      <c r="A234" s="20"/>
      <c r="B234" s="21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</row>
    <row r="235" spans="1:216" ht="15.75" hidden="1" customHeight="1" x14ac:dyDescent="0.4">
      <c r="A235" s="20"/>
      <c r="B235" s="21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</row>
    <row r="236" spans="1:216" ht="15.75" hidden="1" customHeight="1" x14ac:dyDescent="0.4">
      <c r="A236" s="20"/>
      <c r="B236" s="21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</row>
    <row r="237" spans="1:216" ht="15.75" hidden="1" customHeight="1" x14ac:dyDescent="0.4">
      <c r="A237" s="20"/>
      <c r="B237" s="21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</row>
    <row r="238" spans="1:216" ht="15.75" hidden="1" customHeight="1" x14ac:dyDescent="0.4">
      <c r="A238" s="20"/>
      <c r="B238" s="21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</row>
    <row r="239" spans="1:216" ht="15.75" hidden="1" customHeight="1" x14ac:dyDescent="0.4">
      <c r="A239" s="20"/>
      <c r="B239" s="21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</row>
    <row r="240" spans="1:216" ht="15.75" hidden="1" customHeight="1" x14ac:dyDescent="0.4">
      <c r="A240" s="20"/>
      <c r="B240" s="21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</row>
    <row r="241" spans="1:216" ht="15.75" hidden="1" customHeight="1" x14ac:dyDescent="0.4">
      <c r="A241" s="20"/>
      <c r="B241" s="21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</row>
    <row r="242" spans="1:216" ht="15.75" hidden="1" customHeight="1" x14ac:dyDescent="0.4">
      <c r="A242" s="20"/>
      <c r="B242" s="21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</row>
    <row r="243" spans="1:216" ht="15.75" hidden="1" customHeight="1" x14ac:dyDescent="0.4">
      <c r="A243" s="20"/>
      <c r="B243" s="21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</row>
    <row r="244" spans="1:216" ht="15.75" hidden="1" customHeight="1" x14ac:dyDescent="0.4">
      <c r="A244" s="20"/>
      <c r="B244" s="21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</row>
    <row r="245" spans="1:216" ht="15.75" hidden="1" customHeight="1" x14ac:dyDescent="0.4">
      <c r="A245" s="20"/>
      <c r="B245" s="21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</row>
    <row r="246" spans="1:216" ht="15.75" hidden="1" customHeight="1" x14ac:dyDescent="0.4">
      <c r="A246" s="20"/>
      <c r="B246" s="21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</row>
    <row r="247" spans="1:216" ht="15.75" hidden="1" customHeight="1" x14ac:dyDescent="0.4">
      <c r="A247" s="20"/>
      <c r="B247" s="21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</row>
    <row r="248" spans="1:216" ht="15.75" hidden="1" customHeight="1" x14ac:dyDescent="0.4">
      <c r="A248" s="20"/>
      <c r="B248" s="21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</row>
    <row r="249" spans="1:216" ht="15.75" hidden="1" customHeight="1" x14ac:dyDescent="0.4">
      <c r="A249" s="20"/>
      <c r="B249" s="21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</row>
    <row r="250" spans="1:216" ht="15.75" hidden="1" customHeight="1" x14ac:dyDescent="0.4">
      <c r="A250" s="20"/>
      <c r="B250" s="21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hidden="1" customHeight="1" x14ac:dyDescent="0.4">
      <c r="A251" s="20"/>
      <c r="B251" s="21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hidden="1" customHeight="1" x14ac:dyDescent="0.4">
      <c r="A252" s="20"/>
      <c r="B252" s="21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</row>
    <row r="253" spans="1:216" ht="15.75" hidden="1" customHeight="1" x14ac:dyDescent="0.4">
      <c r="A253" s="20"/>
      <c r="B253" s="21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</row>
    <row r="254" spans="1:216" ht="15.75" hidden="1" customHeight="1" x14ac:dyDescent="0.4">
      <c r="A254" s="20"/>
      <c r="B254" s="21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</row>
    <row r="255" spans="1:216" ht="15.75" hidden="1" customHeight="1" x14ac:dyDescent="0.4">
      <c r="A255" s="20"/>
      <c r="B255" s="21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hidden="1" customHeight="1" x14ac:dyDescent="0.4">
      <c r="A256" s="20"/>
      <c r="B256" s="21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hidden="1" customHeight="1" x14ac:dyDescent="0.4">
      <c r="A257" s="20"/>
      <c r="B257" s="21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hidden="1" customHeight="1" x14ac:dyDescent="0.4">
      <c r="A258" s="20"/>
      <c r="B258" s="21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hidden="1" customHeight="1" x14ac:dyDescent="0.4">
      <c r="A259" s="20"/>
      <c r="B259" s="21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hidden="1" customHeight="1" x14ac:dyDescent="0.4">
      <c r="A260" s="20"/>
      <c r="B260" s="21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hidden="1" customHeight="1" x14ac:dyDescent="0.4">
      <c r="A261" s="20"/>
      <c r="B261" s="21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hidden="1" customHeight="1" x14ac:dyDescent="0.4">
      <c r="A262" s="20"/>
      <c r="B262" s="21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hidden="1" customHeight="1" x14ac:dyDescent="0.4">
      <c r="A263" s="20"/>
      <c r="B263" s="21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hidden="1" customHeight="1" x14ac:dyDescent="0.4">
      <c r="A264" s="20"/>
      <c r="B264" s="21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hidden="1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hidden="1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hidden="1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6:216" ht="15.75" hidden="1" customHeight="1" x14ac:dyDescent="0.4"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6:216" ht="15.75" hidden="1" customHeight="1" x14ac:dyDescent="0.4"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6:216" ht="15.75" hidden="1" customHeight="1" x14ac:dyDescent="0.4"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6:216" ht="15.75" hidden="1" customHeight="1" x14ac:dyDescent="0.4"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6:216" ht="15.75" hidden="1" customHeight="1" x14ac:dyDescent="0.4"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6:216" ht="15.75" hidden="1" customHeight="1" x14ac:dyDescent="0.4"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6:216" ht="15.75" hidden="1" customHeight="1" x14ac:dyDescent="0.4"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6:216" ht="15.75" hidden="1" customHeight="1" x14ac:dyDescent="0.4"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6:216" ht="15.75" hidden="1" customHeight="1" x14ac:dyDescent="0.4"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6:216" ht="15.75" hidden="1" customHeight="1" x14ac:dyDescent="0.4"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6:216" ht="15.75" hidden="1" customHeight="1" x14ac:dyDescent="0.4"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6:216" ht="15.75" hidden="1" customHeight="1" x14ac:dyDescent="0.4"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6:216" ht="15.75" hidden="1" customHeight="1" x14ac:dyDescent="0.4"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6:216" ht="15.75" hidden="1" customHeight="1" x14ac:dyDescent="0.4"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6:216" ht="15.75" hidden="1" customHeight="1" x14ac:dyDescent="0.4"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6:216" ht="15.75" hidden="1" customHeight="1" x14ac:dyDescent="0.4"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6:216" ht="15.75" hidden="1" customHeight="1" x14ac:dyDescent="0.4"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6:216" ht="15.75" hidden="1" customHeight="1" x14ac:dyDescent="0.4"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6:216" ht="15.75" hidden="1" customHeight="1" x14ac:dyDescent="0.4"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6:216" ht="15.75" hidden="1" customHeight="1" x14ac:dyDescent="0.4"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6:216" ht="15.75" hidden="1" customHeight="1" x14ac:dyDescent="0.4"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6:216" ht="15.75" hidden="1" customHeight="1" x14ac:dyDescent="0.4"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6:216" ht="15.75" hidden="1" customHeight="1" x14ac:dyDescent="0.4"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6:216" ht="15.75" hidden="1" customHeight="1" x14ac:dyDescent="0.4"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6:216" ht="15.75" hidden="1" customHeight="1" x14ac:dyDescent="0.4"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6:216" ht="15.75" hidden="1" customHeight="1" x14ac:dyDescent="0.4"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6:216" ht="15.75" hidden="1" customHeight="1" x14ac:dyDescent="0.4"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6:216" ht="15.75" hidden="1" customHeight="1" x14ac:dyDescent="0.4"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6:216" ht="15.75" hidden="1" customHeight="1" x14ac:dyDescent="0.4"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6:216" ht="15.75" hidden="1" customHeight="1" x14ac:dyDescent="0.4"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6:216" ht="15.75" hidden="1" customHeight="1" x14ac:dyDescent="0.4"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6:216" ht="15.75" hidden="1" customHeight="1" x14ac:dyDescent="0.4"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6:216" ht="15.75" hidden="1" customHeight="1" x14ac:dyDescent="0.4"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6:216" ht="15.75" hidden="1" customHeight="1" x14ac:dyDescent="0.4"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6:216" ht="15.75" hidden="1" customHeight="1" x14ac:dyDescent="0.4"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6:216" ht="15.75" hidden="1" customHeight="1" x14ac:dyDescent="0.4"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6:216" ht="15.75" hidden="1" customHeight="1" x14ac:dyDescent="0.4"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6:216" ht="15.75" hidden="1" customHeight="1" x14ac:dyDescent="0.4"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6:216" ht="15.75" hidden="1" customHeight="1" x14ac:dyDescent="0.4"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6:216" ht="15.75" hidden="1" customHeight="1" x14ac:dyDescent="0.4"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6:216" ht="15.75" hidden="1" customHeight="1" x14ac:dyDescent="0.4"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6:216" ht="15.75" hidden="1" customHeight="1" x14ac:dyDescent="0.4"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6:216" ht="15.75" hidden="1" customHeight="1" x14ac:dyDescent="0.4"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6:216" ht="15.75" hidden="1" customHeight="1" x14ac:dyDescent="0.4"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6:216" ht="15.75" hidden="1" customHeight="1" x14ac:dyDescent="0.4"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6:216" ht="15.75" hidden="1" customHeight="1" x14ac:dyDescent="0.4"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6:216" ht="15.75" hidden="1" customHeight="1" x14ac:dyDescent="0.4"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6:216" ht="15.75" hidden="1" customHeight="1" x14ac:dyDescent="0.4"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6:216" ht="15.75" hidden="1" customHeight="1" x14ac:dyDescent="0.4"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6:216" ht="15.75" hidden="1" customHeight="1" x14ac:dyDescent="0.4"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6:216" ht="15.75" hidden="1" customHeight="1" x14ac:dyDescent="0.4"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6:216" ht="15.75" hidden="1" customHeight="1" x14ac:dyDescent="0.4"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6:216" ht="15.75" hidden="1" customHeight="1" x14ac:dyDescent="0.4"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6:216" ht="15.75" hidden="1" customHeight="1" x14ac:dyDescent="0.4"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6:216" ht="15.75" hidden="1" customHeight="1" x14ac:dyDescent="0.4"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6:216" ht="15.75" hidden="1" customHeight="1" x14ac:dyDescent="0.4"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6:216" ht="15.75" hidden="1" customHeight="1" x14ac:dyDescent="0.4"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6:216" ht="15.75" hidden="1" customHeight="1" x14ac:dyDescent="0.4"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6:216" ht="15.75" hidden="1" customHeight="1" x14ac:dyDescent="0.4"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6:216" ht="15.75" hidden="1" customHeight="1" x14ac:dyDescent="0.4"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6:216" ht="15.75" hidden="1" customHeight="1" x14ac:dyDescent="0.4"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6:216" ht="15.75" hidden="1" customHeight="1" x14ac:dyDescent="0.4"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6:216" ht="15.75" hidden="1" customHeight="1" x14ac:dyDescent="0.4"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6:216" ht="15.75" hidden="1" customHeight="1" x14ac:dyDescent="0.4"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6:216" ht="15.75" hidden="1" customHeight="1" x14ac:dyDescent="0.4"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6:216" ht="15.75" hidden="1" customHeight="1" x14ac:dyDescent="0.4"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6:216" ht="15.75" hidden="1" customHeight="1" x14ac:dyDescent="0.4"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6:216" ht="15.75" hidden="1" customHeight="1" x14ac:dyDescent="0.4"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6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6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6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6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6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6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6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6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6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6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6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6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" customHeight="1" x14ac:dyDescent="0.4"/>
    <row r="1134" spans="16:216" ht="15" customHeight="1" x14ac:dyDescent="0.4"/>
    <row r="1135" spans="16:216" ht="15" customHeight="1" x14ac:dyDescent="0.4"/>
    <row r="1136" spans="16:216" ht="15" customHeight="1" x14ac:dyDescent="0.4"/>
    <row r="1137" ht="15" customHeight="1" x14ac:dyDescent="0.4"/>
    <row r="1138" ht="15" customHeight="1" x14ac:dyDescent="0.4"/>
    <row r="1139" ht="15" customHeight="1" x14ac:dyDescent="0.4"/>
    <row r="1140" ht="15" customHeight="1" x14ac:dyDescent="0.4"/>
    <row r="1141" ht="15" customHeight="1" x14ac:dyDescent="0.4"/>
    <row r="1142" ht="15" customHeight="1" x14ac:dyDescent="0.4"/>
    <row r="1143" ht="15" customHeight="1" x14ac:dyDescent="0.4"/>
    <row r="1144" ht="15" customHeight="1" x14ac:dyDescent="0.4"/>
    <row r="1145" ht="15" customHeight="1" x14ac:dyDescent="0.4"/>
    <row r="1146" ht="15" customHeight="1" x14ac:dyDescent="0.4"/>
    <row r="1147" ht="15" customHeight="1" x14ac:dyDescent="0.4"/>
    <row r="1148" ht="15" customHeight="1" x14ac:dyDescent="0.4"/>
    <row r="1149" ht="15" customHeight="1" x14ac:dyDescent="0.4"/>
    <row r="1150" ht="15" customHeight="1" x14ac:dyDescent="0.4"/>
    <row r="1151" ht="15" customHeight="1" x14ac:dyDescent="0.4"/>
    <row r="1152" ht="15" customHeight="1" x14ac:dyDescent="0.4"/>
    <row r="1153" ht="15" customHeight="1" x14ac:dyDescent="0.4"/>
    <row r="1154" ht="15" customHeight="1" x14ac:dyDescent="0.4"/>
    <row r="1155" ht="15" customHeight="1" x14ac:dyDescent="0.4"/>
    <row r="1156" ht="15" customHeight="1" x14ac:dyDescent="0.4"/>
    <row r="1157" ht="15" customHeight="1" x14ac:dyDescent="0.4"/>
    <row r="1158" ht="15" customHeight="1" x14ac:dyDescent="0.4"/>
    <row r="1159" ht="15" customHeight="1" x14ac:dyDescent="0.4"/>
    <row r="1160" ht="15" customHeight="1" x14ac:dyDescent="0.4"/>
    <row r="1161" ht="15" customHeight="1" x14ac:dyDescent="0.4"/>
    <row r="1162" ht="15" customHeight="1" x14ac:dyDescent="0.4"/>
    <row r="1163" ht="15" customHeight="1" x14ac:dyDescent="0.4"/>
    <row r="1164" ht="15" customHeight="1" x14ac:dyDescent="0.4"/>
    <row r="1165" ht="15" customHeight="1" x14ac:dyDescent="0.4"/>
    <row r="1166" ht="15" customHeight="1" x14ac:dyDescent="0.4"/>
    <row r="1167" ht="15" customHeight="1" x14ac:dyDescent="0.4"/>
    <row r="1168" ht="15" customHeight="1" x14ac:dyDescent="0.4"/>
    <row r="1169" ht="15" customHeight="1" x14ac:dyDescent="0.4"/>
    <row r="1170" ht="15" customHeight="1" x14ac:dyDescent="0.4"/>
    <row r="1171" ht="15" customHeight="1" x14ac:dyDescent="0.4"/>
    <row r="1172" ht="15" customHeight="1" x14ac:dyDescent="0.4"/>
    <row r="1173" ht="15" customHeight="1" x14ac:dyDescent="0.4"/>
    <row r="1174" ht="15" customHeight="1" x14ac:dyDescent="0.4"/>
    <row r="1175" ht="15" customHeight="1" x14ac:dyDescent="0.4"/>
    <row r="1176" ht="15" customHeight="1" x14ac:dyDescent="0.4"/>
    <row r="1177" ht="15" customHeight="1" x14ac:dyDescent="0.4"/>
    <row r="1178" ht="15" customHeight="1" x14ac:dyDescent="0.4"/>
    <row r="1179" ht="15" customHeight="1" x14ac:dyDescent="0.4"/>
    <row r="1180" ht="15" customHeight="1" x14ac:dyDescent="0.4"/>
    <row r="1181" ht="15" customHeight="1" x14ac:dyDescent="0.4"/>
    <row r="1182" ht="15" customHeight="1" x14ac:dyDescent="0.4"/>
    <row r="1183" ht="15" customHeight="1" x14ac:dyDescent="0.4"/>
    <row r="1184" ht="15" customHeight="1" x14ac:dyDescent="0.4"/>
    <row r="1185" ht="15" customHeight="1" x14ac:dyDescent="0.4"/>
    <row r="1186" ht="15" customHeight="1" x14ac:dyDescent="0.4"/>
    <row r="1187" ht="15" customHeight="1" x14ac:dyDescent="0.4"/>
    <row r="1188" ht="15" customHeight="1" x14ac:dyDescent="0.4"/>
    <row r="1189" ht="15" customHeight="1" x14ac:dyDescent="0.4"/>
    <row r="1190" ht="15" customHeight="1" x14ac:dyDescent="0.4"/>
    <row r="1191" ht="15" customHeight="1" x14ac:dyDescent="0.4"/>
    <row r="1192" ht="15" customHeight="1" x14ac:dyDescent="0.4"/>
    <row r="1193" ht="15" customHeight="1" x14ac:dyDescent="0.4"/>
    <row r="1194" ht="15" customHeight="1" x14ac:dyDescent="0.4"/>
    <row r="1195" ht="15" customHeight="1" x14ac:dyDescent="0.4"/>
    <row r="1196" ht="15" customHeight="1" x14ac:dyDescent="0.4"/>
    <row r="1197" ht="15" customHeight="1" x14ac:dyDescent="0.4"/>
    <row r="1198" ht="15" customHeight="1" x14ac:dyDescent="0.4"/>
    <row r="1199" ht="15" customHeight="1" x14ac:dyDescent="0.4"/>
    <row r="1200" ht="15" customHeight="1" x14ac:dyDescent="0.4"/>
    <row r="1201" ht="15" customHeight="1" x14ac:dyDescent="0.4"/>
    <row r="1202" ht="15" customHeight="1" x14ac:dyDescent="0.4"/>
    <row r="1203" ht="15" customHeight="1" x14ac:dyDescent="0.4"/>
    <row r="1204" ht="15" customHeight="1" x14ac:dyDescent="0.4"/>
    <row r="1205" ht="15" customHeight="1" x14ac:dyDescent="0.4"/>
    <row r="1206" ht="15" customHeight="1" x14ac:dyDescent="0.4"/>
    <row r="1207" ht="15" customHeight="1" x14ac:dyDescent="0.4"/>
    <row r="1208" ht="15" customHeight="1" x14ac:dyDescent="0.4"/>
    <row r="1209" ht="15" customHeight="1" x14ac:dyDescent="0.4"/>
    <row r="1210" ht="15" customHeight="1" x14ac:dyDescent="0.4"/>
    <row r="1211" ht="15" customHeight="1" x14ac:dyDescent="0.4"/>
    <row r="1212" ht="15" customHeight="1" x14ac:dyDescent="0.4"/>
    <row r="1213" ht="15" customHeight="1" x14ac:dyDescent="0.4"/>
    <row r="1214" ht="15" customHeight="1" x14ac:dyDescent="0.4"/>
    <row r="1215" ht="15" customHeight="1" x14ac:dyDescent="0.4"/>
    <row r="1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2:D52"/>
    <mergeCell ref="B43:D43"/>
    <mergeCell ref="A44:D44"/>
    <mergeCell ref="C45:D45"/>
    <mergeCell ref="B61:D61"/>
    <mergeCell ref="A62:E62"/>
    <mergeCell ref="C54:D54"/>
    <mergeCell ref="A53:E53"/>
    <mergeCell ref="C63:D63"/>
    <mergeCell ref="C81:D81"/>
    <mergeCell ref="B79:D79"/>
    <mergeCell ref="A80:E80"/>
    <mergeCell ref="B70:D70"/>
    <mergeCell ref="A71:E71"/>
    <mergeCell ref="C72:D72"/>
    <mergeCell ref="B91:D91"/>
    <mergeCell ref="A92:E92"/>
    <mergeCell ref="C93:D93"/>
    <mergeCell ref="B88:D88"/>
    <mergeCell ref="C90:D90"/>
    <mergeCell ref="A89:E89"/>
    <mergeCell ref="C115:D115"/>
    <mergeCell ref="B113:D113"/>
    <mergeCell ref="A114:E114"/>
    <mergeCell ref="B98:D98"/>
    <mergeCell ref="A99:E99"/>
    <mergeCell ref="C100:D100"/>
    <mergeCell ref="C109:D109"/>
    <mergeCell ref="B107:D107"/>
    <mergeCell ref="A108:E108"/>
    <mergeCell ref="C127:D127"/>
    <mergeCell ref="B125:D125"/>
    <mergeCell ref="A126:E126"/>
    <mergeCell ref="B122:D122"/>
    <mergeCell ref="A123:E123"/>
    <mergeCell ref="C124:D124"/>
    <mergeCell ref="B142:D142"/>
    <mergeCell ref="A143:E143"/>
    <mergeCell ref="C144:D144"/>
    <mergeCell ref="B134:D134"/>
    <mergeCell ref="C136:D136"/>
    <mergeCell ref="A135:E135"/>
    <mergeCell ref="B156:D156"/>
    <mergeCell ref="C158:D158"/>
    <mergeCell ref="A157:E157"/>
    <mergeCell ref="C153:D153"/>
    <mergeCell ref="B151:D151"/>
    <mergeCell ref="A152:E152"/>
    <mergeCell ref="C173:D173"/>
    <mergeCell ref="B171:D171"/>
    <mergeCell ref="A172:E172"/>
    <mergeCell ref="B162:D162"/>
    <mergeCell ref="A163:E163"/>
    <mergeCell ref="C164:D164"/>
    <mergeCell ref="C179:D179"/>
    <mergeCell ref="C180:D180"/>
    <mergeCell ref="C181:D181"/>
    <mergeCell ref="B176:D176"/>
    <mergeCell ref="B178:D178"/>
  </mergeCells>
  <conditionalFormatting sqref="E30">
    <cfRule type="expression" dxfId="213" priority="135">
      <formula>E30&lt;&gt;E181</formula>
    </cfRule>
    <cfRule type="expression" dxfId="212" priority="136">
      <formula>E30&lt;&gt;E34</formula>
    </cfRule>
  </conditionalFormatting>
  <conditionalFormatting sqref="E52">
    <cfRule type="containsBlanks" dxfId="211" priority="1">
      <formula>LEN(TRIM(E52))=0</formula>
    </cfRule>
  </conditionalFormatting>
  <conditionalFormatting sqref="E61">
    <cfRule type="containsBlanks" dxfId="210" priority="2">
      <formula>LEN(TRIM(E61))=0</formula>
    </cfRule>
  </conditionalFormatting>
  <conditionalFormatting sqref="E70">
    <cfRule type="containsBlanks" dxfId="209" priority="3">
      <formula>LEN(TRIM(E70))=0</formula>
    </cfRule>
  </conditionalFormatting>
  <conditionalFormatting sqref="E79">
    <cfRule type="containsBlanks" dxfId="208" priority="4">
      <formula>LEN(TRIM(E79))=0</formula>
    </cfRule>
  </conditionalFormatting>
  <conditionalFormatting sqref="E88">
    <cfRule type="containsBlanks" dxfId="207" priority="5">
      <formula>LEN(TRIM(E88))=0</formula>
    </cfRule>
  </conditionalFormatting>
  <conditionalFormatting sqref="E91">
    <cfRule type="containsBlanks" dxfId="206" priority="6">
      <formula>LEN(TRIM(E91))=0</formula>
    </cfRule>
  </conditionalFormatting>
  <conditionalFormatting sqref="E98">
    <cfRule type="containsBlanks" dxfId="205" priority="7">
      <formula>LEN(TRIM(E98))=0</formula>
    </cfRule>
  </conditionalFormatting>
  <conditionalFormatting sqref="E107">
    <cfRule type="containsBlanks" dxfId="204" priority="8">
      <formula>LEN(TRIM(E107))=0</formula>
    </cfRule>
  </conditionalFormatting>
  <conditionalFormatting sqref="E113">
    <cfRule type="containsBlanks" dxfId="203" priority="9">
      <formula>LEN(TRIM(E113))=0</formula>
    </cfRule>
  </conditionalFormatting>
  <conditionalFormatting sqref="E122">
    <cfRule type="containsBlanks" dxfId="202" priority="10">
      <formula>LEN(TRIM(E122))=0</formula>
    </cfRule>
  </conditionalFormatting>
  <conditionalFormatting sqref="E125">
    <cfRule type="containsBlanks" dxfId="201" priority="11">
      <formula>LEN(TRIM(E125))=0</formula>
    </cfRule>
  </conditionalFormatting>
  <conditionalFormatting sqref="E134">
    <cfRule type="containsBlanks" dxfId="200" priority="12">
      <formula>LEN(TRIM(E134))=0</formula>
    </cfRule>
  </conditionalFormatting>
  <conditionalFormatting sqref="E142">
    <cfRule type="containsBlanks" dxfId="199" priority="13">
      <formula>LEN(TRIM(E142))=0</formula>
    </cfRule>
  </conditionalFormatting>
  <conditionalFormatting sqref="E151">
    <cfRule type="containsBlanks" dxfId="198" priority="14">
      <formula>LEN(TRIM(E151))=0</formula>
    </cfRule>
  </conditionalFormatting>
  <conditionalFormatting sqref="E156">
    <cfRule type="containsBlanks" dxfId="197" priority="15">
      <formula>LEN(TRIM(E156))=0</formula>
    </cfRule>
  </conditionalFormatting>
  <conditionalFormatting sqref="E162">
    <cfRule type="containsBlanks" dxfId="196" priority="16">
      <formula>LEN(TRIM(E162))=0</formula>
    </cfRule>
  </conditionalFormatting>
  <conditionalFormatting sqref="E171">
    <cfRule type="containsBlanks" dxfId="195" priority="17">
      <formula>LEN(TRIM(E171))=0</formula>
    </cfRule>
  </conditionalFormatting>
  <conditionalFormatting sqref="E176">
    <cfRule type="containsBlanks" dxfId="194" priority="25">
      <formula>LEN(TRIM(E176))=0</formula>
    </cfRule>
  </conditionalFormatting>
  <conditionalFormatting sqref="F176:O178">
    <cfRule type="cellIs" dxfId="193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AC181"/>
  <sheetViews>
    <sheetView topLeftCell="E13" zoomScale="85" zoomScaleNormal="85" workbookViewId="0">
      <pane ySplit="1" topLeftCell="A173" activePane="bottomLeft" state="frozen"/>
      <selection activeCell="A13" sqref="A13"/>
      <selection pane="bottomLeft" activeCell="AC180" sqref="AC180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193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194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</row>
    <row r="12" spans="1:29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2" t="s">
        <v>103</v>
      </c>
    </row>
    <row r="13" spans="1:29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93"/>
    </row>
    <row r="14" spans="1:29" x14ac:dyDescent="0.4">
      <c r="A14" s="7"/>
      <c r="B14" s="80" t="s">
        <v>22</v>
      </c>
      <c r="C14" s="68"/>
      <c r="D14" s="6" t="s">
        <v>23</v>
      </c>
      <c r="E14" s="6">
        <v>148</v>
      </c>
      <c r="F14" s="6">
        <v>140</v>
      </c>
      <c r="G14" s="6">
        <v>133</v>
      </c>
      <c r="H14" s="6">
        <v>145</v>
      </c>
      <c r="I14" s="6">
        <v>130</v>
      </c>
      <c r="J14" s="6">
        <v>136</v>
      </c>
      <c r="K14" s="6">
        <v>147</v>
      </c>
      <c r="L14" s="6">
        <v>130</v>
      </c>
      <c r="M14" s="6">
        <v>139</v>
      </c>
      <c r="N14" s="6">
        <v>140</v>
      </c>
      <c r="O14" s="6">
        <v>129</v>
      </c>
      <c r="P14" s="6">
        <v>109</v>
      </c>
      <c r="Q14" s="6">
        <v>148</v>
      </c>
      <c r="R14" s="6">
        <v>138</v>
      </c>
      <c r="S14" s="6">
        <v>139</v>
      </c>
      <c r="T14" s="6">
        <v>143</v>
      </c>
      <c r="U14" s="6">
        <v>140</v>
      </c>
      <c r="V14" s="6">
        <v>131</v>
      </c>
      <c r="W14" s="6">
        <v>132</v>
      </c>
      <c r="X14" s="6">
        <v>144</v>
      </c>
      <c r="Y14" s="6">
        <v>104</v>
      </c>
      <c r="Z14" s="6">
        <v>86</v>
      </c>
      <c r="AA14" s="6">
        <v>146</v>
      </c>
      <c r="AB14" s="6">
        <v>116</v>
      </c>
      <c r="AC14" s="5">
        <f>SUM(E14:AB14)</f>
        <v>3193</v>
      </c>
    </row>
    <row r="15" spans="1:29" x14ac:dyDescent="0.4">
      <c r="A15" s="7"/>
      <c r="B15" s="81"/>
      <c r="C15" s="74"/>
      <c r="D15" s="6" t="s">
        <v>24</v>
      </c>
      <c r="E15" s="6">
        <v>146</v>
      </c>
      <c r="F15" s="6">
        <v>139</v>
      </c>
      <c r="G15" s="6">
        <v>139</v>
      </c>
      <c r="H15" s="6">
        <v>150</v>
      </c>
      <c r="I15" s="6">
        <v>136</v>
      </c>
      <c r="J15" s="6">
        <v>144</v>
      </c>
      <c r="K15" s="6">
        <v>133</v>
      </c>
      <c r="L15" s="6">
        <v>153</v>
      </c>
      <c r="M15" s="6">
        <v>145</v>
      </c>
      <c r="N15" s="6">
        <v>134</v>
      </c>
      <c r="O15" s="6">
        <v>144</v>
      </c>
      <c r="P15" s="6">
        <v>118</v>
      </c>
      <c r="Q15" s="6">
        <v>140</v>
      </c>
      <c r="R15" s="6">
        <v>146</v>
      </c>
      <c r="S15" s="6">
        <v>139</v>
      </c>
      <c r="T15" s="6">
        <v>142</v>
      </c>
      <c r="U15" s="6">
        <v>137</v>
      </c>
      <c r="V15" s="6">
        <v>134</v>
      </c>
      <c r="W15" s="6">
        <v>149</v>
      </c>
      <c r="X15" s="6">
        <v>148</v>
      </c>
      <c r="Y15" s="6">
        <v>122</v>
      </c>
      <c r="Z15" s="6">
        <v>110</v>
      </c>
      <c r="AA15" s="6">
        <v>142</v>
      </c>
      <c r="AB15" s="6">
        <v>124</v>
      </c>
      <c r="AC15" s="5">
        <f>SUM(E15:AB15)</f>
        <v>3314</v>
      </c>
    </row>
    <row r="16" spans="1:29" x14ac:dyDescent="0.4">
      <c r="A16" s="8"/>
      <c r="B16" s="79"/>
      <c r="C16" s="75"/>
      <c r="D16" s="5" t="s">
        <v>25</v>
      </c>
      <c r="E16" s="5">
        <f t="shared" ref="E16:AB16" si="0">SUM(E14:E15)</f>
        <v>294</v>
      </c>
      <c r="F16" s="5">
        <f t="shared" ref="F16:N16" si="1">SUM(F14:F15)</f>
        <v>279</v>
      </c>
      <c r="G16" s="5">
        <f t="shared" si="1"/>
        <v>272</v>
      </c>
      <c r="H16" s="5">
        <f t="shared" si="1"/>
        <v>295</v>
      </c>
      <c r="I16" s="5">
        <f t="shared" si="1"/>
        <v>266</v>
      </c>
      <c r="J16" s="5">
        <f t="shared" si="1"/>
        <v>280</v>
      </c>
      <c r="K16" s="5">
        <f t="shared" si="1"/>
        <v>280</v>
      </c>
      <c r="L16" s="5">
        <f t="shared" si="1"/>
        <v>283</v>
      </c>
      <c r="M16" s="5">
        <f t="shared" si="1"/>
        <v>284</v>
      </c>
      <c r="N16" s="5">
        <f t="shared" si="1"/>
        <v>274</v>
      </c>
      <c r="O16" s="5">
        <f t="shared" si="0"/>
        <v>273</v>
      </c>
      <c r="P16" s="5">
        <f t="shared" si="0"/>
        <v>227</v>
      </c>
      <c r="Q16" s="5">
        <f t="shared" si="0"/>
        <v>288</v>
      </c>
      <c r="R16" s="5">
        <f t="shared" si="0"/>
        <v>284</v>
      </c>
      <c r="S16" s="5">
        <f t="shared" si="0"/>
        <v>278</v>
      </c>
      <c r="T16" s="5">
        <f t="shared" si="0"/>
        <v>285</v>
      </c>
      <c r="U16" s="5">
        <f t="shared" si="0"/>
        <v>277</v>
      </c>
      <c r="V16" s="5">
        <f t="shared" si="0"/>
        <v>265</v>
      </c>
      <c r="W16" s="5">
        <f t="shared" si="0"/>
        <v>281</v>
      </c>
      <c r="X16" s="5">
        <f t="shared" si="0"/>
        <v>292</v>
      </c>
      <c r="Y16" s="5">
        <f t="shared" ref="Y16" si="2">SUM(Y14:Y15)</f>
        <v>226</v>
      </c>
      <c r="Z16" s="5">
        <f t="shared" si="0"/>
        <v>196</v>
      </c>
      <c r="AA16" s="5">
        <f t="shared" si="0"/>
        <v>288</v>
      </c>
      <c r="AB16" s="5">
        <f t="shared" si="0"/>
        <v>240</v>
      </c>
      <c r="AC16" s="5">
        <f>SUM(E16:AB16)</f>
        <v>6507</v>
      </c>
    </row>
    <row r="17" spans="1:29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28"/>
    </row>
    <row r="18" spans="1:29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10"/>
      <c r="Y18" s="6"/>
      <c r="Z18" s="6"/>
      <c r="AA18" s="6"/>
      <c r="AB18" s="6"/>
      <c r="AC18" s="28"/>
    </row>
    <row r="19" spans="1:29" x14ac:dyDescent="0.4">
      <c r="A19" s="11"/>
      <c r="B19" s="82" t="s">
        <v>28</v>
      </c>
      <c r="C19" s="83" t="s">
        <v>29</v>
      </c>
      <c r="D19" s="6" t="s">
        <v>23</v>
      </c>
      <c r="E19" s="6">
        <v>101</v>
      </c>
      <c r="F19" s="6">
        <v>102</v>
      </c>
      <c r="G19" s="6">
        <v>101</v>
      </c>
      <c r="H19" s="6">
        <v>122</v>
      </c>
      <c r="I19" s="6">
        <v>82</v>
      </c>
      <c r="J19" s="6">
        <v>102</v>
      </c>
      <c r="K19" s="6">
        <v>111</v>
      </c>
      <c r="L19" s="6">
        <v>98</v>
      </c>
      <c r="M19" s="6">
        <v>95</v>
      </c>
      <c r="N19" s="6">
        <v>102</v>
      </c>
      <c r="O19" s="6">
        <v>88</v>
      </c>
      <c r="P19" s="6">
        <v>68</v>
      </c>
      <c r="Q19" s="6">
        <v>92</v>
      </c>
      <c r="R19" s="6">
        <v>92</v>
      </c>
      <c r="S19" s="6">
        <v>86</v>
      </c>
      <c r="T19" s="6">
        <v>117</v>
      </c>
      <c r="U19" s="6">
        <v>122</v>
      </c>
      <c r="V19" s="6">
        <v>108</v>
      </c>
      <c r="W19" s="6">
        <v>106</v>
      </c>
      <c r="X19" s="6">
        <v>104</v>
      </c>
      <c r="Y19" s="6">
        <v>89</v>
      </c>
      <c r="Z19" s="6">
        <v>65</v>
      </c>
      <c r="AA19" s="6">
        <v>92</v>
      </c>
      <c r="AB19" s="6">
        <v>94</v>
      </c>
      <c r="AC19" s="5">
        <f t="shared" ref="AC19:AC30" si="3">SUM(E19:AB19)</f>
        <v>2339</v>
      </c>
    </row>
    <row r="20" spans="1:29" x14ac:dyDescent="0.4">
      <c r="A20" s="12"/>
      <c r="B20" s="74"/>
      <c r="C20" s="84"/>
      <c r="D20" s="6" t="s">
        <v>24</v>
      </c>
      <c r="E20" s="6">
        <v>117</v>
      </c>
      <c r="F20" s="6">
        <v>115</v>
      </c>
      <c r="G20" s="6">
        <v>119</v>
      </c>
      <c r="H20" s="6">
        <v>125</v>
      </c>
      <c r="I20" s="6">
        <v>107</v>
      </c>
      <c r="J20" s="6">
        <v>119</v>
      </c>
      <c r="K20" s="6">
        <v>107</v>
      </c>
      <c r="L20" s="6">
        <v>121</v>
      </c>
      <c r="M20" s="6">
        <v>119</v>
      </c>
      <c r="N20" s="6">
        <v>111</v>
      </c>
      <c r="O20" s="6">
        <v>116</v>
      </c>
      <c r="P20" s="6">
        <v>100</v>
      </c>
      <c r="Q20" s="6">
        <v>97</v>
      </c>
      <c r="R20" s="6">
        <v>109</v>
      </c>
      <c r="S20" s="6">
        <v>111</v>
      </c>
      <c r="T20" s="6">
        <v>121</v>
      </c>
      <c r="U20" s="6">
        <v>121</v>
      </c>
      <c r="V20" s="6">
        <v>121</v>
      </c>
      <c r="W20" s="6">
        <v>118</v>
      </c>
      <c r="X20" s="6">
        <v>116</v>
      </c>
      <c r="Y20" s="6">
        <v>101</v>
      </c>
      <c r="Z20" s="6">
        <v>91</v>
      </c>
      <c r="AA20" s="6">
        <v>110</v>
      </c>
      <c r="AB20" s="6">
        <v>108</v>
      </c>
      <c r="AC20" s="5">
        <f t="shared" si="3"/>
        <v>2700</v>
      </c>
    </row>
    <row r="21" spans="1:29" x14ac:dyDescent="0.4">
      <c r="A21" s="13"/>
      <c r="B21" s="75"/>
      <c r="C21" s="85"/>
      <c r="D21" s="5" t="s">
        <v>25</v>
      </c>
      <c r="E21" s="5">
        <f t="shared" ref="E21:AB21" si="4">SUM(E19:E20)</f>
        <v>218</v>
      </c>
      <c r="F21" s="5">
        <f t="shared" ref="F21:N21" si="5">SUM(F19:F20)</f>
        <v>217</v>
      </c>
      <c r="G21" s="5">
        <f t="shared" si="5"/>
        <v>220</v>
      </c>
      <c r="H21" s="5">
        <f t="shared" si="5"/>
        <v>247</v>
      </c>
      <c r="I21" s="5">
        <f t="shared" si="5"/>
        <v>189</v>
      </c>
      <c r="J21" s="5">
        <f t="shared" si="5"/>
        <v>221</v>
      </c>
      <c r="K21" s="5">
        <f t="shared" si="5"/>
        <v>218</v>
      </c>
      <c r="L21" s="5">
        <f t="shared" si="5"/>
        <v>219</v>
      </c>
      <c r="M21" s="5">
        <f t="shared" si="5"/>
        <v>214</v>
      </c>
      <c r="N21" s="5">
        <f t="shared" si="5"/>
        <v>213</v>
      </c>
      <c r="O21" s="5">
        <f t="shared" si="4"/>
        <v>204</v>
      </c>
      <c r="P21" s="5">
        <f t="shared" si="4"/>
        <v>168</v>
      </c>
      <c r="Q21" s="5">
        <f t="shared" si="4"/>
        <v>189</v>
      </c>
      <c r="R21" s="5">
        <f t="shared" si="4"/>
        <v>201</v>
      </c>
      <c r="S21" s="5">
        <f t="shared" si="4"/>
        <v>197</v>
      </c>
      <c r="T21" s="5">
        <f t="shared" si="4"/>
        <v>238</v>
      </c>
      <c r="U21" s="5">
        <f t="shared" si="4"/>
        <v>243</v>
      </c>
      <c r="V21" s="5">
        <f t="shared" si="4"/>
        <v>229</v>
      </c>
      <c r="W21" s="5">
        <f t="shared" si="4"/>
        <v>224</v>
      </c>
      <c r="X21" s="5">
        <f t="shared" si="4"/>
        <v>220</v>
      </c>
      <c r="Y21" s="5">
        <f t="shared" ref="Y21" si="6">SUM(Y19:Y20)</f>
        <v>190</v>
      </c>
      <c r="Z21" s="5">
        <f t="shared" si="4"/>
        <v>156</v>
      </c>
      <c r="AA21" s="5">
        <f t="shared" si="4"/>
        <v>202</v>
      </c>
      <c r="AB21" s="5">
        <f t="shared" si="4"/>
        <v>202</v>
      </c>
      <c r="AC21" s="5">
        <f t="shared" si="3"/>
        <v>5039</v>
      </c>
    </row>
    <row r="22" spans="1:29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1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5">
        <f t="shared" si="3"/>
        <v>6</v>
      </c>
    </row>
    <row r="23" spans="1:29" x14ac:dyDescent="0.4">
      <c r="A23" s="12"/>
      <c r="B23" s="74"/>
      <c r="C23" s="84"/>
      <c r="D23" s="6" t="s">
        <v>24</v>
      </c>
      <c r="E23" s="6">
        <v>1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1</v>
      </c>
      <c r="T23" s="6">
        <v>2</v>
      </c>
      <c r="U23" s="6">
        <v>1</v>
      </c>
      <c r="V23" s="6">
        <v>1</v>
      </c>
      <c r="W23" s="6">
        <v>0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5">
        <f t="shared" si="3"/>
        <v>15</v>
      </c>
    </row>
    <row r="24" spans="1:29" x14ac:dyDescent="0.4">
      <c r="A24" s="13"/>
      <c r="B24" s="75"/>
      <c r="C24" s="85"/>
      <c r="D24" s="5" t="s">
        <v>25</v>
      </c>
      <c r="E24" s="5">
        <f t="shared" ref="E24:AB24" si="7">SUM(E22:E23)</f>
        <v>1</v>
      </c>
      <c r="F24" s="5">
        <f t="shared" ref="F24:N24" si="8">SUM(F22:F23)</f>
        <v>1</v>
      </c>
      <c r="G24" s="5">
        <f t="shared" si="8"/>
        <v>1</v>
      </c>
      <c r="H24" s="5">
        <f t="shared" si="8"/>
        <v>1</v>
      </c>
      <c r="I24" s="5">
        <f t="shared" si="8"/>
        <v>0</v>
      </c>
      <c r="J24" s="5">
        <f t="shared" si="8"/>
        <v>1</v>
      </c>
      <c r="K24" s="5">
        <f t="shared" si="8"/>
        <v>1</v>
      </c>
      <c r="L24" s="5">
        <f t="shared" si="8"/>
        <v>0</v>
      </c>
      <c r="M24" s="5">
        <f t="shared" si="8"/>
        <v>1</v>
      </c>
      <c r="N24" s="5">
        <f t="shared" si="8"/>
        <v>0</v>
      </c>
      <c r="O24" s="5">
        <f t="shared" si="7"/>
        <v>0</v>
      </c>
      <c r="P24" s="5">
        <f t="shared" si="7"/>
        <v>1</v>
      </c>
      <c r="Q24" s="5">
        <f t="shared" si="7"/>
        <v>1</v>
      </c>
      <c r="R24" s="5">
        <f t="shared" si="7"/>
        <v>1</v>
      </c>
      <c r="S24" s="5">
        <f t="shared" si="7"/>
        <v>1</v>
      </c>
      <c r="T24" s="5">
        <f t="shared" si="7"/>
        <v>2</v>
      </c>
      <c r="U24" s="5">
        <f t="shared" si="7"/>
        <v>1</v>
      </c>
      <c r="V24" s="5">
        <f t="shared" si="7"/>
        <v>1</v>
      </c>
      <c r="W24" s="5">
        <f t="shared" si="7"/>
        <v>1</v>
      </c>
      <c r="X24" s="5">
        <f t="shared" si="7"/>
        <v>1</v>
      </c>
      <c r="Y24" s="5">
        <f t="shared" ref="Y24" si="9">SUM(Y22:Y23)</f>
        <v>1</v>
      </c>
      <c r="Z24" s="5">
        <f t="shared" si="7"/>
        <v>1</v>
      </c>
      <c r="AA24" s="5">
        <f t="shared" si="7"/>
        <v>1</v>
      </c>
      <c r="AB24" s="5">
        <f t="shared" si="7"/>
        <v>1</v>
      </c>
      <c r="AC24" s="5">
        <f t="shared" si="3"/>
        <v>21</v>
      </c>
    </row>
    <row r="25" spans="1:29" x14ac:dyDescent="0.4">
      <c r="A25" s="12"/>
      <c r="B25" s="82" t="s">
        <v>32</v>
      </c>
      <c r="C25" s="83" t="s">
        <v>33</v>
      </c>
      <c r="D25" s="6" t="s">
        <v>23</v>
      </c>
      <c r="E25" s="6">
        <v>2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4</v>
      </c>
      <c r="M25" s="6">
        <v>0</v>
      </c>
      <c r="N25" s="6">
        <v>0</v>
      </c>
      <c r="O25" s="6">
        <v>0</v>
      </c>
      <c r="P25" s="6">
        <v>3</v>
      </c>
      <c r="Q25" s="6">
        <v>1</v>
      </c>
      <c r="R25" s="6">
        <v>0</v>
      </c>
      <c r="S25" s="6">
        <v>1</v>
      </c>
      <c r="T25" s="6">
        <v>0</v>
      </c>
      <c r="U25" s="6">
        <v>3</v>
      </c>
      <c r="V25" s="6">
        <v>1</v>
      </c>
      <c r="W25" s="6">
        <v>0</v>
      </c>
      <c r="X25" s="6">
        <v>1</v>
      </c>
      <c r="Y25" s="6">
        <v>0</v>
      </c>
      <c r="Z25" s="6">
        <v>5</v>
      </c>
      <c r="AA25" s="6">
        <v>0</v>
      </c>
      <c r="AB25" s="6">
        <v>3</v>
      </c>
      <c r="AC25" s="5">
        <f t="shared" si="3"/>
        <v>27</v>
      </c>
    </row>
    <row r="26" spans="1:29" x14ac:dyDescent="0.4">
      <c r="A26" s="12"/>
      <c r="B26" s="74"/>
      <c r="C26" s="84"/>
      <c r="D26" s="6" t="s">
        <v>24</v>
      </c>
      <c r="E26" s="6">
        <v>4</v>
      </c>
      <c r="F26" s="6">
        <v>3</v>
      </c>
      <c r="G26" s="6">
        <v>0</v>
      </c>
      <c r="H26" s="6">
        <v>0</v>
      </c>
      <c r="I26" s="6">
        <v>1</v>
      </c>
      <c r="J26" s="6">
        <v>1</v>
      </c>
      <c r="K26" s="6">
        <v>0</v>
      </c>
      <c r="L26" s="6">
        <v>4</v>
      </c>
      <c r="M26" s="6">
        <v>0</v>
      </c>
      <c r="N26" s="6">
        <v>1</v>
      </c>
      <c r="O26" s="6">
        <v>1</v>
      </c>
      <c r="P26" s="6">
        <v>4</v>
      </c>
      <c r="Q26" s="6">
        <v>1</v>
      </c>
      <c r="R26" s="6">
        <v>0</v>
      </c>
      <c r="S26" s="6">
        <v>2</v>
      </c>
      <c r="T26" s="6">
        <v>0</v>
      </c>
      <c r="U26" s="6">
        <v>1</v>
      </c>
      <c r="V26" s="6">
        <v>1</v>
      </c>
      <c r="W26" s="6">
        <v>0</v>
      </c>
      <c r="X26" s="6">
        <v>3</v>
      </c>
      <c r="Y26" s="6">
        <v>0</v>
      </c>
      <c r="Z26" s="6">
        <v>1</v>
      </c>
      <c r="AA26" s="6">
        <v>0</v>
      </c>
      <c r="AB26" s="6">
        <v>4</v>
      </c>
      <c r="AC26" s="5">
        <f t="shared" si="3"/>
        <v>32</v>
      </c>
    </row>
    <row r="27" spans="1:29" x14ac:dyDescent="0.4">
      <c r="A27" s="13"/>
      <c r="B27" s="75"/>
      <c r="C27" s="85"/>
      <c r="D27" s="5" t="s">
        <v>25</v>
      </c>
      <c r="E27" s="5">
        <f t="shared" ref="E27:AB27" si="10">SUM(E25:E26)</f>
        <v>6</v>
      </c>
      <c r="F27" s="5">
        <f t="shared" ref="F27:N27" si="11">SUM(F25:F26)</f>
        <v>4</v>
      </c>
      <c r="G27" s="5">
        <f t="shared" si="11"/>
        <v>0</v>
      </c>
      <c r="H27" s="5">
        <f t="shared" si="11"/>
        <v>0</v>
      </c>
      <c r="I27" s="5">
        <f t="shared" si="11"/>
        <v>1</v>
      </c>
      <c r="J27" s="5">
        <f t="shared" si="11"/>
        <v>1</v>
      </c>
      <c r="K27" s="5">
        <f t="shared" si="11"/>
        <v>2</v>
      </c>
      <c r="L27" s="5">
        <f t="shared" si="11"/>
        <v>8</v>
      </c>
      <c r="M27" s="5">
        <f t="shared" si="11"/>
        <v>0</v>
      </c>
      <c r="N27" s="5">
        <f t="shared" si="11"/>
        <v>1</v>
      </c>
      <c r="O27" s="5">
        <f t="shared" si="10"/>
        <v>1</v>
      </c>
      <c r="P27" s="5">
        <f t="shared" si="10"/>
        <v>7</v>
      </c>
      <c r="Q27" s="5">
        <f t="shared" si="10"/>
        <v>2</v>
      </c>
      <c r="R27" s="5">
        <f t="shared" si="10"/>
        <v>0</v>
      </c>
      <c r="S27" s="5">
        <f t="shared" si="10"/>
        <v>3</v>
      </c>
      <c r="T27" s="5">
        <f t="shared" si="10"/>
        <v>0</v>
      </c>
      <c r="U27" s="5">
        <f t="shared" si="10"/>
        <v>4</v>
      </c>
      <c r="V27" s="5">
        <f t="shared" si="10"/>
        <v>2</v>
      </c>
      <c r="W27" s="5">
        <f t="shared" si="10"/>
        <v>0</v>
      </c>
      <c r="X27" s="5">
        <f t="shared" si="10"/>
        <v>4</v>
      </c>
      <c r="Y27" s="5">
        <f t="shared" ref="Y27" si="12">SUM(Y25:Y26)</f>
        <v>0</v>
      </c>
      <c r="Z27" s="5">
        <f t="shared" si="10"/>
        <v>6</v>
      </c>
      <c r="AA27" s="5">
        <f t="shared" si="10"/>
        <v>0</v>
      </c>
      <c r="AB27" s="5">
        <f t="shared" si="10"/>
        <v>7</v>
      </c>
      <c r="AC27" s="5">
        <f t="shared" si="3"/>
        <v>59</v>
      </c>
    </row>
    <row r="28" spans="1:29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103</v>
      </c>
      <c r="F28" s="5">
        <f t="shared" ref="F28:N28" si="13">SUM(F19,F22,F25)</f>
        <v>103</v>
      </c>
      <c r="G28" s="5">
        <f t="shared" si="13"/>
        <v>102</v>
      </c>
      <c r="H28" s="5">
        <f t="shared" si="13"/>
        <v>123</v>
      </c>
      <c r="I28" s="5">
        <f t="shared" si="13"/>
        <v>82</v>
      </c>
      <c r="J28" s="5">
        <f t="shared" si="13"/>
        <v>102</v>
      </c>
      <c r="K28" s="5">
        <f t="shared" si="13"/>
        <v>113</v>
      </c>
      <c r="L28" s="5">
        <f t="shared" si="13"/>
        <v>102</v>
      </c>
      <c r="M28" s="5">
        <f t="shared" si="13"/>
        <v>96</v>
      </c>
      <c r="N28" s="5">
        <f t="shared" si="13"/>
        <v>102</v>
      </c>
      <c r="O28" s="5">
        <f t="shared" ref="O28:AB29" si="14">SUM(O19,O22,O25)</f>
        <v>88</v>
      </c>
      <c r="P28" s="5">
        <f t="shared" si="14"/>
        <v>71</v>
      </c>
      <c r="Q28" s="5">
        <f t="shared" si="14"/>
        <v>94</v>
      </c>
      <c r="R28" s="5">
        <f t="shared" si="14"/>
        <v>93</v>
      </c>
      <c r="S28" s="5">
        <f t="shared" si="14"/>
        <v>87</v>
      </c>
      <c r="T28" s="5">
        <f t="shared" si="14"/>
        <v>117</v>
      </c>
      <c r="U28" s="5">
        <f t="shared" si="14"/>
        <v>125</v>
      </c>
      <c r="V28" s="5">
        <f t="shared" si="14"/>
        <v>109</v>
      </c>
      <c r="W28" s="5">
        <f t="shared" si="14"/>
        <v>107</v>
      </c>
      <c r="X28" s="5">
        <f t="shared" si="14"/>
        <v>105</v>
      </c>
      <c r="Y28" s="5">
        <f t="shared" ref="Y28" si="15">SUM(Y19,Y22,Y25)</f>
        <v>89</v>
      </c>
      <c r="Z28" s="5">
        <f t="shared" si="14"/>
        <v>70</v>
      </c>
      <c r="AA28" s="5">
        <f t="shared" si="14"/>
        <v>92</v>
      </c>
      <c r="AB28" s="5">
        <f t="shared" si="14"/>
        <v>97</v>
      </c>
      <c r="AC28" s="5">
        <f t="shared" si="3"/>
        <v>2372</v>
      </c>
    </row>
    <row r="29" spans="1:29" x14ac:dyDescent="0.4">
      <c r="A29" s="13"/>
      <c r="B29" s="74"/>
      <c r="C29" s="84"/>
      <c r="D29" s="5" t="s">
        <v>24</v>
      </c>
      <c r="E29" s="5">
        <f>SUM(E20,E23,E26)</f>
        <v>122</v>
      </c>
      <c r="F29" s="5">
        <f t="shared" ref="F29:N29" si="16">SUM(F20,F23,F26)</f>
        <v>119</v>
      </c>
      <c r="G29" s="5">
        <f t="shared" si="16"/>
        <v>119</v>
      </c>
      <c r="H29" s="5">
        <f t="shared" si="16"/>
        <v>125</v>
      </c>
      <c r="I29" s="5">
        <f t="shared" si="16"/>
        <v>108</v>
      </c>
      <c r="J29" s="5">
        <f t="shared" si="16"/>
        <v>121</v>
      </c>
      <c r="K29" s="5">
        <f t="shared" si="16"/>
        <v>108</v>
      </c>
      <c r="L29" s="5">
        <f t="shared" si="16"/>
        <v>125</v>
      </c>
      <c r="M29" s="5">
        <f t="shared" si="16"/>
        <v>119</v>
      </c>
      <c r="N29" s="5">
        <f t="shared" si="16"/>
        <v>112</v>
      </c>
      <c r="O29" s="5">
        <f t="shared" si="14"/>
        <v>117</v>
      </c>
      <c r="P29" s="5">
        <f t="shared" si="14"/>
        <v>105</v>
      </c>
      <c r="Q29" s="5">
        <f t="shared" si="14"/>
        <v>98</v>
      </c>
      <c r="R29" s="5">
        <f t="shared" si="14"/>
        <v>109</v>
      </c>
      <c r="S29" s="5">
        <f t="shared" si="14"/>
        <v>114</v>
      </c>
      <c r="T29" s="5">
        <f t="shared" si="14"/>
        <v>123</v>
      </c>
      <c r="U29" s="5">
        <f t="shared" si="14"/>
        <v>123</v>
      </c>
      <c r="V29" s="5">
        <f t="shared" si="14"/>
        <v>123</v>
      </c>
      <c r="W29" s="5">
        <f t="shared" si="14"/>
        <v>118</v>
      </c>
      <c r="X29" s="5">
        <f t="shared" si="14"/>
        <v>120</v>
      </c>
      <c r="Y29" s="5">
        <f t="shared" ref="Y29" si="17">SUM(Y20,Y23,Y26)</f>
        <v>102</v>
      </c>
      <c r="Z29" s="5">
        <f t="shared" si="14"/>
        <v>93</v>
      </c>
      <c r="AA29" s="5">
        <f t="shared" si="14"/>
        <v>111</v>
      </c>
      <c r="AB29" s="5">
        <f t="shared" si="14"/>
        <v>113</v>
      </c>
      <c r="AC29" s="5">
        <f t="shared" si="3"/>
        <v>2747</v>
      </c>
    </row>
    <row r="30" spans="1:29" x14ac:dyDescent="0.4">
      <c r="A30" s="13"/>
      <c r="B30" s="75"/>
      <c r="C30" s="85"/>
      <c r="D30" s="5" t="s">
        <v>25</v>
      </c>
      <c r="E30" s="5">
        <f t="shared" ref="E30:AB30" si="18">SUM(E28:E29)</f>
        <v>225</v>
      </c>
      <c r="F30" s="5">
        <f t="shared" ref="F30:N30" si="19">SUM(F28:F29)</f>
        <v>222</v>
      </c>
      <c r="G30" s="5">
        <f t="shared" si="19"/>
        <v>221</v>
      </c>
      <c r="H30" s="5">
        <f t="shared" si="19"/>
        <v>248</v>
      </c>
      <c r="I30" s="5">
        <f t="shared" si="19"/>
        <v>190</v>
      </c>
      <c r="J30" s="5">
        <f t="shared" si="19"/>
        <v>223</v>
      </c>
      <c r="K30" s="5">
        <f t="shared" si="19"/>
        <v>221</v>
      </c>
      <c r="L30" s="5">
        <f t="shared" si="19"/>
        <v>227</v>
      </c>
      <c r="M30" s="5">
        <f t="shared" si="19"/>
        <v>215</v>
      </c>
      <c r="N30" s="5">
        <f t="shared" si="19"/>
        <v>214</v>
      </c>
      <c r="O30" s="5">
        <f t="shared" si="18"/>
        <v>205</v>
      </c>
      <c r="P30" s="5">
        <f t="shared" si="18"/>
        <v>176</v>
      </c>
      <c r="Q30" s="5">
        <f t="shared" si="18"/>
        <v>192</v>
      </c>
      <c r="R30" s="5">
        <f t="shared" si="18"/>
        <v>202</v>
      </c>
      <c r="S30" s="5">
        <f t="shared" si="18"/>
        <v>201</v>
      </c>
      <c r="T30" s="5">
        <f t="shared" si="18"/>
        <v>240</v>
      </c>
      <c r="U30" s="5">
        <f t="shared" si="18"/>
        <v>248</v>
      </c>
      <c r="V30" s="5">
        <f t="shared" si="18"/>
        <v>232</v>
      </c>
      <c r="W30" s="5">
        <f t="shared" si="18"/>
        <v>225</v>
      </c>
      <c r="X30" s="5">
        <f t="shared" si="18"/>
        <v>225</v>
      </c>
      <c r="Y30" s="5">
        <f t="shared" ref="Y30" si="20">SUM(Y28:Y29)</f>
        <v>191</v>
      </c>
      <c r="Z30" s="5">
        <f t="shared" si="18"/>
        <v>163</v>
      </c>
      <c r="AA30" s="5">
        <f t="shared" si="18"/>
        <v>203</v>
      </c>
      <c r="AB30" s="5">
        <f t="shared" si="18"/>
        <v>210</v>
      </c>
      <c r="AC30" s="5">
        <f t="shared" si="3"/>
        <v>5119</v>
      </c>
    </row>
    <row r="31" spans="1:29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28"/>
    </row>
    <row r="32" spans="1:29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15"/>
      <c r="Y32" s="5"/>
      <c r="Z32" s="5"/>
      <c r="AA32" s="5"/>
      <c r="AB32" s="5"/>
      <c r="AC32" s="28"/>
    </row>
    <row r="33" spans="1:29" x14ac:dyDescent="0.4">
      <c r="A33" s="6">
        <v>1</v>
      </c>
      <c r="B33" s="77" t="s">
        <v>38</v>
      </c>
      <c r="C33" s="69"/>
      <c r="D33" s="60"/>
      <c r="E33" s="6">
        <v>300</v>
      </c>
      <c r="F33" s="6">
        <v>286</v>
      </c>
      <c r="G33" s="6">
        <v>278</v>
      </c>
      <c r="H33" s="6">
        <v>301</v>
      </c>
      <c r="I33" s="6">
        <v>272</v>
      </c>
      <c r="J33" s="6">
        <v>286</v>
      </c>
      <c r="K33" s="6">
        <v>286</v>
      </c>
      <c r="L33" s="6">
        <v>289</v>
      </c>
      <c r="M33" s="6">
        <v>290</v>
      </c>
      <c r="N33" s="6">
        <v>279</v>
      </c>
      <c r="O33" s="6">
        <v>280</v>
      </c>
      <c r="P33" s="6">
        <v>232</v>
      </c>
      <c r="Q33" s="6">
        <v>294</v>
      </c>
      <c r="R33" s="6">
        <v>290</v>
      </c>
      <c r="S33" s="6">
        <v>284</v>
      </c>
      <c r="T33" s="6">
        <v>291</v>
      </c>
      <c r="U33" s="6">
        <v>283</v>
      </c>
      <c r="V33" s="6">
        <v>271</v>
      </c>
      <c r="W33" s="6">
        <v>287</v>
      </c>
      <c r="X33" s="6">
        <v>298</v>
      </c>
      <c r="Y33" s="6">
        <v>231</v>
      </c>
      <c r="Z33" s="6">
        <v>200</v>
      </c>
      <c r="AA33" s="6">
        <v>294</v>
      </c>
      <c r="AB33" s="6">
        <v>245</v>
      </c>
      <c r="AC33" s="5">
        <f>SUM(E33:AB33)</f>
        <v>6647</v>
      </c>
    </row>
    <row r="34" spans="1:29" x14ac:dyDescent="0.4">
      <c r="A34" s="6">
        <v>2</v>
      </c>
      <c r="B34" s="77" t="s">
        <v>39</v>
      </c>
      <c r="C34" s="69"/>
      <c r="D34" s="60"/>
      <c r="E34" s="5">
        <v>225</v>
      </c>
      <c r="F34" s="5">
        <v>222</v>
      </c>
      <c r="G34" s="5">
        <v>221</v>
      </c>
      <c r="H34" s="5">
        <v>248</v>
      </c>
      <c r="I34" s="5">
        <v>190</v>
      </c>
      <c r="J34" s="5">
        <v>223</v>
      </c>
      <c r="K34" s="5">
        <v>221</v>
      </c>
      <c r="L34" s="5">
        <v>227</v>
      </c>
      <c r="M34" s="5">
        <v>215</v>
      </c>
      <c r="N34" s="5">
        <v>214</v>
      </c>
      <c r="O34" s="5">
        <v>205</v>
      </c>
      <c r="P34" s="5">
        <v>176</v>
      </c>
      <c r="Q34" s="5">
        <v>192</v>
      </c>
      <c r="R34" s="5">
        <v>202</v>
      </c>
      <c r="S34" s="5">
        <v>201</v>
      </c>
      <c r="T34" s="5">
        <v>240</v>
      </c>
      <c r="U34" s="5">
        <v>248</v>
      </c>
      <c r="V34" s="5">
        <v>232</v>
      </c>
      <c r="W34" s="5">
        <v>225</v>
      </c>
      <c r="X34" s="5">
        <v>225</v>
      </c>
      <c r="Y34" s="5">
        <v>191</v>
      </c>
      <c r="Z34" s="5">
        <v>163</v>
      </c>
      <c r="AA34" s="5">
        <v>203</v>
      </c>
      <c r="AB34" s="5">
        <v>210</v>
      </c>
      <c r="AC34" s="5">
        <f>SUM(E34:AB34)</f>
        <v>5119</v>
      </c>
    </row>
    <row r="35" spans="1:29" x14ac:dyDescent="0.4">
      <c r="A35" s="6">
        <v>3</v>
      </c>
      <c r="B35" s="77" t="s">
        <v>40</v>
      </c>
      <c r="C35" s="69"/>
      <c r="D35" s="60"/>
      <c r="E35" s="6"/>
      <c r="F35" s="6"/>
      <c r="G35" s="6">
        <v>1</v>
      </c>
      <c r="H35" s="6"/>
      <c r="I35" s="6">
        <v>1</v>
      </c>
      <c r="J35" s="6"/>
      <c r="K35" s="6">
        <v>1</v>
      </c>
      <c r="L35" s="6"/>
      <c r="M35" s="6"/>
      <c r="N35" s="6"/>
      <c r="O35" s="6"/>
      <c r="P35" s="6"/>
      <c r="Q35" s="6"/>
      <c r="R35" s="6"/>
      <c r="S35" s="6"/>
      <c r="T35" s="6">
        <v>1</v>
      </c>
      <c r="U35" s="6"/>
      <c r="V35" s="6">
        <v>3</v>
      </c>
      <c r="W35" s="6"/>
      <c r="X35" s="6">
        <v>13</v>
      </c>
      <c r="Y35" s="6"/>
      <c r="Z35" s="6"/>
      <c r="AA35" s="6">
        <v>5</v>
      </c>
      <c r="AB35" s="6"/>
      <c r="AC35" s="5">
        <f>SUM(E35:AB35)</f>
        <v>25</v>
      </c>
    </row>
    <row r="36" spans="1:29" x14ac:dyDescent="0.4">
      <c r="A36" s="6">
        <v>4</v>
      </c>
      <c r="B36" s="77" t="s">
        <v>41</v>
      </c>
      <c r="C36" s="69"/>
      <c r="D36" s="60"/>
      <c r="E36" s="5">
        <f t="shared" ref="E36:AB36" si="21">E33-(E34+E35)</f>
        <v>75</v>
      </c>
      <c r="F36" s="5">
        <f t="shared" ref="F36:N36" si="22">F33-(F34+F35)</f>
        <v>64</v>
      </c>
      <c r="G36" s="5">
        <f t="shared" si="22"/>
        <v>56</v>
      </c>
      <c r="H36" s="5">
        <f t="shared" si="22"/>
        <v>53</v>
      </c>
      <c r="I36" s="5">
        <f t="shared" si="22"/>
        <v>81</v>
      </c>
      <c r="J36" s="5">
        <f t="shared" si="22"/>
        <v>63</v>
      </c>
      <c r="K36" s="5">
        <f t="shared" si="22"/>
        <v>64</v>
      </c>
      <c r="L36" s="5">
        <f t="shared" si="22"/>
        <v>62</v>
      </c>
      <c r="M36" s="5">
        <f t="shared" si="22"/>
        <v>75</v>
      </c>
      <c r="N36" s="5">
        <f t="shared" si="22"/>
        <v>65</v>
      </c>
      <c r="O36" s="5">
        <f t="shared" si="21"/>
        <v>75</v>
      </c>
      <c r="P36" s="5">
        <f t="shared" si="21"/>
        <v>56</v>
      </c>
      <c r="Q36" s="5">
        <f t="shared" si="21"/>
        <v>102</v>
      </c>
      <c r="R36" s="5">
        <f t="shared" si="21"/>
        <v>88</v>
      </c>
      <c r="S36" s="5">
        <f t="shared" si="21"/>
        <v>83</v>
      </c>
      <c r="T36" s="5">
        <f t="shared" si="21"/>
        <v>50</v>
      </c>
      <c r="U36" s="5">
        <f t="shared" si="21"/>
        <v>35</v>
      </c>
      <c r="V36" s="5">
        <f t="shared" si="21"/>
        <v>36</v>
      </c>
      <c r="W36" s="5">
        <f t="shared" si="21"/>
        <v>62</v>
      </c>
      <c r="X36" s="5">
        <f t="shared" si="21"/>
        <v>60</v>
      </c>
      <c r="Y36" s="5">
        <f t="shared" ref="Y36" si="23">Y33-(Y34+Y35)</f>
        <v>40</v>
      </c>
      <c r="Z36" s="5">
        <f t="shared" si="21"/>
        <v>37</v>
      </c>
      <c r="AA36" s="5">
        <f t="shared" si="21"/>
        <v>86</v>
      </c>
      <c r="AB36" s="5">
        <f t="shared" si="21"/>
        <v>35</v>
      </c>
      <c r="AC36" s="5">
        <f>SUM(E36:AB36)</f>
        <v>1503</v>
      </c>
    </row>
    <row r="37" spans="1:29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9"/>
      <c r="AC37" s="28"/>
    </row>
    <row r="38" spans="1:29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15"/>
      <c r="Y38" s="5"/>
      <c r="Z38" s="5"/>
      <c r="AA38" s="5"/>
      <c r="AB38" s="5"/>
      <c r="AC38" s="28"/>
    </row>
    <row r="39" spans="1:29" x14ac:dyDescent="0.4">
      <c r="A39" s="11"/>
      <c r="B39" s="72" t="s">
        <v>44</v>
      </c>
      <c r="C39" s="68"/>
      <c r="D39" s="6" t="s">
        <v>23</v>
      </c>
      <c r="E39" s="6"/>
      <c r="F39" s="6"/>
      <c r="G39" s="6"/>
      <c r="H39" s="6"/>
      <c r="I39" s="6">
        <v>1</v>
      </c>
      <c r="J39" s="6"/>
      <c r="K39" s="6">
        <v>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">
        <f>SUM(E39:AB39)</f>
        <v>4</v>
      </c>
    </row>
    <row r="40" spans="1:29" x14ac:dyDescent="0.4">
      <c r="A40" s="12"/>
      <c r="B40" s="73"/>
      <c r="C40" s="74"/>
      <c r="D40" s="6" t="s">
        <v>24</v>
      </c>
      <c r="E40" s="6"/>
      <c r="F40" s="6"/>
      <c r="G40" s="6"/>
      <c r="H40" s="6"/>
      <c r="I40" s="6"/>
      <c r="J40" s="6"/>
      <c r="K40" s="6">
        <v>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5">
        <f>SUM(E40:AB40)</f>
        <v>6</v>
      </c>
    </row>
    <row r="41" spans="1:29" x14ac:dyDescent="0.4">
      <c r="A41" s="14"/>
      <c r="B41" s="71"/>
      <c r="C41" s="75"/>
      <c r="D41" s="5" t="s">
        <v>25</v>
      </c>
      <c r="E41" s="5">
        <f t="shared" ref="E41:AB41" si="24">SUM(E39:E40)</f>
        <v>0</v>
      </c>
      <c r="F41" s="5">
        <f t="shared" ref="F41:N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1</v>
      </c>
      <c r="J41" s="5">
        <f t="shared" si="25"/>
        <v>0</v>
      </c>
      <c r="K41" s="5">
        <f t="shared" si="25"/>
        <v>9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4"/>
        <v>0</v>
      </c>
      <c r="P41" s="5">
        <f t="shared" si="24"/>
        <v>0</v>
      </c>
      <c r="Q41" s="5">
        <f t="shared" si="24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ref="Y41" si="26">SUM(Y39:Y40)</f>
        <v>0</v>
      </c>
      <c r="Z41" s="5">
        <f t="shared" si="24"/>
        <v>0</v>
      </c>
      <c r="AA41" s="5">
        <f t="shared" si="24"/>
        <v>0</v>
      </c>
      <c r="AB41" s="5">
        <f t="shared" si="24"/>
        <v>0</v>
      </c>
      <c r="AC41" s="5">
        <f>SUM(E41:AB41)</f>
        <v>10</v>
      </c>
    </row>
    <row r="42" spans="1:29" x14ac:dyDescent="0.4">
      <c r="A42" s="70"/>
      <c r="B42" s="71"/>
      <c r="C42" s="71"/>
      <c r="D42" s="75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0"/>
      <c r="AC42" s="5"/>
    </row>
    <row r="43" spans="1:29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15"/>
      <c r="Y43" s="5"/>
      <c r="Z43" s="5"/>
      <c r="AA43" s="5"/>
      <c r="AB43" s="5"/>
      <c r="AC43" s="5"/>
    </row>
    <row r="44" spans="1:29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10"/>
      <c r="Y44" s="6"/>
      <c r="Z44" s="6"/>
      <c r="AA44" s="6"/>
      <c r="AB44" s="6"/>
      <c r="AC44" s="5"/>
    </row>
    <row r="45" spans="1:29" x14ac:dyDescent="0.4">
      <c r="A45" s="11" t="s">
        <v>48</v>
      </c>
      <c r="B45" s="17" t="s">
        <v>28</v>
      </c>
      <c r="C45" s="59" t="s">
        <v>49</v>
      </c>
      <c r="D45" s="60"/>
      <c r="E45" s="6">
        <v>6</v>
      </c>
      <c r="F45" s="6">
        <v>16</v>
      </c>
      <c r="G45" s="6">
        <v>6</v>
      </c>
      <c r="H45" s="6">
        <v>11</v>
      </c>
      <c r="I45" s="6">
        <v>4</v>
      </c>
      <c r="J45" s="6">
        <v>4</v>
      </c>
      <c r="K45" s="6">
        <v>7</v>
      </c>
      <c r="L45" s="6">
        <v>25</v>
      </c>
      <c r="M45" s="6">
        <v>2</v>
      </c>
      <c r="N45" s="6">
        <v>5</v>
      </c>
      <c r="O45" s="6">
        <v>4</v>
      </c>
      <c r="P45" s="6">
        <v>2</v>
      </c>
      <c r="Q45" s="6">
        <v>0</v>
      </c>
      <c r="R45" s="6">
        <v>5</v>
      </c>
      <c r="S45" s="6">
        <v>2</v>
      </c>
      <c r="T45" s="6">
        <v>6</v>
      </c>
      <c r="U45" s="6">
        <v>16</v>
      </c>
      <c r="V45" s="6">
        <v>6</v>
      </c>
      <c r="W45" s="6">
        <v>6</v>
      </c>
      <c r="X45" s="6">
        <v>8</v>
      </c>
      <c r="Y45" s="6">
        <v>7</v>
      </c>
      <c r="Z45" s="6">
        <v>8</v>
      </c>
      <c r="AA45" s="6">
        <v>16</v>
      </c>
      <c r="AB45" s="6">
        <v>3</v>
      </c>
      <c r="AC45" s="5">
        <f t="shared" ref="AC45:AC51" si="27">SUM(E45:AB45)</f>
        <v>175</v>
      </c>
    </row>
    <row r="46" spans="1:29" x14ac:dyDescent="0.4">
      <c r="A46" s="11" t="s">
        <v>50</v>
      </c>
      <c r="B46" s="46">
        <v>1</v>
      </c>
      <c r="C46" s="24" t="s">
        <v>114</v>
      </c>
      <c r="D46" s="47"/>
      <c r="E46" s="6">
        <v>10</v>
      </c>
      <c r="F46" s="6">
        <v>30</v>
      </c>
      <c r="G46" s="6">
        <v>16</v>
      </c>
      <c r="H46" s="6">
        <v>18</v>
      </c>
      <c r="I46" s="6">
        <v>34</v>
      </c>
      <c r="J46" s="6">
        <v>1</v>
      </c>
      <c r="K46" s="6">
        <v>17</v>
      </c>
      <c r="L46" s="6">
        <v>14</v>
      </c>
      <c r="M46" s="6">
        <v>28</v>
      </c>
      <c r="N46" s="6">
        <v>7</v>
      </c>
      <c r="O46" s="6">
        <v>7</v>
      </c>
      <c r="P46" s="6">
        <v>0</v>
      </c>
      <c r="Q46" s="6">
        <v>5</v>
      </c>
      <c r="R46" s="6">
        <v>16</v>
      </c>
      <c r="S46" s="6">
        <v>2</v>
      </c>
      <c r="T46" s="6">
        <v>9</v>
      </c>
      <c r="U46" s="6">
        <v>17</v>
      </c>
      <c r="V46" s="6">
        <v>15</v>
      </c>
      <c r="W46" s="6">
        <v>11</v>
      </c>
      <c r="X46" s="6">
        <v>15</v>
      </c>
      <c r="Y46" s="6">
        <v>3</v>
      </c>
      <c r="Z46" s="6">
        <v>3</v>
      </c>
      <c r="AA46" s="6">
        <v>21</v>
      </c>
      <c r="AB46" s="6">
        <v>6</v>
      </c>
      <c r="AC46" s="5">
        <f t="shared" si="27"/>
        <v>305</v>
      </c>
    </row>
    <row r="47" spans="1:29" x14ac:dyDescent="0.4">
      <c r="A47" s="7"/>
      <c r="B47" s="46">
        <v>2</v>
      </c>
      <c r="C47" s="24" t="s">
        <v>115</v>
      </c>
      <c r="D47" s="47"/>
      <c r="E47" s="6">
        <v>3</v>
      </c>
      <c r="F47" s="6">
        <v>7</v>
      </c>
      <c r="G47" s="6">
        <v>11</v>
      </c>
      <c r="H47" s="6">
        <v>44</v>
      </c>
      <c r="I47" s="6">
        <v>4</v>
      </c>
      <c r="J47" s="6">
        <v>6</v>
      </c>
      <c r="K47" s="6">
        <v>7</v>
      </c>
      <c r="L47" s="6">
        <v>31</v>
      </c>
      <c r="M47" s="6">
        <v>15</v>
      </c>
      <c r="N47" s="6">
        <v>10</v>
      </c>
      <c r="O47" s="6">
        <v>7</v>
      </c>
      <c r="P47" s="6">
        <v>33</v>
      </c>
      <c r="Q47" s="6">
        <v>57</v>
      </c>
      <c r="R47" s="6">
        <v>2</v>
      </c>
      <c r="S47" s="6">
        <v>2</v>
      </c>
      <c r="T47" s="6">
        <v>3</v>
      </c>
      <c r="U47" s="6">
        <v>64</v>
      </c>
      <c r="V47" s="6">
        <v>28</v>
      </c>
      <c r="W47" s="6">
        <v>3</v>
      </c>
      <c r="X47" s="6">
        <v>6</v>
      </c>
      <c r="Y47" s="6">
        <v>28</v>
      </c>
      <c r="Z47" s="6">
        <v>1</v>
      </c>
      <c r="AA47" s="6">
        <v>2</v>
      </c>
      <c r="AB47" s="6">
        <v>2</v>
      </c>
      <c r="AC47" s="5">
        <f t="shared" si="27"/>
        <v>376</v>
      </c>
    </row>
    <row r="48" spans="1:29" x14ac:dyDescent="0.4">
      <c r="A48" s="7"/>
      <c r="B48" s="46">
        <v>3</v>
      </c>
      <c r="C48" s="24" t="s">
        <v>116</v>
      </c>
      <c r="D48" s="47"/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3</v>
      </c>
      <c r="K48" s="6">
        <v>2</v>
      </c>
      <c r="L48" s="6">
        <v>0</v>
      </c>
      <c r="M48" s="6">
        <v>3</v>
      </c>
      <c r="N48" s="6">
        <v>0</v>
      </c>
      <c r="O48" s="6">
        <v>1</v>
      </c>
      <c r="P48" s="6">
        <v>0</v>
      </c>
      <c r="Q48" s="6">
        <v>3</v>
      </c>
      <c r="R48" s="6">
        <v>2</v>
      </c>
      <c r="S48" s="6">
        <v>0</v>
      </c>
      <c r="T48" s="6">
        <v>1</v>
      </c>
      <c r="U48" s="6">
        <v>1</v>
      </c>
      <c r="V48" s="6">
        <v>0</v>
      </c>
      <c r="W48" s="6">
        <v>0</v>
      </c>
      <c r="X48" s="6">
        <v>0</v>
      </c>
      <c r="Y48" s="6">
        <v>3</v>
      </c>
      <c r="Z48" s="6">
        <v>0</v>
      </c>
      <c r="AA48" s="6">
        <v>0</v>
      </c>
      <c r="AB48" s="6">
        <v>0</v>
      </c>
      <c r="AC48" s="5">
        <f t="shared" si="27"/>
        <v>20</v>
      </c>
    </row>
    <row r="49" spans="1:29" x14ac:dyDescent="0.4">
      <c r="A49" s="7"/>
      <c r="B49" s="46">
        <v>4</v>
      </c>
      <c r="C49" s="24" t="s">
        <v>117</v>
      </c>
      <c r="D49" s="47"/>
      <c r="E49" s="6">
        <v>1</v>
      </c>
      <c r="F49" s="6">
        <v>0</v>
      </c>
      <c r="G49" s="6">
        <v>0</v>
      </c>
      <c r="H49" s="6">
        <v>0</v>
      </c>
      <c r="I49" s="6">
        <v>1</v>
      </c>
      <c r="J49" s="6">
        <v>2</v>
      </c>
      <c r="K49" s="6">
        <v>2</v>
      </c>
      <c r="L49" s="6">
        <v>0</v>
      </c>
      <c r="M49" s="6">
        <v>1</v>
      </c>
      <c r="N49" s="6">
        <v>0</v>
      </c>
      <c r="O49" s="6">
        <v>0</v>
      </c>
      <c r="P49" s="6">
        <v>1</v>
      </c>
      <c r="Q49" s="6">
        <v>1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5">
        <f t="shared" si="27"/>
        <v>9</v>
      </c>
    </row>
    <row r="50" spans="1:29" x14ac:dyDescent="0.4">
      <c r="A50" s="7"/>
      <c r="B50" s="46">
        <v>5</v>
      </c>
      <c r="C50" s="24" t="s">
        <v>118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1</v>
      </c>
      <c r="X50" s="6">
        <v>1</v>
      </c>
      <c r="Y50" s="6">
        <v>1</v>
      </c>
      <c r="Z50" s="6">
        <v>0</v>
      </c>
      <c r="AA50" s="6">
        <v>0</v>
      </c>
      <c r="AB50" s="6">
        <v>0</v>
      </c>
      <c r="AC50" s="5">
        <f t="shared" si="27"/>
        <v>5</v>
      </c>
    </row>
    <row r="51" spans="1:29" x14ac:dyDescent="0.4">
      <c r="A51" s="7"/>
      <c r="B51" s="46">
        <v>6</v>
      </c>
      <c r="C51" s="24" t="s">
        <v>119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5">
        <f t="shared" si="27"/>
        <v>3</v>
      </c>
    </row>
    <row r="52" spans="1:29" x14ac:dyDescent="0.4">
      <c r="A52" s="6" t="s">
        <v>26</v>
      </c>
      <c r="B52" s="53" t="s">
        <v>51</v>
      </c>
      <c r="C52" s="69"/>
      <c r="D52" s="60"/>
      <c r="E52" s="5">
        <f t="shared" ref="E52:AC52" si="28">SUM(E45:E51)</f>
        <v>20</v>
      </c>
      <c r="F52" s="5">
        <f t="shared" si="28"/>
        <v>53</v>
      </c>
      <c r="G52" s="5">
        <f t="shared" si="28"/>
        <v>33</v>
      </c>
      <c r="H52" s="5">
        <f t="shared" si="28"/>
        <v>73</v>
      </c>
      <c r="I52" s="5">
        <f t="shared" si="28"/>
        <v>44</v>
      </c>
      <c r="J52" s="5">
        <f t="shared" si="28"/>
        <v>17</v>
      </c>
      <c r="K52" s="5">
        <f t="shared" si="28"/>
        <v>35</v>
      </c>
      <c r="L52" s="5">
        <f t="shared" si="28"/>
        <v>71</v>
      </c>
      <c r="M52" s="5">
        <f t="shared" si="28"/>
        <v>50</v>
      </c>
      <c r="N52" s="5">
        <f t="shared" si="28"/>
        <v>22</v>
      </c>
      <c r="O52" s="5">
        <f t="shared" si="28"/>
        <v>19</v>
      </c>
      <c r="P52" s="5">
        <f t="shared" si="28"/>
        <v>37</v>
      </c>
      <c r="Q52" s="5">
        <f t="shared" si="28"/>
        <v>66</v>
      </c>
      <c r="R52" s="5">
        <f t="shared" si="28"/>
        <v>25</v>
      </c>
      <c r="S52" s="5">
        <f t="shared" si="28"/>
        <v>6</v>
      </c>
      <c r="T52" s="5">
        <f t="shared" si="28"/>
        <v>19</v>
      </c>
      <c r="U52" s="5">
        <f t="shared" si="28"/>
        <v>98</v>
      </c>
      <c r="V52" s="5">
        <f t="shared" si="28"/>
        <v>49</v>
      </c>
      <c r="W52" s="5">
        <f t="shared" si="28"/>
        <v>21</v>
      </c>
      <c r="X52" s="5">
        <f t="shared" si="28"/>
        <v>30</v>
      </c>
      <c r="Y52" s="5">
        <f t="shared" si="28"/>
        <v>43</v>
      </c>
      <c r="Z52" s="5">
        <f t="shared" si="28"/>
        <v>12</v>
      </c>
      <c r="AA52" s="5">
        <f t="shared" si="28"/>
        <v>39</v>
      </c>
      <c r="AB52" s="5">
        <f t="shared" si="28"/>
        <v>11</v>
      </c>
      <c r="AC52" s="5">
        <f t="shared" si="28"/>
        <v>893</v>
      </c>
    </row>
    <row r="53" spans="1:29" x14ac:dyDescent="0.4">
      <c r="A53" s="70"/>
      <c r="B53" s="71"/>
      <c r="C53" s="71"/>
      <c r="D53" s="71"/>
      <c r="E53" s="71"/>
      <c r="AC53" s="5"/>
    </row>
    <row r="54" spans="1:29" x14ac:dyDescent="0.4">
      <c r="A54" s="11" t="s">
        <v>48</v>
      </c>
      <c r="B54" s="17" t="s">
        <v>30</v>
      </c>
      <c r="C54" s="59" t="s">
        <v>52</v>
      </c>
      <c r="D54" s="60"/>
      <c r="E54" s="6">
        <v>13</v>
      </c>
      <c r="F54" s="6">
        <v>6</v>
      </c>
      <c r="G54" s="6">
        <v>4</v>
      </c>
      <c r="H54" s="6">
        <v>12</v>
      </c>
      <c r="I54" s="6">
        <v>4</v>
      </c>
      <c r="J54" s="6">
        <v>5</v>
      </c>
      <c r="K54" s="6">
        <v>7</v>
      </c>
      <c r="L54" s="6">
        <v>11</v>
      </c>
      <c r="M54" s="6">
        <v>1</v>
      </c>
      <c r="N54" s="6">
        <v>6</v>
      </c>
      <c r="O54" s="6">
        <v>8</v>
      </c>
      <c r="P54" s="6">
        <v>7</v>
      </c>
      <c r="Q54" s="6">
        <v>4</v>
      </c>
      <c r="R54" s="6">
        <v>12</v>
      </c>
      <c r="S54" s="6">
        <v>8</v>
      </c>
      <c r="T54" s="6">
        <v>3</v>
      </c>
      <c r="U54" s="6">
        <v>5</v>
      </c>
      <c r="V54" s="6">
        <v>12</v>
      </c>
      <c r="W54" s="6">
        <v>5</v>
      </c>
      <c r="X54" s="6">
        <v>3</v>
      </c>
      <c r="Y54" s="6">
        <v>10</v>
      </c>
      <c r="Z54" s="6">
        <v>6</v>
      </c>
      <c r="AA54" s="6">
        <v>7</v>
      </c>
      <c r="AB54" s="6">
        <v>4</v>
      </c>
      <c r="AC54" s="5">
        <f t="shared" ref="AC54:AC60" si="29">SUM(E54:AB54)</f>
        <v>163</v>
      </c>
    </row>
    <row r="55" spans="1:29" x14ac:dyDescent="0.4">
      <c r="A55" s="11" t="s">
        <v>50</v>
      </c>
      <c r="B55" s="46">
        <v>1</v>
      </c>
      <c r="C55" s="24" t="s">
        <v>120</v>
      </c>
      <c r="D55" s="47"/>
      <c r="E55" s="6">
        <v>7</v>
      </c>
      <c r="F55" s="6">
        <v>1</v>
      </c>
      <c r="G55" s="6">
        <v>10</v>
      </c>
      <c r="H55" s="6">
        <v>4</v>
      </c>
      <c r="I55" s="6">
        <v>1</v>
      </c>
      <c r="J55" s="6">
        <v>12</v>
      </c>
      <c r="K55" s="6">
        <v>13</v>
      </c>
      <c r="L55" s="6">
        <v>10</v>
      </c>
      <c r="M55" s="6">
        <v>4</v>
      </c>
      <c r="N55" s="6">
        <v>6</v>
      </c>
      <c r="O55" s="6">
        <v>7</v>
      </c>
      <c r="P55" s="6">
        <v>12</v>
      </c>
      <c r="Q55" s="6">
        <v>4</v>
      </c>
      <c r="R55" s="6">
        <v>12</v>
      </c>
      <c r="S55" s="6">
        <v>3</v>
      </c>
      <c r="T55" s="6">
        <v>0</v>
      </c>
      <c r="U55" s="6">
        <v>7</v>
      </c>
      <c r="V55" s="6">
        <v>17</v>
      </c>
      <c r="W55" s="6">
        <v>10</v>
      </c>
      <c r="X55" s="6">
        <v>3</v>
      </c>
      <c r="Y55" s="6">
        <v>10</v>
      </c>
      <c r="Z55" s="6">
        <v>14</v>
      </c>
      <c r="AA55" s="6">
        <v>6</v>
      </c>
      <c r="AB55" s="6">
        <v>13</v>
      </c>
      <c r="AC55" s="5">
        <f t="shared" si="29"/>
        <v>186</v>
      </c>
    </row>
    <row r="56" spans="1:29" x14ac:dyDescent="0.4">
      <c r="A56" s="7"/>
      <c r="B56" s="46">
        <v>2</v>
      </c>
      <c r="C56" s="24" t="s">
        <v>121</v>
      </c>
      <c r="D56" s="47"/>
      <c r="E56" s="6">
        <v>2</v>
      </c>
      <c r="F56" s="6">
        <v>2</v>
      </c>
      <c r="G56" s="6">
        <v>0</v>
      </c>
      <c r="H56" s="6">
        <v>1</v>
      </c>
      <c r="I56" s="6">
        <v>1</v>
      </c>
      <c r="J56" s="6">
        <v>3</v>
      </c>
      <c r="K56" s="6">
        <v>5</v>
      </c>
      <c r="L56" s="6">
        <v>1</v>
      </c>
      <c r="M56" s="6">
        <v>3</v>
      </c>
      <c r="N56" s="6">
        <v>4</v>
      </c>
      <c r="O56" s="6">
        <v>1</v>
      </c>
      <c r="P56" s="6">
        <v>1</v>
      </c>
      <c r="Q56" s="6">
        <v>1</v>
      </c>
      <c r="R56" s="6">
        <v>3</v>
      </c>
      <c r="S56" s="6">
        <v>1</v>
      </c>
      <c r="T56" s="6">
        <v>1</v>
      </c>
      <c r="U56" s="6">
        <v>2</v>
      </c>
      <c r="V56" s="6">
        <v>0</v>
      </c>
      <c r="W56" s="6">
        <v>3</v>
      </c>
      <c r="X56" s="6">
        <v>0</v>
      </c>
      <c r="Y56" s="6">
        <v>1</v>
      </c>
      <c r="Z56" s="6">
        <v>2</v>
      </c>
      <c r="AA56" s="6">
        <v>2</v>
      </c>
      <c r="AB56" s="6">
        <v>2</v>
      </c>
      <c r="AC56" s="5">
        <f t="shared" si="29"/>
        <v>42</v>
      </c>
    </row>
    <row r="57" spans="1:29" x14ac:dyDescent="0.4">
      <c r="A57" s="7"/>
      <c r="B57" s="46">
        <v>3</v>
      </c>
      <c r="C57" s="24" t="s">
        <v>122</v>
      </c>
      <c r="D57" s="47"/>
      <c r="E57" s="6">
        <v>4</v>
      </c>
      <c r="F57" s="6">
        <v>0</v>
      </c>
      <c r="G57" s="6">
        <v>0</v>
      </c>
      <c r="H57" s="6">
        <v>0</v>
      </c>
      <c r="I57" s="6">
        <v>1</v>
      </c>
      <c r="J57" s="6">
        <v>1</v>
      </c>
      <c r="K57" s="6">
        <v>1</v>
      </c>
      <c r="L57" s="6">
        <v>1</v>
      </c>
      <c r="M57" s="6">
        <v>3</v>
      </c>
      <c r="N57" s="6">
        <v>6</v>
      </c>
      <c r="O57" s="6">
        <v>2</v>
      </c>
      <c r="P57" s="6">
        <v>0</v>
      </c>
      <c r="Q57" s="6">
        <v>1</v>
      </c>
      <c r="R57" s="6">
        <v>4</v>
      </c>
      <c r="S57" s="6">
        <v>3</v>
      </c>
      <c r="T57" s="6">
        <v>0</v>
      </c>
      <c r="U57" s="6">
        <v>0</v>
      </c>
      <c r="V57" s="6">
        <v>1</v>
      </c>
      <c r="W57" s="6">
        <v>2</v>
      </c>
      <c r="X57" s="6">
        <v>4</v>
      </c>
      <c r="Y57" s="6">
        <v>0</v>
      </c>
      <c r="Z57" s="6">
        <v>1</v>
      </c>
      <c r="AA57" s="6">
        <v>2</v>
      </c>
      <c r="AB57" s="6">
        <v>0</v>
      </c>
      <c r="AC57" s="5">
        <f t="shared" si="29"/>
        <v>37</v>
      </c>
    </row>
    <row r="58" spans="1:29" x14ac:dyDescent="0.4">
      <c r="A58" s="7"/>
      <c r="B58" s="46">
        <v>4</v>
      </c>
      <c r="C58" s="24" t="s">
        <v>123</v>
      </c>
      <c r="D58" s="47"/>
      <c r="E58" s="6">
        <v>0</v>
      </c>
      <c r="F58" s="6">
        <v>1</v>
      </c>
      <c r="G58" s="6">
        <v>2</v>
      </c>
      <c r="H58" s="6">
        <v>0</v>
      </c>
      <c r="I58" s="6">
        <v>0</v>
      </c>
      <c r="J58" s="6">
        <v>1</v>
      </c>
      <c r="K58" s="6">
        <v>0</v>
      </c>
      <c r="L58" s="6">
        <v>1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1</v>
      </c>
      <c r="S58" s="6">
        <v>1</v>
      </c>
      <c r="T58" s="6">
        <v>1</v>
      </c>
      <c r="U58" s="6">
        <v>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1</v>
      </c>
      <c r="AC58" s="5">
        <f t="shared" si="29"/>
        <v>11</v>
      </c>
    </row>
    <row r="59" spans="1:29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  <c r="N59" s="6">
        <v>1</v>
      </c>
      <c r="O59" s="6">
        <v>3</v>
      </c>
      <c r="P59" s="6">
        <v>0</v>
      </c>
      <c r="Q59" s="6">
        <v>0</v>
      </c>
      <c r="R59" s="6">
        <v>1</v>
      </c>
      <c r="S59" s="6">
        <v>1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5">
        <f t="shared" si="29"/>
        <v>7</v>
      </c>
    </row>
    <row r="60" spans="1:29" ht="13.15" customHeight="1" x14ac:dyDescent="0.4">
      <c r="A60" s="7"/>
      <c r="B60" s="46">
        <v>6</v>
      </c>
      <c r="C60" s="24" t="s">
        <v>125</v>
      </c>
      <c r="D60" s="47"/>
      <c r="E60" s="6">
        <v>1</v>
      </c>
      <c r="F60" s="6">
        <v>1</v>
      </c>
      <c r="G60" s="6">
        <v>2</v>
      </c>
      <c r="H60" s="6">
        <v>0</v>
      </c>
      <c r="I60" s="6">
        <v>0</v>
      </c>
      <c r="J60" s="6">
        <v>1</v>
      </c>
      <c r="K60" s="6">
        <v>1</v>
      </c>
      <c r="L60" s="6">
        <v>0</v>
      </c>
      <c r="M60" s="6">
        <v>0</v>
      </c>
      <c r="N60" s="6">
        <v>1</v>
      </c>
      <c r="O60" s="6">
        <v>2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0</v>
      </c>
      <c r="V60" s="6">
        <v>0</v>
      </c>
      <c r="W60" s="6">
        <v>0</v>
      </c>
      <c r="X60" s="6">
        <v>0</v>
      </c>
      <c r="Y60" s="6">
        <v>1</v>
      </c>
      <c r="Z60" s="6">
        <v>0</v>
      </c>
      <c r="AA60" s="6">
        <v>0</v>
      </c>
      <c r="AB60" s="6">
        <v>1</v>
      </c>
      <c r="AC60" s="5">
        <f t="shared" si="29"/>
        <v>16</v>
      </c>
    </row>
    <row r="61" spans="1:29" x14ac:dyDescent="0.4">
      <c r="A61" s="6" t="s">
        <v>26</v>
      </c>
      <c r="B61" s="53" t="s">
        <v>51</v>
      </c>
      <c r="C61" s="69"/>
      <c r="D61" s="60"/>
      <c r="E61" s="5">
        <f t="shared" ref="E61:AC61" si="30">SUM(E54:E60)</f>
        <v>27</v>
      </c>
      <c r="F61" s="5">
        <f t="shared" si="30"/>
        <v>11</v>
      </c>
      <c r="G61" s="5">
        <f t="shared" si="30"/>
        <v>18</v>
      </c>
      <c r="H61" s="5">
        <f t="shared" si="30"/>
        <v>17</v>
      </c>
      <c r="I61" s="5">
        <f t="shared" si="30"/>
        <v>7</v>
      </c>
      <c r="J61" s="5">
        <f t="shared" si="30"/>
        <v>24</v>
      </c>
      <c r="K61" s="5">
        <f t="shared" si="30"/>
        <v>27</v>
      </c>
      <c r="L61" s="5">
        <f t="shared" si="30"/>
        <v>24</v>
      </c>
      <c r="M61" s="5">
        <f t="shared" si="30"/>
        <v>11</v>
      </c>
      <c r="N61" s="5">
        <f t="shared" si="30"/>
        <v>24</v>
      </c>
      <c r="O61" s="5">
        <f t="shared" si="30"/>
        <v>24</v>
      </c>
      <c r="P61" s="5">
        <f t="shared" si="30"/>
        <v>21</v>
      </c>
      <c r="Q61" s="5">
        <f t="shared" si="30"/>
        <v>11</v>
      </c>
      <c r="R61" s="5">
        <f t="shared" si="30"/>
        <v>34</v>
      </c>
      <c r="S61" s="5">
        <f t="shared" si="30"/>
        <v>18</v>
      </c>
      <c r="T61" s="5">
        <f t="shared" si="30"/>
        <v>6</v>
      </c>
      <c r="U61" s="5">
        <f t="shared" si="30"/>
        <v>15</v>
      </c>
      <c r="V61" s="5">
        <f t="shared" si="30"/>
        <v>30</v>
      </c>
      <c r="W61" s="5">
        <f t="shared" si="30"/>
        <v>20</v>
      </c>
      <c r="X61" s="5">
        <f t="shared" si="30"/>
        <v>10</v>
      </c>
      <c r="Y61" s="5">
        <f t="shared" si="30"/>
        <v>22</v>
      </c>
      <c r="Z61" s="5">
        <f t="shared" si="30"/>
        <v>23</v>
      </c>
      <c r="AA61" s="5">
        <f t="shared" si="30"/>
        <v>17</v>
      </c>
      <c r="AB61" s="5">
        <f t="shared" si="30"/>
        <v>21</v>
      </c>
      <c r="AC61" s="5">
        <f t="shared" si="30"/>
        <v>462</v>
      </c>
    </row>
    <row r="62" spans="1:29" x14ac:dyDescent="0.4">
      <c r="A62" s="70"/>
      <c r="B62" s="71"/>
      <c r="C62" s="71"/>
      <c r="D62" s="71"/>
      <c r="E62" s="71"/>
    </row>
    <row r="63" spans="1:29" x14ac:dyDescent="0.4">
      <c r="A63" s="11" t="s">
        <v>48</v>
      </c>
      <c r="B63" s="17" t="s">
        <v>32</v>
      </c>
      <c r="C63" s="59" t="s">
        <v>53</v>
      </c>
      <c r="D63" s="60"/>
      <c r="E63" s="6">
        <v>4</v>
      </c>
      <c r="F63" s="6">
        <v>5</v>
      </c>
      <c r="G63" s="6">
        <v>6</v>
      </c>
      <c r="H63" s="6">
        <v>7</v>
      </c>
      <c r="I63" s="6">
        <v>2</v>
      </c>
      <c r="J63" s="6">
        <v>7</v>
      </c>
      <c r="K63" s="6">
        <v>4</v>
      </c>
      <c r="L63" s="6">
        <v>8</v>
      </c>
      <c r="M63" s="6">
        <v>12</v>
      </c>
      <c r="N63" s="6">
        <v>19</v>
      </c>
      <c r="O63" s="6">
        <v>13</v>
      </c>
      <c r="P63" s="6">
        <v>12</v>
      </c>
      <c r="Q63" s="6">
        <v>5</v>
      </c>
      <c r="R63" s="6">
        <v>19</v>
      </c>
      <c r="S63" s="6">
        <v>18</v>
      </c>
      <c r="T63" s="6">
        <v>7</v>
      </c>
      <c r="U63" s="6">
        <v>2</v>
      </c>
      <c r="V63" s="6">
        <v>6</v>
      </c>
      <c r="W63" s="6">
        <v>4</v>
      </c>
      <c r="X63" s="6">
        <v>4</v>
      </c>
      <c r="Y63" s="6">
        <v>14</v>
      </c>
      <c r="Z63" s="6">
        <v>4</v>
      </c>
      <c r="AA63" s="6">
        <v>8</v>
      </c>
      <c r="AB63" s="6">
        <v>11</v>
      </c>
      <c r="AC63" s="5">
        <f t="shared" ref="AC63:AC69" si="31">SUM(E63:AB63)</f>
        <v>201</v>
      </c>
    </row>
    <row r="64" spans="1:29" x14ac:dyDescent="0.4">
      <c r="A64" s="11" t="s">
        <v>50</v>
      </c>
      <c r="B64" s="46">
        <v>1</v>
      </c>
      <c r="C64" s="24" t="s">
        <v>126</v>
      </c>
      <c r="D64" s="47"/>
      <c r="E64" s="6">
        <v>16</v>
      </c>
      <c r="F64" s="6">
        <v>29</v>
      </c>
      <c r="G64" s="6">
        <v>20</v>
      </c>
      <c r="H64" s="6">
        <v>10</v>
      </c>
      <c r="I64" s="6">
        <v>11</v>
      </c>
      <c r="J64" s="6">
        <v>40</v>
      </c>
      <c r="K64" s="6">
        <v>27</v>
      </c>
      <c r="L64" s="6">
        <v>17</v>
      </c>
      <c r="M64" s="6">
        <v>65</v>
      </c>
      <c r="N64" s="6">
        <v>34</v>
      </c>
      <c r="O64" s="6">
        <v>28</v>
      </c>
      <c r="P64" s="6">
        <v>31</v>
      </c>
      <c r="Q64" s="6">
        <v>18</v>
      </c>
      <c r="R64" s="6">
        <v>39</v>
      </c>
      <c r="S64" s="6">
        <v>76</v>
      </c>
      <c r="T64" s="6">
        <v>26</v>
      </c>
      <c r="U64" s="6">
        <v>15</v>
      </c>
      <c r="V64" s="6">
        <v>58</v>
      </c>
      <c r="W64" s="6">
        <v>26</v>
      </c>
      <c r="X64" s="6">
        <v>33</v>
      </c>
      <c r="Y64" s="6">
        <v>40</v>
      </c>
      <c r="Z64" s="6">
        <v>20</v>
      </c>
      <c r="AA64" s="6">
        <v>22</v>
      </c>
      <c r="AB64" s="6">
        <v>51</v>
      </c>
      <c r="AC64" s="5">
        <f t="shared" si="31"/>
        <v>752</v>
      </c>
    </row>
    <row r="65" spans="1:29" x14ac:dyDescent="0.4">
      <c r="A65" s="7"/>
      <c r="B65" s="46">
        <v>2</v>
      </c>
      <c r="C65" s="24" t="s">
        <v>127</v>
      </c>
      <c r="D65" s="47"/>
      <c r="E65" s="6">
        <v>2</v>
      </c>
      <c r="F65" s="6">
        <v>0</v>
      </c>
      <c r="G65" s="6">
        <v>1</v>
      </c>
      <c r="H65" s="6">
        <v>2</v>
      </c>
      <c r="I65" s="6">
        <v>5</v>
      </c>
      <c r="J65" s="6">
        <v>2</v>
      </c>
      <c r="K65" s="6">
        <v>5</v>
      </c>
      <c r="L65" s="6">
        <v>6</v>
      </c>
      <c r="M65" s="6">
        <v>6</v>
      </c>
      <c r="N65" s="6">
        <v>3</v>
      </c>
      <c r="O65" s="6">
        <v>11</v>
      </c>
      <c r="P65" s="6">
        <v>1</v>
      </c>
      <c r="Q65" s="6">
        <v>18</v>
      </c>
      <c r="R65" s="6">
        <v>1</v>
      </c>
      <c r="S65" s="6">
        <v>12</v>
      </c>
      <c r="T65" s="6">
        <v>3</v>
      </c>
      <c r="U65" s="6">
        <v>4</v>
      </c>
      <c r="V65" s="6">
        <v>2</v>
      </c>
      <c r="W65" s="6">
        <v>1</v>
      </c>
      <c r="X65" s="6">
        <v>0</v>
      </c>
      <c r="Y65" s="6">
        <v>2</v>
      </c>
      <c r="Z65" s="6">
        <v>3</v>
      </c>
      <c r="AA65" s="6">
        <v>2</v>
      </c>
      <c r="AB65" s="6">
        <v>3</v>
      </c>
      <c r="AC65" s="5">
        <f t="shared" si="31"/>
        <v>95</v>
      </c>
    </row>
    <row r="66" spans="1:29" x14ac:dyDescent="0.4">
      <c r="A66" s="7"/>
      <c r="B66" s="46">
        <v>3</v>
      </c>
      <c r="C66" s="24" t="s">
        <v>128</v>
      </c>
      <c r="D66" s="47"/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>
        <v>1</v>
      </c>
      <c r="Q66" s="6">
        <v>0</v>
      </c>
      <c r="R66" s="6">
        <v>3</v>
      </c>
      <c r="S66" s="6">
        <v>3</v>
      </c>
      <c r="T66" s="6">
        <v>1</v>
      </c>
      <c r="U66" s="6">
        <v>0</v>
      </c>
      <c r="V66" s="6">
        <v>2</v>
      </c>
      <c r="W66" s="6">
        <v>0</v>
      </c>
      <c r="X66" s="6">
        <v>2</v>
      </c>
      <c r="Y66" s="6">
        <v>0</v>
      </c>
      <c r="Z66" s="6">
        <v>2</v>
      </c>
      <c r="AA66" s="6">
        <v>0</v>
      </c>
      <c r="AB66" s="6">
        <v>1</v>
      </c>
      <c r="AC66" s="5">
        <f t="shared" si="31"/>
        <v>18</v>
      </c>
    </row>
    <row r="67" spans="1:29" x14ac:dyDescent="0.4">
      <c r="A67" s="7"/>
      <c r="B67" s="46">
        <v>4</v>
      </c>
      <c r="C67" s="24" t="s">
        <v>129</v>
      </c>
      <c r="D67" s="47"/>
      <c r="E67" s="6">
        <v>1</v>
      </c>
      <c r="F67" s="6">
        <v>0</v>
      </c>
      <c r="G67" s="6">
        <v>0</v>
      </c>
      <c r="H67" s="6">
        <v>0</v>
      </c>
      <c r="I67" s="6">
        <v>0</v>
      </c>
      <c r="J67" s="6">
        <v>4</v>
      </c>
      <c r="K67" s="6">
        <v>2</v>
      </c>
      <c r="L67" s="6">
        <v>2</v>
      </c>
      <c r="M67" s="6">
        <v>2</v>
      </c>
      <c r="N67" s="6">
        <v>0</v>
      </c>
      <c r="O67" s="6">
        <v>1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1</v>
      </c>
      <c r="V67" s="6">
        <v>0</v>
      </c>
      <c r="W67" s="6">
        <v>0</v>
      </c>
      <c r="X67" s="6">
        <v>1</v>
      </c>
      <c r="Y67" s="6">
        <v>0</v>
      </c>
      <c r="Z67" s="6">
        <v>0</v>
      </c>
      <c r="AA67" s="6">
        <v>1</v>
      </c>
      <c r="AB67" s="6">
        <v>0</v>
      </c>
      <c r="AC67" s="5">
        <f t="shared" si="31"/>
        <v>16</v>
      </c>
    </row>
    <row r="68" spans="1:29" ht="13.15" customHeight="1" x14ac:dyDescent="0.4">
      <c r="A68" s="7"/>
      <c r="B68" s="46">
        <v>5</v>
      </c>
      <c r="C68" s="24" t="s">
        <v>130</v>
      </c>
      <c r="D68" s="47"/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1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  <c r="AC68" s="5">
        <f t="shared" si="31"/>
        <v>2</v>
      </c>
    </row>
    <row r="69" spans="1:29" x14ac:dyDescent="0.4">
      <c r="A69" s="7"/>
      <c r="B69" s="46">
        <v>6</v>
      </c>
      <c r="C69" s="24" t="s">
        <v>131</v>
      </c>
      <c r="D69" s="47"/>
      <c r="E69" s="6">
        <v>0</v>
      </c>
      <c r="F69" s="6">
        <v>1</v>
      </c>
      <c r="G69" s="6">
        <v>1</v>
      </c>
      <c r="H69" s="6">
        <v>0</v>
      </c>
      <c r="I69" s="6">
        <v>0</v>
      </c>
      <c r="J69" s="6">
        <v>5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5">
        <f t="shared" si="31"/>
        <v>9</v>
      </c>
    </row>
    <row r="70" spans="1:29" x14ac:dyDescent="0.4">
      <c r="A70" s="6" t="s">
        <v>26</v>
      </c>
      <c r="B70" s="53" t="s">
        <v>51</v>
      </c>
      <c r="C70" s="69"/>
      <c r="D70" s="60"/>
      <c r="E70" s="5">
        <f t="shared" ref="E70:AC70" si="32">SUM(E63:E69)</f>
        <v>24</v>
      </c>
      <c r="F70" s="5">
        <f t="shared" si="32"/>
        <v>35</v>
      </c>
      <c r="G70" s="5">
        <f t="shared" si="32"/>
        <v>28</v>
      </c>
      <c r="H70" s="5">
        <f t="shared" si="32"/>
        <v>19</v>
      </c>
      <c r="I70" s="5">
        <f t="shared" si="32"/>
        <v>18</v>
      </c>
      <c r="J70" s="5">
        <f t="shared" si="32"/>
        <v>58</v>
      </c>
      <c r="K70" s="5">
        <f t="shared" si="32"/>
        <v>38</v>
      </c>
      <c r="L70" s="5">
        <f t="shared" si="32"/>
        <v>33</v>
      </c>
      <c r="M70" s="5">
        <f t="shared" si="32"/>
        <v>85</v>
      </c>
      <c r="N70" s="5">
        <f t="shared" si="32"/>
        <v>58</v>
      </c>
      <c r="O70" s="5">
        <f t="shared" si="32"/>
        <v>54</v>
      </c>
      <c r="P70" s="5">
        <f t="shared" si="32"/>
        <v>45</v>
      </c>
      <c r="Q70" s="5">
        <f t="shared" si="32"/>
        <v>41</v>
      </c>
      <c r="R70" s="5">
        <f t="shared" si="32"/>
        <v>63</v>
      </c>
      <c r="S70" s="5">
        <f t="shared" si="32"/>
        <v>110</v>
      </c>
      <c r="T70" s="5">
        <f t="shared" si="32"/>
        <v>37</v>
      </c>
      <c r="U70" s="5">
        <f t="shared" si="32"/>
        <v>23</v>
      </c>
      <c r="V70" s="5">
        <f t="shared" si="32"/>
        <v>68</v>
      </c>
      <c r="W70" s="5">
        <f t="shared" si="32"/>
        <v>31</v>
      </c>
      <c r="X70" s="5">
        <f t="shared" si="32"/>
        <v>40</v>
      </c>
      <c r="Y70" s="5">
        <f t="shared" si="32"/>
        <v>56</v>
      </c>
      <c r="Z70" s="5">
        <f t="shared" si="32"/>
        <v>29</v>
      </c>
      <c r="AA70" s="5">
        <f t="shared" si="32"/>
        <v>34</v>
      </c>
      <c r="AB70" s="5">
        <f t="shared" si="32"/>
        <v>66</v>
      </c>
      <c r="AC70" s="5">
        <f t="shared" si="32"/>
        <v>1093</v>
      </c>
    </row>
    <row r="71" spans="1:29" x14ac:dyDescent="0.4">
      <c r="A71" s="70"/>
      <c r="B71" s="71"/>
      <c r="C71" s="71"/>
      <c r="D71" s="71"/>
      <c r="E71" s="71"/>
    </row>
    <row r="72" spans="1:29" x14ac:dyDescent="0.4">
      <c r="A72" s="11" t="s">
        <v>48</v>
      </c>
      <c r="B72" s="17" t="s">
        <v>34</v>
      </c>
      <c r="C72" s="59" t="s">
        <v>54</v>
      </c>
      <c r="D72" s="60"/>
      <c r="E72" s="6">
        <v>0</v>
      </c>
      <c r="F72" s="6">
        <v>2</v>
      </c>
      <c r="G72" s="6">
        <v>1</v>
      </c>
      <c r="H72" s="6">
        <v>3</v>
      </c>
      <c r="I72" s="6">
        <v>0</v>
      </c>
      <c r="J72" s="6">
        <v>3</v>
      </c>
      <c r="K72" s="6">
        <v>1</v>
      </c>
      <c r="L72" s="6">
        <v>4</v>
      </c>
      <c r="M72" s="6">
        <v>1</v>
      </c>
      <c r="N72" s="6">
        <v>2</v>
      </c>
      <c r="O72" s="6">
        <v>4</v>
      </c>
      <c r="P72" s="6">
        <v>2</v>
      </c>
      <c r="Q72" s="6">
        <v>0</v>
      </c>
      <c r="R72" s="6">
        <v>2</v>
      </c>
      <c r="S72" s="6">
        <v>0</v>
      </c>
      <c r="T72" s="6">
        <v>4</v>
      </c>
      <c r="U72" s="6">
        <v>1</v>
      </c>
      <c r="V72" s="6">
        <v>6</v>
      </c>
      <c r="W72" s="6">
        <v>9</v>
      </c>
      <c r="X72" s="6">
        <v>3</v>
      </c>
      <c r="Y72" s="6">
        <v>6</v>
      </c>
      <c r="Z72" s="6">
        <v>7</v>
      </c>
      <c r="AA72" s="6">
        <v>3</v>
      </c>
      <c r="AB72" s="6">
        <v>3</v>
      </c>
      <c r="AC72" s="5">
        <f t="shared" ref="AC72:AC78" si="33">SUM(E72:AB72)</f>
        <v>67</v>
      </c>
    </row>
    <row r="73" spans="1:29" x14ac:dyDescent="0.4">
      <c r="A73" s="11" t="s">
        <v>50</v>
      </c>
      <c r="B73" s="46">
        <v>1</v>
      </c>
      <c r="C73" s="24" t="s">
        <v>132</v>
      </c>
      <c r="D73" s="47"/>
      <c r="E73" s="6">
        <v>1</v>
      </c>
      <c r="F73" s="6">
        <v>3</v>
      </c>
      <c r="G73" s="6">
        <v>4</v>
      </c>
      <c r="H73" s="6">
        <v>6</v>
      </c>
      <c r="I73" s="6">
        <v>7</v>
      </c>
      <c r="J73" s="6">
        <v>3</v>
      </c>
      <c r="K73" s="6">
        <v>3</v>
      </c>
      <c r="L73" s="6">
        <v>0</v>
      </c>
      <c r="M73" s="6">
        <v>0</v>
      </c>
      <c r="N73" s="6">
        <v>5</v>
      </c>
      <c r="O73" s="6">
        <v>5</v>
      </c>
      <c r="P73" s="6">
        <v>1</v>
      </c>
      <c r="Q73" s="6">
        <v>0</v>
      </c>
      <c r="R73" s="6">
        <v>2</v>
      </c>
      <c r="S73" s="6">
        <v>2</v>
      </c>
      <c r="T73" s="6">
        <v>8</v>
      </c>
      <c r="U73" s="6">
        <v>1</v>
      </c>
      <c r="V73" s="6">
        <v>24</v>
      </c>
      <c r="W73" s="6">
        <v>44</v>
      </c>
      <c r="X73" s="6">
        <v>2</v>
      </c>
      <c r="Y73" s="6">
        <v>1</v>
      </c>
      <c r="Z73" s="6">
        <v>3</v>
      </c>
      <c r="AA73" s="6">
        <v>5</v>
      </c>
      <c r="AB73" s="6">
        <v>15</v>
      </c>
      <c r="AC73" s="5">
        <f t="shared" si="33"/>
        <v>145</v>
      </c>
    </row>
    <row r="74" spans="1:29" x14ac:dyDescent="0.4">
      <c r="A74" s="7"/>
      <c r="B74" s="46">
        <v>2</v>
      </c>
      <c r="C74" s="24" t="s">
        <v>133</v>
      </c>
      <c r="D74" s="47"/>
      <c r="E74" s="6">
        <v>2</v>
      </c>
      <c r="F74" s="6">
        <v>1</v>
      </c>
      <c r="G74" s="6">
        <v>5</v>
      </c>
      <c r="H74" s="6">
        <v>34</v>
      </c>
      <c r="I74" s="6">
        <v>76</v>
      </c>
      <c r="J74" s="6">
        <v>13</v>
      </c>
      <c r="K74" s="6">
        <v>11</v>
      </c>
      <c r="L74" s="6">
        <v>1</v>
      </c>
      <c r="M74" s="6">
        <v>3</v>
      </c>
      <c r="N74" s="6">
        <v>11</v>
      </c>
      <c r="O74" s="6">
        <v>11</v>
      </c>
      <c r="P74" s="6">
        <v>5</v>
      </c>
      <c r="Q74" s="6">
        <v>11</v>
      </c>
      <c r="R74" s="6">
        <v>12</v>
      </c>
      <c r="S74" s="6">
        <v>11</v>
      </c>
      <c r="T74" s="6">
        <v>136</v>
      </c>
      <c r="U74" s="6">
        <v>69</v>
      </c>
      <c r="V74" s="6">
        <v>4</v>
      </c>
      <c r="W74" s="6">
        <v>16</v>
      </c>
      <c r="X74" s="6">
        <v>4</v>
      </c>
      <c r="Y74" s="6">
        <v>4</v>
      </c>
      <c r="Z74" s="6">
        <v>1</v>
      </c>
      <c r="AA74" s="6">
        <v>5</v>
      </c>
      <c r="AB74" s="6">
        <v>4</v>
      </c>
      <c r="AC74" s="5">
        <f t="shared" si="33"/>
        <v>450</v>
      </c>
    </row>
    <row r="75" spans="1:29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2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5">
        <f t="shared" si="33"/>
        <v>3</v>
      </c>
    </row>
    <row r="76" spans="1:29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4</v>
      </c>
      <c r="L76" s="6">
        <v>2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2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  <c r="AB76" s="6">
        <v>0</v>
      </c>
      <c r="AC76" s="5">
        <f t="shared" si="33"/>
        <v>11</v>
      </c>
    </row>
    <row r="77" spans="1:29" x14ac:dyDescent="0.4">
      <c r="A77" s="7"/>
      <c r="B77" s="46">
        <v>5</v>
      </c>
      <c r="C77" s="24" t="s">
        <v>136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f t="shared" si="33"/>
        <v>1</v>
      </c>
    </row>
    <row r="78" spans="1:29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6">
        <v>0</v>
      </c>
      <c r="AC78" s="5">
        <f t="shared" si="33"/>
        <v>1</v>
      </c>
    </row>
    <row r="79" spans="1:29" x14ac:dyDescent="0.4">
      <c r="A79" s="6" t="s">
        <v>26</v>
      </c>
      <c r="B79" s="53" t="s">
        <v>51</v>
      </c>
      <c r="C79" s="69"/>
      <c r="D79" s="60"/>
      <c r="E79" s="5">
        <f t="shared" ref="E79:AC79" si="34">SUM(E72:E78)</f>
        <v>3</v>
      </c>
      <c r="F79" s="5">
        <f t="shared" si="34"/>
        <v>6</v>
      </c>
      <c r="G79" s="5">
        <f t="shared" si="34"/>
        <v>10</v>
      </c>
      <c r="H79" s="5">
        <f t="shared" si="34"/>
        <v>43</v>
      </c>
      <c r="I79" s="5">
        <f t="shared" si="34"/>
        <v>83</v>
      </c>
      <c r="J79" s="5">
        <f t="shared" si="34"/>
        <v>20</v>
      </c>
      <c r="K79" s="5">
        <f t="shared" si="34"/>
        <v>19</v>
      </c>
      <c r="L79" s="5">
        <f t="shared" si="34"/>
        <v>7</v>
      </c>
      <c r="M79" s="5">
        <f t="shared" si="34"/>
        <v>5</v>
      </c>
      <c r="N79" s="5">
        <f t="shared" si="34"/>
        <v>18</v>
      </c>
      <c r="O79" s="5">
        <f t="shared" si="34"/>
        <v>21</v>
      </c>
      <c r="P79" s="5">
        <f t="shared" si="34"/>
        <v>8</v>
      </c>
      <c r="Q79" s="5">
        <f t="shared" si="34"/>
        <v>12</v>
      </c>
      <c r="R79" s="5">
        <f t="shared" si="34"/>
        <v>16</v>
      </c>
      <c r="S79" s="5">
        <f t="shared" si="34"/>
        <v>13</v>
      </c>
      <c r="T79" s="5">
        <f t="shared" si="34"/>
        <v>148</v>
      </c>
      <c r="U79" s="5">
        <f t="shared" si="34"/>
        <v>73</v>
      </c>
      <c r="V79" s="5">
        <f t="shared" si="34"/>
        <v>34</v>
      </c>
      <c r="W79" s="5">
        <f t="shared" si="34"/>
        <v>71</v>
      </c>
      <c r="X79" s="5">
        <f t="shared" si="34"/>
        <v>9</v>
      </c>
      <c r="Y79" s="5">
        <f t="shared" si="34"/>
        <v>11</v>
      </c>
      <c r="Z79" s="5">
        <f t="shared" si="34"/>
        <v>12</v>
      </c>
      <c r="AA79" s="5">
        <f t="shared" si="34"/>
        <v>14</v>
      </c>
      <c r="AB79" s="5">
        <f t="shared" si="34"/>
        <v>22</v>
      </c>
      <c r="AC79" s="5">
        <f t="shared" si="34"/>
        <v>678</v>
      </c>
    </row>
    <row r="80" spans="1:29" x14ac:dyDescent="0.4">
      <c r="A80" s="70"/>
      <c r="B80" s="71"/>
      <c r="C80" s="71"/>
      <c r="D80" s="71"/>
      <c r="E80" s="71"/>
    </row>
    <row r="81" spans="1:29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2</v>
      </c>
      <c r="L81" s="6">
        <v>0</v>
      </c>
      <c r="M81" s="6">
        <v>1</v>
      </c>
      <c r="N81" s="6">
        <v>2</v>
      </c>
      <c r="O81" s="6">
        <v>4</v>
      </c>
      <c r="P81" s="6">
        <v>1</v>
      </c>
      <c r="Q81" s="6">
        <v>2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1</v>
      </c>
      <c r="X81" s="6">
        <v>0</v>
      </c>
      <c r="Y81" s="6">
        <v>1</v>
      </c>
      <c r="Z81" s="6">
        <v>1</v>
      </c>
      <c r="AA81" s="6">
        <v>0</v>
      </c>
      <c r="AB81" s="6">
        <v>0</v>
      </c>
      <c r="AC81" s="5">
        <f t="shared" ref="AC81:AC87" si="35">SUM(E81:AB81)</f>
        <v>17</v>
      </c>
    </row>
    <row r="82" spans="1:29" x14ac:dyDescent="0.4">
      <c r="A82" s="11" t="s">
        <v>50</v>
      </c>
      <c r="B82" s="46">
        <v>1</v>
      </c>
      <c r="C82" s="24" t="s">
        <v>138</v>
      </c>
      <c r="D82" s="47"/>
      <c r="E82" s="6">
        <v>0</v>
      </c>
      <c r="F82" s="6">
        <v>0</v>
      </c>
      <c r="G82" s="6">
        <v>0</v>
      </c>
      <c r="H82" s="6">
        <v>1</v>
      </c>
      <c r="I82" s="6">
        <v>1</v>
      </c>
      <c r="J82" s="6">
        <v>0</v>
      </c>
      <c r="K82" s="6">
        <v>1</v>
      </c>
      <c r="L82" s="6">
        <v>0</v>
      </c>
      <c r="M82" s="6">
        <v>2</v>
      </c>
      <c r="N82" s="6">
        <v>1</v>
      </c>
      <c r="O82" s="6">
        <v>2</v>
      </c>
      <c r="P82" s="6">
        <v>1</v>
      </c>
      <c r="Q82" s="6">
        <v>0</v>
      </c>
      <c r="R82" s="6">
        <v>0</v>
      </c>
      <c r="S82" s="6">
        <v>1</v>
      </c>
      <c r="T82" s="6">
        <v>0</v>
      </c>
      <c r="U82" s="6">
        <v>0</v>
      </c>
      <c r="V82" s="6">
        <v>1</v>
      </c>
      <c r="W82" s="6">
        <v>1</v>
      </c>
      <c r="X82" s="6">
        <v>1</v>
      </c>
      <c r="Y82" s="6">
        <v>0</v>
      </c>
      <c r="Z82" s="6">
        <v>0</v>
      </c>
      <c r="AA82" s="6">
        <v>0</v>
      </c>
      <c r="AB82" s="6">
        <v>2</v>
      </c>
      <c r="AC82" s="5">
        <f t="shared" si="35"/>
        <v>15</v>
      </c>
    </row>
    <row r="83" spans="1:29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1</v>
      </c>
      <c r="AB83" s="6">
        <v>0</v>
      </c>
      <c r="AC83" s="5">
        <f t="shared" si="35"/>
        <v>1</v>
      </c>
    </row>
    <row r="84" spans="1:29" ht="13.15" customHeight="1" x14ac:dyDescent="0.4">
      <c r="A84" s="7"/>
      <c r="B84" s="46">
        <v>3</v>
      </c>
      <c r="C84" s="24" t="s">
        <v>140</v>
      </c>
      <c r="D84" s="47"/>
      <c r="E84" s="6">
        <v>2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5">
        <f t="shared" si="35"/>
        <v>3</v>
      </c>
    </row>
    <row r="85" spans="1:29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2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>
        <v>1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2</v>
      </c>
      <c r="Y85" s="6">
        <v>0</v>
      </c>
      <c r="Z85" s="6">
        <v>0</v>
      </c>
      <c r="AA85" s="6">
        <v>0</v>
      </c>
      <c r="AB85" s="6">
        <v>0</v>
      </c>
      <c r="AC85" s="5">
        <f t="shared" si="35"/>
        <v>8</v>
      </c>
    </row>
    <row r="86" spans="1:29" x14ac:dyDescent="0.4">
      <c r="A86" s="7"/>
      <c r="B86" s="46">
        <v>5</v>
      </c>
      <c r="C86" s="24" t="s">
        <v>142</v>
      </c>
      <c r="D86" s="47"/>
      <c r="E86" s="6">
        <v>2</v>
      </c>
      <c r="F86" s="6">
        <v>0</v>
      </c>
      <c r="G86" s="6">
        <v>0</v>
      </c>
      <c r="H86" s="6">
        <v>0</v>
      </c>
      <c r="I86" s="6">
        <v>0</v>
      </c>
      <c r="J86" s="6">
        <v>4</v>
      </c>
      <c r="K86" s="6">
        <v>3</v>
      </c>
      <c r="L86" s="6">
        <v>0</v>
      </c>
      <c r="M86" s="6">
        <v>3</v>
      </c>
      <c r="N86" s="6">
        <v>29</v>
      </c>
      <c r="O86" s="6">
        <v>26</v>
      </c>
      <c r="P86" s="6">
        <v>18</v>
      </c>
      <c r="Q86" s="6">
        <v>1</v>
      </c>
      <c r="R86" s="6">
        <v>2</v>
      </c>
      <c r="S86" s="6">
        <v>0</v>
      </c>
      <c r="T86" s="6">
        <v>0</v>
      </c>
      <c r="U86" s="6">
        <v>0</v>
      </c>
      <c r="V86" s="6">
        <v>3</v>
      </c>
      <c r="W86" s="6">
        <v>3</v>
      </c>
      <c r="X86" s="6">
        <v>5</v>
      </c>
      <c r="Y86" s="6">
        <v>0</v>
      </c>
      <c r="Z86" s="6">
        <v>0</v>
      </c>
      <c r="AA86" s="6">
        <v>2</v>
      </c>
      <c r="AB86" s="6">
        <v>2</v>
      </c>
      <c r="AC86" s="5">
        <f t="shared" si="35"/>
        <v>103</v>
      </c>
    </row>
    <row r="87" spans="1:29" x14ac:dyDescent="0.4">
      <c r="A87" s="7"/>
      <c r="B87" s="46">
        <v>6</v>
      </c>
      <c r="C87" s="24" t="s">
        <v>143</v>
      </c>
      <c r="D87" s="47"/>
      <c r="E87" s="6">
        <v>18</v>
      </c>
      <c r="F87" s="6">
        <v>1</v>
      </c>
      <c r="G87" s="6">
        <v>2</v>
      </c>
      <c r="H87" s="6">
        <v>0</v>
      </c>
      <c r="I87" s="6">
        <v>4</v>
      </c>
      <c r="J87" s="6">
        <v>6</v>
      </c>
      <c r="K87" s="6">
        <v>4</v>
      </c>
      <c r="L87" s="6">
        <v>12</v>
      </c>
      <c r="M87" s="6">
        <v>5</v>
      </c>
      <c r="N87" s="6">
        <v>0</v>
      </c>
      <c r="O87" s="6">
        <v>2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4</v>
      </c>
      <c r="V87" s="6">
        <v>0</v>
      </c>
      <c r="W87" s="6">
        <v>0</v>
      </c>
      <c r="X87" s="6">
        <v>7</v>
      </c>
      <c r="Y87" s="6">
        <v>0</v>
      </c>
      <c r="Z87" s="6">
        <v>1</v>
      </c>
      <c r="AA87" s="6">
        <v>10</v>
      </c>
      <c r="AB87" s="6">
        <v>0</v>
      </c>
      <c r="AC87" s="5">
        <f t="shared" si="35"/>
        <v>76</v>
      </c>
    </row>
    <row r="88" spans="1:29" x14ac:dyDescent="0.4">
      <c r="A88" s="6" t="s">
        <v>26</v>
      </c>
      <c r="B88" s="53" t="s">
        <v>51</v>
      </c>
      <c r="C88" s="69"/>
      <c r="D88" s="60"/>
      <c r="E88" s="5">
        <f t="shared" ref="E88:AC88" si="36">SUM(E81:E87)</f>
        <v>23</v>
      </c>
      <c r="F88" s="5">
        <f t="shared" si="36"/>
        <v>1</v>
      </c>
      <c r="G88" s="5">
        <f t="shared" si="36"/>
        <v>4</v>
      </c>
      <c r="H88" s="5">
        <f t="shared" si="36"/>
        <v>2</v>
      </c>
      <c r="I88" s="5">
        <f t="shared" si="36"/>
        <v>5</v>
      </c>
      <c r="J88" s="5">
        <f t="shared" si="36"/>
        <v>11</v>
      </c>
      <c r="K88" s="5">
        <f t="shared" si="36"/>
        <v>10</v>
      </c>
      <c r="L88" s="5">
        <f t="shared" si="36"/>
        <v>12</v>
      </c>
      <c r="M88" s="5">
        <f t="shared" si="36"/>
        <v>11</v>
      </c>
      <c r="N88" s="5">
        <f t="shared" si="36"/>
        <v>34</v>
      </c>
      <c r="O88" s="5">
        <f t="shared" si="36"/>
        <v>34</v>
      </c>
      <c r="P88" s="5">
        <f t="shared" si="36"/>
        <v>21</v>
      </c>
      <c r="Q88" s="5">
        <f t="shared" si="36"/>
        <v>3</v>
      </c>
      <c r="R88" s="5">
        <f t="shared" si="36"/>
        <v>2</v>
      </c>
      <c r="S88" s="5">
        <f t="shared" si="36"/>
        <v>1</v>
      </c>
      <c r="T88" s="5">
        <f t="shared" si="36"/>
        <v>0</v>
      </c>
      <c r="U88" s="5">
        <f t="shared" si="36"/>
        <v>4</v>
      </c>
      <c r="V88" s="5">
        <f t="shared" si="36"/>
        <v>4</v>
      </c>
      <c r="W88" s="5">
        <f t="shared" si="36"/>
        <v>6</v>
      </c>
      <c r="X88" s="5">
        <f t="shared" si="36"/>
        <v>15</v>
      </c>
      <c r="Y88" s="5">
        <f t="shared" si="36"/>
        <v>1</v>
      </c>
      <c r="Z88" s="5">
        <f t="shared" si="36"/>
        <v>2</v>
      </c>
      <c r="AA88" s="5">
        <f t="shared" si="36"/>
        <v>13</v>
      </c>
      <c r="AB88" s="5">
        <f t="shared" si="36"/>
        <v>4</v>
      </c>
      <c r="AC88" s="5">
        <f t="shared" si="36"/>
        <v>223</v>
      </c>
    </row>
    <row r="89" spans="1:29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1</v>
      </c>
      <c r="S90" s="6">
        <v>1</v>
      </c>
      <c r="T90" s="6">
        <v>0</v>
      </c>
      <c r="U90" s="6">
        <v>0</v>
      </c>
      <c r="V90" s="6">
        <v>0</v>
      </c>
      <c r="W90" s="6">
        <v>1</v>
      </c>
      <c r="X90" s="6">
        <v>1</v>
      </c>
      <c r="Y90" s="6">
        <v>0</v>
      </c>
      <c r="Z90" s="6">
        <v>6</v>
      </c>
      <c r="AA90" s="6">
        <v>2</v>
      </c>
      <c r="AB90" s="6">
        <v>0</v>
      </c>
      <c r="AC90" s="5">
        <f>SUM(E90:AB90)</f>
        <v>15</v>
      </c>
    </row>
    <row r="91" spans="1:29" ht="13.15" customHeight="1" x14ac:dyDescent="0.4">
      <c r="A91" s="6" t="s">
        <v>26</v>
      </c>
      <c r="B91" s="53" t="s">
        <v>51</v>
      </c>
      <c r="C91" s="54"/>
      <c r="D91" s="55"/>
      <c r="E91" s="5">
        <f t="shared" ref="E91:AC91" si="37">SUM(E90:E90)</f>
        <v>0</v>
      </c>
      <c r="F91" s="5">
        <f t="shared" si="37"/>
        <v>0</v>
      </c>
      <c r="G91" s="5">
        <f t="shared" si="37"/>
        <v>0</v>
      </c>
      <c r="H91" s="5">
        <f t="shared" si="37"/>
        <v>0</v>
      </c>
      <c r="I91" s="5">
        <f t="shared" si="37"/>
        <v>1</v>
      </c>
      <c r="J91" s="5">
        <f t="shared" si="37"/>
        <v>1</v>
      </c>
      <c r="K91" s="5">
        <f t="shared" si="37"/>
        <v>0</v>
      </c>
      <c r="L91" s="5">
        <f t="shared" si="37"/>
        <v>0</v>
      </c>
      <c r="M91" s="5">
        <f t="shared" si="37"/>
        <v>0</v>
      </c>
      <c r="N91" s="5">
        <f t="shared" si="37"/>
        <v>1</v>
      </c>
      <c r="O91" s="5">
        <f t="shared" si="37"/>
        <v>0</v>
      </c>
      <c r="P91" s="5">
        <f t="shared" si="37"/>
        <v>0</v>
      </c>
      <c r="Q91" s="5">
        <f t="shared" si="37"/>
        <v>0</v>
      </c>
      <c r="R91" s="5">
        <f t="shared" si="37"/>
        <v>1</v>
      </c>
      <c r="S91" s="5">
        <f t="shared" si="37"/>
        <v>1</v>
      </c>
      <c r="T91" s="5">
        <f t="shared" si="37"/>
        <v>0</v>
      </c>
      <c r="U91" s="5">
        <f t="shared" si="37"/>
        <v>0</v>
      </c>
      <c r="V91" s="5">
        <f t="shared" si="37"/>
        <v>0</v>
      </c>
      <c r="W91" s="5">
        <f t="shared" si="37"/>
        <v>1</v>
      </c>
      <c r="X91" s="5">
        <f t="shared" si="37"/>
        <v>1</v>
      </c>
      <c r="Y91" s="5">
        <f t="shared" si="37"/>
        <v>0</v>
      </c>
      <c r="Z91" s="5">
        <f t="shared" si="37"/>
        <v>6</v>
      </c>
      <c r="AA91" s="5">
        <f t="shared" si="37"/>
        <v>2</v>
      </c>
      <c r="AB91" s="5">
        <f t="shared" si="37"/>
        <v>0</v>
      </c>
      <c r="AC91" s="5">
        <f t="shared" si="37"/>
        <v>15</v>
      </c>
    </row>
    <row r="92" spans="1:29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5"/>
    </row>
    <row r="93" spans="1:29" x14ac:dyDescent="0.4">
      <c r="A93" s="11" t="s">
        <v>48</v>
      </c>
      <c r="B93" s="17" t="s">
        <v>59</v>
      </c>
      <c r="C93" s="59" t="s">
        <v>60</v>
      </c>
      <c r="D93" s="60"/>
      <c r="E93" s="6">
        <v>0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1</v>
      </c>
      <c r="T93" s="6">
        <v>0</v>
      </c>
      <c r="U93" s="6">
        <v>2</v>
      </c>
      <c r="V93" s="6">
        <v>1</v>
      </c>
      <c r="W93" s="6">
        <v>0</v>
      </c>
      <c r="X93" s="6">
        <v>1</v>
      </c>
      <c r="Y93" s="6">
        <v>1</v>
      </c>
      <c r="Z93" s="6">
        <v>1</v>
      </c>
      <c r="AA93" s="6">
        <v>0</v>
      </c>
      <c r="AB93" s="6">
        <v>0</v>
      </c>
      <c r="AC93" s="5">
        <f>SUM(E93:AB93)</f>
        <v>10</v>
      </c>
    </row>
    <row r="94" spans="1:29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5">
        <f>SUM(E94:AB94)</f>
        <v>1</v>
      </c>
    </row>
    <row r="95" spans="1:29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1</v>
      </c>
      <c r="AC95" s="5">
        <f>SUM(E95:AB95)</f>
        <v>2</v>
      </c>
    </row>
    <row r="96" spans="1:29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5">
        <f>SUM(E96:AB96)</f>
        <v>0</v>
      </c>
    </row>
    <row r="97" spans="1:29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5">
        <f>SUM(E97:AB97)</f>
        <v>0</v>
      </c>
    </row>
    <row r="98" spans="1:29" x14ac:dyDescent="0.4">
      <c r="A98" s="6" t="s">
        <v>26</v>
      </c>
      <c r="B98" s="53" t="s">
        <v>51</v>
      </c>
      <c r="C98" s="54"/>
      <c r="D98" s="55"/>
      <c r="E98" s="5">
        <f t="shared" ref="E98:AC98" si="38">SUM(E93:E97)</f>
        <v>0</v>
      </c>
      <c r="F98" s="5">
        <f t="shared" si="38"/>
        <v>0</v>
      </c>
      <c r="G98" s="5">
        <f t="shared" si="38"/>
        <v>1</v>
      </c>
      <c r="H98" s="5">
        <f t="shared" si="38"/>
        <v>0</v>
      </c>
      <c r="I98" s="5">
        <f t="shared" si="38"/>
        <v>0</v>
      </c>
      <c r="J98" s="5">
        <f t="shared" si="38"/>
        <v>0</v>
      </c>
      <c r="K98" s="5">
        <f t="shared" si="38"/>
        <v>3</v>
      </c>
      <c r="L98" s="5">
        <f t="shared" si="38"/>
        <v>0</v>
      </c>
      <c r="M98" s="5">
        <f t="shared" si="38"/>
        <v>0</v>
      </c>
      <c r="N98" s="5">
        <f t="shared" si="38"/>
        <v>0</v>
      </c>
      <c r="O98" s="5">
        <f t="shared" si="38"/>
        <v>0</v>
      </c>
      <c r="P98" s="5">
        <f t="shared" si="38"/>
        <v>0</v>
      </c>
      <c r="Q98" s="5">
        <f t="shared" si="38"/>
        <v>1</v>
      </c>
      <c r="R98" s="5">
        <f t="shared" si="38"/>
        <v>0</v>
      </c>
      <c r="S98" s="5">
        <f t="shared" si="38"/>
        <v>1</v>
      </c>
      <c r="T98" s="5">
        <f t="shared" si="38"/>
        <v>0</v>
      </c>
      <c r="U98" s="5">
        <f t="shared" si="38"/>
        <v>2</v>
      </c>
      <c r="V98" s="5">
        <f t="shared" si="38"/>
        <v>1</v>
      </c>
      <c r="W98" s="5">
        <f t="shared" si="38"/>
        <v>0</v>
      </c>
      <c r="X98" s="5">
        <f t="shared" si="38"/>
        <v>1</v>
      </c>
      <c r="Y98" s="5">
        <f t="shared" si="38"/>
        <v>1</v>
      </c>
      <c r="Z98" s="5">
        <f t="shared" si="38"/>
        <v>1</v>
      </c>
      <c r="AA98" s="5">
        <f t="shared" si="38"/>
        <v>0</v>
      </c>
      <c r="AB98" s="5">
        <f t="shared" si="38"/>
        <v>1</v>
      </c>
      <c r="AC98" s="5">
        <f t="shared" si="38"/>
        <v>13</v>
      </c>
    </row>
    <row r="99" spans="1:29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spans="1:29" x14ac:dyDescent="0.4">
      <c r="A100" s="11" t="s">
        <v>48</v>
      </c>
      <c r="B100" s="17" t="s">
        <v>61</v>
      </c>
      <c r="C100" s="59" t="s">
        <v>62</v>
      </c>
      <c r="D100" s="60"/>
      <c r="E100" s="6">
        <v>12</v>
      </c>
      <c r="F100" s="6">
        <v>11</v>
      </c>
      <c r="G100" s="6">
        <v>13</v>
      </c>
      <c r="H100" s="6">
        <v>1</v>
      </c>
      <c r="I100" s="6">
        <v>0</v>
      </c>
      <c r="J100" s="6">
        <v>0</v>
      </c>
      <c r="K100" s="6">
        <v>2</v>
      </c>
      <c r="L100" s="6">
        <v>4</v>
      </c>
      <c r="M100" s="6">
        <v>2</v>
      </c>
      <c r="N100" s="6">
        <v>3</v>
      </c>
      <c r="O100" s="6">
        <v>1</v>
      </c>
      <c r="P100" s="6">
        <v>2</v>
      </c>
      <c r="Q100" s="6">
        <v>3</v>
      </c>
      <c r="R100" s="6">
        <v>7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3</v>
      </c>
      <c r="Y100" s="6">
        <v>2</v>
      </c>
      <c r="Z100" s="6">
        <v>5</v>
      </c>
      <c r="AA100" s="6">
        <v>9</v>
      </c>
      <c r="AB100" s="6">
        <v>1</v>
      </c>
      <c r="AC100" s="5">
        <f t="shared" ref="AC100:AC106" si="39">SUM(E100:AB100)</f>
        <v>81</v>
      </c>
    </row>
    <row r="101" spans="1:29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74</v>
      </c>
      <c r="F101" s="6">
        <v>73</v>
      </c>
      <c r="G101" s="6">
        <v>62</v>
      </c>
      <c r="H101" s="6">
        <v>10</v>
      </c>
      <c r="I101" s="6">
        <v>0</v>
      </c>
      <c r="J101" s="6">
        <v>1</v>
      </c>
      <c r="K101" s="6">
        <v>3</v>
      </c>
      <c r="L101" s="6">
        <v>18</v>
      </c>
      <c r="M101" s="6">
        <v>8</v>
      </c>
      <c r="N101" s="6">
        <v>1</v>
      </c>
      <c r="O101" s="6">
        <v>9</v>
      </c>
      <c r="P101" s="6">
        <v>0</v>
      </c>
      <c r="Q101" s="6">
        <v>6</v>
      </c>
      <c r="R101" s="6">
        <v>3</v>
      </c>
      <c r="S101" s="6">
        <v>1</v>
      </c>
      <c r="T101" s="6">
        <v>9</v>
      </c>
      <c r="U101" s="6">
        <v>0</v>
      </c>
      <c r="V101" s="6">
        <v>0</v>
      </c>
      <c r="W101" s="6">
        <v>2</v>
      </c>
      <c r="X101" s="6">
        <v>16</v>
      </c>
      <c r="Y101" s="6">
        <v>11</v>
      </c>
      <c r="Z101" s="6">
        <v>8</v>
      </c>
      <c r="AA101" s="6">
        <v>49</v>
      </c>
      <c r="AB101" s="6">
        <v>6</v>
      </c>
      <c r="AC101" s="5">
        <f t="shared" si="39"/>
        <v>370</v>
      </c>
    </row>
    <row r="102" spans="1:29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3</v>
      </c>
      <c r="G102" s="6">
        <v>3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2</v>
      </c>
      <c r="U102" s="6">
        <v>0</v>
      </c>
      <c r="V102" s="6">
        <v>0</v>
      </c>
      <c r="W102" s="6">
        <v>0</v>
      </c>
      <c r="X102" s="6">
        <v>6</v>
      </c>
      <c r="Y102" s="6">
        <v>0</v>
      </c>
      <c r="Z102" s="6">
        <v>0</v>
      </c>
      <c r="AA102" s="6">
        <v>2</v>
      </c>
      <c r="AB102" s="6">
        <v>0</v>
      </c>
      <c r="AC102" s="5">
        <f t="shared" si="39"/>
        <v>16</v>
      </c>
    </row>
    <row r="103" spans="1:29" x14ac:dyDescent="0.4">
      <c r="A103" s="7"/>
      <c r="B103" s="46">
        <v>3</v>
      </c>
      <c r="C103" s="24" t="s">
        <v>150</v>
      </c>
      <c r="D103" s="47"/>
      <c r="E103" s="6">
        <v>1</v>
      </c>
      <c r="F103" s="6">
        <v>1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2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1</v>
      </c>
      <c r="Y103" s="6">
        <v>0</v>
      </c>
      <c r="Z103" s="6">
        <v>0</v>
      </c>
      <c r="AA103" s="6">
        <v>0</v>
      </c>
      <c r="AB103" s="6">
        <v>0</v>
      </c>
      <c r="AC103" s="5">
        <f t="shared" si="39"/>
        <v>5</v>
      </c>
    </row>
    <row r="104" spans="1:29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5">
        <f t="shared" si="39"/>
        <v>2</v>
      </c>
    </row>
    <row r="105" spans="1:29" x14ac:dyDescent="0.4">
      <c r="A105" s="7"/>
      <c r="B105" s="46">
        <v>5</v>
      </c>
      <c r="C105" s="24" t="s">
        <v>152</v>
      </c>
      <c r="D105" s="47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5">
        <f t="shared" si="39"/>
        <v>1</v>
      </c>
    </row>
    <row r="106" spans="1:29" x14ac:dyDescent="0.4">
      <c r="A106" s="7"/>
      <c r="B106" s="46">
        <v>6</v>
      </c>
      <c r="C106" s="24" t="s">
        <v>153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5">
        <f t="shared" si="39"/>
        <v>2</v>
      </c>
    </row>
    <row r="107" spans="1:29" x14ac:dyDescent="0.4">
      <c r="A107" s="6" t="s">
        <v>26</v>
      </c>
      <c r="B107" s="53" t="s">
        <v>51</v>
      </c>
      <c r="C107" s="54"/>
      <c r="D107" s="55"/>
      <c r="E107" s="5">
        <f t="shared" ref="E107:AC107" si="40">SUM(E100:E106)</f>
        <v>88</v>
      </c>
      <c r="F107" s="5">
        <f t="shared" si="40"/>
        <v>88</v>
      </c>
      <c r="G107" s="5">
        <f t="shared" si="40"/>
        <v>78</v>
      </c>
      <c r="H107" s="5">
        <f t="shared" si="40"/>
        <v>11</v>
      </c>
      <c r="I107" s="5">
        <f t="shared" si="40"/>
        <v>0</v>
      </c>
      <c r="J107" s="5">
        <f t="shared" si="40"/>
        <v>1</v>
      </c>
      <c r="K107" s="5">
        <f t="shared" si="40"/>
        <v>5</v>
      </c>
      <c r="L107" s="5">
        <f t="shared" si="40"/>
        <v>23</v>
      </c>
      <c r="M107" s="5">
        <f t="shared" si="40"/>
        <v>11</v>
      </c>
      <c r="N107" s="5">
        <f t="shared" si="40"/>
        <v>4</v>
      </c>
      <c r="O107" s="5">
        <f t="shared" si="40"/>
        <v>13</v>
      </c>
      <c r="P107" s="5">
        <f t="shared" si="40"/>
        <v>2</v>
      </c>
      <c r="Q107" s="5">
        <f t="shared" si="40"/>
        <v>9</v>
      </c>
      <c r="R107" s="5">
        <f t="shared" si="40"/>
        <v>10</v>
      </c>
      <c r="S107" s="5">
        <f t="shared" si="40"/>
        <v>1</v>
      </c>
      <c r="T107" s="5">
        <f t="shared" si="40"/>
        <v>11</v>
      </c>
      <c r="U107" s="5">
        <f t="shared" si="40"/>
        <v>0</v>
      </c>
      <c r="V107" s="5">
        <f t="shared" si="40"/>
        <v>0</v>
      </c>
      <c r="W107" s="5">
        <f t="shared" si="40"/>
        <v>3</v>
      </c>
      <c r="X107" s="5">
        <f t="shared" si="40"/>
        <v>26</v>
      </c>
      <c r="Y107" s="5">
        <f t="shared" si="40"/>
        <v>13</v>
      </c>
      <c r="Z107" s="5">
        <f t="shared" si="40"/>
        <v>13</v>
      </c>
      <c r="AA107" s="5">
        <f t="shared" si="40"/>
        <v>60</v>
      </c>
      <c r="AB107" s="5">
        <f t="shared" si="40"/>
        <v>7</v>
      </c>
      <c r="AC107" s="5">
        <f t="shared" si="40"/>
        <v>477</v>
      </c>
    </row>
    <row r="108" spans="1:29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spans="1:29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>
        <v>1</v>
      </c>
      <c r="X109" s="6"/>
      <c r="Y109" s="6"/>
      <c r="Z109" s="6"/>
      <c r="AA109" s="6"/>
      <c r="AB109" s="6"/>
      <c r="AC109" s="5">
        <f>SUM(E109:AB109)</f>
        <v>1</v>
      </c>
    </row>
    <row r="110" spans="1:29" x14ac:dyDescent="0.4">
      <c r="A110" s="11" t="s">
        <v>50</v>
      </c>
      <c r="B110" s="46">
        <v>1</v>
      </c>
      <c r="C110" s="24" t="s">
        <v>154</v>
      </c>
      <c r="D110" s="4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>SUM(E110:AB110)</f>
        <v>0</v>
      </c>
    </row>
    <row r="111" spans="1:29" x14ac:dyDescent="0.4">
      <c r="A111" s="7"/>
      <c r="B111" s="46">
        <v>2</v>
      </c>
      <c r="C111" s="24" t="s">
        <v>155</v>
      </c>
      <c r="D111" s="4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>SUM(E111:AB111)</f>
        <v>0</v>
      </c>
    </row>
    <row r="112" spans="1:29" x14ac:dyDescent="0.4">
      <c r="A112" s="7"/>
      <c r="B112" s="46">
        <v>3</v>
      </c>
      <c r="C112" s="24" t="s">
        <v>156</v>
      </c>
      <c r="D112" s="4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>SUM(E112:AB112)</f>
        <v>0</v>
      </c>
    </row>
    <row r="113" spans="1:29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AC113" si="41">SUM(E109:E112)</f>
        <v>0</v>
      </c>
      <c r="F113" s="5">
        <f t="shared" si="41"/>
        <v>0</v>
      </c>
      <c r="G113" s="5">
        <f t="shared" si="41"/>
        <v>0</v>
      </c>
      <c r="H113" s="5">
        <f t="shared" si="41"/>
        <v>0</v>
      </c>
      <c r="I113" s="5">
        <f t="shared" si="41"/>
        <v>0</v>
      </c>
      <c r="J113" s="5">
        <f t="shared" si="41"/>
        <v>0</v>
      </c>
      <c r="K113" s="5">
        <f t="shared" si="41"/>
        <v>0</v>
      </c>
      <c r="L113" s="5">
        <f t="shared" si="41"/>
        <v>0</v>
      </c>
      <c r="M113" s="5">
        <f t="shared" si="41"/>
        <v>0</v>
      </c>
      <c r="N113" s="5">
        <f t="shared" si="41"/>
        <v>0</v>
      </c>
      <c r="O113" s="5">
        <f t="shared" si="41"/>
        <v>0</v>
      </c>
      <c r="P113" s="5">
        <f t="shared" si="41"/>
        <v>0</v>
      </c>
      <c r="Q113" s="5">
        <f t="shared" si="41"/>
        <v>0</v>
      </c>
      <c r="R113" s="5">
        <f t="shared" si="41"/>
        <v>0</v>
      </c>
      <c r="S113" s="5">
        <f t="shared" si="41"/>
        <v>0</v>
      </c>
      <c r="T113" s="5">
        <f t="shared" si="41"/>
        <v>0</v>
      </c>
      <c r="U113" s="5">
        <f t="shared" si="41"/>
        <v>0</v>
      </c>
      <c r="V113" s="5">
        <f t="shared" si="41"/>
        <v>0</v>
      </c>
      <c r="W113" s="5">
        <f t="shared" si="41"/>
        <v>1</v>
      </c>
      <c r="X113" s="5">
        <f t="shared" si="41"/>
        <v>0</v>
      </c>
      <c r="Y113" s="5">
        <f t="shared" si="41"/>
        <v>0</v>
      </c>
      <c r="Z113" s="5">
        <f t="shared" si="41"/>
        <v>0</v>
      </c>
      <c r="AA113" s="5">
        <f t="shared" si="41"/>
        <v>0</v>
      </c>
      <c r="AB113" s="5">
        <f t="shared" si="41"/>
        <v>0</v>
      </c>
      <c r="AC113" s="5">
        <f t="shared" si="41"/>
        <v>1</v>
      </c>
    </row>
    <row r="114" spans="1:29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5"/>
    </row>
    <row r="115" spans="1:29" x14ac:dyDescent="0.4">
      <c r="A115" s="11" t="s">
        <v>48</v>
      </c>
      <c r="B115" s="44" t="s">
        <v>65</v>
      </c>
      <c r="C115" s="67" t="s">
        <v>66</v>
      </c>
      <c r="D115" s="68"/>
      <c r="E115" s="6">
        <v>1</v>
      </c>
      <c r="F115" s="6">
        <v>0</v>
      </c>
      <c r="G115" s="6">
        <v>1</v>
      </c>
      <c r="H115" s="6">
        <v>3</v>
      </c>
      <c r="I115" s="6">
        <v>0</v>
      </c>
      <c r="J115" s="6">
        <v>2</v>
      </c>
      <c r="K115" s="6">
        <v>2</v>
      </c>
      <c r="L115" s="6">
        <v>1</v>
      </c>
      <c r="M115" s="6">
        <v>0</v>
      </c>
      <c r="N115" s="6">
        <v>1</v>
      </c>
      <c r="O115" s="6">
        <v>0</v>
      </c>
      <c r="P115" s="6">
        <v>1</v>
      </c>
      <c r="Q115" s="6">
        <v>0</v>
      </c>
      <c r="R115" s="6">
        <v>1</v>
      </c>
      <c r="S115" s="6">
        <v>3</v>
      </c>
      <c r="T115" s="6">
        <v>1</v>
      </c>
      <c r="U115" s="6">
        <v>0</v>
      </c>
      <c r="V115" s="6">
        <v>1</v>
      </c>
      <c r="W115" s="6">
        <v>2</v>
      </c>
      <c r="X115" s="6">
        <v>4</v>
      </c>
      <c r="Y115" s="6">
        <v>0</v>
      </c>
      <c r="Z115" s="6">
        <v>4</v>
      </c>
      <c r="AA115" s="6">
        <v>1</v>
      </c>
      <c r="AB115" s="6">
        <v>2</v>
      </c>
      <c r="AC115" s="5">
        <f t="shared" ref="AC115:AC121" si="42">SUM(E115:AB115)</f>
        <v>31</v>
      </c>
    </row>
    <row r="116" spans="1:29" x14ac:dyDescent="0.4">
      <c r="A116" s="48" t="s">
        <v>50</v>
      </c>
      <c r="B116" s="46">
        <v>1</v>
      </c>
      <c r="C116" s="24" t="s">
        <v>157</v>
      </c>
      <c r="D116" s="47"/>
      <c r="E116" s="49">
        <v>1</v>
      </c>
      <c r="F116" s="6">
        <v>7</v>
      </c>
      <c r="G116" s="6">
        <v>18</v>
      </c>
      <c r="H116" s="6">
        <v>5</v>
      </c>
      <c r="I116" s="6">
        <v>3</v>
      </c>
      <c r="J116" s="6">
        <v>3</v>
      </c>
      <c r="K116" s="6">
        <v>2</v>
      </c>
      <c r="L116" s="6">
        <v>0</v>
      </c>
      <c r="M116" s="6">
        <v>0</v>
      </c>
      <c r="N116" s="6">
        <v>1</v>
      </c>
      <c r="O116" s="6">
        <v>1</v>
      </c>
      <c r="P116" s="6">
        <v>4</v>
      </c>
      <c r="Q116" s="6">
        <v>0</v>
      </c>
      <c r="R116" s="6">
        <v>2</v>
      </c>
      <c r="S116" s="6">
        <v>5</v>
      </c>
      <c r="T116" s="6">
        <v>3</v>
      </c>
      <c r="U116" s="6">
        <v>0</v>
      </c>
      <c r="V116" s="6">
        <v>7</v>
      </c>
      <c r="W116" s="6">
        <v>14</v>
      </c>
      <c r="X116" s="6">
        <v>7</v>
      </c>
      <c r="Y116" s="6">
        <v>1</v>
      </c>
      <c r="Z116" s="6">
        <v>5</v>
      </c>
      <c r="AA116" s="6">
        <v>0</v>
      </c>
      <c r="AB116" s="6">
        <v>0</v>
      </c>
      <c r="AC116" s="5">
        <f t="shared" si="42"/>
        <v>89</v>
      </c>
    </row>
    <row r="117" spans="1:29" x14ac:dyDescent="0.4">
      <c r="A117" s="7"/>
      <c r="B117" s="46">
        <v>2</v>
      </c>
      <c r="C117" s="24" t="s">
        <v>158</v>
      </c>
      <c r="D117" s="47"/>
      <c r="E117" s="49">
        <v>1</v>
      </c>
      <c r="F117" s="6">
        <v>1</v>
      </c>
      <c r="G117" s="6">
        <v>8</v>
      </c>
      <c r="H117" s="6">
        <v>29</v>
      </c>
      <c r="I117" s="6">
        <v>3</v>
      </c>
      <c r="J117" s="6">
        <v>54</v>
      </c>
      <c r="K117" s="6">
        <v>59</v>
      </c>
      <c r="L117" s="6">
        <v>22</v>
      </c>
      <c r="M117" s="6">
        <v>11</v>
      </c>
      <c r="N117" s="6">
        <v>3</v>
      </c>
      <c r="O117" s="6">
        <v>12</v>
      </c>
      <c r="P117" s="6">
        <v>13</v>
      </c>
      <c r="Q117" s="6">
        <v>29</v>
      </c>
      <c r="R117" s="6">
        <v>15</v>
      </c>
      <c r="S117" s="6">
        <v>14</v>
      </c>
      <c r="T117" s="6">
        <v>1</v>
      </c>
      <c r="U117" s="6">
        <v>2</v>
      </c>
      <c r="V117" s="6">
        <v>3</v>
      </c>
      <c r="W117" s="6">
        <v>33</v>
      </c>
      <c r="X117" s="6">
        <v>60</v>
      </c>
      <c r="Y117" s="6">
        <v>13</v>
      </c>
      <c r="Z117" s="6">
        <v>35</v>
      </c>
      <c r="AA117" s="6">
        <v>1</v>
      </c>
      <c r="AB117" s="6">
        <v>45</v>
      </c>
      <c r="AC117" s="5">
        <f t="shared" si="42"/>
        <v>467</v>
      </c>
    </row>
    <row r="118" spans="1:29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5">
        <f t="shared" si="42"/>
        <v>2</v>
      </c>
    </row>
    <row r="119" spans="1:29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2</v>
      </c>
      <c r="S119" s="6">
        <v>1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1</v>
      </c>
      <c r="AC119" s="5">
        <f t="shared" si="42"/>
        <v>5</v>
      </c>
    </row>
    <row r="120" spans="1:29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5">
        <f t="shared" si="42"/>
        <v>1</v>
      </c>
    </row>
    <row r="121" spans="1:29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1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42"/>
        <v>2</v>
      </c>
    </row>
    <row r="122" spans="1:29" x14ac:dyDescent="0.4">
      <c r="A122" s="6" t="s">
        <v>26</v>
      </c>
      <c r="B122" s="64" t="s">
        <v>51</v>
      </c>
      <c r="C122" s="65"/>
      <c r="D122" s="66"/>
      <c r="E122" s="5">
        <f t="shared" ref="E122:AC122" si="43">SUM(E115:E121)</f>
        <v>3</v>
      </c>
      <c r="F122" s="5">
        <f t="shared" si="43"/>
        <v>8</v>
      </c>
      <c r="G122" s="5">
        <f t="shared" si="43"/>
        <v>28</v>
      </c>
      <c r="H122" s="5">
        <f t="shared" si="43"/>
        <v>37</v>
      </c>
      <c r="I122" s="5">
        <f t="shared" si="43"/>
        <v>6</v>
      </c>
      <c r="J122" s="5">
        <f t="shared" si="43"/>
        <v>59</v>
      </c>
      <c r="K122" s="5">
        <f t="shared" si="43"/>
        <v>64</v>
      </c>
      <c r="L122" s="5">
        <f t="shared" si="43"/>
        <v>23</v>
      </c>
      <c r="M122" s="5">
        <f t="shared" si="43"/>
        <v>11</v>
      </c>
      <c r="N122" s="5">
        <f t="shared" si="43"/>
        <v>6</v>
      </c>
      <c r="O122" s="5">
        <f t="shared" si="43"/>
        <v>13</v>
      </c>
      <c r="P122" s="5">
        <f t="shared" si="43"/>
        <v>18</v>
      </c>
      <c r="Q122" s="5">
        <f t="shared" si="43"/>
        <v>29</v>
      </c>
      <c r="R122" s="5">
        <f t="shared" si="43"/>
        <v>21</v>
      </c>
      <c r="S122" s="5">
        <f t="shared" si="43"/>
        <v>23</v>
      </c>
      <c r="T122" s="5">
        <f t="shared" si="43"/>
        <v>5</v>
      </c>
      <c r="U122" s="5">
        <f t="shared" si="43"/>
        <v>2</v>
      </c>
      <c r="V122" s="5">
        <f t="shared" si="43"/>
        <v>11</v>
      </c>
      <c r="W122" s="5">
        <f t="shared" si="43"/>
        <v>50</v>
      </c>
      <c r="X122" s="5">
        <f t="shared" si="43"/>
        <v>72</v>
      </c>
      <c r="Y122" s="5">
        <f t="shared" si="43"/>
        <v>14</v>
      </c>
      <c r="Z122" s="5">
        <f t="shared" si="43"/>
        <v>44</v>
      </c>
      <c r="AA122" s="5">
        <f t="shared" si="43"/>
        <v>2</v>
      </c>
      <c r="AB122" s="5">
        <f t="shared" si="43"/>
        <v>48</v>
      </c>
      <c r="AC122" s="5">
        <f t="shared" si="43"/>
        <v>597</v>
      </c>
    </row>
    <row r="123" spans="1:29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spans="1:29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0</v>
      </c>
      <c r="G124" s="6">
        <v>0</v>
      </c>
      <c r="H124" s="6">
        <v>1</v>
      </c>
      <c r="I124" s="6">
        <v>2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5">
        <f>SUM(E124:AB124)</f>
        <v>4</v>
      </c>
    </row>
    <row r="125" spans="1:29" x14ac:dyDescent="0.4">
      <c r="A125" s="6" t="s">
        <v>26</v>
      </c>
      <c r="B125" s="53" t="s">
        <v>51</v>
      </c>
      <c r="C125" s="54"/>
      <c r="D125" s="55"/>
      <c r="E125" s="5">
        <f t="shared" ref="E125:AC125" si="44">SUM(E124:E124)</f>
        <v>0</v>
      </c>
      <c r="F125" s="5">
        <f t="shared" si="44"/>
        <v>0</v>
      </c>
      <c r="G125" s="5">
        <f t="shared" si="44"/>
        <v>0</v>
      </c>
      <c r="H125" s="5">
        <f t="shared" si="44"/>
        <v>1</v>
      </c>
      <c r="I125" s="5">
        <f t="shared" si="44"/>
        <v>2</v>
      </c>
      <c r="J125" s="5">
        <f t="shared" si="44"/>
        <v>0</v>
      </c>
      <c r="K125" s="5">
        <f t="shared" si="44"/>
        <v>0</v>
      </c>
      <c r="L125" s="5">
        <f t="shared" si="44"/>
        <v>1</v>
      </c>
      <c r="M125" s="5">
        <f t="shared" si="44"/>
        <v>0</v>
      </c>
      <c r="N125" s="5">
        <f t="shared" si="44"/>
        <v>0</v>
      </c>
      <c r="O125" s="5">
        <f t="shared" si="44"/>
        <v>0</v>
      </c>
      <c r="P125" s="5">
        <f t="shared" si="44"/>
        <v>0</v>
      </c>
      <c r="Q125" s="5">
        <f t="shared" si="44"/>
        <v>0</v>
      </c>
      <c r="R125" s="5">
        <f t="shared" si="44"/>
        <v>0</v>
      </c>
      <c r="S125" s="5">
        <f t="shared" si="44"/>
        <v>0</v>
      </c>
      <c r="T125" s="5">
        <f t="shared" si="44"/>
        <v>0</v>
      </c>
      <c r="U125" s="5">
        <f t="shared" si="44"/>
        <v>0</v>
      </c>
      <c r="V125" s="5">
        <f t="shared" si="44"/>
        <v>0</v>
      </c>
      <c r="W125" s="5">
        <f t="shared" si="44"/>
        <v>0</v>
      </c>
      <c r="X125" s="5">
        <f t="shared" si="44"/>
        <v>0</v>
      </c>
      <c r="Y125" s="5">
        <f t="shared" si="44"/>
        <v>0</v>
      </c>
      <c r="Z125" s="5">
        <f t="shared" si="44"/>
        <v>0</v>
      </c>
      <c r="AA125" s="5">
        <f t="shared" si="44"/>
        <v>0</v>
      </c>
      <c r="AB125" s="5">
        <f t="shared" si="44"/>
        <v>0</v>
      </c>
      <c r="AC125" s="5">
        <f t="shared" si="44"/>
        <v>4</v>
      </c>
    </row>
    <row r="126" spans="1:29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spans="1:29" x14ac:dyDescent="0.4">
      <c r="A127" s="11" t="s">
        <v>48</v>
      </c>
      <c r="B127" s="17" t="s">
        <v>69</v>
      </c>
      <c r="C127" s="59" t="s">
        <v>70</v>
      </c>
      <c r="D127" s="60"/>
      <c r="E127" s="6">
        <v>1</v>
      </c>
      <c r="F127" s="6">
        <v>0</v>
      </c>
      <c r="G127" s="6">
        <v>0</v>
      </c>
      <c r="H127" s="6">
        <v>1</v>
      </c>
      <c r="I127" s="6">
        <v>1</v>
      </c>
      <c r="J127" s="6">
        <v>1</v>
      </c>
      <c r="K127" s="6">
        <v>0</v>
      </c>
      <c r="L127" s="6">
        <v>0</v>
      </c>
      <c r="M127" s="6">
        <v>2</v>
      </c>
      <c r="N127" s="6">
        <v>0</v>
      </c>
      <c r="O127" s="6">
        <v>0</v>
      </c>
      <c r="P127" s="6">
        <v>1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1</v>
      </c>
      <c r="W127" s="6">
        <v>1</v>
      </c>
      <c r="X127" s="6">
        <v>0</v>
      </c>
      <c r="Y127" s="6">
        <v>0</v>
      </c>
      <c r="Z127" s="6">
        <v>1</v>
      </c>
      <c r="AA127" s="6">
        <v>2</v>
      </c>
      <c r="AB127" s="6">
        <v>0</v>
      </c>
      <c r="AC127" s="5">
        <f t="shared" ref="AC127:AC133" si="45">SUM(E127:AB127)</f>
        <v>12</v>
      </c>
    </row>
    <row r="128" spans="1:29" x14ac:dyDescent="0.4">
      <c r="A128" s="11" t="s">
        <v>50</v>
      </c>
      <c r="B128" s="46">
        <v>1</v>
      </c>
      <c r="C128" s="24" t="s">
        <v>163</v>
      </c>
      <c r="D128" s="47"/>
      <c r="E128" s="6">
        <v>3</v>
      </c>
      <c r="F128" s="6">
        <v>0</v>
      </c>
      <c r="G128" s="6">
        <v>3</v>
      </c>
      <c r="H128" s="6">
        <v>7</v>
      </c>
      <c r="I128" s="6">
        <v>1</v>
      </c>
      <c r="J128" s="6">
        <v>2</v>
      </c>
      <c r="K128" s="6">
        <v>3</v>
      </c>
      <c r="L128" s="6">
        <v>1</v>
      </c>
      <c r="M128" s="6">
        <v>0</v>
      </c>
      <c r="N128" s="6">
        <v>1</v>
      </c>
      <c r="O128" s="6">
        <v>2</v>
      </c>
      <c r="P128" s="6">
        <v>0</v>
      </c>
      <c r="Q128" s="6">
        <v>2</v>
      </c>
      <c r="R128" s="6">
        <v>1</v>
      </c>
      <c r="S128" s="6">
        <v>0</v>
      </c>
      <c r="T128" s="6">
        <v>2</v>
      </c>
      <c r="U128" s="6">
        <v>2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5">
        <f t="shared" si="45"/>
        <v>30</v>
      </c>
    </row>
    <row r="129" spans="1:29" x14ac:dyDescent="0.4">
      <c r="A129" s="7"/>
      <c r="B129" s="46">
        <v>2</v>
      </c>
      <c r="C129" s="24" t="s">
        <v>164</v>
      </c>
      <c r="D129" s="47"/>
      <c r="E129" s="6">
        <v>1</v>
      </c>
      <c r="F129" s="6">
        <v>3</v>
      </c>
      <c r="G129" s="6">
        <v>1</v>
      </c>
      <c r="H129" s="6">
        <v>0</v>
      </c>
      <c r="I129" s="6">
        <v>0</v>
      </c>
      <c r="J129" s="6">
        <v>0</v>
      </c>
      <c r="K129" s="6">
        <v>1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1</v>
      </c>
      <c r="U129" s="6">
        <v>9</v>
      </c>
      <c r="V129" s="6">
        <v>14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5">
        <f t="shared" si="45"/>
        <v>31</v>
      </c>
    </row>
    <row r="130" spans="1:29" x14ac:dyDescent="0.4">
      <c r="A130" s="7"/>
      <c r="B130" s="46">
        <v>3</v>
      </c>
      <c r="C130" s="24" t="s">
        <v>165</v>
      </c>
      <c r="D130" s="47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1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1</v>
      </c>
      <c r="Y130" s="6">
        <v>0</v>
      </c>
      <c r="Z130" s="6">
        <v>0</v>
      </c>
      <c r="AA130" s="6">
        <v>0</v>
      </c>
      <c r="AB130" s="6">
        <v>0</v>
      </c>
      <c r="AC130" s="5">
        <f t="shared" si="45"/>
        <v>3</v>
      </c>
    </row>
    <row r="131" spans="1:29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1</v>
      </c>
      <c r="N131" s="6">
        <v>0</v>
      </c>
      <c r="O131" s="6">
        <v>1</v>
      </c>
      <c r="P131" s="6">
        <v>0</v>
      </c>
      <c r="Q131" s="6">
        <v>0</v>
      </c>
      <c r="R131" s="6">
        <v>1</v>
      </c>
      <c r="S131" s="6">
        <v>1</v>
      </c>
      <c r="T131" s="6">
        <v>0</v>
      </c>
      <c r="U131" s="6">
        <v>1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 t="shared" si="45"/>
        <v>8</v>
      </c>
    </row>
    <row r="132" spans="1:29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45"/>
        <v>3</v>
      </c>
    </row>
    <row r="133" spans="1:29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45"/>
        <v>1</v>
      </c>
    </row>
    <row r="134" spans="1:29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AC134" si="46">SUM(E127:E133)</f>
        <v>6</v>
      </c>
      <c r="F134" s="5">
        <f t="shared" si="46"/>
        <v>3</v>
      </c>
      <c r="G134" s="5">
        <f t="shared" si="46"/>
        <v>5</v>
      </c>
      <c r="H134" s="5">
        <f t="shared" si="46"/>
        <v>8</v>
      </c>
      <c r="I134" s="5">
        <f t="shared" si="46"/>
        <v>2</v>
      </c>
      <c r="J134" s="5">
        <f t="shared" si="46"/>
        <v>5</v>
      </c>
      <c r="K134" s="5">
        <f t="shared" si="46"/>
        <v>4</v>
      </c>
      <c r="L134" s="5">
        <f t="shared" si="46"/>
        <v>2</v>
      </c>
      <c r="M134" s="5">
        <f t="shared" si="46"/>
        <v>3</v>
      </c>
      <c r="N134" s="5">
        <f t="shared" si="46"/>
        <v>1</v>
      </c>
      <c r="O134" s="5">
        <f t="shared" si="46"/>
        <v>4</v>
      </c>
      <c r="P134" s="5">
        <f t="shared" si="46"/>
        <v>1</v>
      </c>
      <c r="Q134" s="5">
        <f t="shared" si="46"/>
        <v>2</v>
      </c>
      <c r="R134" s="5">
        <f t="shared" si="46"/>
        <v>3</v>
      </c>
      <c r="S134" s="5">
        <f t="shared" si="46"/>
        <v>2</v>
      </c>
      <c r="T134" s="5">
        <f t="shared" si="46"/>
        <v>4</v>
      </c>
      <c r="U134" s="5">
        <f t="shared" si="46"/>
        <v>12</v>
      </c>
      <c r="V134" s="5">
        <f t="shared" si="46"/>
        <v>15</v>
      </c>
      <c r="W134" s="5">
        <f t="shared" si="46"/>
        <v>2</v>
      </c>
      <c r="X134" s="5">
        <f t="shared" si="46"/>
        <v>1</v>
      </c>
      <c r="Y134" s="5">
        <f t="shared" si="46"/>
        <v>0</v>
      </c>
      <c r="Z134" s="5">
        <f t="shared" si="46"/>
        <v>1</v>
      </c>
      <c r="AA134" s="5">
        <f t="shared" si="46"/>
        <v>2</v>
      </c>
      <c r="AB134" s="5">
        <f t="shared" si="46"/>
        <v>0</v>
      </c>
      <c r="AC134" s="5">
        <f t="shared" si="46"/>
        <v>88</v>
      </c>
    </row>
    <row r="135" spans="1:29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5"/>
    </row>
    <row r="136" spans="1:29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1</v>
      </c>
      <c r="Z136" s="6">
        <v>0</v>
      </c>
      <c r="AA136" s="6">
        <v>0</v>
      </c>
      <c r="AB136" s="6">
        <v>0</v>
      </c>
      <c r="AC136" s="5">
        <f t="shared" ref="AC136:AC141" si="47">SUM(E136:AB136)</f>
        <v>1</v>
      </c>
    </row>
    <row r="137" spans="1:29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47"/>
        <v>0</v>
      </c>
    </row>
    <row r="138" spans="1:29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</v>
      </c>
      <c r="AC138" s="5">
        <f t="shared" si="47"/>
        <v>3</v>
      </c>
    </row>
    <row r="139" spans="1:29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5">
        <f t="shared" si="47"/>
        <v>1</v>
      </c>
    </row>
    <row r="140" spans="1:29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5">
        <f t="shared" si="47"/>
        <v>1</v>
      </c>
    </row>
    <row r="141" spans="1:29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1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5">
        <f t="shared" si="47"/>
        <v>1</v>
      </c>
    </row>
    <row r="142" spans="1:29" x14ac:dyDescent="0.4">
      <c r="A142" s="6" t="s">
        <v>26</v>
      </c>
      <c r="B142" s="53" t="s">
        <v>51</v>
      </c>
      <c r="C142" s="54"/>
      <c r="D142" s="55"/>
      <c r="E142" s="5">
        <f t="shared" ref="E142:AC142" si="48">SUM(E136:E141)</f>
        <v>0</v>
      </c>
      <c r="F142" s="5">
        <f t="shared" si="48"/>
        <v>0</v>
      </c>
      <c r="G142" s="5">
        <f t="shared" si="48"/>
        <v>0</v>
      </c>
      <c r="H142" s="5">
        <f t="shared" si="48"/>
        <v>0</v>
      </c>
      <c r="I142" s="5">
        <f t="shared" si="48"/>
        <v>0</v>
      </c>
      <c r="J142" s="5">
        <f t="shared" si="48"/>
        <v>0</v>
      </c>
      <c r="K142" s="5">
        <f t="shared" si="48"/>
        <v>0</v>
      </c>
      <c r="L142" s="5">
        <f t="shared" si="48"/>
        <v>0</v>
      </c>
      <c r="M142" s="5">
        <f t="shared" si="48"/>
        <v>1</v>
      </c>
      <c r="N142" s="5">
        <f t="shared" si="48"/>
        <v>0</v>
      </c>
      <c r="O142" s="5">
        <f t="shared" si="48"/>
        <v>1</v>
      </c>
      <c r="P142" s="5">
        <f t="shared" si="48"/>
        <v>0</v>
      </c>
      <c r="Q142" s="5">
        <f t="shared" si="48"/>
        <v>1</v>
      </c>
      <c r="R142" s="5">
        <f t="shared" si="48"/>
        <v>0</v>
      </c>
      <c r="S142" s="5">
        <f t="shared" si="48"/>
        <v>1</v>
      </c>
      <c r="T142" s="5">
        <f t="shared" si="48"/>
        <v>0</v>
      </c>
      <c r="U142" s="5">
        <f t="shared" si="48"/>
        <v>0</v>
      </c>
      <c r="V142" s="5">
        <f t="shared" si="48"/>
        <v>1</v>
      </c>
      <c r="W142" s="5">
        <f t="shared" si="48"/>
        <v>0</v>
      </c>
      <c r="X142" s="5">
        <f t="shared" si="48"/>
        <v>0</v>
      </c>
      <c r="Y142" s="5">
        <f t="shared" si="48"/>
        <v>1</v>
      </c>
      <c r="Z142" s="5">
        <f t="shared" si="48"/>
        <v>0</v>
      </c>
      <c r="AA142" s="5">
        <f t="shared" si="48"/>
        <v>0</v>
      </c>
      <c r="AB142" s="5">
        <f t="shared" si="48"/>
        <v>1</v>
      </c>
      <c r="AC142" s="5">
        <f t="shared" si="48"/>
        <v>7</v>
      </c>
    </row>
    <row r="143" spans="1:29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spans="1:29" x14ac:dyDescent="0.4">
      <c r="A144" s="11" t="s">
        <v>48</v>
      </c>
      <c r="B144" s="17" t="s">
        <v>73</v>
      </c>
      <c r="C144" s="59" t="s">
        <v>74</v>
      </c>
      <c r="D144" s="60"/>
      <c r="E144" s="6">
        <v>1</v>
      </c>
      <c r="F144" s="6">
        <v>1</v>
      </c>
      <c r="G144" s="6">
        <v>3</v>
      </c>
      <c r="H144" s="6">
        <v>6</v>
      </c>
      <c r="I144" s="6">
        <v>0</v>
      </c>
      <c r="J144" s="6">
        <v>2</v>
      </c>
      <c r="K144" s="6">
        <v>1</v>
      </c>
      <c r="L144" s="6">
        <v>3</v>
      </c>
      <c r="M144" s="6">
        <v>1</v>
      </c>
      <c r="N144" s="6">
        <v>1</v>
      </c>
      <c r="O144" s="6">
        <v>1</v>
      </c>
      <c r="P144" s="6">
        <v>1</v>
      </c>
      <c r="Q144" s="6">
        <v>0</v>
      </c>
      <c r="R144" s="6">
        <v>1</v>
      </c>
      <c r="S144" s="6">
        <v>1</v>
      </c>
      <c r="T144" s="6">
        <v>0</v>
      </c>
      <c r="U144" s="6">
        <v>0</v>
      </c>
      <c r="V144" s="6">
        <v>1</v>
      </c>
      <c r="W144" s="6">
        <v>0</v>
      </c>
      <c r="X144" s="6">
        <v>1</v>
      </c>
      <c r="Y144" s="6">
        <v>0</v>
      </c>
      <c r="Z144" s="6">
        <v>0</v>
      </c>
      <c r="AA144" s="6">
        <v>0</v>
      </c>
      <c r="AB144" s="6">
        <v>1</v>
      </c>
      <c r="AC144" s="5">
        <f t="shared" ref="AC144:AC150" si="49">SUM(E144:AB144)</f>
        <v>26</v>
      </c>
    </row>
    <row r="145" spans="1:29" x14ac:dyDescent="0.4">
      <c r="A145" s="11" t="s">
        <v>50</v>
      </c>
      <c r="B145" s="46">
        <v>1</v>
      </c>
      <c r="C145" s="24" t="s">
        <v>174</v>
      </c>
      <c r="D145" s="47"/>
      <c r="E145" s="6">
        <v>0</v>
      </c>
      <c r="F145" s="6">
        <v>2</v>
      </c>
      <c r="G145" s="6">
        <v>0</v>
      </c>
      <c r="H145" s="6">
        <v>10</v>
      </c>
      <c r="I145" s="6">
        <v>0</v>
      </c>
      <c r="J145" s="6">
        <v>2</v>
      </c>
      <c r="K145" s="6">
        <v>2</v>
      </c>
      <c r="L145" s="6">
        <v>2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2</v>
      </c>
      <c r="S145" s="6">
        <v>0</v>
      </c>
      <c r="T145" s="6">
        <v>0</v>
      </c>
      <c r="U145" s="6">
        <v>0</v>
      </c>
      <c r="V145" s="6">
        <v>1</v>
      </c>
      <c r="W145" s="6">
        <v>9</v>
      </c>
      <c r="X145" s="6">
        <v>2</v>
      </c>
      <c r="Y145" s="6">
        <v>4</v>
      </c>
      <c r="Z145" s="6">
        <v>5</v>
      </c>
      <c r="AA145" s="6">
        <v>1</v>
      </c>
      <c r="AB145" s="6">
        <v>2</v>
      </c>
      <c r="AC145" s="5">
        <f t="shared" si="49"/>
        <v>44</v>
      </c>
    </row>
    <row r="146" spans="1:29" x14ac:dyDescent="0.4">
      <c r="A146" s="7"/>
      <c r="B146" s="46">
        <v>2</v>
      </c>
      <c r="C146" s="24" t="s">
        <v>175</v>
      </c>
      <c r="D146" s="47"/>
      <c r="E146" s="6">
        <v>2</v>
      </c>
      <c r="F146" s="6">
        <v>0</v>
      </c>
      <c r="G146" s="6">
        <v>3</v>
      </c>
      <c r="H146" s="6">
        <v>1</v>
      </c>
      <c r="I146" s="6">
        <v>6</v>
      </c>
      <c r="J146" s="6">
        <v>1</v>
      </c>
      <c r="K146" s="6">
        <v>1</v>
      </c>
      <c r="L146" s="6">
        <v>2</v>
      </c>
      <c r="M146" s="6">
        <v>1</v>
      </c>
      <c r="N146" s="6">
        <v>9</v>
      </c>
      <c r="O146" s="6">
        <v>8</v>
      </c>
      <c r="P146" s="6">
        <v>1</v>
      </c>
      <c r="Q146" s="6">
        <v>3</v>
      </c>
      <c r="R146" s="6">
        <v>0</v>
      </c>
      <c r="S146" s="6">
        <v>0</v>
      </c>
      <c r="T146" s="6">
        <v>1</v>
      </c>
      <c r="U146" s="6">
        <v>2</v>
      </c>
      <c r="V146" s="6">
        <v>1</v>
      </c>
      <c r="W146" s="6">
        <v>0</v>
      </c>
      <c r="X146" s="6">
        <v>0</v>
      </c>
      <c r="Y146" s="6">
        <v>0</v>
      </c>
      <c r="Z146" s="6">
        <v>1</v>
      </c>
      <c r="AA146" s="6">
        <v>0</v>
      </c>
      <c r="AB146" s="6">
        <v>9</v>
      </c>
      <c r="AC146" s="5">
        <f t="shared" si="49"/>
        <v>52</v>
      </c>
    </row>
    <row r="147" spans="1:29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2</v>
      </c>
      <c r="J147" s="6">
        <v>0</v>
      </c>
      <c r="K147" s="6">
        <v>0</v>
      </c>
      <c r="L147" s="6">
        <v>1</v>
      </c>
      <c r="M147" s="6">
        <v>1</v>
      </c>
      <c r="N147" s="6">
        <v>2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1</v>
      </c>
      <c r="X147" s="6">
        <v>2</v>
      </c>
      <c r="Y147" s="6">
        <v>0</v>
      </c>
      <c r="Z147" s="6">
        <v>0</v>
      </c>
      <c r="AA147" s="6">
        <v>0</v>
      </c>
      <c r="AB147" s="6">
        <v>0</v>
      </c>
      <c r="AC147" s="5">
        <f t="shared" si="49"/>
        <v>9</v>
      </c>
    </row>
    <row r="148" spans="1:29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2</v>
      </c>
      <c r="L148" s="6">
        <v>0</v>
      </c>
      <c r="M148" s="6">
        <v>0</v>
      </c>
      <c r="N148" s="6">
        <v>0</v>
      </c>
      <c r="O148" s="6">
        <v>1</v>
      </c>
      <c r="P148" s="6">
        <v>2</v>
      </c>
      <c r="Q148" s="6">
        <v>0</v>
      </c>
      <c r="R148" s="6">
        <v>0</v>
      </c>
      <c r="S148" s="6">
        <v>1</v>
      </c>
      <c r="T148" s="6">
        <v>0</v>
      </c>
      <c r="U148" s="6">
        <v>1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5">
        <f t="shared" si="49"/>
        <v>8</v>
      </c>
    </row>
    <row r="149" spans="1:29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1</v>
      </c>
      <c r="P149" s="6">
        <v>1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5">
        <f t="shared" si="49"/>
        <v>2</v>
      </c>
    </row>
    <row r="150" spans="1:29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5">
        <f t="shared" si="49"/>
        <v>1</v>
      </c>
    </row>
    <row r="151" spans="1:29" x14ac:dyDescent="0.4">
      <c r="A151" s="6" t="s">
        <v>26</v>
      </c>
      <c r="B151" s="53" t="s">
        <v>51</v>
      </c>
      <c r="C151" s="54"/>
      <c r="D151" s="55"/>
      <c r="E151" s="5">
        <f t="shared" ref="E151:AC151" si="50">SUM(E144:E150)</f>
        <v>3</v>
      </c>
      <c r="F151" s="5">
        <f t="shared" si="50"/>
        <v>3</v>
      </c>
      <c r="G151" s="5">
        <f t="shared" si="50"/>
        <v>7</v>
      </c>
      <c r="H151" s="5">
        <f t="shared" si="50"/>
        <v>17</v>
      </c>
      <c r="I151" s="5">
        <f t="shared" si="50"/>
        <v>9</v>
      </c>
      <c r="J151" s="5">
        <f t="shared" si="50"/>
        <v>5</v>
      </c>
      <c r="K151" s="5">
        <f t="shared" si="50"/>
        <v>6</v>
      </c>
      <c r="L151" s="5">
        <f t="shared" si="50"/>
        <v>8</v>
      </c>
      <c r="M151" s="5">
        <f t="shared" si="50"/>
        <v>3</v>
      </c>
      <c r="N151" s="5">
        <f t="shared" si="50"/>
        <v>12</v>
      </c>
      <c r="O151" s="5">
        <f t="shared" si="50"/>
        <v>11</v>
      </c>
      <c r="P151" s="5">
        <f t="shared" si="50"/>
        <v>5</v>
      </c>
      <c r="Q151" s="5">
        <f t="shared" si="50"/>
        <v>3</v>
      </c>
      <c r="R151" s="5">
        <f t="shared" si="50"/>
        <v>3</v>
      </c>
      <c r="S151" s="5">
        <f t="shared" si="50"/>
        <v>2</v>
      </c>
      <c r="T151" s="5">
        <f t="shared" si="50"/>
        <v>1</v>
      </c>
      <c r="U151" s="5">
        <f t="shared" si="50"/>
        <v>3</v>
      </c>
      <c r="V151" s="5">
        <f t="shared" si="50"/>
        <v>3</v>
      </c>
      <c r="W151" s="5">
        <f t="shared" si="50"/>
        <v>10</v>
      </c>
      <c r="X151" s="5">
        <f t="shared" si="50"/>
        <v>5</v>
      </c>
      <c r="Y151" s="5">
        <f t="shared" si="50"/>
        <v>4</v>
      </c>
      <c r="Z151" s="5">
        <f t="shared" si="50"/>
        <v>6</v>
      </c>
      <c r="AA151" s="5">
        <f t="shared" si="50"/>
        <v>1</v>
      </c>
      <c r="AB151" s="5">
        <f t="shared" si="50"/>
        <v>12</v>
      </c>
      <c r="AC151" s="5">
        <f t="shared" si="50"/>
        <v>142</v>
      </c>
    </row>
    <row r="152" spans="1:29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spans="1:29" x14ac:dyDescent="0.4">
      <c r="A153" s="11" t="s">
        <v>48</v>
      </c>
      <c r="B153" s="17" t="s">
        <v>75</v>
      </c>
      <c r="C153" s="59" t="s">
        <v>76</v>
      </c>
      <c r="D153" s="60"/>
      <c r="E153" s="6">
        <v>2</v>
      </c>
      <c r="F153" s="6">
        <v>0</v>
      </c>
      <c r="G153" s="6">
        <v>0</v>
      </c>
      <c r="H153" s="6">
        <v>0</v>
      </c>
      <c r="I153" s="6">
        <v>0</v>
      </c>
      <c r="J153" s="6">
        <v>3</v>
      </c>
      <c r="K153" s="6">
        <v>0</v>
      </c>
      <c r="L153" s="6">
        <v>1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4</v>
      </c>
      <c r="S153" s="6">
        <v>5</v>
      </c>
      <c r="T153" s="6">
        <v>0</v>
      </c>
      <c r="U153" s="6">
        <v>0</v>
      </c>
      <c r="V153" s="6">
        <v>0</v>
      </c>
      <c r="W153" s="6">
        <v>0</v>
      </c>
      <c r="X153" s="6">
        <v>2</v>
      </c>
      <c r="Y153" s="6">
        <v>3</v>
      </c>
      <c r="Z153" s="6">
        <v>0</v>
      </c>
      <c r="AA153" s="6">
        <v>0</v>
      </c>
      <c r="AB153" s="6">
        <v>1</v>
      </c>
      <c r="AC153" s="5">
        <f>SUM(E153:AB153)</f>
        <v>22</v>
      </c>
    </row>
    <row r="154" spans="1:29" x14ac:dyDescent="0.4">
      <c r="A154" s="11" t="s">
        <v>50</v>
      </c>
      <c r="B154" s="46">
        <v>1</v>
      </c>
      <c r="C154" s="24" t="s">
        <v>180</v>
      </c>
      <c r="D154" s="47"/>
      <c r="E154" s="6">
        <v>1</v>
      </c>
      <c r="F154" s="6">
        <v>2</v>
      </c>
      <c r="G154" s="6">
        <v>0</v>
      </c>
      <c r="H154" s="6">
        <v>1</v>
      </c>
      <c r="I154" s="6">
        <v>0</v>
      </c>
      <c r="J154" s="6">
        <v>0</v>
      </c>
      <c r="K154" s="6">
        <v>1</v>
      </c>
      <c r="L154" s="6">
        <v>4</v>
      </c>
      <c r="M154" s="6">
        <v>1</v>
      </c>
      <c r="N154" s="6">
        <v>0</v>
      </c>
      <c r="O154" s="6">
        <v>1</v>
      </c>
      <c r="P154" s="6">
        <v>1</v>
      </c>
      <c r="Q154" s="6">
        <v>2</v>
      </c>
      <c r="R154" s="6">
        <v>1</v>
      </c>
      <c r="S154" s="6">
        <v>0</v>
      </c>
      <c r="T154" s="6">
        <v>0</v>
      </c>
      <c r="U154" s="6">
        <v>1</v>
      </c>
      <c r="V154" s="6">
        <v>1</v>
      </c>
      <c r="W154" s="6">
        <v>0</v>
      </c>
      <c r="X154" s="6">
        <v>0</v>
      </c>
      <c r="Y154" s="6">
        <v>3</v>
      </c>
      <c r="Z154" s="6">
        <v>5</v>
      </c>
      <c r="AA154" s="6">
        <v>1</v>
      </c>
      <c r="AB154" s="6">
        <v>5</v>
      </c>
      <c r="AC154" s="5">
        <f>SUM(E154:AB154)</f>
        <v>31</v>
      </c>
    </row>
    <row r="155" spans="1:29" x14ac:dyDescent="0.4">
      <c r="A155" s="7"/>
      <c r="B155" s="46">
        <v>2</v>
      </c>
      <c r="C155" s="24" t="s">
        <v>181</v>
      </c>
      <c r="D155" s="47"/>
      <c r="E155" s="6">
        <v>3</v>
      </c>
      <c r="F155" s="6">
        <v>0</v>
      </c>
      <c r="G155" s="6">
        <v>1</v>
      </c>
      <c r="H155" s="6">
        <v>0</v>
      </c>
      <c r="I155" s="6">
        <v>0</v>
      </c>
      <c r="J155" s="6">
        <v>1</v>
      </c>
      <c r="K155" s="6">
        <v>2</v>
      </c>
      <c r="L155" s="6">
        <v>1</v>
      </c>
      <c r="M155" s="6">
        <v>0</v>
      </c>
      <c r="N155" s="6">
        <v>0</v>
      </c>
      <c r="O155" s="6">
        <v>1</v>
      </c>
      <c r="P155" s="6">
        <v>2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0</v>
      </c>
      <c r="AA155" s="6">
        <v>0</v>
      </c>
      <c r="AB155" s="6">
        <v>1</v>
      </c>
      <c r="AC155" s="5">
        <f>SUM(E155:AB155)</f>
        <v>14</v>
      </c>
    </row>
    <row r="156" spans="1:29" x14ac:dyDescent="0.4">
      <c r="A156" s="6" t="s">
        <v>26</v>
      </c>
      <c r="B156" s="53" t="s">
        <v>51</v>
      </c>
      <c r="C156" s="54"/>
      <c r="D156" s="55"/>
      <c r="E156" s="5">
        <f t="shared" ref="E156:AC156" si="51">SUM(E153:E155)</f>
        <v>6</v>
      </c>
      <c r="F156" s="5">
        <f t="shared" si="51"/>
        <v>2</v>
      </c>
      <c r="G156" s="5">
        <f t="shared" si="51"/>
        <v>1</v>
      </c>
      <c r="H156" s="5">
        <f t="shared" si="51"/>
        <v>1</v>
      </c>
      <c r="I156" s="5">
        <f t="shared" si="51"/>
        <v>0</v>
      </c>
      <c r="J156" s="5">
        <f t="shared" si="51"/>
        <v>4</v>
      </c>
      <c r="K156" s="5">
        <f t="shared" si="51"/>
        <v>3</v>
      </c>
      <c r="L156" s="5">
        <f t="shared" si="51"/>
        <v>6</v>
      </c>
      <c r="M156" s="5">
        <f t="shared" si="51"/>
        <v>1</v>
      </c>
      <c r="N156" s="5">
        <f t="shared" si="51"/>
        <v>1</v>
      </c>
      <c r="O156" s="5">
        <f t="shared" si="51"/>
        <v>2</v>
      </c>
      <c r="P156" s="5">
        <f t="shared" si="51"/>
        <v>3</v>
      </c>
      <c r="Q156" s="5">
        <f t="shared" si="51"/>
        <v>2</v>
      </c>
      <c r="R156" s="5">
        <f t="shared" si="51"/>
        <v>5</v>
      </c>
      <c r="S156" s="5">
        <f t="shared" si="51"/>
        <v>6</v>
      </c>
      <c r="T156" s="5">
        <f t="shared" si="51"/>
        <v>0</v>
      </c>
      <c r="U156" s="5">
        <f t="shared" si="51"/>
        <v>1</v>
      </c>
      <c r="V156" s="5">
        <f t="shared" si="51"/>
        <v>1</v>
      </c>
      <c r="W156" s="5">
        <f t="shared" si="51"/>
        <v>0</v>
      </c>
      <c r="X156" s="5">
        <f t="shared" si="51"/>
        <v>2</v>
      </c>
      <c r="Y156" s="5">
        <f t="shared" si="51"/>
        <v>7</v>
      </c>
      <c r="Z156" s="5">
        <f t="shared" si="51"/>
        <v>5</v>
      </c>
      <c r="AA156" s="5">
        <f t="shared" si="51"/>
        <v>1</v>
      </c>
      <c r="AB156" s="5">
        <f t="shared" si="51"/>
        <v>7</v>
      </c>
      <c r="AC156" s="5">
        <f t="shared" si="51"/>
        <v>67</v>
      </c>
    </row>
    <row r="157" spans="1:29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spans="1:29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>SUM(E158:AB158)</f>
        <v>1</v>
      </c>
    </row>
    <row r="159" spans="1:29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1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>SUM(E159:AB159)</f>
        <v>2</v>
      </c>
    </row>
    <row r="160" spans="1:29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f>SUM(E160:AB160)</f>
        <v>1</v>
      </c>
    </row>
    <row r="161" spans="1:29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8</v>
      </c>
      <c r="O161" s="6">
        <v>1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5">
        <f>SUM(E161:AB161)</f>
        <v>9</v>
      </c>
    </row>
    <row r="162" spans="1:29" x14ac:dyDescent="0.4">
      <c r="A162" s="6" t="s">
        <v>26</v>
      </c>
      <c r="B162" s="53" t="s">
        <v>51</v>
      </c>
      <c r="C162" s="54"/>
      <c r="D162" s="55"/>
      <c r="E162" s="5">
        <f t="shared" ref="E162:AC162" si="52">SUM(E158:E161)</f>
        <v>0</v>
      </c>
      <c r="F162" s="5">
        <f t="shared" si="52"/>
        <v>1</v>
      </c>
      <c r="G162" s="5">
        <f t="shared" si="52"/>
        <v>0</v>
      </c>
      <c r="H162" s="5">
        <f t="shared" si="52"/>
        <v>0</v>
      </c>
      <c r="I162" s="5">
        <f t="shared" si="52"/>
        <v>0</v>
      </c>
      <c r="J162" s="5">
        <f t="shared" si="52"/>
        <v>1</v>
      </c>
      <c r="K162" s="5">
        <f t="shared" si="52"/>
        <v>0</v>
      </c>
      <c r="L162" s="5">
        <f t="shared" si="52"/>
        <v>0</v>
      </c>
      <c r="M162" s="5">
        <f t="shared" si="52"/>
        <v>0</v>
      </c>
      <c r="N162" s="5">
        <f t="shared" si="52"/>
        <v>9</v>
      </c>
      <c r="O162" s="5">
        <f t="shared" si="52"/>
        <v>1</v>
      </c>
      <c r="P162" s="5">
        <f t="shared" si="52"/>
        <v>0</v>
      </c>
      <c r="Q162" s="5">
        <f t="shared" si="52"/>
        <v>0</v>
      </c>
      <c r="R162" s="5">
        <f t="shared" si="52"/>
        <v>0</v>
      </c>
      <c r="S162" s="5">
        <f t="shared" si="52"/>
        <v>0</v>
      </c>
      <c r="T162" s="5">
        <f t="shared" si="52"/>
        <v>0</v>
      </c>
      <c r="U162" s="5">
        <f t="shared" si="52"/>
        <v>0</v>
      </c>
      <c r="V162" s="5">
        <f t="shared" si="52"/>
        <v>1</v>
      </c>
      <c r="W162" s="5">
        <f t="shared" si="52"/>
        <v>0</v>
      </c>
      <c r="X162" s="5">
        <f t="shared" si="52"/>
        <v>0</v>
      </c>
      <c r="Y162" s="5">
        <f t="shared" si="52"/>
        <v>0</v>
      </c>
      <c r="Z162" s="5">
        <f t="shared" si="52"/>
        <v>0</v>
      </c>
      <c r="AA162" s="5">
        <f t="shared" si="52"/>
        <v>0</v>
      </c>
      <c r="AB162" s="5">
        <f t="shared" si="52"/>
        <v>0</v>
      </c>
      <c r="AC162" s="5">
        <f t="shared" si="52"/>
        <v>13</v>
      </c>
    </row>
    <row r="163" spans="1:29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spans="1:29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1</v>
      </c>
      <c r="G164" s="6">
        <v>1</v>
      </c>
      <c r="H164" s="6">
        <v>0</v>
      </c>
      <c r="I164" s="6">
        <v>0</v>
      </c>
      <c r="J164" s="6">
        <v>1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1</v>
      </c>
      <c r="V164" s="6">
        <v>1</v>
      </c>
      <c r="W164" s="6">
        <v>1</v>
      </c>
      <c r="X164" s="6">
        <v>0</v>
      </c>
      <c r="Y164" s="6">
        <v>0</v>
      </c>
      <c r="Z164" s="6">
        <v>0</v>
      </c>
      <c r="AA164" s="6">
        <v>0</v>
      </c>
      <c r="AB164" s="6">
        <v>1</v>
      </c>
      <c r="AC164" s="5">
        <f t="shared" ref="AC164:AC170" si="53">SUM(E164:AB164)</f>
        <v>8</v>
      </c>
    </row>
    <row r="165" spans="1:29" x14ac:dyDescent="0.4">
      <c r="A165" s="11" t="s">
        <v>50</v>
      </c>
      <c r="B165" s="46">
        <v>1</v>
      </c>
      <c r="C165" s="24" t="s">
        <v>185</v>
      </c>
      <c r="D165" s="47"/>
      <c r="E165" s="6">
        <v>6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1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0</v>
      </c>
      <c r="T165" s="6">
        <v>0</v>
      </c>
      <c r="U165" s="6">
        <v>1</v>
      </c>
      <c r="V165" s="6">
        <v>4</v>
      </c>
      <c r="W165" s="6">
        <v>0</v>
      </c>
      <c r="X165" s="6">
        <v>0</v>
      </c>
      <c r="Y165" s="6">
        <v>1</v>
      </c>
      <c r="Z165" s="6">
        <v>1</v>
      </c>
      <c r="AA165" s="6">
        <v>7</v>
      </c>
      <c r="AB165" s="6">
        <v>0</v>
      </c>
      <c r="AC165" s="5">
        <f t="shared" si="53"/>
        <v>24</v>
      </c>
    </row>
    <row r="166" spans="1:29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1</v>
      </c>
      <c r="R166" s="6">
        <v>3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5">
        <f t="shared" si="53"/>
        <v>5</v>
      </c>
    </row>
    <row r="167" spans="1:29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6">
        <v>0</v>
      </c>
      <c r="P167" s="6">
        <v>0</v>
      </c>
      <c r="Q167" s="6">
        <v>0</v>
      </c>
      <c r="R167" s="6" t="s">
        <v>220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5">
        <f t="shared" si="53"/>
        <v>1</v>
      </c>
    </row>
    <row r="168" spans="1:29" x14ac:dyDescent="0.4">
      <c r="A168" s="7"/>
      <c r="B168" s="46">
        <v>4</v>
      </c>
      <c r="C168" s="24" t="s">
        <v>188</v>
      </c>
      <c r="D168" s="47"/>
      <c r="E168" s="6">
        <v>2</v>
      </c>
      <c r="F168" s="6">
        <v>1</v>
      </c>
      <c r="G168" s="6">
        <v>1</v>
      </c>
      <c r="H168" s="6">
        <v>1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5">
        <f t="shared" si="53"/>
        <v>5</v>
      </c>
    </row>
    <row r="169" spans="1:29" ht="12.75" customHeight="1" x14ac:dyDescent="0.4">
      <c r="A169" s="7"/>
      <c r="B169" s="46">
        <v>5</v>
      </c>
      <c r="C169" s="24" t="s">
        <v>189</v>
      </c>
      <c r="D169" s="47"/>
      <c r="E169" s="6">
        <v>0</v>
      </c>
      <c r="F169" s="6">
        <v>0</v>
      </c>
      <c r="G169" s="6">
        <v>1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1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5">
        <f t="shared" si="53"/>
        <v>3</v>
      </c>
    </row>
    <row r="170" spans="1:29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1</v>
      </c>
      <c r="AA170" s="6">
        <v>0</v>
      </c>
      <c r="AB170" s="6">
        <v>0</v>
      </c>
      <c r="AC170" s="5">
        <f t="shared" si="53"/>
        <v>2</v>
      </c>
    </row>
    <row r="171" spans="1:29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AC171" si="54">SUM(E164:E170)</f>
        <v>8</v>
      </c>
      <c r="F171" s="5">
        <f t="shared" si="54"/>
        <v>3</v>
      </c>
      <c r="G171" s="5">
        <f t="shared" si="54"/>
        <v>3</v>
      </c>
      <c r="H171" s="5">
        <f t="shared" si="54"/>
        <v>2</v>
      </c>
      <c r="I171" s="5">
        <f t="shared" si="54"/>
        <v>0</v>
      </c>
      <c r="J171" s="5">
        <f t="shared" si="54"/>
        <v>1</v>
      </c>
      <c r="K171" s="5">
        <f t="shared" si="54"/>
        <v>0</v>
      </c>
      <c r="L171" s="5">
        <f t="shared" si="54"/>
        <v>1</v>
      </c>
      <c r="M171" s="5">
        <f t="shared" si="54"/>
        <v>2</v>
      </c>
      <c r="N171" s="5">
        <f t="shared" si="54"/>
        <v>0</v>
      </c>
      <c r="O171" s="5">
        <f t="shared" si="54"/>
        <v>1</v>
      </c>
      <c r="P171" s="5">
        <f t="shared" si="54"/>
        <v>2</v>
      </c>
      <c r="Q171" s="5">
        <f t="shared" si="54"/>
        <v>1</v>
      </c>
      <c r="R171" s="5">
        <f t="shared" si="54"/>
        <v>4</v>
      </c>
      <c r="S171" s="5">
        <f t="shared" si="54"/>
        <v>0</v>
      </c>
      <c r="T171" s="5">
        <f t="shared" si="54"/>
        <v>0</v>
      </c>
      <c r="U171" s="5">
        <f t="shared" si="54"/>
        <v>2</v>
      </c>
      <c r="V171" s="5">
        <f t="shared" si="54"/>
        <v>5</v>
      </c>
      <c r="W171" s="5">
        <f t="shared" si="54"/>
        <v>2</v>
      </c>
      <c r="X171" s="5">
        <f t="shared" si="54"/>
        <v>0</v>
      </c>
      <c r="Y171" s="5">
        <f t="shared" si="54"/>
        <v>1</v>
      </c>
      <c r="Z171" s="5">
        <f t="shared" si="54"/>
        <v>2</v>
      </c>
      <c r="AA171" s="5">
        <f t="shared" si="54"/>
        <v>7</v>
      </c>
      <c r="AB171" s="5">
        <f t="shared" si="54"/>
        <v>1</v>
      </c>
      <c r="AC171" s="5">
        <f t="shared" si="54"/>
        <v>48</v>
      </c>
    </row>
    <row r="172" spans="1:29" x14ac:dyDescent="0.4">
      <c r="A172" s="61"/>
      <c r="B172" s="62"/>
      <c r="C172" s="62"/>
      <c r="D172" s="62"/>
      <c r="E172" s="63"/>
    </row>
    <row r="173" spans="1:29" x14ac:dyDescent="0.4">
      <c r="A173" s="11" t="s">
        <v>48</v>
      </c>
      <c r="B173" s="17" t="s">
        <v>81</v>
      </c>
      <c r="C173" s="59" t="s">
        <v>82</v>
      </c>
      <c r="D173" s="60"/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1</v>
      </c>
      <c r="R173" s="6">
        <v>0</v>
      </c>
      <c r="S173" s="6">
        <v>0</v>
      </c>
      <c r="T173" s="6">
        <v>1</v>
      </c>
      <c r="U173" s="6">
        <v>0</v>
      </c>
      <c r="V173" s="6">
        <v>0</v>
      </c>
      <c r="W173" s="6">
        <v>0</v>
      </c>
      <c r="X173" s="6">
        <v>0</v>
      </c>
      <c r="Y173" s="6">
        <v>2</v>
      </c>
      <c r="Z173" s="6">
        <v>0</v>
      </c>
      <c r="AA173" s="6">
        <v>0</v>
      </c>
      <c r="AB173" s="6">
        <v>0</v>
      </c>
      <c r="AC173" s="5">
        <f>SUM(E173:AB173)</f>
        <v>4</v>
      </c>
    </row>
    <row r="174" spans="1:29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5">
        <f>SUM(E174:AB174)</f>
        <v>1</v>
      </c>
    </row>
    <row r="175" spans="1:29" x14ac:dyDescent="0.4">
      <c r="A175" s="7"/>
      <c r="B175" s="46">
        <v>2</v>
      </c>
      <c r="C175" s="24" t="s">
        <v>192</v>
      </c>
      <c r="D175" s="47"/>
      <c r="E175" s="6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5">
        <f>SUM(E175:AB175)</f>
        <v>1</v>
      </c>
    </row>
    <row r="176" spans="1:29" x14ac:dyDescent="0.4">
      <c r="A176" s="6" t="s">
        <v>26</v>
      </c>
      <c r="B176" s="53" t="s">
        <v>51</v>
      </c>
      <c r="C176" s="54"/>
      <c r="D176" s="55"/>
      <c r="E176" s="5">
        <f t="shared" ref="E176:AC176" si="55">SUM(E173:E175)</f>
        <v>1</v>
      </c>
      <c r="F176" s="5">
        <f t="shared" si="55"/>
        <v>0</v>
      </c>
      <c r="G176" s="5">
        <f t="shared" si="55"/>
        <v>0</v>
      </c>
      <c r="H176" s="5">
        <f t="shared" si="55"/>
        <v>0</v>
      </c>
      <c r="I176" s="5">
        <f t="shared" si="55"/>
        <v>0</v>
      </c>
      <c r="J176" s="5">
        <f t="shared" si="55"/>
        <v>0</v>
      </c>
      <c r="K176" s="5">
        <f t="shared" si="55"/>
        <v>0</v>
      </c>
      <c r="L176" s="5">
        <f t="shared" si="55"/>
        <v>0</v>
      </c>
      <c r="M176" s="5">
        <f t="shared" si="55"/>
        <v>0</v>
      </c>
      <c r="N176" s="5">
        <f t="shared" si="55"/>
        <v>1</v>
      </c>
      <c r="O176" s="5">
        <f t="shared" si="55"/>
        <v>0</v>
      </c>
      <c r="P176" s="5">
        <f t="shared" si="55"/>
        <v>0</v>
      </c>
      <c r="Q176" s="5">
        <f t="shared" si="55"/>
        <v>1</v>
      </c>
      <c r="R176" s="5">
        <f t="shared" si="55"/>
        <v>0</v>
      </c>
      <c r="S176" s="5">
        <f t="shared" si="55"/>
        <v>0</v>
      </c>
      <c r="T176" s="5">
        <f t="shared" si="55"/>
        <v>1</v>
      </c>
      <c r="U176" s="5">
        <f t="shared" si="55"/>
        <v>0</v>
      </c>
      <c r="V176" s="5">
        <f t="shared" si="55"/>
        <v>0</v>
      </c>
      <c r="W176" s="5">
        <f t="shared" si="55"/>
        <v>0</v>
      </c>
      <c r="X176" s="5">
        <f t="shared" si="55"/>
        <v>0</v>
      </c>
      <c r="Y176" s="5">
        <f t="shared" si="55"/>
        <v>2</v>
      </c>
      <c r="Z176" s="5">
        <f t="shared" si="55"/>
        <v>0</v>
      </c>
      <c r="AA176" s="5">
        <f t="shared" si="55"/>
        <v>0</v>
      </c>
      <c r="AB176" s="5">
        <f t="shared" si="55"/>
        <v>0</v>
      </c>
      <c r="AC176" s="5">
        <f t="shared" si="55"/>
        <v>6</v>
      </c>
    </row>
    <row r="178" spans="1:29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5"/>
      <c r="P178" s="5"/>
      <c r="Q178" s="5"/>
      <c r="R178" s="5"/>
      <c r="S178" s="5"/>
      <c r="T178" s="5"/>
      <c r="U178" s="5"/>
      <c r="V178" s="5"/>
      <c r="W178" s="5"/>
      <c r="X178" s="15"/>
      <c r="Y178" s="5"/>
      <c r="Z178" s="5"/>
      <c r="AA178" s="5"/>
      <c r="AB178" s="5"/>
      <c r="AC178" s="5"/>
    </row>
    <row r="179" spans="1:29" x14ac:dyDescent="0.4">
      <c r="A179" s="16"/>
      <c r="B179" s="19" t="s">
        <v>85</v>
      </c>
      <c r="C179" s="51" t="s">
        <v>86</v>
      </c>
      <c r="D179" s="52"/>
      <c r="E179" s="6">
        <f t="shared" ref="E179:AB179" si="56">E52+E61+E70+E79+E88+E91+E98+E107+E113+E122+E125+E134+E142+E151+E156+E162+E171+E176</f>
        <v>212</v>
      </c>
      <c r="F179" s="6">
        <f t="shared" si="56"/>
        <v>214</v>
      </c>
      <c r="G179" s="6">
        <f t="shared" si="56"/>
        <v>216</v>
      </c>
      <c r="H179" s="6">
        <f t="shared" si="56"/>
        <v>231</v>
      </c>
      <c r="I179" s="6">
        <f t="shared" si="56"/>
        <v>177</v>
      </c>
      <c r="J179" s="6">
        <f t="shared" si="56"/>
        <v>207</v>
      </c>
      <c r="K179" s="6">
        <f t="shared" si="56"/>
        <v>214</v>
      </c>
      <c r="L179" s="6">
        <f t="shared" si="56"/>
        <v>211</v>
      </c>
      <c r="M179" s="6">
        <f t="shared" si="56"/>
        <v>194</v>
      </c>
      <c r="N179" s="6">
        <f t="shared" si="56"/>
        <v>191</v>
      </c>
      <c r="O179" s="6">
        <f t="shared" si="56"/>
        <v>198</v>
      </c>
      <c r="P179" s="6">
        <f t="shared" si="56"/>
        <v>163</v>
      </c>
      <c r="Q179" s="6">
        <f t="shared" si="56"/>
        <v>182</v>
      </c>
      <c r="R179" s="6">
        <f t="shared" si="56"/>
        <v>187</v>
      </c>
      <c r="S179" s="6">
        <f t="shared" si="56"/>
        <v>185</v>
      </c>
      <c r="T179" s="6">
        <f t="shared" si="56"/>
        <v>232</v>
      </c>
      <c r="U179" s="6">
        <f t="shared" si="56"/>
        <v>235</v>
      </c>
      <c r="V179" s="6">
        <f t="shared" si="56"/>
        <v>223</v>
      </c>
      <c r="W179" s="6">
        <f t="shared" si="56"/>
        <v>218</v>
      </c>
      <c r="X179" s="6">
        <f t="shared" si="56"/>
        <v>212</v>
      </c>
      <c r="Y179" s="6">
        <f t="shared" si="56"/>
        <v>176</v>
      </c>
      <c r="Z179" s="6">
        <f t="shared" si="56"/>
        <v>156</v>
      </c>
      <c r="AA179" s="6">
        <f t="shared" si="56"/>
        <v>192</v>
      </c>
      <c r="AB179" s="6">
        <f t="shared" si="56"/>
        <v>201</v>
      </c>
      <c r="AC179" s="5">
        <f>SUM(E179:AB179)</f>
        <v>4827</v>
      </c>
    </row>
    <row r="180" spans="1:29" x14ac:dyDescent="0.4">
      <c r="A180" s="13"/>
      <c r="B180" s="19" t="s">
        <v>87</v>
      </c>
      <c r="C180" s="51" t="s">
        <v>88</v>
      </c>
      <c r="D180" s="52"/>
      <c r="E180" s="6">
        <v>13</v>
      </c>
      <c r="F180" s="6">
        <v>8</v>
      </c>
      <c r="G180" s="6">
        <v>5</v>
      </c>
      <c r="H180" s="6">
        <v>17</v>
      </c>
      <c r="I180" s="6">
        <v>13</v>
      </c>
      <c r="J180" s="6">
        <v>16</v>
      </c>
      <c r="K180" s="6">
        <v>7</v>
      </c>
      <c r="L180" s="6">
        <v>16</v>
      </c>
      <c r="M180" s="6">
        <v>21</v>
      </c>
      <c r="N180" s="6">
        <v>23</v>
      </c>
      <c r="O180" s="6">
        <v>7</v>
      </c>
      <c r="P180" s="6">
        <v>13</v>
      </c>
      <c r="Q180" s="6">
        <v>10</v>
      </c>
      <c r="R180" s="6">
        <v>15</v>
      </c>
      <c r="S180" s="6">
        <v>16</v>
      </c>
      <c r="T180" s="6">
        <v>8</v>
      </c>
      <c r="U180" s="6">
        <v>13</v>
      </c>
      <c r="V180" s="6">
        <v>9</v>
      </c>
      <c r="W180" s="6">
        <v>7</v>
      </c>
      <c r="X180" s="6">
        <v>13</v>
      </c>
      <c r="Y180" s="6">
        <v>15</v>
      </c>
      <c r="Z180" s="6">
        <v>7</v>
      </c>
      <c r="AA180" s="6">
        <v>11</v>
      </c>
      <c r="AB180" s="6">
        <v>9</v>
      </c>
      <c r="AC180" s="5">
        <f>SUM(E180:AB180)</f>
        <v>292</v>
      </c>
    </row>
    <row r="181" spans="1:29" x14ac:dyDescent="0.4">
      <c r="A181" s="14"/>
      <c r="B181" s="19" t="s">
        <v>89</v>
      </c>
      <c r="C181" s="51" t="s">
        <v>90</v>
      </c>
      <c r="D181" s="52"/>
      <c r="E181" s="5">
        <f>SUM(E179:E180)</f>
        <v>225</v>
      </c>
      <c r="F181" s="5">
        <f t="shared" ref="F181:N181" si="57">SUM(F179:F180)</f>
        <v>222</v>
      </c>
      <c r="G181" s="5">
        <f t="shared" si="57"/>
        <v>221</v>
      </c>
      <c r="H181" s="5">
        <f t="shared" si="57"/>
        <v>248</v>
      </c>
      <c r="I181" s="5">
        <f t="shared" si="57"/>
        <v>190</v>
      </c>
      <c r="J181" s="5">
        <f t="shared" si="57"/>
        <v>223</v>
      </c>
      <c r="K181" s="5">
        <f t="shared" si="57"/>
        <v>221</v>
      </c>
      <c r="L181" s="5">
        <f t="shared" si="57"/>
        <v>227</v>
      </c>
      <c r="M181" s="5">
        <f t="shared" si="57"/>
        <v>215</v>
      </c>
      <c r="N181" s="5">
        <f t="shared" si="57"/>
        <v>214</v>
      </c>
      <c r="O181" s="5">
        <f t="shared" ref="O181:AB181" si="58">SUM(O179:O180)</f>
        <v>205</v>
      </c>
      <c r="P181" s="5">
        <f t="shared" si="58"/>
        <v>176</v>
      </c>
      <c r="Q181" s="5">
        <f t="shared" si="58"/>
        <v>192</v>
      </c>
      <c r="R181" s="5">
        <f t="shared" si="58"/>
        <v>202</v>
      </c>
      <c r="S181" s="5">
        <f t="shared" si="58"/>
        <v>201</v>
      </c>
      <c r="T181" s="5">
        <f t="shared" si="58"/>
        <v>240</v>
      </c>
      <c r="U181" s="5">
        <f t="shared" si="58"/>
        <v>248</v>
      </c>
      <c r="V181" s="5">
        <f t="shared" si="58"/>
        <v>232</v>
      </c>
      <c r="W181" s="5">
        <f t="shared" si="58"/>
        <v>225</v>
      </c>
      <c r="X181" s="5">
        <f t="shared" si="58"/>
        <v>225</v>
      </c>
      <c r="Y181" s="5">
        <f t="shared" ref="Y181" si="59">SUM(Y179:Y180)</f>
        <v>191</v>
      </c>
      <c r="Z181" s="5">
        <f t="shared" si="58"/>
        <v>163</v>
      </c>
      <c r="AA181" s="5">
        <f t="shared" si="58"/>
        <v>203</v>
      </c>
      <c r="AB181" s="5">
        <f t="shared" si="58"/>
        <v>210</v>
      </c>
      <c r="AC181" s="5">
        <f>SUM(E181:AB181)</f>
        <v>5119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B37"/>
    <mergeCell ref="B38:D38"/>
    <mergeCell ref="A42:D42"/>
    <mergeCell ref="E42:AB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14:AB15 E19:AB20 E22:AB23 E25:AB26 E33:AB33 E35:AB35 E39:AB40 E45:AB51 E54:AB60 E63:AB69 E72:AB78 E81:AB87 E90:AB90 E93:AB97 E100:AB106 E109:AB112 E115:AB121 E124:AB124 E127:AB133 E136:AB141 E144:AB150 E153:AB155 E158:AB161 E164:AB170 E173:AB175 E179:AB180">
    <cfRule type="containsBlanks" dxfId="192" priority="21">
      <formula>LEN(TRIM(E14))=0</formula>
    </cfRule>
  </conditionalFormatting>
  <conditionalFormatting sqref="E30:AB30">
    <cfRule type="expression" dxfId="191" priority="26">
      <formula>E30&lt;&gt;E47</formula>
    </cfRule>
    <cfRule type="expression" dxfId="190" priority="27">
      <formula>E30&lt;&gt;E34</formula>
    </cfRule>
  </conditionalFormatting>
  <conditionalFormatting sqref="E34:AB34">
    <cfRule type="expression" dxfId="189" priority="131">
      <formula>E30&lt;&gt;E34</formula>
    </cfRule>
    <cfRule type="expression" dxfId="188" priority="132">
      <formula>E30=E34</formula>
    </cfRule>
    <cfRule type="expression" dxfId="187" priority="133">
      <formula>E34&lt;&gt;E30</formula>
    </cfRule>
    <cfRule type="expression" dxfId="186" priority="134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R181"/>
  <sheetViews>
    <sheetView topLeftCell="D13" zoomScaleNormal="100" workbookViewId="0">
      <pane ySplit="1" topLeftCell="A173" activePane="bottomLeft" state="frozen"/>
      <selection activeCell="A13" sqref="A13"/>
      <selection pane="bottomLeft" activeCell="R180" sqref="R180"/>
    </sheetView>
  </sheetViews>
  <sheetFormatPr defaultRowHeight="13.15" x14ac:dyDescent="0.4"/>
  <cols>
    <col min="3" max="3" width="67.140625" bestFit="1" customWidth="1"/>
    <col min="4" max="4" width="5.85546875" bestFit="1" customWidth="1"/>
    <col min="18" max="18" width="13.28515625" customWidth="1"/>
  </cols>
  <sheetData>
    <row r="2" spans="1:18" x14ac:dyDescent="0.4">
      <c r="C2" s="43" t="s">
        <v>104</v>
      </c>
      <c r="D2" s="43" t="s">
        <v>193</v>
      </c>
    </row>
    <row r="3" spans="1:18" x14ac:dyDescent="0.4">
      <c r="C3" s="43" t="s">
        <v>105</v>
      </c>
      <c r="D3" s="43" t="s">
        <v>106</v>
      </c>
    </row>
    <row r="4" spans="1:18" x14ac:dyDescent="0.4">
      <c r="C4" s="43" t="s">
        <v>107</v>
      </c>
      <c r="D4" s="43" t="s">
        <v>108</v>
      </c>
    </row>
    <row r="5" spans="1:18" x14ac:dyDescent="0.4">
      <c r="C5" s="43"/>
      <c r="D5" s="43"/>
    </row>
    <row r="6" spans="1:18" x14ac:dyDescent="0.4">
      <c r="C6" s="43"/>
      <c r="D6" s="43"/>
    </row>
    <row r="7" spans="1:18" x14ac:dyDescent="0.4">
      <c r="C7" s="43"/>
      <c r="D7" s="43"/>
    </row>
    <row r="8" spans="1:18" x14ac:dyDescent="0.4">
      <c r="C8" s="43"/>
      <c r="D8" s="43"/>
    </row>
    <row r="9" spans="1:18" x14ac:dyDescent="0.4">
      <c r="C9" s="43" t="s">
        <v>109</v>
      </c>
      <c r="D9" s="43" t="s">
        <v>195</v>
      </c>
    </row>
    <row r="11" spans="1:1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 t="s">
        <v>103</v>
      </c>
    </row>
    <row r="13" spans="1:18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93"/>
    </row>
    <row r="14" spans="1:18" x14ac:dyDescent="0.4">
      <c r="A14" s="7"/>
      <c r="B14" s="80" t="s">
        <v>22</v>
      </c>
      <c r="C14" s="68"/>
      <c r="D14" s="6" t="s">
        <v>23</v>
      </c>
      <c r="E14" s="6">
        <v>135</v>
      </c>
      <c r="F14" s="6">
        <v>127</v>
      </c>
      <c r="G14" s="6">
        <v>141</v>
      </c>
      <c r="H14" s="6">
        <v>142</v>
      </c>
      <c r="I14" s="6">
        <v>122</v>
      </c>
      <c r="J14" s="6">
        <v>103</v>
      </c>
      <c r="K14" s="6">
        <v>120</v>
      </c>
      <c r="L14" s="6">
        <v>109</v>
      </c>
      <c r="M14" s="6">
        <v>129</v>
      </c>
      <c r="N14" s="6">
        <v>137</v>
      </c>
      <c r="O14" s="6">
        <v>111</v>
      </c>
      <c r="P14" s="6">
        <v>114</v>
      </c>
      <c r="Q14" s="6">
        <v>141</v>
      </c>
      <c r="R14" s="5">
        <f>SUM(E14:Q14)</f>
        <v>1631</v>
      </c>
    </row>
    <row r="15" spans="1:18" x14ac:dyDescent="0.4">
      <c r="A15" s="7"/>
      <c r="B15" s="81"/>
      <c r="C15" s="74"/>
      <c r="D15" s="6" t="s">
        <v>24</v>
      </c>
      <c r="E15" s="6">
        <v>135</v>
      </c>
      <c r="F15" s="6">
        <v>125</v>
      </c>
      <c r="G15" s="6">
        <v>117</v>
      </c>
      <c r="H15" s="6">
        <v>141</v>
      </c>
      <c r="I15" s="6">
        <v>117</v>
      </c>
      <c r="J15" s="6">
        <v>108</v>
      </c>
      <c r="K15" s="6">
        <v>118</v>
      </c>
      <c r="L15" s="6">
        <v>128</v>
      </c>
      <c r="M15" s="6">
        <v>136</v>
      </c>
      <c r="N15" s="6">
        <v>122</v>
      </c>
      <c r="O15" s="6">
        <v>110</v>
      </c>
      <c r="P15" s="6">
        <v>112</v>
      </c>
      <c r="Q15" s="6">
        <v>128</v>
      </c>
      <c r="R15" s="5">
        <f>SUM(E15:Q15)</f>
        <v>1597</v>
      </c>
    </row>
    <row r="16" spans="1:18" x14ac:dyDescent="0.4">
      <c r="A16" s="8"/>
      <c r="B16" s="79"/>
      <c r="C16" s="75"/>
      <c r="D16" s="5" t="s">
        <v>25</v>
      </c>
      <c r="E16" s="5">
        <f t="shared" ref="E16:O16" si="0">SUM(E14:E15)</f>
        <v>270</v>
      </c>
      <c r="F16" s="5">
        <f t="shared" ref="F16:K16" si="1">SUM(F14:F15)</f>
        <v>252</v>
      </c>
      <c r="G16" s="5">
        <f t="shared" si="1"/>
        <v>258</v>
      </c>
      <c r="H16" s="5">
        <f t="shared" si="1"/>
        <v>283</v>
      </c>
      <c r="I16" s="5">
        <f t="shared" si="1"/>
        <v>239</v>
      </c>
      <c r="J16" s="5">
        <f t="shared" si="1"/>
        <v>211</v>
      </c>
      <c r="K16" s="5">
        <f t="shared" si="1"/>
        <v>238</v>
      </c>
      <c r="L16" s="5">
        <f t="shared" si="0"/>
        <v>237</v>
      </c>
      <c r="M16" s="5">
        <f t="shared" si="0"/>
        <v>265</v>
      </c>
      <c r="N16" s="5">
        <f t="shared" si="0"/>
        <v>259</v>
      </c>
      <c r="O16" s="5">
        <f t="shared" si="0"/>
        <v>221</v>
      </c>
      <c r="P16" s="5">
        <f t="shared" ref="P16:Q16" si="2">SUM(P14:P15)</f>
        <v>226</v>
      </c>
      <c r="Q16" s="5">
        <f t="shared" si="2"/>
        <v>269</v>
      </c>
      <c r="R16" s="5">
        <f>SUM(E16:Q16)</f>
        <v>3228</v>
      </c>
    </row>
    <row r="17" spans="1:18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8"/>
    </row>
    <row r="18" spans="1:18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8"/>
    </row>
    <row r="19" spans="1:18" x14ac:dyDescent="0.4">
      <c r="A19" s="11"/>
      <c r="B19" s="82" t="s">
        <v>28</v>
      </c>
      <c r="C19" s="83" t="s">
        <v>29</v>
      </c>
      <c r="D19" s="6" t="s">
        <v>23</v>
      </c>
      <c r="E19" s="6">
        <v>114</v>
      </c>
      <c r="F19" s="6">
        <v>89</v>
      </c>
      <c r="G19" s="6">
        <v>119</v>
      </c>
      <c r="H19" s="6">
        <v>120</v>
      </c>
      <c r="I19" s="6">
        <v>109</v>
      </c>
      <c r="J19" s="6">
        <v>98</v>
      </c>
      <c r="K19" s="6">
        <v>93</v>
      </c>
      <c r="L19" s="6">
        <v>99</v>
      </c>
      <c r="M19" s="6">
        <v>101</v>
      </c>
      <c r="N19" s="6">
        <v>115</v>
      </c>
      <c r="O19" s="6">
        <v>93</v>
      </c>
      <c r="P19" s="6">
        <v>93</v>
      </c>
      <c r="Q19" s="6">
        <v>101</v>
      </c>
      <c r="R19" s="5">
        <f t="shared" ref="R19:R30" si="3">SUM(E19:Q19)</f>
        <v>1344</v>
      </c>
    </row>
    <row r="20" spans="1:18" x14ac:dyDescent="0.4">
      <c r="A20" s="12"/>
      <c r="B20" s="74"/>
      <c r="C20" s="84"/>
      <c r="D20" s="6" t="s">
        <v>24</v>
      </c>
      <c r="E20" s="6">
        <v>120</v>
      </c>
      <c r="F20" s="6">
        <v>120</v>
      </c>
      <c r="G20" s="6">
        <v>97</v>
      </c>
      <c r="H20" s="6">
        <v>127</v>
      </c>
      <c r="I20" s="6">
        <v>112</v>
      </c>
      <c r="J20" s="6">
        <v>95</v>
      </c>
      <c r="K20" s="6">
        <v>102</v>
      </c>
      <c r="L20" s="6">
        <v>117</v>
      </c>
      <c r="M20" s="6">
        <v>116</v>
      </c>
      <c r="N20" s="6">
        <v>109</v>
      </c>
      <c r="O20" s="6">
        <v>100</v>
      </c>
      <c r="P20" s="6">
        <v>100</v>
      </c>
      <c r="Q20" s="6">
        <v>113</v>
      </c>
      <c r="R20" s="5">
        <f t="shared" si="3"/>
        <v>1428</v>
      </c>
    </row>
    <row r="21" spans="1:18" x14ac:dyDescent="0.4">
      <c r="A21" s="13"/>
      <c r="B21" s="75"/>
      <c r="C21" s="85"/>
      <c r="D21" s="5" t="s">
        <v>25</v>
      </c>
      <c r="E21" s="5">
        <f t="shared" ref="E21:O21" si="4">SUM(E19:E20)</f>
        <v>234</v>
      </c>
      <c r="F21" s="5">
        <f t="shared" ref="F21:K21" si="5">SUM(F19:F20)</f>
        <v>209</v>
      </c>
      <c r="G21" s="5">
        <f t="shared" si="5"/>
        <v>216</v>
      </c>
      <c r="H21" s="5">
        <f t="shared" si="5"/>
        <v>247</v>
      </c>
      <c r="I21" s="5">
        <f t="shared" si="5"/>
        <v>221</v>
      </c>
      <c r="J21" s="5">
        <f t="shared" si="5"/>
        <v>193</v>
      </c>
      <c r="K21" s="5">
        <f t="shared" si="5"/>
        <v>195</v>
      </c>
      <c r="L21" s="5">
        <f t="shared" si="4"/>
        <v>216</v>
      </c>
      <c r="M21" s="5">
        <f t="shared" si="4"/>
        <v>217</v>
      </c>
      <c r="N21" s="5">
        <f t="shared" si="4"/>
        <v>224</v>
      </c>
      <c r="O21" s="5">
        <f t="shared" si="4"/>
        <v>193</v>
      </c>
      <c r="P21" s="5">
        <f t="shared" ref="P21:Q21" si="6">SUM(P19:P20)</f>
        <v>193</v>
      </c>
      <c r="Q21" s="5">
        <f t="shared" si="6"/>
        <v>214</v>
      </c>
      <c r="R21" s="5">
        <f t="shared" si="3"/>
        <v>2772</v>
      </c>
    </row>
    <row r="22" spans="1:18" x14ac:dyDescent="0.4">
      <c r="A22" s="12"/>
      <c r="B22" s="82" t="s">
        <v>30</v>
      </c>
      <c r="C22" s="83" t="s">
        <v>31</v>
      </c>
      <c r="D22" s="6" t="s">
        <v>23</v>
      </c>
      <c r="E22" s="6">
        <v>3</v>
      </c>
      <c r="F22" s="6">
        <v>0</v>
      </c>
      <c r="G22" s="6">
        <v>0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1</v>
      </c>
      <c r="R22" s="5">
        <f t="shared" si="3"/>
        <v>7</v>
      </c>
    </row>
    <row r="23" spans="1:18" x14ac:dyDescent="0.4">
      <c r="A23" s="12"/>
      <c r="B23" s="74"/>
      <c r="C23" s="84"/>
      <c r="D23" s="6" t="s">
        <v>24</v>
      </c>
      <c r="E23" s="6">
        <v>0</v>
      </c>
      <c r="F23" s="6">
        <v>3</v>
      </c>
      <c r="G23" s="6">
        <v>0</v>
      </c>
      <c r="H23" s="6">
        <v>0</v>
      </c>
      <c r="I23" s="6">
        <v>1</v>
      </c>
      <c r="J23" s="6">
        <v>1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5">
        <f t="shared" si="3"/>
        <v>6</v>
      </c>
    </row>
    <row r="24" spans="1:18" x14ac:dyDescent="0.4">
      <c r="A24" s="13"/>
      <c r="B24" s="75"/>
      <c r="C24" s="85"/>
      <c r="D24" s="5" t="s">
        <v>25</v>
      </c>
      <c r="E24" s="5">
        <f t="shared" ref="E24:O24" si="7">SUM(E22:E23)</f>
        <v>3</v>
      </c>
      <c r="F24" s="5">
        <f t="shared" ref="F24:K24" si="8">SUM(F22:F23)</f>
        <v>3</v>
      </c>
      <c r="G24" s="5">
        <f t="shared" si="8"/>
        <v>0</v>
      </c>
      <c r="H24" s="5">
        <f t="shared" si="8"/>
        <v>2</v>
      </c>
      <c r="I24" s="5">
        <f t="shared" si="8"/>
        <v>1</v>
      </c>
      <c r="J24" s="5">
        <f t="shared" si="8"/>
        <v>1</v>
      </c>
      <c r="K24" s="5">
        <f t="shared" si="8"/>
        <v>0</v>
      </c>
      <c r="L24" s="5">
        <f t="shared" si="7"/>
        <v>1</v>
      </c>
      <c r="M24" s="5">
        <f t="shared" si="7"/>
        <v>0</v>
      </c>
      <c r="N24" s="5">
        <f t="shared" si="7"/>
        <v>0</v>
      </c>
      <c r="O24" s="5">
        <f t="shared" si="7"/>
        <v>1</v>
      </c>
      <c r="P24" s="5">
        <f t="shared" ref="P24:Q24" si="9">SUM(P22:P23)</f>
        <v>0</v>
      </c>
      <c r="Q24" s="5">
        <f t="shared" si="9"/>
        <v>1</v>
      </c>
      <c r="R24" s="5">
        <f t="shared" si="3"/>
        <v>13</v>
      </c>
    </row>
    <row r="25" spans="1:18" x14ac:dyDescent="0.4">
      <c r="A25" s="12"/>
      <c r="B25" s="82" t="s">
        <v>32</v>
      </c>
      <c r="C25" s="83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3</v>
      </c>
      <c r="K25" s="6">
        <v>1</v>
      </c>
      <c r="L25" s="6">
        <v>0</v>
      </c>
      <c r="M25" s="6">
        <v>0</v>
      </c>
      <c r="N25" s="6">
        <v>5</v>
      </c>
      <c r="O25" s="6">
        <v>2</v>
      </c>
      <c r="P25" s="6">
        <v>0</v>
      </c>
      <c r="Q25" s="6">
        <v>2</v>
      </c>
      <c r="R25" s="5">
        <f t="shared" si="3"/>
        <v>15</v>
      </c>
    </row>
    <row r="26" spans="1:18" x14ac:dyDescent="0.4">
      <c r="A26" s="12"/>
      <c r="B26" s="74"/>
      <c r="C26" s="84"/>
      <c r="D26" s="6" t="s">
        <v>24</v>
      </c>
      <c r="E26" s="6">
        <v>0</v>
      </c>
      <c r="F26" s="6">
        <v>2</v>
      </c>
      <c r="G26" s="6">
        <v>0</v>
      </c>
      <c r="H26" s="6">
        <v>0</v>
      </c>
      <c r="I26" s="6">
        <v>3</v>
      </c>
      <c r="J26" s="6">
        <v>4</v>
      </c>
      <c r="K26" s="6">
        <v>2</v>
      </c>
      <c r="L26" s="6">
        <v>0</v>
      </c>
      <c r="M26" s="6">
        <v>0</v>
      </c>
      <c r="N26" s="6">
        <v>5</v>
      </c>
      <c r="O26" s="6">
        <v>0</v>
      </c>
      <c r="P26" s="6">
        <v>1</v>
      </c>
      <c r="Q26" s="6">
        <v>1</v>
      </c>
      <c r="R26" s="5">
        <f t="shared" si="3"/>
        <v>18</v>
      </c>
    </row>
    <row r="27" spans="1:18" x14ac:dyDescent="0.4">
      <c r="A27" s="13"/>
      <c r="B27" s="75"/>
      <c r="C27" s="85"/>
      <c r="D27" s="5" t="s">
        <v>25</v>
      </c>
      <c r="E27" s="5">
        <f t="shared" ref="E27:O27" si="10">SUM(E25:E26)</f>
        <v>0</v>
      </c>
      <c r="F27" s="5">
        <f t="shared" ref="F27:K27" si="11">SUM(F25:F26)</f>
        <v>3</v>
      </c>
      <c r="G27" s="5">
        <f t="shared" si="11"/>
        <v>0</v>
      </c>
      <c r="H27" s="5">
        <f t="shared" si="11"/>
        <v>0</v>
      </c>
      <c r="I27" s="5">
        <f t="shared" si="11"/>
        <v>4</v>
      </c>
      <c r="J27" s="5">
        <f t="shared" si="11"/>
        <v>7</v>
      </c>
      <c r="K27" s="5">
        <f t="shared" si="11"/>
        <v>3</v>
      </c>
      <c r="L27" s="5">
        <f t="shared" si="10"/>
        <v>0</v>
      </c>
      <c r="M27" s="5">
        <f t="shared" si="10"/>
        <v>0</v>
      </c>
      <c r="N27" s="5">
        <f t="shared" si="10"/>
        <v>10</v>
      </c>
      <c r="O27" s="5">
        <f t="shared" si="10"/>
        <v>2</v>
      </c>
      <c r="P27" s="5">
        <f t="shared" ref="P27:Q27" si="12">SUM(P25:P26)</f>
        <v>1</v>
      </c>
      <c r="Q27" s="5">
        <f t="shared" si="12"/>
        <v>3</v>
      </c>
      <c r="R27" s="5">
        <f t="shared" si="3"/>
        <v>33</v>
      </c>
    </row>
    <row r="28" spans="1:18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117</v>
      </c>
      <c r="F28" s="5">
        <f t="shared" ref="F28:K28" si="13">SUM(F19,F22,F25)</f>
        <v>90</v>
      </c>
      <c r="G28" s="5">
        <f t="shared" si="13"/>
        <v>119</v>
      </c>
      <c r="H28" s="5">
        <f t="shared" si="13"/>
        <v>122</v>
      </c>
      <c r="I28" s="5">
        <f t="shared" si="13"/>
        <v>110</v>
      </c>
      <c r="J28" s="5">
        <f t="shared" si="13"/>
        <v>101</v>
      </c>
      <c r="K28" s="5">
        <f t="shared" si="13"/>
        <v>94</v>
      </c>
      <c r="L28" s="5">
        <f t="shared" ref="L28:O29" si="14">SUM(L19,L22,L25)</f>
        <v>99</v>
      </c>
      <c r="M28" s="5">
        <f t="shared" si="14"/>
        <v>101</v>
      </c>
      <c r="N28" s="5">
        <f t="shared" si="14"/>
        <v>120</v>
      </c>
      <c r="O28" s="5">
        <f t="shared" si="14"/>
        <v>96</v>
      </c>
      <c r="P28" s="5">
        <f t="shared" ref="P28:Q28" si="15">SUM(P19,P22,P25)</f>
        <v>93</v>
      </c>
      <c r="Q28" s="5">
        <f t="shared" si="15"/>
        <v>104</v>
      </c>
      <c r="R28" s="5">
        <f t="shared" si="3"/>
        <v>1366</v>
      </c>
    </row>
    <row r="29" spans="1:18" x14ac:dyDescent="0.4">
      <c r="A29" s="13"/>
      <c r="B29" s="74"/>
      <c r="C29" s="84"/>
      <c r="D29" s="5" t="s">
        <v>24</v>
      </c>
      <c r="E29" s="5">
        <f>SUM(E20,E23,E26)</f>
        <v>120</v>
      </c>
      <c r="F29" s="5">
        <f t="shared" ref="F29:K29" si="16">SUM(F20,F23,F26)</f>
        <v>125</v>
      </c>
      <c r="G29" s="5">
        <f t="shared" si="16"/>
        <v>97</v>
      </c>
      <c r="H29" s="5">
        <f t="shared" si="16"/>
        <v>127</v>
      </c>
      <c r="I29" s="5">
        <f t="shared" si="16"/>
        <v>116</v>
      </c>
      <c r="J29" s="5">
        <f t="shared" si="16"/>
        <v>100</v>
      </c>
      <c r="K29" s="5">
        <f t="shared" si="16"/>
        <v>104</v>
      </c>
      <c r="L29" s="5">
        <f t="shared" si="14"/>
        <v>118</v>
      </c>
      <c r="M29" s="5">
        <f t="shared" si="14"/>
        <v>116</v>
      </c>
      <c r="N29" s="5">
        <f t="shared" si="14"/>
        <v>114</v>
      </c>
      <c r="O29" s="5">
        <f t="shared" si="14"/>
        <v>100</v>
      </c>
      <c r="P29" s="5">
        <f t="shared" ref="P29:Q29" si="17">SUM(P20,P23,P26)</f>
        <v>101</v>
      </c>
      <c r="Q29" s="5">
        <f t="shared" si="17"/>
        <v>114</v>
      </c>
      <c r="R29" s="5">
        <f t="shared" si="3"/>
        <v>1452</v>
      </c>
    </row>
    <row r="30" spans="1:18" x14ac:dyDescent="0.4">
      <c r="A30" s="13"/>
      <c r="B30" s="75"/>
      <c r="C30" s="85"/>
      <c r="D30" s="5" t="s">
        <v>25</v>
      </c>
      <c r="E30" s="5">
        <f t="shared" ref="E30:O30" si="18">SUM(E28:E29)</f>
        <v>237</v>
      </c>
      <c r="F30" s="5">
        <f t="shared" ref="F30:K30" si="19">SUM(F28:F29)</f>
        <v>215</v>
      </c>
      <c r="G30" s="5">
        <f t="shared" si="19"/>
        <v>216</v>
      </c>
      <c r="H30" s="5">
        <f t="shared" si="19"/>
        <v>249</v>
      </c>
      <c r="I30" s="5">
        <f t="shared" si="19"/>
        <v>226</v>
      </c>
      <c r="J30" s="5">
        <f t="shared" si="19"/>
        <v>201</v>
      </c>
      <c r="K30" s="5">
        <f t="shared" si="19"/>
        <v>198</v>
      </c>
      <c r="L30" s="5">
        <f t="shared" si="18"/>
        <v>217</v>
      </c>
      <c r="M30" s="5">
        <f t="shared" si="18"/>
        <v>217</v>
      </c>
      <c r="N30" s="5">
        <f t="shared" si="18"/>
        <v>234</v>
      </c>
      <c r="O30" s="5">
        <f t="shared" si="18"/>
        <v>196</v>
      </c>
      <c r="P30" s="5">
        <f t="shared" ref="P30:Q30" si="20">SUM(P28:P29)</f>
        <v>194</v>
      </c>
      <c r="Q30" s="5">
        <f t="shared" si="20"/>
        <v>218</v>
      </c>
      <c r="R30" s="5">
        <f t="shared" si="3"/>
        <v>2818</v>
      </c>
    </row>
    <row r="31" spans="1:18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8"/>
    </row>
    <row r="32" spans="1:18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8"/>
    </row>
    <row r="33" spans="1:18" x14ac:dyDescent="0.4">
      <c r="A33" s="6">
        <v>1</v>
      </c>
      <c r="B33" s="77" t="s">
        <v>38</v>
      </c>
      <c r="C33" s="69"/>
      <c r="D33" s="60"/>
      <c r="E33" s="6">
        <v>271</v>
      </c>
      <c r="F33" s="6">
        <v>259</v>
      </c>
      <c r="G33" s="6">
        <v>264</v>
      </c>
      <c r="H33" s="6">
        <v>289</v>
      </c>
      <c r="I33" s="6">
        <v>244</v>
      </c>
      <c r="J33" s="6">
        <v>216</v>
      </c>
      <c r="K33" s="6">
        <v>243</v>
      </c>
      <c r="L33" s="6">
        <v>243</v>
      </c>
      <c r="M33" s="6">
        <v>271</v>
      </c>
      <c r="N33" s="6">
        <v>261</v>
      </c>
      <c r="O33" s="6">
        <v>226</v>
      </c>
      <c r="P33" s="6">
        <v>231</v>
      </c>
      <c r="Q33" s="6">
        <v>275</v>
      </c>
      <c r="R33" s="5">
        <f>SUM(E33:Q33)</f>
        <v>3293</v>
      </c>
    </row>
    <row r="34" spans="1:18" x14ac:dyDescent="0.4">
      <c r="A34" s="6">
        <v>2</v>
      </c>
      <c r="B34" s="77" t="s">
        <v>39</v>
      </c>
      <c r="C34" s="69"/>
      <c r="D34" s="60"/>
      <c r="E34" s="5">
        <v>237</v>
      </c>
      <c r="F34" s="5">
        <v>215</v>
      </c>
      <c r="G34" s="5">
        <v>216</v>
      </c>
      <c r="H34" s="5">
        <v>249</v>
      </c>
      <c r="I34" s="5">
        <v>226</v>
      </c>
      <c r="J34" s="5">
        <v>201</v>
      </c>
      <c r="K34" s="5">
        <v>198</v>
      </c>
      <c r="L34" s="5">
        <v>217</v>
      </c>
      <c r="M34" s="5">
        <v>217</v>
      </c>
      <c r="N34" s="5">
        <v>234</v>
      </c>
      <c r="O34" s="5">
        <v>196</v>
      </c>
      <c r="P34" s="5">
        <v>194</v>
      </c>
      <c r="Q34" s="5">
        <v>218</v>
      </c>
      <c r="R34" s="5">
        <f>SUM(E34:Q34)</f>
        <v>2818</v>
      </c>
    </row>
    <row r="35" spans="1:18" x14ac:dyDescent="0.4">
      <c r="A35" s="6">
        <v>3</v>
      </c>
      <c r="B35" s="77" t="s">
        <v>40</v>
      </c>
      <c r="C35" s="69"/>
      <c r="D35" s="60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5">
        <f>SUM(E35:Q35)</f>
        <v>2</v>
      </c>
    </row>
    <row r="36" spans="1:18" x14ac:dyDescent="0.4">
      <c r="A36" s="6">
        <v>4</v>
      </c>
      <c r="B36" s="77" t="s">
        <v>41</v>
      </c>
      <c r="C36" s="69"/>
      <c r="D36" s="60"/>
      <c r="E36" s="5">
        <f t="shared" ref="E36:O36" si="21">E33-(E34+E35)</f>
        <v>34</v>
      </c>
      <c r="F36" s="5">
        <f t="shared" ref="F36:K36" si="22">F33-(F34+F35)</f>
        <v>43</v>
      </c>
      <c r="G36" s="5">
        <f t="shared" si="22"/>
        <v>48</v>
      </c>
      <c r="H36" s="5">
        <f t="shared" si="22"/>
        <v>40</v>
      </c>
      <c r="I36" s="5">
        <f t="shared" si="22"/>
        <v>18</v>
      </c>
      <c r="J36" s="5">
        <f t="shared" si="22"/>
        <v>15</v>
      </c>
      <c r="K36" s="5">
        <f t="shared" si="22"/>
        <v>45</v>
      </c>
      <c r="L36" s="5">
        <f t="shared" si="21"/>
        <v>26</v>
      </c>
      <c r="M36" s="5">
        <f t="shared" si="21"/>
        <v>53</v>
      </c>
      <c r="N36" s="5">
        <f t="shared" si="21"/>
        <v>27</v>
      </c>
      <c r="O36" s="5">
        <f t="shared" si="21"/>
        <v>30</v>
      </c>
      <c r="P36" s="5">
        <f t="shared" ref="P36:Q36" si="23">P33-(P34+P35)</f>
        <v>37</v>
      </c>
      <c r="Q36" s="5">
        <f t="shared" si="23"/>
        <v>57</v>
      </c>
      <c r="R36" s="5">
        <f>SUM(E36:Q36)</f>
        <v>473</v>
      </c>
    </row>
    <row r="37" spans="1:18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88"/>
      <c r="M37" s="88"/>
      <c r="N37" s="88"/>
      <c r="O37" s="89"/>
      <c r="P37" s="6"/>
      <c r="Q37" s="6"/>
      <c r="R37" s="28"/>
    </row>
    <row r="38" spans="1:18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8"/>
    </row>
    <row r="39" spans="1:18" x14ac:dyDescent="0.4">
      <c r="A39" s="11"/>
      <c r="B39" s="72" t="s">
        <v>44</v>
      </c>
      <c r="C39" s="68"/>
      <c r="D39" s="6" t="s">
        <v>23</v>
      </c>
      <c r="E39" s="6"/>
      <c r="F39" s="6">
        <v>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5">
        <f>SUM(E39:Q39)</f>
        <v>1</v>
      </c>
    </row>
    <row r="40" spans="1:18" x14ac:dyDescent="0.4">
      <c r="A40" s="12"/>
      <c r="B40" s="73"/>
      <c r="C40" s="74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5">
        <f>SUM(E40:Q40)</f>
        <v>0</v>
      </c>
    </row>
    <row r="41" spans="1:18" x14ac:dyDescent="0.4">
      <c r="A41" s="14"/>
      <c r="B41" s="71"/>
      <c r="C41" s="75"/>
      <c r="D41" s="5" t="s">
        <v>25</v>
      </c>
      <c r="E41" s="5">
        <f t="shared" ref="E41:O41" si="24">SUM(E39:E40)</f>
        <v>0</v>
      </c>
      <c r="F41" s="5">
        <f t="shared" ref="F41:K41" si="25">SUM(F39:F40)</f>
        <v>1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si="24"/>
        <v>0</v>
      </c>
      <c r="P41" s="5">
        <f t="shared" ref="P41:Q41" si="26">SUM(P39:P40)</f>
        <v>0</v>
      </c>
      <c r="Q41" s="5">
        <f t="shared" si="26"/>
        <v>0</v>
      </c>
      <c r="R41" s="5">
        <f>SUM(E41:Q41)</f>
        <v>1</v>
      </c>
    </row>
    <row r="42" spans="1:18" x14ac:dyDescent="0.4">
      <c r="A42" s="70"/>
      <c r="B42" s="71"/>
      <c r="C42" s="71"/>
      <c r="D42" s="75"/>
      <c r="E42" s="61"/>
      <c r="F42" s="62"/>
      <c r="G42" s="62"/>
      <c r="H42" s="62"/>
      <c r="I42" s="62"/>
      <c r="J42" s="62"/>
      <c r="K42" s="62"/>
      <c r="L42" s="69"/>
      <c r="M42" s="69"/>
      <c r="N42" s="69"/>
      <c r="O42" s="60"/>
      <c r="P42" s="6"/>
      <c r="Q42" s="6"/>
      <c r="R42" s="5"/>
    </row>
    <row r="43" spans="1:18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5"/>
    </row>
    <row r="45" spans="1:18" x14ac:dyDescent="0.4">
      <c r="A45" s="11" t="s">
        <v>48</v>
      </c>
      <c r="B45" s="17" t="s">
        <v>28</v>
      </c>
      <c r="C45" s="59" t="s">
        <v>49</v>
      </c>
      <c r="D45" s="60"/>
      <c r="E45" s="6">
        <v>6</v>
      </c>
      <c r="F45" s="6">
        <v>10</v>
      </c>
      <c r="G45" s="6">
        <v>5</v>
      </c>
      <c r="H45" s="6">
        <v>10</v>
      </c>
      <c r="I45" s="6">
        <v>7</v>
      </c>
      <c r="J45" s="6">
        <v>3</v>
      </c>
      <c r="K45" s="6">
        <v>4</v>
      </c>
      <c r="L45" s="6">
        <v>5</v>
      </c>
      <c r="M45" s="6">
        <v>12</v>
      </c>
      <c r="N45" s="6">
        <v>5</v>
      </c>
      <c r="O45" s="6">
        <v>6</v>
      </c>
      <c r="P45" s="6">
        <v>3</v>
      </c>
      <c r="Q45" s="6">
        <v>3</v>
      </c>
      <c r="R45" s="5">
        <f t="shared" ref="R45:R51" si="27">SUM(E45:Q45)</f>
        <v>79</v>
      </c>
    </row>
    <row r="46" spans="1:18" x14ac:dyDescent="0.4">
      <c r="A46" s="11" t="s">
        <v>50</v>
      </c>
      <c r="B46" s="46">
        <v>1</v>
      </c>
      <c r="C46" s="24" t="s">
        <v>114</v>
      </c>
      <c r="D46" s="47"/>
      <c r="E46" s="6">
        <v>11</v>
      </c>
      <c r="F46" s="6">
        <v>10</v>
      </c>
      <c r="G46" s="6">
        <v>5</v>
      </c>
      <c r="H46" s="6">
        <v>15</v>
      </c>
      <c r="I46" s="6">
        <v>12</v>
      </c>
      <c r="J46" s="6">
        <v>20</v>
      </c>
      <c r="K46" s="6">
        <v>18</v>
      </c>
      <c r="L46" s="6">
        <v>52</v>
      </c>
      <c r="M46" s="6">
        <v>60</v>
      </c>
      <c r="N46" s="6">
        <v>8</v>
      </c>
      <c r="O46" s="6">
        <v>32</v>
      </c>
      <c r="P46" s="6">
        <v>13</v>
      </c>
      <c r="Q46" s="6">
        <v>14</v>
      </c>
      <c r="R46" s="5">
        <f t="shared" si="27"/>
        <v>270</v>
      </c>
    </row>
    <row r="47" spans="1:18" x14ac:dyDescent="0.4">
      <c r="A47" s="7"/>
      <c r="B47" s="46">
        <v>2</v>
      </c>
      <c r="C47" s="24" t="s">
        <v>115</v>
      </c>
      <c r="D47" s="47"/>
      <c r="E47" s="6">
        <v>7</v>
      </c>
      <c r="F47" s="6">
        <v>2</v>
      </c>
      <c r="G47" s="6">
        <v>1</v>
      </c>
      <c r="H47" s="6">
        <v>0</v>
      </c>
      <c r="I47" s="6">
        <v>1</v>
      </c>
      <c r="J47" s="6">
        <v>9</v>
      </c>
      <c r="K47" s="6">
        <v>3</v>
      </c>
      <c r="L47" s="6">
        <v>0</v>
      </c>
      <c r="M47" s="6">
        <v>2</v>
      </c>
      <c r="N47" s="6">
        <v>0</v>
      </c>
      <c r="O47" s="6">
        <v>1</v>
      </c>
      <c r="P47" s="6">
        <v>0</v>
      </c>
      <c r="Q47" s="6">
        <v>1</v>
      </c>
      <c r="R47" s="5">
        <f t="shared" si="27"/>
        <v>27</v>
      </c>
    </row>
    <row r="48" spans="1:18" x14ac:dyDescent="0.4">
      <c r="A48" s="7"/>
      <c r="B48" s="46">
        <v>3</v>
      </c>
      <c r="C48" s="24" t="s">
        <v>116</v>
      </c>
      <c r="D48" s="47"/>
      <c r="E48" s="6">
        <v>1</v>
      </c>
      <c r="F48" s="6">
        <v>1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5">
        <f t="shared" si="27"/>
        <v>2</v>
      </c>
    </row>
    <row r="49" spans="1:18" x14ac:dyDescent="0.4">
      <c r="A49" s="7"/>
      <c r="B49" s="46">
        <v>4</v>
      </c>
      <c r="C49" s="24" t="s">
        <v>117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5">
        <f t="shared" si="27"/>
        <v>0</v>
      </c>
    </row>
    <row r="50" spans="1:18" x14ac:dyDescent="0.4">
      <c r="A50" s="7"/>
      <c r="B50" s="46">
        <v>5</v>
      </c>
      <c r="C50" s="24" t="s">
        <v>118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0</v>
      </c>
      <c r="O50" s="6">
        <v>0</v>
      </c>
      <c r="P50" s="6">
        <v>0</v>
      </c>
      <c r="Q50" s="6">
        <v>0</v>
      </c>
      <c r="R50" s="5">
        <f t="shared" si="27"/>
        <v>2</v>
      </c>
    </row>
    <row r="51" spans="1:18" x14ac:dyDescent="0.4">
      <c r="A51" s="7"/>
      <c r="B51" s="46">
        <v>6</v>
      </c>
      <c r="C51" s="24" t="s">
        <v>119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5">
        <f t="shared" si="27"/>
        <v>1</v>
      </c>
    </row>
    <row r="52" spans="1:18" x14ac:dyDescent="0.4">
      <c r="A52" s="6" t="s">
        <v>26</v>
      </c>
      <c r="B52" s="53" t="s">
        <v>51</v>
      </c>
      <c r="C52" s="69"/>
      <c r="D52" s="60"/>
      <c r="E52" s="5">
        <f t="shared" ref="E52:R52" si="28">SUM(E45:E51)</f>
        <v>25</v>
      </c>
      <c r="F52" s="5">
        <f t="shared" si="28"/>
        <v>23</v>
      </c>
      <c r="G52" s="5">
        <f t="shared" si="28"/>
        <v>11</v>
      </c>
      <c r="H52" s="5">
        <f t="shared" si="28"/>
        <v>25</v>
      </c>
      <c r="I52" s="5">
        <f t="shared" si="28"/>
        <v>20</v>
      </c>
      <c r="J52" s="5">
        <f t="shared" si="28"/>
        <v>32</v>
      </c>
      <c r="K52" s="5">
        <f t="shared" si="28"/>
        <v>25</v>
      </c>
      <c r="L52" s="5">
        <f t="shared" si="28"/>
        <v>58</v>
      </c>
      <c r="M52" s="5">
        <f t="shared" si="28"/>
        <v>76</v>
      </c>
      <c r="N52" s="5">
        <f t="shared" si="28"/>
        <v>13</v>
      </c>
      <c r="O52" s="5">
        <f t="shared" si="28"/>
        <v>39</v>
      </c>
      <c r="P52" s="5">
        <f t="shared" si="28"/>
        <v>16</v>
      </c>
      <c r="Q52" s="5">
        <f t="shared" si="28"/>
        <v>18</v>
      </c>
      <c r="R52" s="5">
        <f t="shared" si="28"/>
        <v>381</v>
      </c>
    </row>
    <row r="53" spans="1:18" x14ac:dyDescent="0.4">
      <c r="A53" s="70"/>
      <c r="B53" s="71"/>
      <c r="C53" s="71"/>
      <c r="D53" s="71"/>
      <c r="E53" s="71"/>
      <c r="R53" s="5"/>
    </row>
    <row r="54" spans="1:18" x14ac:dyDescent="0.4">
      <c r="A54" s="11" t="s">
        <v>48</v>
      </c>
      <c r="B54" s="17" t="s">
        <v>30</v>
      </c>
      <c r="C54" s="59" t="s">
        <v>52</v>
      </c>
      <c r="D54" s="60"/>
      <c r="E54" s="6">
        <v>4</v>
      </c>
      <c r="F54" s="6">
        <v>5</v>
      </c>
      <c r="G54" s="6">
        <v>6</v>
      </c>
      <c r="H54" s="6">
        <v>2</v>
      </c>
      <c r="I54" s="6">
        <v>5</v>
      </c>
      <c r="J54" s="6">
        <v>10</v>
      </c>
      <c r="K54" s="6">
        <v>1</v>
      </c>
      <c r="L54" s="6">
        <v>5</v>
      </c>
      <c r="M54" s="6">
        <v>4</v>
      </c>
      <c r="N54" s="6">
        <v>5</v>
      </c>
      <c r="O54" s="6">
        <v>5</v>
      </c>
      <c r="P54" s="6">
        <v>5</v>
      </c>
      <c r="Q54" s="6">
        <v>5</v>
      </c>
      <c r="R54" s="5">
        <f t="shared" ref="R54:R60" si="29">SUM(E54:Q54)</f>
        <v>62</v>
      </c>
    </row>
    <row r="55" spans="1:18" x14ac:dyDescent="0.4">
      <c r="A55" s="11" t="s">
        <v>50</v>
      </c>
      <c r="B55" s="46">
        <v>1</v>
      </c>
      <c r="C55" s="24" t="s">
        <v>120</v>
      </c>
      <c r="D55" s="47"/>
      <c r="E55" s="6">
        <v>12</v>
      </c>
      <c r="F55" s="6">
        <v>10</v>
      </c>
      <c r="G55" s="6">
        <v>4</v>
      </c>
      <c r="H55" s="6">
        <v>5</v>
      </c>
      <c r="I55" s="6">
        <v>3</v>
      </c>
      <c r="J55" s="6">
        <v>7</v>
      </c>
      <c r="K55" s="6">
        <v>18</v>
      </c>
      <c r="L55" s="6">
        <v>4</v>
      </c>
      <c r="M55" s="6">
        <v>8</v>
      </c>
      <c r="N55" s="6">
        <v>4</v>
      </c>
      <c r="O55" s="6">
        <v>2</v>
      </c>
      <c r="P55" s="6">
        <v>5</v>
      </c>
      <c r="Q55" s="6">
        <v>2</v>
      </c>
      <c r="R55" s="5">
        <f t="shared" si="29"/>
        <v>84</v>
      </c>
    </row>
    <row r="56" spans="1:18" x14ac:dyDescent="0.4">
      <c r="A56" s="7"/>
      <c r="B56" s="46">
        <v>2</v>
      </c>
      <c r="C56" s="24" t="s">
        <v>121</v>
      </c>
      <c r="D56" s="47"/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1</v>
      </c>
      <c r="K56" s="6">
        <v>1</v>
      </c>
      <c r="L56" s="6">
        <v>4</v>
      </c>
      <c r="M56" s="6">
        <v>2</v>
      </c>
      <c r="N56" s="6">
        <v>2</v>
      </c>
      <c r="O56" s="6">
        <v>1</v>
      </c>
      <c r="P56" s="6">
        <v>2</v>
      </c>
      <c r="Q56" s="6">
        <v>1</v>
      </c>
      <c r="R56" s="5">
        <f t="shared" si="29"/>
        <v>14</v>
      </c>
    </row>
    <row r="57" spans="1:18" x14ac:dyDescent="0.4">
      <c r="A57" s="7"/>
      <c r="B57" s="46">
        <v>3</v>
      </c>
      <c r="C57" s="24" t="s">
        <v>122</v>
      </c>
      <c r="D57" s="47"/>
      <c r="E57" s="6">
        <v>0</v>
      </c>
      <c r="F57" s="6">
        <v>1</v>
      </c>
      <c r="G57" s="6">
        <v>0</v>
      </c>
      <c r="H57" s="6">
        <v>1</v>
      </c>
      <c r="I57" s="6">
        <v>0</v>
      </c>
      <c r="J57" s="6">
        <v>1</v>
      </c>
      <c r="K57" s="6">
        <v>1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5">
        <f t="shared" si="29"/>
        <v>4</v>
      </c>
    </row>
    <row r="58" spans="1:18" x14ac:dyDescent="0.4">
      <c r="A58" s="7"/>
      <c r="B58" s="46">
        <v>4</v>
      </c>
      <c r="C58" s="24" t="s">
        <v>123</v>
      </c>
      <c r="D58" s="47"/>
      <c r="E58" s="6">
        <v>0</v>
      </c>
      <c r="F58" s="6">
        <v>0</v>
      </c>
      <c r="G58" s="6">
        <v>0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1</v>
      </c>
      <c r="Q58" s="6">
        <v>0</v>
      </c>
      <c r="R58" s="5">
        <f t="shared" si="29"/>
        <v>3</v>
      </c>
    </row>
    <row r="59" spans="1:18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5">
        <f t="shared" si="29"/>
        <v>2</v>
      </c>
    </row>
    <row r="60" spans="1:18" ht="13.15" customHeight="1" x14ac:dyDescent="0.4">
      <c r="A60" s="7"/>
      <c r="B60" s="46">
        <v>6</v>
      </c>
      <c r="C60" s="24" t="s">
        <v>125</v>
      </c>
      <c r="D60" s="47"/>
      <c r="E60" s="6">
        <v>0</v>
      </c>
      <c r="F60" s="6">
        <v>2</v>
      </c>
      <c r="G60" s="6">
        <v>1</v>
      </c>
      <c r="H60" s="6">
        <v>0</v>
      </c>
      <c r="I60" s="6">
        <v>1</v>
      </c>
      <c r="J60" s="6">
        <v>0</v>
      </c>
      <c r="K60" s="6">
        <v>0</v>
      </c>
      <c r="L60" s="6">
        <v>2</v>
      </c>
      <c r="M60" s="6">
        <v>4</v>
      </c>
      <c r="N60" s="6">
        <v>3</v>
      </c>
      <c r="O60" s="6">
        <v>0</v>
      </c>
      <c r="P60" s="6">
        <v>0</v>
      </c>
      <c r="Q60" s="6">
        <v>0</v>
      </c>
      <c r="R60" s="5">
        <f t="shared" si="29"/>
        <v>13</v>
      </c>
    </row>
    <row r="61" spans="1:18" x14ac:dyDescent="0.4">
      <c r="A61" s="6" t="s">
        <v>26</v>
      </c>
      <c r="B61" s="53" t="s">
        <v>51</v>
      </c>
      <c r="C61" s="69"/>
      <c r="D61" s="60"/>
      <c r="E61" s="5">
        <f t="shared" ref="E61:R61" si="30">SUM(E54:E60)</f>
        <v>16</v>
      </c>
      <c r="F61" s="5">
        <f t="shared" si="30"/>
        <v>18</v>
      </c>
      <c r="G61" s="5">
        <f t="shared" si="30"/>
        <v>11</v>
      </c>
      <c r="H61" s="5">
        <f t="shared" si="30"/>
        <v>9</v>
      </c>
      <c r="I61" s="5">
        <f t="shared" si="30"/>
        <v>9</v>
      </c>
      <c r="J61" s="5">
        <f t="shared" si="30"/>
        <v>19</v>
      </c>
      <c r="K61" s="5">
        <f t="shared" si="30"/>
        <v>22</v>
      </c>
      <c r="L61" s="5">
        <f t="shared" si="30"/>
        <v>16</v>
      </c>
      <c r="M61" s="5">
        <f t="shared" si="30"/>
        <v>18</v>
      </c>
      <c r="N61" s="5">
        <f t="shared" si="30"/>
        <v>14</v>
      </c>
      <c r="O61" s="5">
        <f t="shared" si="30"/>
        <v>9</v>
      </c>
      <c r="P61" s="5">
        <f t="shared" si="30"/>
        <v>13</v>
      </c>
      <c r="Q61" s="5">
        <f t="shared" si="30"/>
        <v>8</v>
      </c>
      <c r="R61" s="5">
        <f t="shared" si="30"/>
        <v>182</v>
      </c>
    </row>
    <row r="62" spans="1:18" x14ac:dyDescent="0.4">
      <c r="A62" s="70"/>
      <c r="B62" s="71"/>
      <c r="C62" s="71"/>
      <c r="D62" s="71"/>
      <c r="E62" s="71"/>
    </row>
    <row r="63" spans="1:18" x14ac:dyDescent="0.4">
      <c r="A63" s="11" t="s">
        <v>48</v>
      </c>
      <c r="B63" s="17" t="s">
        <v>32</v>
      </c>
      <c r="C63" s="59" t="s">
        <v>53</v>
      </c>
      <c r="D63" s="60"/>
      <c r="E63" s="6">
        <v>6</v>
      </c>
      <c r="F63" s="6">
        <v>3</v>
      </c>
      <c r="G63" s="6">
        <v>10</v>
      </c>
      <c r="H63" s="6">
        <v>4</v>
      </c>
      <c r="I63" s="6">
        <v>5</v>
      </c>
      <c r="J63" s="6">
        <v>2</v>
      </c>
      <c r="K63" s="6">
        <v>1</v>
      </c>
      <c r="L63" s="6">
        <v>8</v>
      </c>
      <c r="M63" s="6">
        <v>2</v>
      </c>
      <c r="N63" s="6">
        <v>2</v>
      </c>
      <c r="O63" s="6">
        <v>2</v>
      </c>
      <c r="P63" s="6">
        <v>0</v>
      </c>
      <c r="Q63" s="6">
        <v>4</v>
      </c>
      <c r="R63" s="5">
        <f t="shared" ref="R63:R69" si="31">SUM(E63:Q63)</f>
        <v>49</v>
      </c>
    </row>
    <row r="64" spans="1:18" x14ac:dyDescent="0.4">
      <c r="A64" s="11" t="s">
        <v>50</v>
      </c>
      <c r="B64" s="46">
        <v>1</v>
      </c>
      <c r="C64" s="24" t="s">
        <v>126</v>
      </c>
      <c r="D64" s="47"/>
      <c r="E64" s="6">
        <v>8</v>
      </c>
      <c r="F64" s="6">
        <v>18</v>
      </c>
      <c r="G64" s="6">
        <v>18</v>
      </c>
      <c r="H64" s="6">
        <v>16</v>
      </c>
      <c r="I64" s="6">
        <v>10</v>
      </c>
      <c r="J64" s="6">
        <v>6</v>
      </c>
      <c r="K64" s="6">
        <v>7</v>
      </c>
      <c r="L64" s="6">
        <v>37</v>
      </c>
      <c r="M64" s="6">
        <v>5</v>
      </c>
      <c r="N64" s="6">
        <v>13</v>
      </c>
      <c r="O64" s="6">
        <v>3</v>
      </c>
      <c r="P64" s="6">
        <v>5</v>
      </c>
      <c r="Q64" s="6">
        <v>9</v>
      </c>
      <c r="R64" s="5">
        <f t="shared" si="31"/>
        <v>155</v>
      </c>
    </row>
    <row r="65" spans="1:18" x14ac:dyDescent="0.4">
      <c r="A65" s="7"/>
      <c r="B65" s="46">
        <v>2</v>
      </c>
      <c r="C65" s="24" t="s">
        <v>127</v>
      </c>
      <c r="D65" s="47"/>
      <c r="E65" s="6">
        <v>1</v>
      </c>
      <c r="F65" s="6">
        <v>4</v>
      </c>
      <c r="G65" s="6">
        <v>8</v>
      </c>
      <c r="H65" s="6">
        <v>0</v>
      </c>
      <c r="I65" s="6">
        <v>0</v>
      </c>
      <c r="J65" s="6">
        <v>2</v>
      </c>
      <c r="K65" s="6">
        <v>2</v>
      </c>
      <c r="L65" s="6">
        <v>1</v>
      </c>
      <c r="M65" s="6">
        <v>3</v>
      </c>
      <c r="N65" s="6">
        <v>1</v>
      </c>
      <c r="O65" s="6">
        <v>2</v>
      </c>
      <c r="P65" s="6">
        <v>6</v>
      </c>
      <c r="Q65" s="6">
        <v>0</v>
      </c>
      <c r="R65" s="5">
        <f t="shared" si="31"/>
        <v>30</v>
      </c>
    </row>
    <row r="66" spans="1:18" x14ac:dyDescent="0.4">
      <c r="A66" s="7"/>
      <c r="B66" s="46">
        <v>3</v>
      </c>
      <c r="C66" s="24" t="s">
        <v>128</v>
      </c>
      <c r="D66" s="47"/>
      <c r="E66" s="6">
        <v>0</v>
      </c>
      <c r="F66" s="6">
        <v>1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0</v>
      </c>
      <c r="Q66" s="6">
        <v>0</v>
      </c>
      <c r="R66" s="5">
        <f t="shared" si="31"/>
        <v>4</v>
      </c>
    </row>
    <row r="67" spans="1:18" x14ac:dyDescent="0.4">
      <c r="A67" s="7"/>
      <c r="B67" s="46">
        <v>4</v>
      </c>
      <c r="C67" s="24" t="s">
        <v>129</v>
      </c>
      <c r="D67" s="47"/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5">
        <f t="shared" si="31"/>
        <v>1</v>
      </c>
    </row>
    <row r="68" spans="1:18" ht="13.15" customHeight="1" x14ac:dyDescent="0.4">
      <c r="A68" s="7"/>
      <c r="B68" s="46">
        <v>5</v>
      </c>
      <c r="C68" s="24" t="s">
        <v>130</v>
      </c>
      <c r="D68" s="47"/>
      <c r="E68" s="6">
        <v>0</v>
      </c>
      <c r="F68" s="6">
        <v>0</v>
      </c>
      <c r="G68" s="6">
        <v>0</v>
      </c>
      <c r="H68" s="6">
        <v>0</v>
      </c>
      <c r="I68" s="6">
        <v>5</v>
      </c>
      <c r="J68" s="6">
        <v>0</v>
      </c>
      <c r="K68" s="6">
        <v>1</v>
      </c>
      <c r="L68" s="6">
        <v>0</v>
      </c>
      <c r="M68" s="6">
        <v>3</v>
      </c>
      <c r="N68" s="6">
        <v>0</v>
      </c>
      <c r="O68" s="6">
        <v>2</v>
      </c>
      <c r="P68" s="6">
        <v>0</v>
      </c>
      <c r="Q68" s="6">
        <v>1</v>
      </c>
      <c r="R68" s="5">
        <f t="shared" si="31"/>
        <v>12</v>
      </c>
    </row>
    <row r="69" spans="1:18" x14ac:dyDescent="0.4">
      <c r="A69" s="7"/>
      <c r="B69" s="46">
        <v>6</v>
      </c>
      <c r="C69" s="24" t="s">
        <v>131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5">
        <f t="shared" si="31"/>
        <v>0</v>
      </c>
    </row>
    <row r="70" spans="1:18" x14ac:dyDescent="0.4">
      <c r="A70" s="6" t="s">
        <v>26</v>
      </c>
      <c r="B70" s="53" t="s">
        <v>51</v>
      </c>
      <c r="C70" s="69"/>
      <c r="D70" s="60"/>
      <c r="E70" s="5">
        <f t="shared" ref="E70:R70" si="32">SUM(E63:E69)</f>
        <v>15</v>
      </c>
      <c r="F70" s="5">
        <f t="shared" si="32"/>
        <v>26</v>
      </c>
      <c r="G70" s="5">
        <f t="shared" si="32"/>
        <v>37</v>
      </c>
      <c r="H70" s="5">
        <f t="shared" si="32"/>
        <v>20</v>
      </c>
      <c r="I70" s="5">
        <f t="shared" si="32"/>
        <v>20</v>
      </c>
      <c r="J70" s="5">
        <f t="shared" si="32"/>
        <v>10</v>
      </c>
      <c r="K70" s="5">
        <f t="shared" si="32"/>
        <v>12</v>
      </c>
      <c r="L70" s="5">
        <f t="shared" si="32"/>
        <v>46</v>
      </c>
      <c r="M70" s="5">
        <f t="shared" si="32"/>
        <v>14</v>
      </c>
      <c r="N70" s="5">
        <f t="shared" si="32"/>
        <v>16</v>
      </c>
      <c r="O70" s="5">
        <f t="shared" si="32"/>
        <v>10</v>
      </c>
      <c r="P70" s="5">
        <f t="shared" si="32"/>
        <v>11</v>
      </c>
      <c r="Q70" s="5">
        <f t="shared" si="32"/>
        <v>14</v>
      </c>
      <c r="R70" s="5">
        <f t="shared" si="32"/>
        <v>251</v>
      </c>
    </row>
    <row r="71" spans="1:18" x14ac:dyDescent="0.4">
      <c r="A71" s="70"/>
      <c r="B71" s="71"/>
      <c r="C71" s="71"/>
      <c r="D71" s="71"/>
      <c r="E71" s="71"/>
    </row>
    <row r="72" spans="1:18" x14ac:dyDescent="0.4">
      <c r="A72" s="11" t="s">
        <v>48</v>
      </c>
      <c r="B72" s="17" t="s">
        <v>34</v>
      </c>
      <c r="C72" s="59" t="s">
        <v>54</v>
      </c>
      <c r="D72" s="60"/>
      <c r="E72" s="6">
        <v>28</v>
      </c>
      <c r="F72" s="6">
        <v>10</v>
      </c>
      <c r="G72" s="6">
        <v>17</v>
      </c>
      <c r="H72" s="6">
        <v>18</v>
      </c>
      <c r="I72" s="6">
        <v>16</v>
      </c>
      <c r="J72" s="6">
        <v>6</v>
      </c>
      <c r="K72" s="6">
        <v>6</v>
      </c>
      <c r="L72" s="6">
        <v>4</v>
      </c>
      <c r="M72" s="6">
        <v>13</v>
      </c>
      <c r="N72" s="6">
        <v>8</v>
      </c>
      <c r="O72" s="6">
        <v>11</v>
      </c>
      <c r="P72" s="6">
        <v>8</v>
      </c>
      <c r="Q72" s="6">
        <v>3</v>
      </c>
      <c r="R72" s="5">
        <f t="shared" ref="R72:R78" si="33">SUM(E72:Q72)</f>
        <v>148</v>
      </c>
    </row>
    <row r="73" spans="1:18" x14ac:dyDescent="0.4">
      <c r="A73" s="11" t="s">
        <v>50</v>
      </c>
      <c r="B73" s="46">
        <v>1</v>
      </c>
      <c r="C73" s="24" t="s">
        <v>132</v>
      </c>
      <c r="D73" s="47"/>
      <c r="E73" s="6">
        <v>119</v>
      </c>
      <c r="F73" s="6">
        <v>109</v>
      </c>
      <c r="G73" s="6">
        <v>107</v>
      </c>
      <c r="H73" s="6">
        <v>140</v>
      </c>
      <c r="I73" s="6">
        <v>120</v>
      </c>
      <c r="J73" s="6">
        <v>55</v>
      </c>
      <c r="K73" s="6">
        <v>59</v>
      </c>
      <c r="L73" s="6">
        <v>46</v>
      </c>
      <c r="M73" s="6">
        <v>32</v>
      </c>
      <c r="N73" s="6">
        <v>79</v>
      </c>
      <c r="O73" s="6">
        <v>80</v>
      </c>
      <c r="P73" s="6">
        <v>76</v>
      </c>
      <c r="Q73" s="6">
        <v>72</v>
      </c>
      <c r="R73" s="5">
        <f t="shared" si="33"/>
        <v>1094</v>
      </c>
    </row>
    <row r="74" spans="1:18" x14ac:dyDescent="0.4">
      <c r="A74" s="7"/>
      <c r="B74" s="46">
        <v>2</v>
      </c>
      <c r="C74" s="24" t="s">
        <v>133</v>
      </c>
      <c r="D74" s="47"/>
      <c r="E74" s="6">
        <v>9</v>
      </c>
      <c r="F74" s="6">
        <v>8</v>
      </c>
      <c r="G74" s="6">
        <v>6</v>
      </c>
      <c r="H74" s="6">
        <v>8</v>
      </c>
      <c r="I74" s="6">
        <v>13</v>
      </c>
      <c r="J74" s="6">
        <v>13</v>
      </c>
      <c r="K74" s="6">
        <v>30</v>
      </c>
      <c r="L74" s="6">
        <v>14</v>
      </c>
      <c r="M74" s="6">
        <v>37</v>
      </c>
      <c r="N74" s="6">
        <v>41</v>
      </c>
      <c r="O74" s="6">
        <v>5</v>
      </c>
      <c r="P74" s="6">
        <v>22</v>
      </c>
      <c r="Q74" s="6">
        <v>52</v>
      </c>
      <c r="R74" s="5">
        <f t="shared" si="33"/>
        <v>258</v>
      </c>
    </row>
    <row r="75" spans="1:18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5">
        <f t="shared" si="33"/>
        <v>1</v>
      </c>
    </row>
    <row r="76" spans="1:18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5">
        <f t="shared" si="33"/>
        <v>2</v>
      </c>
    </row>
    <row r="77" spans="1:18" x14ac:dyDescent="0.4">
      <c r="A77" s="7"/>
      <c r="B77" s="46">
        <v>5</v>
      </c>
      <c r="C77" s="24" t="s">
        <v>136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5">
        <f t="shared" si="33"/>
        <v>0</v>
      </c>
    </row>
    <row r="78" spans="1:18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5">
        <f t="shared" si="33"/>
        <v>0</v>
      </c>
    </row>
    <row r="79" spans="1:18" x14ac:dyDescent="0.4">
      <c r="A79" s="6" t="s">
        <v>26</v>
      </c>
      <c r="B79" s="53" t="s">
        <v>51</v>
      </c>
      <c r="C79" s="69"/>
      <c r="D79" s="60"/>
      <c r="E79" s="5">
        <f t="shared" ref="E79:R79" si="34">SUM(E72:E78)</f>
        <v>156</v>
      </c>
      <c r="F79" s="5">
        <f t="shared" si="34"/>
        <v>127</v>
      </c>
      <c r="G79" s="5">
        <f t="shared" si="34"/>
        <v>130</v>
      </c>
      <c r="H79" s="5">
        <f t="shared" si="34"/>
        <v>166</v>
      </c>
      <c r="I79" s="5">
        <f t="shared" si="34"/>
        <v>149</v>
      </c>
      <c r="J79" s="5">
        <f t="shared" si="34"/>
        <v>74</v>
      </c>
      <c r="K79" s="5">
        <f t="shared" si="34"/>
        <v>95</v>
      </c>
      <c r="L79" s="5">
        <f t="shared" si="34"/>
        <v>65</v>
      </c>
      <c r="M79" s="5">
        <f t="shared" si="34"/>
        <v>82</v>
      </c>
      <c r="N79" s="5">
        <f t="shared" si="34"/>
        <v>129</v>
      </c>
      <c r="O79" s="5">
        <f t="shared" si="34"/>
        <v>96</v>
      </c>
      <c r="P79" s="5">
        <f t="shared" si="34"/>
        <v>106</v>
      </c>
      <c r="Q79" s="5">
        <f t="shared" si="34"/>
        <v>128</v>
      </c>
      <c r="R79" s="5">
        <f t="shared" si="34"/>
        <v>1503</v>
      </c>
    </row>
    <row r="80" spans="1:18" x14ac:dyDescent="0.4">
      <c r="A80" s="70"/>
      <c r="B80" s="71"/>
      <c r="C80" s="71"/>
      <c r="D80" s="71"/>
      <c r="E80" s="71"/>
    </row>
    <row r="81" spans="1:18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0</v>
      </c>
      <c r="G81" s="6">
        <v>0</v>
      </c>
      <c r="H81" s="6">
        <v>1</v>
      </c>
      <c r="I81" s="6">
        <v>1</v>
      </c>
      <c r="J81" s="6">
        <v>3</v>
      </c>
      <c r="K81" s="6">
        <v>2</v>
      </c>
      <c r="L81" s="6">
        <v>0</v>
      </c>
      <c r="M81" s="6">
        <v>3</v>
      </c>
      <c r="N81" s="6">
        <v>3</v>
      </c>
      <c r="O81" s="6">
        <v>2</v>
      </c>
      <c r="P81" s="6">
        <v>0</v>
      </c>
      <c r="Q81" s="6">
        <v>4</v>
      </c>
      <c r="R81" s="5">
        <f t="shared" ref="R81:R87" si="35">SUM(E81:Q81)</f>
        <v>20</v>
      </c>
    </row>
    <row r="82" spans="1:18" x14ac:dyDescent="0.4">
      <c r="A82" s="11" t="s">
        <v>50</v>
      </c>
      <c r="B82" s="46">
        <v>1</v>
      </c>
      <c r="C82" s="24" t="s">
        <v>138</v>
      </c>
      <c r="D82" s="47"/>
      <c r="E82" s="6">
        <v>0</v>
      </c>
      <c r="F82" s="6">
        <v>0</v>
      </c>
      <c r="G82" s="6">
        <v>1</v>
      </c>
      <c r="H82" s="6">
        <v>3</v>
      </c>
      <c r="I82" s="6">
        <v>3</v>
      </c>
      <c r="J82" s="6">
        <v>13</v>
      </c>
      <c r="K82" s="6">
        <v>34</v>
      </c>
      <c r="L82" s="6">
        <v>7</v>
      </c>
      <c r="M82" s="6">
        <v>2</v>
      </c>
      <c r="N82" s="6">
        <v>3</v>
      </c>
      <c r="O82" s="6">
        <v>27</v>
      </c>
      <c r="P82" s="6">
        <v>3</v>
      </c>
      <c r="Q82" s="6">
        <v>1</v>
      </c>
      <c r="R82" s="5">
        <f t="shared" si="35"/>
        <v>97</v>
      </c>
    </row>
    <row r="83" spans="1:18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1</v>
      </c>
      <c r="N83" s="6">
        <v>0</v>
      </c>
      <c r="O83" s="6">
        <v>0</v>
      </c>
      <c r="P83" s="6">
        <v>0</v>
      </c>
      <c r="Q83" s="6">
        <v>0</v>
      </c>
      <c r="R83" s="5">
        <f t="shared" si="35"/>
        <v>1</v>
      </c>
    </row>
    <row r="84" spans="1:18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0</v>
      </c>
      <c r="G84" s="6">
        <v>0</v>
      </c>
      <c r="H84" s="6">
        <v>2</v>
      </c>
      <c r="I84" s="6">
        <v>0</v>
      </c>
      <c r="J84" s="6">
        <v>1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0</v>
      </c>
      <c r="R84" s="5">
        <f t="shared" si="35"/>
        <v>4</v>
      </c>
    </row>
    <row r="85" spans="1:18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5">
        <f t="shared" si="35"/>
        <v>1</v>
      </c>
    </row>
    <row r="86" spans="1:18" x14ac:dyDescent="0.4">
      <c r="A86" s="7"/>
      <c r="B86" s="46">
        <v>5</v>
      </c>
      <c r="C86" s="24" t="s">
        <v>142</v>
      </c>
      <c r="D86" s="47"/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5">
        <f t="shared" si="35"/>
        <v>2</v>
      </c>
    </row>
    <row r="87" spans="1:18" x14ac:dyDescent="0.4">
      <c r="A87" s="7"/>
      <c r="B87" s="46">
        <v>6</v>
      </c>
      <c r="C87" s="24" t="s">
        <v>143</v>
      </c>
      <c r="D87" s="47"/>
      <c r="E87" s="6">
        <v>2</v>
      </c>
      <c r="F87" s="6">
        <v>0</v>
      </c>
      <c r="G87" s="6">
        <v>0</v>
      </c>
      <c r="H87" s="6">
        <v>2</v>
      </c>
      <c r="I87" s="6">
        <v>4</v>
      </c>
      <c r="J87" s="6">
        <v>2</v>
      </c>
      <c r="K87" s="6">
        <v>0</v>
      </c>
      <c r="L87" s="6">
        <v>1</v>
      </c>
      <c r="M87" s="6">
        <v>10</v>
      </c>
      <c r="N87" s="6">
        <v>41</v>
      </c>
      <c r="O87" s="6">
        <v>3</v>
      </c>
      <c r="P87" s="6">
        <v>16</v>
      </c>
      <c r="Q87" s="6">
        <v>21</v>
      </c>
      <c r="R87" s="5">
        <f t="shared" si="35"/>
        <v>102</v>
      </c>
    </row>
    <row r="88" spans="1:18" x14ac:dyDescent="0.4">
      <c r="A88" s="6" t="s">
        <v>26</v>
      </c>
      <c r="B88" s="53" t="s">
        <v>51</v>
      </c>
      <c r="C88" s="69"/>
      <c r="D88" s="60"/>
      <c r="E88" s="5">
        <f t="shared" ref="E88:R88" si="36">SUM(E81:E87)</f>
        <v>3</v>
      </c>
      <c r="F88" s="5">
        <f t="shared" si="36"/>
        <v>0</v>
      </c>
      <c r="G88" s="5">
        <f t="shared" si="36"/>
        <v>1</v>
      </c>
      <c r="H88" s="5">
        <f t="shared" si="36"/>
        <v>8</v>
      </c>
      <c r="I88" s="5">
        <f t="shared" si="36"/>
        <v>10</v>
      </c>
      <c r="J88" s="5">
        <f t="shared" si="36"/>
        <v>19</v>
      </c>
      <c r="K88" s="5">
        <f t="shared" si="36"/>
        <v>36</v>
      </c>
      <c r="L88" s="5">
        <f t="shared" si="36"/>
        <v>8</v>
      </c>
      <c r="M88" s="5">
        <f t="shared" si="36"/>
        <v>17</v>
      </c>
      <c r="N88" s="5">
        <f t="shared" si="36"/>
        <v>47</v>
      </c>
      <c r="O88" s="5">
        <f t="shared" si="36"/>
        <v>32</v>
      </c>
      <c r="P88" s="5">
        <f t="shared" si="36"/>
        <v>19</v>
      </c>
      <c r="Q88" s="5">
        <f t="shared" si="36"/>
        <v>27</v>
      </c>
      <c r="R88" s="5">
        <f t="shared" si="36"/>
        <v>227</v>
      </c>
    </row>
    <row r="89" spans="1:18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6">
        <v>0</v>
      </c>
      <c r="M90" s="6">
        <v>1</v>
      </c>
      <c r="N90" s="6">
        <v>1</v>
      </c>
      <c r="O90" s="6">
        <v>0</v>
      </c>
      <c r="P90" s="6">
        <v>1</v>
      </c>
      <c r="Q90" s="6">
        <v>6</v>
      </c>
      <c r="R90" s="5">
        <f>SUM(E90:Q90)</f>
        <v>10</v>
      </c>
    </row>
    <row r="91" spans="1:18" ht="13.15" customHeight="1" x14ac:dyDescent="0.4">
      <c r="A91" s="6" t="s">
        <v>26</v>
      </c>
      <c r="B91" s="53" t="s">
        <v>51</v>
      </c>
      <c r="C91" s="54"/>
      <c r="D91" s="55"/>
      <c r="E91" s="5">
        <f t="shared" ref="E91:R91" si="37">SUM(E90:E90)</f>
        <v>0</v>
      </c>
      <c r="F91" s="5">
        <f t="shared" si="37"/>
        <v>0</v>
      </c>
      <c r="G91" s="5">
        <f t="shared" si="37"/>
        <v>0</v>
      </c>
      <c r="H91" s="5">
        <f t="shared" si="37"/>
        <v>0</v>
      </c>
      <c r="I91" s="5">
        <f t="shared" si="37"/>
        <v>0</v>
      </c>
      <c r="J91" s="5">
        <f t="shared" si="37"/>
        <v>1</v>
      </c>
      <c r="K91" s="5">
        <f t="shared" si="37"/>
        <v>0</v>
      </c>
      <c r="L91" s="5">
        <f t="shared" si="37"/>
        <v>0</v>
      </c>
      <c r="M91" s="5">
        <f t="shared" si="37"/>
        <v>1</v>
      </c>
      <c r="N91" s="5">
        <f t="shared" si="37"/>
        <v>1</v>
      </c>
      <c r="O91" s="5">
        <f t="shared" si="37"/>
        <v>0</v>
      </c>
      <c r="P91" s="5">
        <f t="shared" si="37"/>
        <v>1</v>
      </c>
      <c r="Q91" s="5">
        <f t="shared" si="37"/>
        <v>6</v>
      </c>
      <c r="R91" s="5">
        <f t="shared" si="37"/>
        <v>10</v>
      </c>
    </row>
    <row r="92" spans="1:18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5"/>
    </row>
    <row r="93" spans="1:18" x14ac:dyDescent="0.4">
      <c r="A93" s="11" t="s">
        <v>48</v>
      </c>
      <c r="B93" s="17" t="s">
        <v>59</v>
      </c>
      <c r="C93" s="59" t="s">
        <v>60</v>
      </c>
      <c r="D93" s="60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5">
        <f>SUM(E93:Q93)</f>
        <v>2</v>
      </c>
    </row>
    <row r="94" spans="1:18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5">
        <f>SUM(E94:Q94)</f>
        <v>1</v>
      </c>
    </row>
    <row r="95" spans="1:18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5">
        <f>SUM(E95:Q95)</f>
        <v>0</v>
      </c>
    </row>
    <row r="96" spans="1:18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5">
        <f>SUM(E96:Q96)</f>
        <v>0</v>
      </c>
    </row>
    <row r="97" spans="1:18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5">
        <f>SUM(E97:Q97)</f>
        <v>0</v>
      </c>
    </row>
    <row r="98" spans="1:18" x14ac:dyDescent="0.4">
      <c r="A98" s="6" t="s">
        <v>26</v>
      </c>
      <c r="B98" s="53" t="s">
        <v>51</v>
      </c>
      <c r="C98" s="54"/>
      <c r="D98" s="55"/>
      <c r="E98" s="5">
        <f t="shared" ref="E98:R98" si="38">SUM(E93:E97)</f>
        <v>0</v>
      </c>
      <c r="F98" s="5">
        <f t="shared" si="38"/>
        <v>0</v>
      </c>
      <c r="G98" s="5">
        <f t="shared" si="38"/>
        <v>0</v>
      </c>
      <c r="H98" s="5">
        <f t="shared" si="38"/>
        <v>0</v>
      </c>
      <c r="I98" s="5">
        <f t="shared" si="38"/>
        <v>0</v>
      </c>
      <c r="J98" s="5">
        <f t="shared" si="38"/>
        <v>1</v>
      </c>
      <c r="K98" s="5">
        <f t="shared" si="38"/>
        <v>0</v>
      </c>
      <c r="L98" s="5">
        <f t="shared" si="38"/>
        <v>1</v>
      </c>
      <c r="M98" s="5">
        <f t="shared" si="38"/>
        <v>0</v>
      </c>
      <c r="N98" s="5">
        <f t="shared" si="38"/>
        <v>0</v>
      </c>
      <c r="O98" s="5">
        <f t="shared" si="38"/>
        <v>0</v>
      </c>
      <c r="P98" s="5">
        <f t="shared" si="38"/>
        <v>0</v>
      </c>
      <c r="Q98" s="5">
        <f t="shared" si="38"/>
        <v>1</v>
      </c>
      <c r="R98" s="5">
        <f t="shared" si="38"/>
        <v>3</v>
      </c>
    </row>
    <row r="99" spans="1:18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x14ac:dyDescent="0.4">
      <c r="A100" s="11" t="s">
        <v>48</v>
      </c>
      <c r="B100" s="17" t="s">
        <v>61</v>
      </c>
      <c r="C100" s="59" t="s">
        <v>62</v>
      </c>
      <c r="D100" s="6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5">
        <f t="shared" ref="R100:R106" si="39">SUM(E100:Q100)</f>
        <v>0</v>
      </c>
    </row>
    <row r="101" spans="1:18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1</v>
      </c>
      <c r="F101" s="6">
        <v>3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1</v>
      </c>
      <c r="P101" s="6">
        <v>1</v>
      </c>
      <c r="Q101" s="6">
        <v>0</v>
      </c>
      <c r="R101" s="5">
        <f t="shared" si="39"/>
        <v>8</v>
      </c>
    </row>
    <row r="102" spans="1:18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5">
        <f t="shared" si="39"/>
        <v>0</v>
      </c>
    </row>
    <row r="103" spans="1:18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5">
        <f t="shared" si="39"/>
        <v>0</v>
      </c>
    </row>
    <row r="104" spans="1:18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5">
        <f t="shared" si="39"/>
        <v>0</v>
      </c>
    </row>
    <row r="105" spans="1:18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5">
        <f t="shared" si="39"/>
        <v>0</v>
      </c>
    </row>
    <row r="106" spans="1:18" x14ac:dyDescent="0.4">
      <c r="A106" s="7"/>
      <c r="B106" s="46">
        <v>6</v>
      </c>
      <c r="C106" s="24" t="s">
        <v>153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5">
        <f t="shared" si="39"/>
        <v>0</v>
      </c>
    </row>
    <row r="107" spans="1:18" x14ac:dyDescent="0.4">
      <c r="A107" s="6" t="s">
        <v>26</v>
      </c>
      <c r="B107" s="53" t="s">
        <v>51</v>
      </c>
      <c r="C107" s="54"/>
      <c r="D107" s="55"/>
      <c r="E107" s="5">
        <f t="shared" ref="E107:R107" si="40">SUM(E100:E106)</f>
        <v>1</v>
      </c>
      <c r="F107" s="5">
        <f t="shared" si="40"/>
        <v>3</v>
      </c>
      <c r="G107" s="5">
        <f t="shared" si="40"/>
        <v>1</v>
      </c>
      <c r="H107" s="5">
        <f t="shared" si="40"/>
        <v>0</v>
      </c>
      <c r="I107" s="5">
        <f t="shared" si="40"/>
        <v>0</v>
      </c>
      <c r="J107" s="5">
        <f t="shared" si="40"/>
        <v>0</v>
      </c>
      <c r="K107" s="5">
        <f t="shared" si="40"/>
        <v>0</v>
      </c>
      <c r="L107" s="5">
        <f t="shared" si="40"/>
        <v>1</v>
      </c>
      <c r="M107" s="5">
        <f t="shared" si="40"/>
        <v>0</v>
      </c>
      <c r="N107" s="5">
        <f t="shared" si="40"/>
        <v>0</v>
      </c>
      <c r="O107" s="5">
        <f t="shared" si="40"/>
        <v>1</v>
      </c>
      <c r="P107" s="5">
        <f t="shared" si="40"/>
        <v>1</v>
      </c>
      <c r="Q107" s="5">
        <f t="shared" si="40"/>
        <v>0</v>
      </c>
      <c r="R107" s="5">
        <f t="shared" si="40"/>
        <v>8</v>
      </c>
    </row>
    <row r="108" spans="1:18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5">
        <f>SUM(E109:Q109)</f>
        <v>0</v>
      </c>
    </row>
    <row r="110" spans="1:18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5">
        <f>SUM(E110:Q110)</f>
        <v>0</v>
      </c>
    </row>
    <row r="111" spans="1:18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5">
        <f>SUM(E111:Q111)</f>
        <v>0</v>
      </c>
    </row>
    <row r="112" spans="1:18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5">
        <f>SUM(E112:Q112)</f>
        <v>0</v>
      </c>
    </row>
    <row r="113" spans="1:18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R113" si="41">SUM(E109:E112)</f>
        <v>0</v>
      </c>
      <c r="F113" s="5">
        <f t="shared" si="41"/>
        <v>0</v>
      </c>
      <c r="G113" s="5">
        <f t="shared" si="41"/>
        <v>0</v>
      </c>
      <c r="H113" s="5">
        <f t="shared" si="41"/>
        <v>0</v>
      </c>
      <c r="I113" s="5">
        <f t="shared" si="41"/>
        <v>0</v>
      </c>
      <c r="J113" s="5">
        <f t="shared" si="41"/>
        <v>0</v>
      </c>
      <c r="K113" s="5">
        <f t="shared" si="41"/>
        <v>0</v>
      </c>
      <c r="L113" s="5">
        <f t="shared" si="41"/>
        <v>0</v>
      </c>
      <c r="M113" s="5">
        <f t="shared" si="41"/>
        <v>0</v>
      </c>
      <c r="N113" s="5">
        <f t="shared" si="41"/>
        <v>0</v>
      </c>
      <c r="O113" s="5">
        <f t="shared" si="41"/>
        <v>0</v>
      </c>
      <c r="P113" s="5">
        <f t="shared" si="41"/>
        <v>0</v>
      </c>
      <c r="Q113" s="5">
        <f t="shared" si="41"/>
        <v>0</v>
      </c>
      <c r="R113" s="5">
        <f t="shared" si="41"/>
        <v>0</v>
      </c>
    </row>
    <row r="114" spans="1:18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5"/>
    </row>
    <row r="115" spans="1:18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5">
        <f t="shared" ref="R115:R121" si="42">SUM(E115:Q115)</f>
        <v>0</v>
      </c>
    </row>
    <row r="116" spans="1:18" x14ac:dyDescent="0.4">
      <c r="A116" s="48" t="s">
        <v>50</v>
      </c>
      <c r="B116" s="46">
        <v>1</v>
      </c>
      <c r="C116" s="24" t="s">
        <v>157</v>
      </c>
      <c r="D116" s="47"/>
      <c r="E116" s="49">
        <v>0</v>
      </c>
      <c r="F116" s="6">
        <v>0</v>
      </c>
      <c r="G116" s="6">
        <v>1</v>
      </c>
      <c r="H116" s="6">
        <v>3</v>
      </c>
      <c r="I116" s="6">
        <v>0</v>
      </c>
      <c r="J116" s="6">
        <v>4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5">
        <f t="shared" si="42"/>
        <v>8</v>
      </c>
    </row>
    <row r="117" spans="1:18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5">
        <f t="shared" si="42"/>
        <v>2</v>
      </c>
    </row>
    <row r="118" spans="1:18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5">
        <f t="shared" si="42"/>
        <v>0</v>
      </c>
    </row>
    <row r="119" spans="1:18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5">
        <f t="shared" si="42"/>
        <v>0</v>
      </c>
    </row>
    <row r="120" spans="1:18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5">
        <f t="shared" si="42"/>
        <v>0</v>
      </c>
    </row>
    <row r="121" spans="1:18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5">
        <f t="shared" si="42"/>
        <v>0</v>
      </c>
    </row>
    <row r="122" spans="1:18" x14ac:dyDescent="0.4">
      <c r="A122" s="6" t="s">
        <v>26</v>
      </c>
      <c r="B122" s="64" t="s">
        <v>51</v>
      </c>
      <c r="C122" s="65"/>
      <c r="D122" s="66"/>
      <c r="E122" s="5">
        <f t="shared" ref="E122:R122" si="43">SUM(E115:E121)</f>
        <v>0</v>
      </c>
      <c r="F122" s="5">
        <f t="shared" si="43"/>
        <v>0</v>
      </c>
      <c r="G122" s="5">
        <f t="shared" si="43"/>
        <v>1</v>
      </c>
      <c r="H122" s="5">
        <f t="shared" si="43"/>
        <v>3</v>
      </c>
      <c r="I122" s="5">
        <f t="shared" si="43"/>
        <v>2</v>
      </c>
      <c r="J122" s="5">
        <f t="shared" si="43"/>
        <v>4</v>
      </c>
      <c r="K122" s="5">
        <f t="shared" si="43"/>
        <v>0</v>
      </c>
      <c r="L122" s="5">
        <f t="shared" si="43"/>
        <v>0</v>
      </c>
      <c r="M122" s="5">
        <f t="shared" si="43"/>
        <v>0</v>
      </c>
      <c r="N122" s="5">
        <f t="shared" si="43"/>
        <v>0</v>
      </c>
      <c r="O122" s="5">
        <f t="shared" si="43"/>
        <v>0</v>
      </c>
      <c r="P122" s="5">
        <f t="shared" si="43"/>
        <v>0</v>
      </c>
      <c r="Q122" s="5">
        <f t="shared" si="43"/>
        <v>0</v>
      </c>
      <c r="R122" s="5">
        <f t="shared" si="43"/>
        <v>10</v>
      </c>
    </row>
    <row r="123" spans="1:18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0</v>
      </c>
      <c r="G124" s="6">
        <v>0</v>
      </c>
      <c r="H124" s="6">
        <v>0</v>
      </c>
      <c r="I124" s="6">
        <v>1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5">
        <f>SUM(E124:Q124)</f>
        <v>1</v>
      </c>
    </row>
    <row r="125" spans="1:18" x14ac:dyDescent="0.4">
      <c r="A125" s="6" t="s">
        <v>26</v>
      </c>
      <c r="B125" s="53" t="s">
        <v>51</v>
      </c>
      <c r="C125" s="54"/>
      <c r="D125" s="55"/>
      <c r="E125" s="5">
        <f t="shared" ref="E125:R125" si="44">SUM(E124:E124)</f>
        <v>0</v>
      </c>
      <c r="F125" s="5">
        <f t="shared" si="44"/>
        <v>0</v>
      </c>
      <c r="G125" s="5">
        <f t="shared" si="44"/>
        <v>0</v>
      </c>
      <c r="H125" s="5">
        <f t="shared" si="44"/>
        <v>0</v>
      </c>
      <c r="I125" s="5">
        <f t="shared" si="44"/>
        <v>1</v>
      </c>
      <c r="J125" s="5">
        <f t="shared" si="44"/>
        <v>0</v>
      </c>
      <c r="K125" s="5">
        <f t="shared" si="44"/>
        <v>0</v>
      </c>
      <c r="L125" s="5">
        <f t="shared" si="44"/>
        <v>0</v>
      </c>
      <c r="M125" s="5">
        <f t="shared" si="44"/>
        <v>0</v>
      </c>
      <c r="N125" s="5">
        <f t="shared" si="44"/>
        <v>0</v>
      </c>
      <c r="O125" s="5">
        <f t="shared" si="44"/>
        <v>0</v>
      </c>
      <c r="P125" s="5">
        <f t="shared" si="44"/>
        <v>0</v>
      </c>
      <c r="Q125" s="5">
        <f t="shared" si="44"/>
        <v>0</v>
      </c>
      <c r="R125" s="5">
        <f t="shared" si="44"/>
        <v>1</v>
      </c>
    </row>
    <row r="126" spans="1:18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x14ac:dyDescent="0.4">
      <c r="A127" s="11" t="s">
        <v>48</v>
      </c>
      <c r="B127" s="17" t="s">
        <v>69</v>
      </c>
      <c r="C127" s="59" t="s">
        <v>70</v>
      </c>
      <c r="D127" s="60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1</v>
      </c>
      <c r="Q127" s="6">
        <v>0</v>
      </c>
      <c r="R127" s="5">
        <f t="shared" ref="R127:R133" si="45">SUM(E127:Q127)</f>
        <v>1</v>
      </c>
    </row>
    <row r="128" spans="1:18" x14ac:dyDescent="0.4">
      <c r="A128" s="11" t="s">
        <v>50</v>
      </c>
      <c r="B128" s="46">
        <v>1</v>
      </c>
      <c r="C128" s="24" t="s">
        <v>163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5">
        <f t="shared" si="45"/>
        <v>1</v>
      </c>
    </row>
    <row r="129" spans="1:18" x14ac:dyDescent="0.4">
      <c r="A129" s="7"/>
      <c r="B129" s="46">
        <v>2</v>
      </c>
      <c r="C129" s="24" t="s">
        <v>164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5">
        <f t="shared" si="45"/>
        <v>0</v>
      </c>
    </row>
    <row r="130" spans="1:18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5">
        <f t="shared" si="45"/>
        <v>0</v>
      </c>
    </row>
    <row r="131" spans="1:18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5">
        <f t="shared" si="45"/>
        <v>0</v>
      </c>
    </row>
    <row r="132" spans="1:18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5">
        <f t="shared" si="45"/>
        <v>0</v>
      </c>
    </row>
    <row r="133" spans="1:18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5">
        <f t="shared" si="45"/>
        <v>0</v>
      </c>
    </row>
    <row r="134" spans="1:18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R134" si="46">SUM(E127:E133)</f>
        <v>0</v>
      </c>
      <c r="F134" s="5">
        <f t="shared" si="46"/>
        <v>0</v>
      </c>
      <c r="G134" s="5">
        <f t="shared" si="46"/>
        <v>0</v>
      </c>
      <c r="H134" s="5">
        <f t="shared" si="46"/>
        <v>0</v>
      </c>
      <c r="I134" s="5">
        <f t="shared" si="46"/>
        <v>0</v>
      </c>
      <c r="J134" s="5">
        <f t="shared" si="46"/>
        <v>0</v>
      </c>
      <c r="K134" s="5">
        <f t="shared" si="46"/>
        <v>1</v>
      </c>
      <c r="L134" s="5">
        <f t="shared" si="46"/>
        <v>0</v>
      </c>
      <c r="M134" s="5">
        <f t="shared" si="46"/>
        <v>0</v>
      </c>
      <c r="N134" s="5">
        <f t="shared" si="46"/>
        <v>0</v>
      </c>
      <c r="O134" s="5">
        <f t="shared" si="46"/>
        <v>0</v>
      </c>
      <c r="P134" s="5">
        <f t="shared" si="46"/>
        <v>1</v>
      </c>
      <c r="Q134" s="5">
        <f t="shared" si="46"/>
        <v>0</v>
      </c>
      <c r="R134" s="5">
        <f t="shared" si="46"/>
        <v>2</v>
      </c>
    </row>
    <row r="135" spans="1:18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5"/>
    </row>
    <row r="136" spans="1:18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5">
        <f t="shared" ref="R136:R141" si="47">SUM(E136:Q136)</f>
        <v>0</v>
      </c>
    </row>
    <row r="137" spans="1:18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5">
        <f t="shared" si="47"/>
        <v>0</v>
      </c>
    </row>
    <row r="138" spans="1:18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5">
        <f t="shared" si="47"/>
        <v>0</v>
      </c>
    </row>
    <row r="139" spans="1:18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5">
        <f t="shared" si="47"/>
        <v>0</v>
      </c>
    </row>
    <row r="140" spans="1:18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5">
        <f t="shared" si="47"/>
        <v>0</v>
      </c>
    </row>
    <row r="141" spans="1:18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>
        <f t="shared" si="47"/>
        <v>0</v>
      </c>
    </row>
    <row r="142" spans="1:18" x14ac:dyDescent="0.4">
      <c r="A142" s="6" t="s">
        <v>26</v>
      </c>
      <c r="B142" s="53" t="s">
        <v>51</v>
      </c>
      <c r="C142" s="54"/>
      <c r="D142" s="55"/>
      <c r="E142" s="5">
        <f t="shared" ref="E142:R142" si="48">SUM(E136:E141)</f>
        <v>0</v>
      </c>
      <c r="F142" s="5">
        <f t="shared" si="48"/>
        <v>0</v>
      </c>
      <c r="G142" s="5">
        <f t="shared" si="48"/>
        <v>0</v>
      </c>
      <c r="H142" s="5">
        <f t="shared" si="48"/>
        <v>0</v>
      </c>
      <c r="I142" s="5">
        <f t="shared" si="48"/>
        <v>0</v>
      </c>
      <c r="J142" s="5">
        <f t="shared" si="48"/>
        <v>0</v>
      </c>
      <c r="K142" s="5">
        <f t="shared" si="48"/>
        <v>0</v>
      </c>
      <c r="L142" s="5">
        <f t="shared" si="48"/>
        <v>0</v>
      </c>
      <c r="M142" s="5">
        <f t="shared" si="48"/>
        <v>0</v>
      </c>
      <c r="N142" s="5">
        <f t="shared" si="48"/>
        <v>0</v>
      </c>
      <c r="O142" s="5">
        <f t="shared" si="48"/>
        <v>0</v>
      </c>
      <c r="P142" s="5">
        <f t="shared" si="48"/>
        <v>0</v>
      </c>
      <c r="Q142" s="5">
        <f t="shared" si="48"/>
        <v>0</v>
      </c>
      <c r="R142" s="5">
        <f t="shared" si="48"/>
        <v>0</v>
      </c>
    </row>
    <row r="143" spans="1:18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x14ac:dyDescent="0.4">
      <c r="A144" s="11" t="s">
        <v>48</v>
      </c>
      <c r="B144" s="17" t="s">
        <v>73</v>
      </c>
      <c r="C144" s="59" t="s">
        <v>74</v>
      </c>
      <c r="D144" s="6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2</v>
      </c>
      <c r="K144" s="6">
        <v>0</v>
      </c>
      <c r="L144" s="6">
        <v>1</v>
      </c>
      <c r="M144" s="6">
        <v>1</v>
      </c>
      <c r="N144" s="6">
        <v>0</v>
      </c>
      <c r="O144" s="6">
        <v>0</v>
      </c>
      <c r="P144" s="6">
        <v>0</v>
      </c>
      <c r="Q144" s="6">
        <v>0</v>
      </c>
      <c r="R144" s="5">
        <f t="shared" ref="R144:R150" si="49">SUM(E144:Q144)</f>
        <v>4</v>
      </c>
    </row>
    <row r="145" spans="1:18" x14ac:dyDescent="0.4">
      <c r="A145" s="11" t="s">
        <v>50</v>
      </c>
      <c r="B145" s="46">
        <v>1</v>
      </c>
      <c r="C145" s="24" t="s">
        <v>174</v>
      </c>
      <c r="D145" s="47"/>
      <c r="E145" s="6">
        <v>1</v>
      </c>
      <c r="F145" s="6">
        <v>0</v>
      </c>
      <c r="G145" s="6">
        <v>0</v>
      </c>
      <c r="H145" s="6">
        <v>0</v>
      </c>
      <c r="I145" s="6">
        <v>1</v>
      </c>
      <c r="J145" s="6">
        <v>2</v>
      </c>
      <c r="K145" s="6">
        <v>2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5">
        <f t="shared" si="49"/>
        <v>6</v>
      </c>
    </row>
    <row r="146" spans="1:18" x14ac:dyDescent="0.4">
      <c r="A146" s="7"/>
      <c r="B146" s="46">
        <v>2</v>
      </c>
      <c r="C146" s="24" t="s">
        <v>175</v>
      </c>
      <c r="D146" s="47"/>
      <c r="E146" s="6">
        <v>2</v>
      </c>
      <c r="F146" s="6">
        <v>1</v>
      </c>
      <c r="G146" s="6">
        <v>0</v>
      </c>
      <c r="H146" s="6">
        <v>1</v>
      </c>
      <c r="I146" s="6">
        <v>3</v>
      </c>
      <c r="J146" s="6">
        <v>14</v>
      </c>
      <c r="K146" s="6">
        <v>0</v>
      </c>
      <c r="L146" s="6">
        <v>1</v>
      </c>
      <c r="M146" s="6">
        <v>0</v>
      </c>
      <c r="N146" s="6">
        <v>0</v>
      </c>
      <c r="O146" s="6">
        <v>1</v>
      </c>
      <c r="P146" s="6">
        <v>2</v>
      </c>
      <c r="Q146" s="6">
        <v>1</v>
      </c>
      <c r="R146" s="5">
        <f t="shared" si="49"/>
        <v>26</v>
      </c>
    </row>
    <row r="147" spans="1:18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5">
        <f t="shared" si="49"/>
        <v>0</v>
      </c>
    </row>
    <row r="148" spans="1:18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5">
        <f t="shared" si="49"/>
        <v>0</v>
      </c>
    </row>
    <row r="149" spans="1:18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5">
        <f t="shared" si="49"/>
        <v>0</v>
      </c>
    </row>
    <row r="150" spans="1:18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5">
        <f t="shared" si="49"/>
        <v>0</v>
      </c>
    </row>
    <row r="151" spans="1:18" x14ac:dyDescent="0.4">
      <c r="A151" s="6" t="s">
        <v>26</v>
      </c>
      <c r="B151" s="53" t="s">
        <v>51</v>
      </c>
      <c r="C151" s="54"/>
      <c r="D151" s="55"/>
      <c r="E151" s="5">
        <f t="shared" ref="E151:R151" si="50">SUM(E144:E150)</f>
        <v>3</v>
      </c>
      <c r="F151" s="5">
        <f t="shared" si="50"/>
        <v>1</v>
      </c>
      <c r="G151" s="5">
        <f t="shared" si="50"/>
        <v>0</v>
      </c>
      <c r="H151" s="5">
        <f t="shared" si="50"/>
        <v>1</v>
      </c>
      <c r="I151" s="5">
        <f t="shared" si="50"/>
        <v>4</v>
      </c>
      <c r="J151" s="5">
        <f t="shared" si="50"/>
        <v>18</v>
      </c>
      <c r="K151" s="5">
        <f t="shared" si="50"/>
        <v>2</v>
      </c>
      <c r="L151" s="5">
        <f t="shared" si="50"/>
        <v>2</v>
      </c>
      <c r="M151" s="5">
        <f t="shared" si="50"/>
        <v>1</v>
      </c>
      <c r="N151" s="5">
        <f t="shared" si="50"/>
        <v>0</v>
      </c>
      <c r="O151" s="5">
        <f t="shared" si="50"/>
        <v>1</v>
      </c>
      <c r="P151" s="5">
        <f t="shared" si="50"/>
        <v>2</v>
      </c>
      <c r="Q151" s="5">
        <f t="shared" si="50"/>
        <v>1</v>
      </c>
      <c r="R151" s="5">
        <f t="shared" si="50"/>
        <v>36</v>
      </c>
    </row>
    <row r="152" spans="1:18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x14ac:dyDescent="0.4">
      <c r="A153" s="11" t="s">
        <v>48</v>
      </c>
      <c r="B153" s="17" t="s">
        <v>75</v>
      </c>
      <c r="C153" s="59" t="s">
        <v>76</v>
      </c>
      <c r="D153" s="60"/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0</v>
      </c>
      <c r="K153" s="6">
        <v>1</v>
      </c>
      <c r="L153" s="6">
        <v>2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5">
        <f>SUM(E153:Q153)</f>
        <v>4</v>
      </c>
    </row>
    <row r="154" spans="1:18" x14ac:dyDescent="0.4">
      <c r="A154" s="11" t="s">
        <v>50</v>
      </c>
      <c r="B154" s="46">
        <v>1</v>
      </c>
      <c r="C154" s="24" t="s">
        <v>180</v>
      </c>
      <c r="D154" s="47"/>
      <c r="E154" s="6">
        <v>5</v>
      </c>
      <c r="F154" s="6">
        <v>1</v>
      </c>
      <c r="G154" s="6">
        <v>2</v>
      </c>
      <c r="H154" s="6">
        <v>0</v>
      </c>
      <c r="I154" s="6">
        <v>0</v>
      </c>
      <c r="J154" s="6">
        <v>0</v>
      </c>
      <c r="K154" s="6">
        <v>0</v>
      </c>
      <c r="L154" s="6">
        <v>16</v>
      </c>
      <c r="M154" s="6">
        <v>1</v>
      </c>
      <c r="N154" s="6">
        <v>3</v>
      </c>
      <c r="O154" s="6">
        <v>0</v>
      </c>
      <c r="P154" s="6">
        <v>5</v>
      </c>
      <c r="Q154" s="6">
        <v>0</v>
      </c>
      <c r="R154" s="5">
        <f>SUM(E154:Q154)</f>
        <v>33</v>
      </c>
    </row>
    <row r="155" spans="1:18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5">
        <f>SUM(E155:Q155)</f>
        <v>0</v>
      </c>
    </row>
    <row r="156" spans="1:18" x14ac:dyDescent="0.4">
      <c r="A156" s="6" t="s">
        <v>26</v>
      </c>
      <c r="B156" s="53" t="s">
        <v>51</v>
      </c>
      <c r="C156" s="54"/>
      <c r="D156" s="55"/>
      <c r="E156" s="5">
        <f t="shared" ref="E156:R156" si="51">SUM(E153:E155)</f>
        <v>5</v>
      </c>
      <c r="F156" s="5">
        <f t="shared" si="51"/>
        <v>1</v>
      </c>
      <c r="G156" s="5">
        <f t="shared" si="51"/>
        <v>2</v>
      </c>
      <c r="H156" s="5">
        <f t="shared" si="51"/>
        <v>0</v>
      </c>
      <c r="I156" s="5">
        <f t="shared" si="51"/>
        <v>1</v>
      </c>
      <c r="J156" s="5">
        <f t="shared" si="51"/>
        <v>0</v>
      </c>
      <c r="K156" s="5">
        <f t="shared" si="51"/>
        <v>1</v>
      </c>
      <c r="L156" s="5">
        <f t="shared" si="51"/>
        <v>18</v>
      </c>
      <c r="M156" s="5">
        <f t="shared" si="51"/>
        <v>1</v>
      </c>
      <c r="N156" s="5">
        <f t="shared" si="51"/>
        <v>3</v>
      </c>
      <c r="O156" s="5">
        <f t="shared" si="51"/>
        <v>0</v>
      </c>
      <c r="P156" s="5">
        <f t="shared" si="51"/>
        <v>5</v>
      </c>
      <c r="Q156" s="5">
        <f t="shared" si="51"/>
        <v>0</v>
      </c>
      <c r="R156" s="5">
        <f t="shared" si="51"/>
        <v>37</v>
      </c>
    </row>
    <row r="157" spans="1:18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f>SUM(E158:Q158)</f>
        <v>0</v>
      </c>
    </row>
    <row r="159" spans="1:18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>
        <f>SUM(E159:Q159)</f>
        <v>0</v>
      </c>
    </row>
    <row r="160" spans="1:18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5">
        <f>SUM(E160:Q160)</f>
        <v>0</v>
      </c>
    </row>
    <row r="161" spans="1:18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5">
        <f>SUM(E161:Q161)</f>
        <v>0</v>
      </c>
    </row>
    <row r="162" spans="1:18" x14ac:dyDescent="0.4">
      <c r="A162" s="6" t="s">
        <v>26</v>
      </c>
      <c r="B162" s="53" t="s">
        <v>51</v>
      </c>
      <c r="C162" s="54"/>
      <c r="D162" s="55"/>
      <c r="E162" s="5">
        <f t="shared" ref="E162:R162" si="52">SUM(E158:E161)</f>
        <v>0</v>
      </c>
      <c r="F162" s="5">
        <f t="shared" si="52"/>
        <v>0</v>
      </c>
      <c r="G162" s="5">
        <f t="shared" si="52"/>
        <v>0</v>
      </c>
      <c r="H162" s="5">
        <f t="shared" si="52"/>
        <v>0</v>
      </c>
      <c r="I162" s="5">
        <f t="shared" si="52"/>
        <v>0</v>
      </c>
      <c r="J162" s="5">
        <f t="shared" si="52"/>
        <v>0</v>
      </c>
      <c r="K162" s="5">
        <f t="shared" si="52"/>
        <v>0</v>
      </c>
      <c r="L162" s="5">
        <f t="shared" si="52"/>
        <v>0</v>
      </c>
      <c r="M162" s="5">
        <f t="shared" si="52"/>
        <v>0</v>
      </c>
      <c r="N162" s="5">
        <f t="shared" si="52"/>
        <v>0</v>
      </c>
      <c r="O162" s="5">
        <f t="shared" si="52"/>
        <v>0</v>
      </c>
      <c r="P162" s="5">
        <f t="shared" si="52"/>
        <v>0</v>
      </c>
      <c r="Q162" s="5">
        <f t="shared" si="52"/>
        <v>0</v>
      </c>
      <c r="R162" s="5">
        <f t="shared" si="52"/>
        <v>0</v>
      </c>
    </row>
    <row r="163" spans="1:18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1</v>
      </c>
      <c r="G164" s="6">
        <v>2</v>
      </c>
      <c r="H164" s="6">
        <v>0</v>
      </c>
      <c r="I164" s="6">
        <v>0</v>
      </c>
      <c r="J164" s="6">
        <v>1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v>1</v>
      </c>
      <c r="Q164" s="6">
        <v>0</v>
      </c>
      <c r="R164" s="5">
        <f t="shared" ref="R164:R170" si="53">SUM(E164:Q164)</f>
        <v>6</v>
      </c>
    </row>
    <row r="165" spans="1:18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0</v>
      </c>
      <c r="G165" s="6">
        <v>2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3</v>
      </c>
      <c r="N165" s="6">
        <v>0</v>
      </c>
      <c r="O165" s="6">
        <v>0</v>
      </c>
      <c r="P165" s="6">
        <v>0</v>
      </c>
      <c r="Q165" s="6">
        <v>1</v>
      </c>
      <c r="R165" s="5">
        <f t="shared" si="53"/>
        <v>7</v>
      </c>
    </row>
    <row r="166" spans="1:18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5">
        <f t="shared" si="53"/>
        <v>2</v>
      </c>
    </row>
    <row r="167" spans="1:18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5">
        <f t="shared" si="53"/>
        <v>0</v>
      </c>
    </row>
    <row r="168" spans="1:18" x14ac:dyDescent="0.4">
      <c r="A168" s="7"/>
      <c r="B168" s="46">
        <v>4</v>
      </c>
      <c r="C168" s="24" t="s">
        <v>188</v>
      </c>
      <c r="D168" s="47"/>
      <c r="E168" s="6">
        <v>1</v>
      </c>
      <c r="F168" s="6">
        <v>1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1</v>
      </c>
      <c r="P168" s="6">
        <v>0</v>
      </c>
      <c r="Q168" s="6">
        <v>0</v>
      </c>
      <c r="R168" s="5">
        <f t="shared" si="53"/>
        <v>3</v>
      </c>
    </row>
    <row r="169" spans="1:18" ht="12.75" customHeight="1" x14ac:dyDescent="0.4">
      <c r="A169" s="7"/>
      <c r="B169" s="46">
        <v>5</v>
      </c>
      <c r="C169" s="24" t="s">
        <v>189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5">
        <f t="shared" si="53"/>
        <v>0</v>
      </c>
    </row>
    <row r="170" spans="1:18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5">
        <f t="shared" si="53"/>
        <v>0</v>
      </c>
    </row>
    <row r="171" spans="1:18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R171" si="54">SUM(E164:E170)</f>
        <v>1</v>
      </c>
      <c r="F171" s="5">
        <f t="shared" si="54"/>
        <v>2</v>
      </c>
      <c r="G171" s="5">
        <f t="shared" si="54"/>
        <v>4</v>
      </c>
      <c r="H171" s="5">
        <f t="shared" si="54"/>
        <v>0</v>
      </c>
      <c r="I171" s="5">
        <f t="shared" si="54"/>
        <v>0</v>
      </c>
      <c r="J171" s="5">
        <f t="shared" si="54"/>
        <v>1</v>
      </c>
      <c r="K171" s="5">
        <f t="shared" si="54"/>
        <v>1</v>
      </c>
      <c r="L171" s="5">
        <f t="shared" si="54"/>
        <v>1</v>
      </c>
      <c r="M171" s="5">
        <f t="shared" si="54"/>
        <v>4</v>
      </c>
      <c r="N171" s="5">
        <f t="shared" si="54"/>
        <v>0</v>
      </c>
      <c r="O171" s="5">
        <f t="shared" si="54"/>
        <v>2</v>
      </c>
      <c r="P171" s="5">
        <f t="shared" si="54"/>
        <v>1</v>
      </c>
      <c r="Q171" s="5">
        <f t="shared" si="54"/>
        <v>1</v>
      </c>
      <c r="R171" s="5">
        <f t="shared" si="54"/>
        <v>18</v>
      </c>
    </row>
    <row r="172" spans="1:18" x14ac:dyDescent="0.4">
      <c r="A172" s="61"/>
      <c r="B172" s="62"/>
      <c r="C172" s="62"/>
      <c r="D172" s="62"/>
      <c r="E172" s="63"/>
    </row>
    <row r="173" spans="1:18" x14ac:dyDescent="0.4">
      <c r="A173" s="11" t="s">
        <v>48</v>
      </c>
      <c r="B173" s="17" t="s">
        <v>81</v>
      </c>
      <c r="C173" s="59" t="s">
        <v>82</v>
      </c>
      <c r="D173" s="60"/>
      <c r="E173" s="6">
        <v>0</v>
      </c>
      <c r="F173" s="6">
        <v>1</v>
      </c>
      <c r="G173" s="6">
        <v>2</v>
      </c>
      <c r="H173" s="6">
        <v>0</v>
      </c>
      <c r="I173" s="6">
        <v>0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5">
        <f>SUM(E173:Q173)</f>
        <v>4</v>
      </c>
    </row>
    <row r="174" spans="1:18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5">
        <f>SUM(E174:Q174)</f>
        <v>0</v>
      </c>
    </row>
    <row r="175" spans="1:18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5">
        <f>SUM(E175:Q175)</f>
        <v>0</v>
      </c>
    </row>
    <row r="176" spans="1:18" x14ac:dyDescent="0.4">
      <c r="A176" s="6" t="s">
        <v>26</v>
      </c>
      <c r="B176" s="53" t="s">
        <v>51</v>
      </c>
      <c r="C176" s="54"/>
      <c r="D176" s="55"/>
      <c r="E176" s="5">
        <f t="shared" ref="E176:R176" si="55">SUM(E173:E175)</f>
        <v>0</v>
      </c>
      <c r="F176" s="5">
        <f t="shared" si="55"/>
        <v>1</v>
      </c>
      <c r="G176" s="5">
        <f t="shared" si="55"/>
        <v>2</v>
      </c>
      <c r="H176" s="5">
        <f t="shared" si="55"/>
        <v>0</v>
      </c>
      <c r="I176" s="5">
        <f t="shared" si="55"/>
        <v>0</v>
      </c>
      <c r="J176" s="5">
        <f t="shared" si="55"/>
        <v>1</v>
      </c>
      <c r="K176" s="5">
        <f t="shared" si="55"/>
        <v>0</v>
      </c>
      <c r="L176" s="5">
        <f t="shared" si="55"/>
        <v>0</v>
      </c>
      <c r="M176" s="5">
        <f t="shared" si="55"/>
        <v>0</v>
      </c>
      <c r="N176" s="5">
        <f t="shared" si="55"/>
        <v>0</v>
      </c>
      <c r="O176" s="5">
        <f t="shared" si="55"/>
        <v>0</v>
      </c>
      <c r="P176" s="5">
        <f t="shared" si="55"/>
        <v>0</v>
      </c>
      <c r="Q176" s="5">
        <f t="shared" si="55"/>
        <v>0</v>
      </c>
      <c r="R176" s="5">
        <f t="shared" si="55"/>
        <v>4</v>
      </c>
    </row>
    <row r="178" spans="1:18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x14ac:dyDescent="0.4">
      <c r="A179" s="16"/>
      <c r="B179" s="19" t="s">
        <v>85</v>
      </c>
      <c r="C179" s="51" t="s">
        <v>86</v>
      </c>
      <c r="D179" s="52"/>
      <c r="E179" s="6">
        <f t="shared" ref="E179:Q179" si="56">E52+E61+E70+E79+E88+E91+E98+E107+E113+E122+E125+E134+E142+E151+E156+E162+E171+E176</f>
        <v>225</v>
      </c>
      <c r="F179" s="6">
        <f t="shared" si="56"/>
        <v>202</v>
      </c>
      <c r="G179" s="6">
        <f t="shared" si="56"/>
        <v>200</v>
      </c>
      <c r="H179" s="6">
        <f t="shared" si="56"/>
        <v>232</v>
      </c>
      <c r="I179" s="6">
        <f t="shared" si="56"/>
        <v>216</v>
      </c>
      <c r="J179" s="6">
        <f t="shared" si="56"/>
        <v>180</v>
      </c>
      <c r="K179" s="6">
        <f t="shared" si="56"/>
        <v>195</v>
      </c>
      <c r="L179" s="6">
        <f t="shared" si="56"/>
        <v>216</v>
      </c>
      <c r="M179" s="6">
        <f t="shared" si="56"/>
        <v>214</v>
      </c>
      <c r="N179" s="6">
        <f t="shared" si="56"/>
        <v>223</v>
      </c>
      <c r="O179" s="6">
        <f t="shared" si="56"/>
        <v>190</v>
      </c>
      <c r="P179" s="6">
        <f t="shared" si="56"/>
        <v>176</v>
      </c>
      <c r="Q179" s="6">
        <f t="shared" si="56"/>
        <v>204</v>
      </c>
      <c r="R179" s="5">
        <f>SUM(E179:Q179)</f>
        <v>2673</v>
      </c>
    </row>
    <row r="180" spans="1:18" x14ac:dyDescent="0.4">
      <c r="A180" s="13"/>
      <c r="B180" s="19" t="s">
        <v>87</v>
      </c>
      <c r="C180" s="51" t="s">
        <v>88</v>
      </c>
      <c r="D180" s="52"/>
      <c r="E180" s="6">
        <v>12</v>
      </c>
      <c r="F180" s="6">
        <v>13</v>
      </c>
      <c r="G180" s="6">
        <v>16</v>
      </c>
      <c r="H180" s="6">
        <v>17</v>
      </c>
      <c r="I180" s="6">
        <v>10</v>
      </c>
      <c r="J180" s="6">
        <v>21</v>
      </c>
      <c r="K180" s="6">
        <v>3</v>
      </c>
      <c r="L180" s="6">
        <v>1</v>
      </c>
      <c r="M180" s="6">
        <v>3</v>
      </c>
      <c r="N180" s="6">
        <v>11</v>
      </c>
      <c r="O180" s="6">
        <v>6</v>
      </c>
      <c r="P180" s="6">
        <v>18</v>
      </c>
      <c r="Q180" s="6">
        <v>14</v>
      </c>
      <c r="R180" s="5">
        <f>SUM(E180:Q180)</f>
        <v>145</v>
      </c>
    </row>
    <row r="181" spans="1:18" x14ac:dyDescent="0.4">
      <c r="A181" s="14"/>
      <c r="B181" s="19" t="s">
        <v>89</v>
      </c>
      <c r="C181" s="51" t="s">
        <v>90</v>
      </c>
      <c r="D181" s="52"/>
      <c r="E181" s="5">
        <f>SUM(E179:E180)</f>
        <v>237</v>
      </c>
      <c r="F181" s="5">
        <f t="shared" ref="F181:K181" si="57">SUM(F179:F180)</f>
        <v>215</v>
      </c>
      <c r="G181" s="5">
        <f t="shared" si="57"/>
        <v>216</v>
      </c>
      <c r="H181" s="5">
        <f t="shared" si="57"/>
        <v>249</v>
      </c>
      <c r="I181" s="5">
        <f t="shared" si="57"/>
        <v>226</v>
      </c>
      <c r="J181" s="5">
        <f t="shared" si="57"/>
        <v>201</v>
      </c>
      <c r="K181" s="5">
        <f t="shared" si="57"/>
        <v>198</v>
      </c>
      <c r="L181" s="5">
        <f t="shared" ref="L181:O181" si="58">SUM(L179:L180)</f>
        <v>217</v>
      </c>
      <c r="M181" s="5">
        <f t="shared" si="58"/>
        <v>217</v>
      </c>
      <c r="N181" s="5">
        <f t="shared" si="58"/>
        <v>234</v>
      </c>
      <c r="O181" s="5">
        <f t="shared" si="58"/>
        <v>196</v>
      </c>
      <c r="P181" s="5">
        <f t="shared" ref="P181:Q181" si="59">SUM(P179:P180)</f>
        <v>194</v>
      </c>
      <c r="Q181" s="5">
        <f t="shared" si="59"/>
        <v>218</v>
      </c>
      <c r="R181" s="5">
        <f>SUM(E181:Q181)</f>
        <v>2818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Q12"/>
    <mergeCell ref="R12:R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O37"/>
    <mergeCell ref="B38:D38"/>
    <mergeCell ref="A42:D42"/>
    <mergeCell ref="E42:O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14:Q15">
    <cfRule type="containsBlanks" dxfId="185" priority="21">
      <formula>LEN(TRIM(E14))=0</formula>
    </cfRule>
  </conditionalFormatting>
  <conditionalFormatting sqref="E19:Q20">
    <cfRule type="containsBlanks" dxfId="184" priority="24">
      <formula>LEN(TRIM(E19))=0</formula>
    </cfRule>
  </conditionalFormatting>
  <conditionalFormatting sqref="E22:Q23 E25:Q26 E33:Q33 E35:Q35 E39:Q40">
    <cfRule type="containsBlanks" dxfId="183" priority="25">
      <formula>LEN(TRIM(E22))=0</formula>
    </cfRule>
  </conditionalFormatting>
  <conditionalFormatting sqref="E30:Q30">
    <cfRule type="expression" dxfId="182" priority="26">
      <formula>E30&lt;&gt;E47</formula>
    </cfRule>
    <cfRule type="expression" dxfId="181" priority="27">
      <formula>E30&lt;&gt;E34</formula>
    </cfRule>
  </conditionalFormatting>
  <conditionalFormatting sqref="E34:Q34">
    <cfRule type="expression" dxfId="180" priority="127">
      <formula>E30&lt;&gt;E34</formula>
    </cfRule>
    <cfRule type="expression" dxfId="179" priority="128">
      <formula>E30=E34</formula>
    </cfRule>
    <cfRule type="expression" dxfId="178" priority="129">
      <formula>E34&lt;&gt;E30</formula>
    </cfRule>
    <cfRule type="expression" dxfId="177" priority="130">
      <formula>E34&lt;&gt;#REF!</formula>
    </cfRule>
  </conditionalFormatting>
  <conditionalFormatting sqref="E45:Q51">
    <cfRule type="containsBlanks" dxfId="176" priority="20">
      <formula>LEN(TRIM(E45))=0</formula>
    </cfRule>
  </conditionalFormatting>
  <conditionalFormatting sqref="E54:Q60">
    <cfRule type="containsBlanks" dxfId="175" priority="19">
      <formula>LEN(TRIM(E54))=0</formula>
    </cfRule>
  </conditionalFormatting>
  <conditionalFormatting sqref="E63:Q69">
    <cfRule type="containsBlanks" dxfId="174" priority="18">
      <formula>LEN(TRIM(E63))=0</formula>
    </cfRule>
  </conditionalFormatting>
  <conditionalFormatting sqref="E72:Q78">
    <cfRule type="containsBlanks" dxfId="173" priority="17">
      <formula>LEN(TRIM(E72))=0</formula>
    </cfRule>
  </conditionalFormatting>
  <conditionalFormatting sqref="E81:Q87">
    <cfRule type="containsBlanks" dxfId="172" priority="16">
      <formula>LEN(TRIM(E81))=0</formula>
    </cfRule>
  </conditionalFormatting>
  <conditionalFormatting sqref="E90:Q90">
    <cfRule type="containsBlanks" dxfId="171" priority="15">
      <formula>LEN(TRIM(E90))=0</formula>
    </cfRule>
  </conditionalFormatting>
  <conditionalFormatting sqref="E93:Q97">
    <cfRule type="containsBlanks" dxfId="170" priority="1">
      <formula>LEN(TRIM(E93))=0</formula>
    </cfRule>
  </conditionalFormatting>
  <conditionalFormatting sqref="E100:Q106">
    <cfRule type="containsBlanks" dxfId="169" priority="14">
      <formula>LEN(TRIM(E100))=0</formula>
    </cfRule>
  </conditionalFormatting>
  <conditionalFormatting sqref="E109:Q112">
    <cfRule type="containsBlanks" dxfId="168" priority="13">
      <formula>LEN(TRIM(E109))=0</formula>
    </cfRule>
  </conditionalFormatting>
  <conditionalFormatting sqref="E115:Q121">
    <cfRule type="containsBlanks" dxfId="167" priority="3">
      <formula>LEN(TRIM(E115))=0</formula>
    </cfRule>
  </conditionalFormatting>
  <conditionalFormatting sqref="E124:Q124">
    <cfRule type="containsBlanks" dxfId="166" priority="12">
      <formula>LEN(TRIM(E124))=0</formula>
    </cfRule>
  </conditionalFormatting>
  <conditionalFormatting sqref="E127:Q133">
    <cfRule type="containsBlanks" dxfId="165" priority="11">
      <formula>LEN(TRIM(E127))=0</formula>
    </cfRule>
  </conditionalFormatting>
  <conditionalFormatting sqref="E136:Q141">
    <cfRule type="containsBlanks" dxfId="164" priority="10">
      <formula>LEN(TRIM(E136))=0</formula>
    </cfRule>
  </conditionalFormatting>
  <conditionalFormatting sqref="E144:Q150">
    <cfRule type="containsBlanks" dxfId="163" priority="9">
      <formula>LEN(TRIM(E144))=0</formula>
    </cfRule>
  </conditionalFormatting>
  <conditionalFormatting sqref="E153:Q155">
    <cfRule type="containsBlanks" dxfId="162" priority="8">
      <formula>LEN(TRIM(E153))=0</formula>
    </cfRule>
  </conditionalFormatting>
  <conditionalFormatting sqref="E158:Q161">
    <cfRule type="containsBlanks" dxfId="161" priority="7">
      <formula>LEN(TRIM(E158))=0</formula>
    </cfRule>
  </conditionalFormatting>
  <conditionalFormatting sqref="E164:Q170">
    <cfRule type="containsBlanks" dxfId="160" priority="6">
      <formula>LEN(TRIM(E164))=0</formula>
    </cfRule>
  </conditionalFormatting>
  <conditionalFormatting sqref="E173:Q175">
    <cfRule type="containsBlanks" dxfId="159" priority="4">
      <formula>LEN(TRIM(E173))=0</formula>
    </cfRule>
  </conditionalFormatting>
  <conditionalFormatting sqref="E179:Q180">
    <cfRule type="containsBlanks" dxfId="158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AC181"/>
  <sheetViews>
    <sheetView topLeftCell="D13" zoomScale="80" zoomScaleNormal="80" workbookViewId="0">
      <pane ySplit="1" topLeftCell="A171" activePane="bottomLeft" state="frozen"/>
      <selection activeCell="A13" sqref="A13"/>
      <selection pane="bottomLeft" activeCell="H180" sqref="H180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193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196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9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2" t="s">
        <v>103</v>
      </c>
    </row>
    <row r="13" spans="1:29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93"/>
    </row>
    <row r="14" spans="1:29" x14ac:dyDescent="0.4">
      <c r="A14" s="7"/>
      <c r="B14" s="80" t="s">
        <v>22</v>
      </c>
      <c r="C14" s="68"/>
      <c r="D14" s="6" t="s">
        <v>23</v>
      </c>
      <c r="E14" s="6">
        <v>88</v>
      </c>
      <c r="F14" s="6">
        <v>112</v>
      </c>
      <c r="G14" s="6">
        <v>144</v>
      </c>
      <c r="H14" s="6">
        <v>112</v>
      </c>
      <c r="I14" s="6">
        <v>130</v>
      </c>
      <c r="J14" s="6">
        <v>147</v>
      </c>
      <c r="K14" s="6">
        <v>145</v>
      </c>
      <c r="L14" s="6">
        <v>148</v>
      </c>
      <c r="M14" s="6">
        <v>125</v>
      </c>
      <c r="N14" s="6">
        <v>122</v>
      </c>
      <c r="O14" s="6">
        <v>120</v>
      </c>
      <c r="P14" s="6">
        <v>148</v>
      </c>
      <c r="Q14" s="6">
        <v>148</v>
      </c>
      <c r="R14" s="6">
        <v>139</v>
      </c>
      <c r="S14" s="6">
        <v>100</v>
      </c>
      <c r="T14" s="6">
        <v>141</v>
      </c>
      <c r="U14" s="6">
        <v>139</v>
      </c>
      <c r="V14" s="6">
        <v>139</v>
      </c>
      <c r="W14" s="6">
        <v>139</v>
      </c>
      <c r="X14" s="6">
        <v>137</v>
      </c>
      <c r="Y14" s="6">
        <v>122</v>
      </c>
      <c r="Z14" s="6">
        <v>109</v>
      </c>
      <c r="AA14" s="6">
        <v>124</v>
      </c>
      <c r="AB14" s="6">
        <v>127</v>
      </c>
      <c r="AC14" s="5">
        <f>SUM(E14:AB14)</f>
        <v>3105</v>
      </c>
    </row>
    <row r="15" spans="1:29" x14ac:dyDescent="0.4">
      <c r="A15" s="7"/>
      <c r="B15" s="81"/>
      <c r="C15" s="74"/>
      <c r="D15" s="6" t="s">
        <v>24</v>
      </c>
      <c r="E15" s="6">
        <v>84</v>
      </c>
      <c r="F15" s="6">
        <v>119</v>
      </c>
      <c r="G15" s="6">
        <v>147</v>
      </c>
      <c r="H15" s="6">
        <v>118</v>
      </c>
      <c r="I15" s="6">
        <v>144</v>
      </c>
      <c r="J15" s="6">
        <v>150</v>
      </c>
      <c r="K15" s="6">
        <v>150</v>
      </c>
      <c r="L15" s="6">
        <v>143</v>
      </c>
      <c r="M15" s="6">
        <v>136</v>
      </c>
      <c r="N15" s="6">
        <v>125</v>
      </c>
      <c r="O15" s="6">
        <v>132</v>
      </c>
      <c r="P15" s="6">
        <v>146</v>
      </c>
      <c r="Q15" s="6">
        <v>140</v>
      </c>
      <c r="R15" s="6">
        <v>146</v>
      </c>
      <c r="S15" s="6">
        <v>100</v>
      </c>
      <c r="T15" s="6">
        <v>143</v>
      </c>
      <c r="U15" s="6">
        <v>142</v>
      </c>
      <c r="V15" s="6">
        <v>139</v>
      </c>
      <c r="W15" s="6">
        <v>145</v>
      </c>
      <c r="X15" s="6">
        <v>130</v>
      </c>
      <c r="Y15" s="6">
        <v>130</v>
      </c>
      <c r="Z15" s="6">
        <v>108</v>
      </c>
      <c r="AA15" s="6">
        <v>132</v>
      </c>
      <c r="AB15" s="6">
        <v>123</v>
      </c>
      <c r="AC15" s="5">
        <f>SUM(E15:AB15)</f>
        <v>3172</v>
      </c>
    </row>
    <row r="16" spans="1:29" x14ac:dyDescent="0.4">
      <c r="A16" s="8"/>
      <c r="B16" s="79"/>
      <c r="C16" s="75"/>
      <c r="D16" s="5" t="s">
        <v>25</v>
      </c>
      <c r="E16" s="5">
        <f t="shared" ref="E16:AB16" si="0">SUM(E14:E15)</f>
        <v>172</v>
      </c>
      <c r="F16" s="5">
        <f t="shared" si="0"/>
        <v>231</v>
      </c>
      <c r="G16" s="5">
        <f t="shared" si="0"/>
        <v>291</v>
      </c>
      <c r="H16" s="5">
        <f t="shared" si="0"/>
        <v>230</v>
      </c>
      <c r="I16" s="5">
        <f t="shared" si="0"/>
        <v>274</v>
      </c>
      <c r="J16" s="5">
        <f t="shared" si="0"/>
        <v>297</v>
      </c>
      <c r="K16" s="5">
        <f t="shared" si="0"/>
        <v>295</v>
      </c>
      <c r="L16" s="5">
        <f t="shared" si="0"/>
        <v>291</v>
      </c>
      <c r="M16" s="5">
        <f t="shared" si="0"/>
        <v>261</v>
      </c>
      <c r="N16" s="5">
        <f t="shared" si="0"/>
        <v>247</v>
      </c>
      <c r="O16" s="5">
        <f t="shared" si="0"/>
        <v>252</v>
      </c>
      <c r="P16" s="5">
        <f t="shared" ref="P16:X16" si="1">SUM(P14:P15)</f>
        <v>294</v>
      </c>
      <c r="Q16" s="5">
        <f t="shared" si="1"/>
        <v>288</v>
      </c>
      <c r="R16" s="5">
        <f t="shared" si="1"/>
        <v>285</v>
      </c>
      <c r="S16" s="5">
        <f t="shared" si="1"/>
        <v>200</v>
      </c>
      <c r="T16" s="5">
        <f t="shared" si="1"/>
        <v>284</v>
      </c>
      <c r="U16" s="5">
        <f t="shared" si="1"/>
        <v>281</v>
      </c>
      <c r="V16" s="5">
        <f t="shared" si="1"/>
        <v>278</v>
      </c>
      <c r="W16" s="5">
        <f t="shared" si="1"/>
        <v>284</v>
      </c>
      <c r="X16" s="5">
        <f t="shared" si="1"/>
        <v>267</v>
      </c>
      <c r="Y16" s="5">
        <f t="shared" si="0"/>
        <v>252</v>
      </c>
      <c r="Z16" s="5">
        <f t="shared" si="0"/>
        <v>217</v>
      </c>
      <c r="AA16" s="5">
        <f t="shared" si="0"/>
        <v>256</v>
      </c>
      <c r="AB16" s="5">
        <f t="shared" si="0"/>
        <v>250</v>
      </c>
      <c r="AC16" s="5">
        <f>SUM(E16:AB16)</f>
        <v>6277</v>
      </c>
    </row>
    <row r="17" spans="1:29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28"/>
    </row>
    <row r="18" spans="1:29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28"/>
    </row>
    <row r="19" spans="1:29" x14ac:dyDescent="0.4">
      <c r="A19" s="11"/>
      <c r="B19" s="82" t="s">
        <v>28</v>
      </c>
      <c r="C19" s="83" t="s">
        <v>29</v>
      </c>
      <c r="D19" s="6" t="s">
        <v>23</v>
      </c>
      <c r="E19" s="6">
        <v>63</v>
      </c>
      <c r="F19" s="6">
        <v>88</v>
      </c>
      <c r="G19" s="6">
        <v>101</v>
      </c>
      <c r="H19" s="6">
        <v>80</v>
      </c>
      <c r="I19" s="6">
        <v>104</v>
      </c>
      <c r="J19" s="6">
        <v>117</v>
      </c>
      <c r="K19" s="6">
        <v>117</v>
      </c>
      <c r="L19" s="6">
        <v>124</v>
      </c>
      <c r="M19" s="6">
        <v>96</v>
      </c>
      <c r="N19" s="6">
        <v>98</v>
      </c>
      <c r="O19" s="6">
        <v>106</v>
      </c>
      <c r="P19" s="6">
        <v>124</v>
      </c>
      <c r="Q19" s="6">
        <v>111</v>
      </c>
      <c r="R19" s="6">
        <v>115</v>
      </c>
      <c r="S19" s="6">
        <v>94</v>
      </c>
      <c r="T19" s="6">
        <v>121</v>
      </c>
      <c r="U19" s="6">
        <v>120</v>
      </c>
      <c r="V19" s="6">
        <v>123</v>
      </c>
      <c r="W19" s="6">
        <v>112</v>
      </c>
      <c r="X19" s="6">
        <v>114</v>
      </c>
      <c r="Y19" s="6">
        <v>105</v>
      </c>
      <c r="Z19" s="6">
        <v>87</v>
      </c>
      <c r="AA19" s="6">
        <v>99</v>
      </c>
      <c r="AB19" s="6">
        <v>97</v>
      </c>
      <c r="AC19" s="5">
        <f t="shared" ref="AC19:AC30" si="2">SUM(E19:AB19)</f>
        <v>2516</v>
      </c>
    </row>
    <row r="20" spans="1:29" x14ac:dyDescent="0.4">
      <c r="A20" s="12"/>
      <c r="B20" s="74"/>
      <c r="C20" s="84"/>
      <c r="D20" s="6" t="s">
        <v>24</v>
      </c>
      <c r="E20" s="6">
        <v>73</v>
      </c>
      <c r="F20" s="6">
        <v>104</v>
      </c>
      <c r="G20" s="6">
        <v>118</v>
      </c>
      <c r="H20" s="6">
        <v>97</v>
      </c>
      <c r="I20" s="6">
        <v>133</v>
      </c>
      <c r="J20" s="6">
        <v>129</v>
      </c>
      <c r="K20" s="6">
        <v>128</v>
      </c>
      <c r="L20" s="6">
        <v>127</v>
      </c>
      <c r="M20" s="6">
        <v>107</v>
      </c>
      <c r="N20" s="6">
        <v>106</v>
      </c>
      <c r="O20" s="6">
        <v>122</v>
      </c>
      <c r="P20" s="6">
        <v>125</v>
      </c>
      <c r="Q20" s="6">
        <v>116</v>
      </c>
      <c r="R20" s="6">
        <v>123</v>
      </c>
      <c r="S20" s="6">
        <v>94</v>
      </c>
      <c r="T20" s="6">
        <v>122</v>
      </c>
      <c r="U20" s="6">
        <v>121</v>
      </c>
      <c r="V20" s="6">
        <v>120</v>
      </c>
      <c r="W20" s="6">
        <v>122</v>
      </c>
      <c r="X20" s="6">
        <v>108</v>
      </c>
      <c r="Y20" s="6">
        <v>107</v>
      </c>
      <c r="Z20" s="6">
        <v>89</v>
      </c>
      <c r="AA20" s="6">
        <v>118</v>
      </c>
      <c r="AB20" s="6">
        <v>96</v>
      </c>
      <c r="AC20" s="5">
        <f t="shared" si="2"/>
        <v>2705</v>
      </c>
    </row>
    <row r="21" spans="1:29" x14ac:dyDescent="0.4">
      <c r="A21" s="13"/>
      <c r="B21" s="75"/>
      <c r="C21" s="85"/>
      <c r="D21" s="5" t="s">
        <v>25</v>
      </c>
      <c r="E21" s="5">
        <f t="shared" ref="E21:AB21" si="3">SUM(E19:E20)</f>
        <v>136</v>
      </c>
      <c r="F21" s="5">
        <f t="shared" si="3"/>
        <v>192</v>
      </c>
      <c r="G21" s="5">
        <f t="shared" si="3"/>
        <v>219</v>
      </c>
      <c r="H21" s="5">
        <f t="shared" si="3"/>
        <v>177</v>
      </c>
      <c r="I21" s="5">
        <f t="shared" si="3"/>
        <v>237</v>
      </c>
      <c r="J21" s="5">
        <f t="shared" si="3"/>
        <v>246</v>
      </c>
      <c r="K21" s="5">
        <f t="shared" si="3"/>
        <v>245</v>
      </c>
      <c r="L21" s="5">
        <f t="shared" si="3"/>
        <v>251</v>
      </c>
      <c r="M21" s="5">
        <f t="shared" si="3"/>
        <v>203</v>
      </c>
      <c r="N21" s="5">
        <f t="shared" si="3"/>
        <v>204</v>
      </c>
      <c r="O21" s="5">
        <f t="shared" si="3"/>
        <v>228</v>
      </c>
      <c r="P21" s="5">
        <f t="shared" ref="P21:X21" si="4">SUM(P19:P20)</f>
        <v>249</v>
      </c>
      <c r="Q21" s="5">
        <f t="shared" si="4"/>
        <v>227</v>
      </c>
      <c r="R21" s="5">
        <f t="shared" si="4"/>
        <v>238</v>
      </c>
      <c r="S21" s="5">
        <f t="shared" si="4"/>
        <v>188</v>
      </c>
      <c r="T21" s="5">
        <f t="shared" si="4"/>
        <v>243</v>
      </c>
      <c r="U21" s="5">
        <f t="shared" si="4"/>
        <v>241</v>
      </c>
      <c r="V21" s="5">
        <f t="shared" si="4"/>
        <v>243</v>
      </c>
      <c r="W21" s="5">
        <f t="shared" si="4"/>
        <v>234</v>
      </c>
      <c r="X21" s="5">
        <f t="shared" si="4"/>
        <v>222</v>
      </c>
      <c r="Y21" s="5">
        <f t="shared" si="3"/>
        <v>212</v>
      </c>
      <c r="Z21" s="5">
        <f t="shared" si="3"/>
        <v>176</v>
      </c>
      <c r="AA21" s="5">
        <f t="shared" si="3"/>
        <v>217</v>
      </c>
      <c r="AB21" s="5">
        <f t="shared" si="3"/>
        <v>193</v>
      </c>
      <c r="AC21" s="5">
        <f t="shared" si="2"/>
        <v>5221</v>
      </c>
    </row>
    <row r="22" spans="1:29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5">
        <f t="shared" si="2"/>
        <v>4</v>
      </c>
    </row>
    <row r="23" spans="1:29" x14ac:dyDescent="0.4">
      <c r="A23" s="12"/>
      <c r="B23" s="74"/>
      <c r="C23" s="84"/>
      <c r="D23" s="6" t="s">
        <v>24</v>
      </c>
      <c r="E23" s="6">
        <v>1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2</v>
      </c>
      <c r="R23" s="6">
        <v>0</v>
      </c>
      <c r="S23" s="6">
        <v>1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6">
        <v>0</v>
      </c>
      <c r="AA23" s="6">
        <v>1</v>
      </c>
      <c r="AB23" s="6">
        <v>1</v>
      </c>
      <c r="AC23" s="5">
        <f t="shared" si="2"/>
        <v>10</v>
      </c>
    </row>
    <row r="24" spans="1:29" x14ac:dyDescent="0.4">
      <c r="A24" s="13"/>
      <c r="B24" s="75"/>
      <c r="C24" s="85"/>
      <c r="D24" s="5" t="s">
        <v>25</v>
      </c>
      <c r="E24" s="5">
        <f t="shared" ref="E24:AB24" si="5">SUM(E22:E23)</f>
        <v>1</v>
      </c>
      <c r="F24" s="5">
        <f t="shared" si="5"/>
        <v>0</v>
      </c>
      <c r="G24" s="5">
        <f t="shared" si="5"/>
        <v>1</v>
      </c>
      <c r="H24" s="5">
        <f t="shared" si="5"/>
        <v>0</v>
      </c>
      <c r="I24" s="5">
        <f t="shared" si="5"/>
        <v>1</v>
      </c>
      <c r="J24" s="5">
        <f t="shared" si="5"/>
        <v>0</v>
      </c>
      <c r="K24" s="5">
        <f t="shared" si="5"/>
        <v>1</v>
      </c>
      <c r="L24" s="5">
        <f t="shared" si="5"/>
        <v>0</v>
      </c>
      <c r="M24" s="5">
        <f t="shared" si="5"/>
        <v>1</v>
      </c>
      <c r="N24" s="5">
        <f t="shared" si="5"/>
        <v>0</v>
      </c>
      <c r="O24" s="5">
        <f t="shared" si="5"/>
        <v>0</v>
      </c>
      <c r="P24" s="5">
        <f t="shared" ref="P24:X24" si="6">SUM(P22:P23)</f>
        <v>0</v>
      </c>
      <c r="Q24" s="5">
        <f t="shared" si="6"/>
        <v>3</v>
      </c>
      <c r="R24" s="5">
        <f t="shared" si="6"/>
        <v>0</v>
      </c>
      <c r="S24" s="5">
        <f t="shared" si="6"/>
        <v>1</v>
      </c>
      <c r="T24" s="5">
        <f t="shared" si="6"/>
        <v>1</v>
      </c>
      <c r="U24" s="5">
        <f t="shared" si="6"/>
        <v>0</v>
      </c>
      <c r="V24" s="5">
        <f t="shared" si="6"/>
        <v>0</v>
      </c>
      <c r="W24" s="5">
        <f t="shared" si="6"/>
        <v>1</v>
      </c>
      <c r="X24" s="5">
        <f t="shared" si="6"/>
        <v>0</v>
      </c>
      <c r="Y24" s="5">
        <f t="shared" si="5"/>
        <v>0</v>
      </c>
      <c r="Z24" s="5">
        <f t="shared" si="5"/>
        <v>0</v>
      </c>
      <c r="AA24" s="5">
        <f t="shared" si="5"/>
        <v>2</v>
      </c>
      <c r="AB24" s="5">
        <f t="shared" si="5"/>
        <v>1</v>
      </c>
      <c r="AC24" s="5">
        <f t="shared" si="2"/>
        <v>14</v>
      </c>
    </row>
    <row r="25" spans="1:29" x14ac:dyDescent="0.4">
      <c r="A25" s="12"/>
      <c r="B25" s="82" t="s">
        <v>32</v>
      </c>
      <c r="C25" s="83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0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3</v>
      </c>
      <c r="W25" s="6">
        <v>1</v>
      </c>
      <c r="X25" s="6">
        <v>3</v>
      </c>
      <c r="Y25" s="6">
        <v>3</v>
      </c>
      <c r="Z25" s="6">
        <v>0</v>
      </c>
      <c r="AA25" s="6">
        <v>0</v>
      </c>
      <c r="AB25" s="6">
        <v>1</v>
      </c>
      <c r="AC25" s="5">
        <f t="shared" si="2"/>
        <v>15</v>
      </c>
    </row>
    <row r="26" spans="1:29" x14ac:dyDescent="0.4">
      <c r="A26" s="12"/>
      <c r="B26" s="74"/>
      <c r="C26" s="84"/>
      <c r="D26" s="6" t="s">
        <v>24</v>
      </c>
      <c r="E26" s="6">
        <v>1</v>
      </c>
      <c r="F26" s="6">
        <v>3</v>
      </c>
      <c r="G26" s="6">
        <v>1</v>
      </c>
      <c r="H26" s="6">
        <v>1</v>
      </c>
      <c r="I26" s="6">
        <v>0</v>
      </c>
      <c r="J26" s="6">
        <v>0</v>
      </c>
      <c r="K26" s="6">
        <v>2</v>
      </c>
      <c r="L26" s="6">
        <v>1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1</v>
      </c>
      <c r="V26" s="6">
        <v>0</v>
      </c>
      <c r="W26" s="6">
        <v>1</v>
      </c>
      <c r="X26" s="6">
        <v>2</v>
      </c>
      <c r="Y26" s="6">
        <v>2</v>
      </c>
      <c r="Z26" s="6">
        <v>0</v>
      </c>
      <c r="AA26" s="6">
        <v>0</v>
      </c>
      <c r="AB26" s="6">
        <v>1</v>
      </c>
      <c r="AC26" s="5">
        <f t="shared" si="2"/>
        <v>17</v>
      </c>
    </row>
    <row r="27" spans="1:29" x14ac:dyDescent="0.4">
      <c r="A27" s="13"/>
      <c r="B27" s="75"/>
      <c r="C27" s="85"/>
      <c r="D27" s="5" t="s">
        <v>25</v>
      </c>
      <c r="E27" s="5">
        <f t="shared" ref="E27:AB27" si="7">SUM(E25:E26)</f>
        <v>1</v>
      </c>
      <c r="F27" s="5">
        <f t="shared" si="7"/>
        <v>4</v>
      </c>
      <c r="G27" s="5">
        <f t="shared" si="7"/>
        <v>1</v>
      </c>
      <c r="H27" s="5">
        <f t="shared" si="7"/>
        <v>1</v>
      </c>
      <c r="I27" s="5">
        <f t="shared" si="7"/>
        <v>1</v>
      </c>
      <c r="J27" s="5">
        <f t="shared" si="7"/>
        <v>0</v>
      </c>
      <c r="K27" s="5">
        <f t="shared" si="7"/>
        <v>3</v>
      </c>
      <c r="L27" s="5">
        <f t="shared" si="7"/>
        <v>2</v>
      </c>
      <c r="M27" s="5">
        <f t="shared" si="7"/>
        <v>1</v>
      </c>
      <c r="N27" s="5">
        <f t="shared" si="7"/>
        <v>0</v>
      </c>
      <c r="O27" s="5">
        <f t="shared" si="7"/>
        <v>0</v>
      </c>
      <c r="P27" s="5">
        <f t="shared" ref="P27:X27" si="8">SUM(P25:P26)</f>
        <v>0</v>
      </c>
      <c r="Q27" s="5">
        <f t="shared" si="8"/>
        <v>0</v>
      </c>
      <c r="R27" s="5">
        <f t="shared" si="8"/>
        <v>0</v>
      </c>
      <c r="S27" s="5">
        <f t="shared" si="8"/>
        <v>0</v>
      </c>
      <c r="T27" s="5">
        <f t="shared" si="8"/>
        <v>0</v>
      </c>
      <c r="U27" s="5">
        <f t="shared" si="8"/>
        <v>1</v>
      </c>
      <c r="V27" s="5">
        <f t="shared" si="8"/>
        <v>3</v>
      </c>
      <c r="W27" s="5">
        <f t="shared" si="8"/>
        <v>2</v>
      </c>
      <c r="X27" s="5">
        <f t="shared" si="8"/>
        <v>5</v>
      </c>
      <c r="Y27" s="5">
        <f t="shared" si="7"/>
        <v>5</v>
      </c>
      <c r="Z27" s="5">
        <f t="shared" si="7"/>
        <v>0</v>
      </c>
      <c r="AA27" s="5">
        <f t="shared" si="7"/>
        <v>0</v>
      </c>
      <c r="AB27" s="5">
        <f t="shared" si="7"/>
        <v>2</v>
      </c>
      <c r="AC27" s="5">
        <f t="shared" si="2"/>
        <v>32</v>
      </c>
    </row>
    <row r="28" spans="1:29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63</v>
      </c>
      <c r="F28" s="5">
        <f t="shared" ref="F28:AB29" si="9">SUM(F19,F22,F25)</f>
        <v>89</v>
      </c>
      <c r="G28" s="5">
        <f t="shared" si="9"/>
        <v>101</v>
      </c>
      <c r="H28" s="5">
        <f t="shared" si="9"/>
        <v>80</v>
      </c>
      <c r="I28" s="5">
        <f t="shared" si="9"/>
        <v>105</v>
      </c>
      <c r="J28" s="5">
        <f t="shared" si="9"/>
        <v>117</v>
      </c>
      <c r="K28" s="5">
        <f t="shared" si="9"/>
        <v>118</v>
      </c>
      <c r="L28" s="5">
        <f t="shared" si="9"/>
        <v>125</v>
      </c>
      <c r="M28" s="5">
        <f t="shared" si="9"/>
        <v>97</v>
      </c>
      <c r="N28" s="5">
        <f t="shared" si="9"/>
        <v>98</v>
      </c>
      <c r="O28" s="5">
        <f t="shared" si="9"/>
        <v>106</v>
      </c>
      <c r="P28" s="5">
        <f t="shared" ref="P28:X28" si="10">SUM(P19,P22,P25)</f>
        <v>124</v>
      </c>
      <c r="Q28" s="5">
        <f t="shared" si="10"/>
        <v>112</v>
      </c>
      <c r="R28" s="5">
        <f t="shared" si="10"/>
        <v>115</v>
      </c>
      <c r="S28" s="5">
        <f t="shared" si="10"/>
        <v>94</v>
      </c>
      <c r="T28" s="5">
        <f t="shared" si="10"/>
        <v>122</v>
      </c>
      <c r="U28" s="5">
        <f t="shared" si="10"/>
        <v>120</v>
      </c>
      <c r="V28" s="5">
        <f t="shared" si="10"/>
        <v>126</v>
      </c>
      <c r="W28" s="5">
        <f t="shared" si="10"/>
        <v>113</v>
      </c>
      <c r="X28" s="5">
        <f t="shared" si="10"/>
        <v>117</v>
      </c>
      <c r="Y28" s="5">
        <f t="shared" si="9"/>
        <v>108</v>
      </c>
      <c r="Z28" s="5">
        <f t="shared" si="9"/>
        <v>87</v>
      </c>
      <c r="AA28" s="5">
        <f t="shared" si="9"/>
        <v>100</v>
      </c>
      <c r="AB28" s="5">
        <f t="shared" si="9"/>
        <v>98</v>
      </c>
      <c r="AC28" s="5">
        <f t="shared" si="2"/>
        <v>2535</v>
      </c>
    </row>
    <row r="29" spans="1:29" x14ac:dyDescent="0.4">
      <c r="A29" s="13"/>
      <c r="B29" s="74"/>
      <c r="C29" s="84"/>
      <c r="D29" s="5" t="s">
        <v>24</v>
      </c>
      <c r="E29" s="5">
        <f>SUM(E20,E23,E26)</f>
        <v>75</v>
      </c>
      <c r="F29" s="5">
        <f t="shared" si="9"/>
        <v>107</v>
      </c>
      <c r="G29" s="5">
        <f t="shared" si="9"/>
        <v>120</v>
      </c>
      <c r="H29" s="5">
        <f t="shared" si="9"/>
        <v>98</v>
      </c>
      <c r="I29" s="5">
        <f t="shared" si="9"/>
        <v>134</v>
      </c>
      <c r="J29" s="5">
        <f t="shared" si="9"/>
        <v>129</v>
      </c>
      <c r="K29" s="5">
        <f t="shared" si="9"/>
        <v>131</v>
      </c>
      <c r="L29" s="5">
        <f t="shared" si="9"/>
        <v>128</v>
      </c>
      <c r="M29" s="5">
        <f t="shared" si="9"/>
        <v>108</v>
      </c>
      <c r="N29" s="5">
        <f t="shared" si="9"/>
        <v>106</v>
      </c>
      <c r="O29" s="5">
        <f t="shared" si="9"/>
        <v>122</v>
      </c>
      <c r="P29" s="5">
        <f t="shared" ref="P29:X29" si="11">SUM(P20,P23,P26)</f>
        <v>125</v>
      </c>
      <c r="Q29" s="5">
        <f t="shared" si="11"/>
        <v>118</v>
      </c>
      <c r="R29" s="5">
        <f t="shared" si="11"/>
        <v>123</v>
      </c>
      <c r="S29" s="5">
        <f t="shared" si="11"/>
        <v>95</v>
      </c>
      <c r="T29" s="5">
        <f t="shared" si="11"/>
        <v>122</v>
      </c>
      <c r="U29" s="5">
        <f t="shared" si="11"/>
        <v>122</v>
      </c>
      <c r="V29" s="5">
        <f t="shared" si="11"/>
        <v>120</v>
      </c>
      <c r="W29" s="5">
        <f t="shared" si="11"/>
        <v>124</v>
      </c>
      <c r="X29" s="5">
        <f t="shared" si="11"/>
        <v>110</v>
      </c>
      <c r="Y29" s="5">
        <f t="shared" si="9"/>
        <v>109</v>
      </c>
      <c r="Z29" s="5">
        <f t="shared" si="9"/>
        <v>89</v>
      </c>
      <c r="AA29" s="5">
        <f t="shared" si="9"/>
        <v>119</v>
      </c>
      <c r="AB29" s="5">
        <f t="shared" si="9"/>
        <v>98</v>
      </c>
      <c r="AC29" s="5">
        <f t="shared" si="2"/>
        <v>2732</v>
      </c>
    </row>
    <row r="30" spans="1:29" x14ac:dyDescent="0.4">
      <c r="A30" s="13"/>
      <c r="B30" s="75"/>
      <c r="C30" s="85"/>
      <c r="D30" s="5" t="s">
        <v>25</v>
      </c>
      <c r="E30" s="5">
        <f t="shared" ref="E30:AB30" si="12">SUM(E28:E29)</f>
        <v>138</v>
      </c>
      <c r="F30" s="5">
        <f t="shared" si="12"/>
        <v>196</v>
      </c>
      <c r="G30" s="5">
        <f t="shared" si="12"/>
        <v>221</v>
      </c>
      <c r="H30" s="5">
        <f t="shared" si="12"/>
        <v>178</v>
      </c>
      <c r="I30" s="5">
        <f t="shared" si="12"/>
        <v>239</v>
      </c>
      <c r="J30" s="5">
        <f t="shared" si="12"/>
        <v>246</v>
      </c>
      <c r="K30" s="5">
        <f t="shared" si="12"/>
        <v>249</v>
      </c>
      <c r="L30" s="5">
        <f t="shared" si="12"/>
        <v>253</v>
      </c>
      <c r="M30" s="5">
        <f t="shared" si="12"/>
        <v>205</v>
      </c>
      <c r="N30" s="5">
        <f t="shared" si="12"/>
        <v>204</v>
      </c>
      <c r="O30" s="5">
        <f t="shared" si="12"/>
        <v>228</v>
      </c>
      <c r="P30" s="5">
        <f t="shared" ref="P30:X30" si="13">SUM(P28:P29)</f>
        <v>249</v>
      </c>
      <c r="Q30" s="5">
        <f t="shared" si="13"/>
        <v>230</v>
      </c>
      <c r="R30" s="5">
        <f t="shared" si="13"/>
        <v>238</v>
      </c>
      <c r="S30" s="5">
        <f t="shared" si="13"/>
        <v>189</v>
      </c>
      <c r="T30" s="5">
        <f t="shared" si="13"/>
        <v>244</v>
      </c>
      <c r="U30" s="5">
        <f t="shared" si="13"/>
        <v>242</v>
      </c>
      <c r="V30" s="5">
        <f t="shared" si="13"/>
        <v>246</v>
      </c>
      <c r="W30" s="5">
        <f t="shared" si="13"/>
        <v>237</v>
      </c>
      <c r="X30" s="5">
        <f t="shared" si="13"/>
        <v>227</v>
      </c>
      <c r="Y30" s="5">
        <f t="shared" si="12"/>
        <v>217</v>
      </c>
      <c r="Z30" s="5">
        <f t="shared" si="12"/>
        <v>176</v>
      </c>
      <c r="AA30" s="5">
        <f t="shared" si="12"/>
        <v>219</v>
      </c>
      <c r="AB30" s="5">
        <f t="shared" si="12"/>
        <v>196</v>
      </c>
      <c r="AC30" s="5">
        <f t="shared" si="2"/>
        <v>5267</v>
      </c>
    </row>
    <row r="31" spans="1:29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28"/>
    </row>
    <row r="32" spans="1:29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28"/>
    </row>
    <row r="33" spans="1:29" x14ac:dyDescent="0.4">
      <c r="A33" s="6">
        <v>1</v>
      </c>
      <c r="B33" s="77" t="s">
        <v>38</v>
      </c>
      <c r="C33" s="69"/>
      <c r="D33" s="60"/>
      <c r="E33" s="6">
        <v>175</v>
      </c>
      <c r="F33" s="6">
        <v>236</v>
      </c>
      <c r="G33" s="6">
        <v>296</v>
      </c>
      <c r="H33" s="6">
        <v>235</v>
      </c>
      <c r="I33" s="6">
        <v>279</v>
      </c>
      <c r="J33" s="6">
        <v>303</v>
      </c>
      <c r="K33" s="6">
        <v>301</v>
      </c>
      <c r="L33" s="6">
        <v>297</v>
      </c>
      <c r="M33" s="6">
        <v>266</v>
      </c>
      <c r="N33" s="6">
        <v>252</v>
      </c>
      <c r="O33" s="6">
        <v>257</v>
      </c>
      <c r="P33" s="6">
        <v>301</v>
      </c>
      <c r="Q33" s="6">
        <v>294</v>
      </c>
      <c r="R33" s="6">
        <v>292</v>
      </c>
      <c r="S33" s="6">
        <v>204</v>
      </c>
      <c r="T33" s="6">
        <v>290</v>
      </c>
      <c r="U33" s="6">
        <v>287</v>
      </c>
      <c r="V33" s="6">
        <v>284</v>
      </c>
      <c r="W33" s="6">
        <v>290</v>
      </c>
      <c r="X33" s="6">
        <v>272</v>
      </c>
      <c r="Y33" s="6">
        <v>257</v>
      </c>
      <c r="Z33" s="6">
        <v>221</v>
      </c>
      <c r="AA33" s="6">
        <v>261</v>
      </c>
      <c r="AB33" s="6">
        <v>255</v>
      </c>
      <c r="AC33" s="5">
        <f>SUM(E33:AB33)</f>
        <v>6405</v>
      </c>
    </row>
    <row r="34" spans="1:29" x14ac:dyDescent="0.4">
      <c r="A34" s="6">
        <v>2</v>
      </c>
      <c r="B34" s="77" t="s">
        <v>39</v>
      </c>
      <c r="C34" s="69"/>
      <c r="D34" s="60"/>
      <c r="E34" s="5">
        <v>138</v>
      </c>
      <c r="F34" s="5">
        <v>196</v>
      </c>
      <c r="G34" s="5">
        <v>221</v>
      </c>
      <c r="H34" s="5">
        <v>178</v>
      </c>
      <c r="I34" s="5">
        <v>239</v>
      </c>
      <c r="J34" s="5">
        <v>246</v>
      </c>
      <c r="K34" s="5">
        <v>249</v>
      </c>
      <c r="L34" s="5">
        <v>253</v>
      </c>
      <c r="M34" s="5">
        <v>205</v>
      </c>
      <c r="N34" s="5">
        <v>204</v>
      </c>
      <c r="O34" s="5">
        <v>228</v>
      </c>
      <c r="P34" s="5">
        <v>249</v>
      </c>
      <c r="Q34" s="5">
        <v>230</v>
      </c>
      <c r="R34" s="5">
        <v>238</v>
      </c>
      <c r="S34" s="5">
        <v>189</v>
      </c>
      <c r="T34" s="5">
        <v>244</v>
      </c>
      <c r="U34" s="5">
        <v>242</v>
      </c>
      <c r="V34" s="5">
        <v>246</v>
      </c>
      <c r="W34" s="5">
        <v>237</v>
      </c>
      <c r="X34" s="5">
        <v>227</v>
      </c>
      <c r="Y34" s="5">
        <v>217</v>
      </c>
      <c r="Z34" s="5">
        <v>176</v>
      </c>
      <c r="AA34" s="5">
        <v>219</v>
      </c>
      <c r="AB34" s="5">
        <v>196</v>
      </c>
      <c r="AC34" s="5">
        <f>SUM(E34:AB34)</f>
        <v>5267</v>
      </c>
    </row>
    <row r="35" spans="1:29" x14ac:dyDescent="0.4">
      <c r="A35" s="6">
        <v>3</v>
      </c>
      <c r="B35" s="77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2</v>
      </c>
      <c r="Q35" s="6">
        <v>0</v>
      </c>
      <c r="R35" s="6">
        <v>0</v>
      </c>
      <c r="S35" s="6">
        <v>0</v>
      </c>
      <c r="T35" s="6">
        <v>3</v>
      </c>
      <c r="U35" s="6">
        <v>0</v>
      </c>
      <c r="V35" s="6">
        <v>0</v>
      </c>
      <c r="W35" s="6">
        <v>0</v>
      </c>
      <c r="X35" s="6">
        <v>1</v>
      </c>
      <c r="Y35" s="6">
        <v>2</v>
      </c>
      <c r="Z35" s="6">
        <v>0</v>
      </c>
      <c r="AA35" s="6">
        <v>0</v>
      </c>
      <c r="AB35" s="6">
        <v>0</v>
      </c>
      <c r="AC35" s="5">
        <f>SUM(E35:AB35)</f>
        <v>9</v>
      </c>
    </row>
    <row r="36" spans="1:29" x14ac:dyDescent="0.4">
      <c r="A36" s="6">
        <v>4</v>
      </c>
      <c r="B36" s="77" t="s">
        <v>41</v>
      </c>
      <c r="C36" s="69"/>
      <c r="D36" s="60"/>
      <c r="E36" s="5">
        <f t="shared" ref="E36:AB36" si="14">E33-(E34+E35)</f>
        <v>37</v>
      </c>
      <c r="F36" s="5">
        <f t="shared" si="14"/>
        <v>40</v>
      </c>
      <c r="G36" s="5">
        <f t="shared" si="14"/>
        <v>75</v>
      </c>
      <c r="H36" s="5">
        <f t="shared" si="14"/>
        <v>57</v>
      </c>
      <c r="I36" s="5">
        <f t="shared" si="14"/>
        <v>39</v>
      </c>
      <c r="J36" s="5">
        <f t="shared" si="14"/>
        <v>57</v>
      </c>
      <c r="K36" s="5">
        <f t="shared" si="14"/>
        <v>52</v>
      </c>
      <c r="L36" s="5">
        <f t="shared" si="14"/>
        <v>44</v>
      </c>
      <c r="M36" s="5">
        <f t="shared" si="14"/>
        <v>61</v>
      </c>
      <c r="N36" s="5">
        <f t="shared" si="14"/>
        <v>48</v>
      </c>
      <c r="O36" s="5">
        <f t="shared" si="14"/>
        <v>29</v>
      </c>
      <c r="P36" s="5">
        <f t="shared" ref="P36:X36" si="15">P33-(P34+P35)</f>
        <v>50</v>
      </c>
      <c r="Q36" s="5">
        <f t="shared" si="15"/>
        <v>64</v>
      </c>
      <c r="R36" s="5">
        <f t="shared" si="15"/>
        <v>54</v>
      </c>
      <c r="S36" s="5">
        <f t="shared" si="15"/>
        <v>15</v>
      </c>
      <c r="T36" s="5">
        <f t="shared" si="15"/>
        <v>43</v>
      </c>
      <c r="U36" s="5">
        <f t="shared" si="15"/>
        <v>45</v>
      </c>
      <c r="V36" s="5">
        <f t="shared" si="15"/>
        <v>38</v>
      </c>
      <c r="W36" s="5">
        <f t="shared" si="15"/>
        <v>53</v>
      </c>
      <c r="X36" s="5">
        <f t="shared" si="15"/>
        <v>44</v>
      </c>
      <c r="Y36" s="5">
        <f t="shared" si="14"/>
        <v>38</v>
      </c>
      <c r="Z36" s="5">
        <f t="shared" si="14"/>
        <v>45</v>
      </c>
      <c r="AA36" s="5">
        <f t="shared" si="14"/>
        <v>42</v>
      </c>
      <c r="AB36" s="5">
        <f t="shared" si="14"/>
        <v>59</v>
      </c>
      <c r="AC36" s="5">
        <f>SUM(E36:AB36)</f>
        <v>1129</v>
      </c>
    </row>
    <row r="37" spans="1:29" x14ac:dyDescent="0.4">
      <c r="A37" s="61"/>
      <c r="B37" s="69"/>
      <c r="C37" s="69"/>
      <c r="D37" s="69"/>
      <c r="E37" s="61"/>
      <c r="F37" s="88"/>
      <c r="G37" s="88"/>
      <c r="H37" s="88"/>
      <c r="I37" s="89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8"/>
    </row>
    <row r="38" spans="1:29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28"/>
    </row>
    <row r="39" spans="1:29" x14ac:dyDescent="0.4">
      <c r="A39" s="11"/>
      <c r="B39" s="72" t="s">
        <v>44</v>
      </c>
      <c r="C39" s="68"/>
      <c r="D39" s="6" t="s">
        <v>23</v>
      </c>
      <c r="E39" s="6"/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</v>
      </c>
      <c r="X39" s="6"/>
      <c r="Y39" s="6"/>
      <c r="Z39" s="6"/>
      <c r="AA39" s="6">
        <v>2</v>
      </c>
      <c r="AB39" s="6">
        <v>1</v>
      </c>
      <c r="AC39" s="5">
        <f>SUM(E39:AB39)</f>
        <v>5</v>
      </c>
    </row>
    <row r="40" spans="1:29" x14ac:dyDescent="0.4">
      <c r="A40" s="12"/>
      <c r="B40" s="73"/>
      <c r="C40" s="74"/>
      <c r="D40" s="6" t="s">
        <v>24</v>
      </c>
      <c r="E40" s="6">
        <v>1</v>
      </c>
      <c r="F40" s="6"/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2</v>
      </c>
      <c r="AB40" s="6"/>
      <c r="AC40" s="5">
        <f>SUM(E40:AB40)</f>
        <v>4</v>
      </c>
    </row>
    <row r="41" spans="1:29" x14ac:dyDescent="0.4">
      <c r="A41" s="14"/>
      <c r="B41" s="71"/>
      <c r="C41" s="75"/>
      <c r="D41" s="5" t="s">
        <v>25</v>
      </c>
      <c r="E41" s="5">
        <f t="shared" ref="E41:AB41" si="16">SUM(E39:E40)</f>
        <v>1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1</v>
      </c>
      <c r="K41" s="5">
        <f t="shared" si="16"/>
        <v>0</v>
      </c>
      <c r="L41" s="5">
        <f t="shared" si="16"/>
        <v>0</v>
      </c>
      <c r="M41" s="5">
        <f t="shared" si="16"/>
        <v>1</v>
      </c>
      <c r="N41" s="5">
        <f t="shared" si="16"/>
        <v>0</v>
      </c>
      <c r="O41" s="5">
        <f t="shared" si="16"/>
        <v>0</v>
      </c>
      <c r="P41" s="5">
        <f t="shared" ref="P41:X41" si="17">SUM(P39:P40)</f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0</v>
      </c>
      <c r="W41" s="5">
        <f t="shared" si="17"/>
        <v>1</v>
      </c>
      <c r="X41" s="5">
        <f t="shared" si="17"/>
        <v>0</v>
      </c>
      <c r="Y41" s="5">
        <f t="shared" si="16"/>
        <v>0</v>
      </c>
      <c r="Z41" s="5">
        <f t="shared" si="16"/>
        <v>0</v>
      </c>
      <c r="AA41" s="5">
        <f t="shared" si="16"/>
        <v>4</v>
      </c>
      <c r="AB41" s="5">
        <f t="shared" si="16"/>
        <v>1</v>
      </c>
      <c r="AC41" s="5">
        <f>SUM(E41:AB41)</f>
        <v>9</v>
      </c>
    </row>
    <row r="42" spans="1:29" x14ac:dyDescent="0.4">
      <c r="A42" s="70"/>
      <c r="B42" s="71"/>
      <c r="C42" s="71"/>
      <c r="D42" s="75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10"/>
      <c r="Z42" s="6"/>
      <c r="AA42" s="10"/>
      <c r="AB42" s="6"/>
      <c r="AC42" s="5"/>
    </row>
    <row r="43" spans="1:29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15"/>
      <c r="Z43" s="5"/>
      <c r="AA43" s="15"/>
      <c r="AB43" s="5"/>
      <c r="AC43" s="5"/>
    </row>
    <row r="44" spans="1:29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10"/>
      <c r="Z44" s="6"/>
      <c r="AA44" s="10"/>
      <c r="AB44" s="6"/>
      <c r="AC44" s="5"/>
    </row>
    <row r="45" spans="1:29" x14ac:dyDescent="0.4">
      <c r="A45" s="11" t="s">
        <v>48</v>
      </c>
      <c r="B45" s="17" t="s">
        <v>28</v>
      </c>
      <c r="C45" s="59" t="s">
        <v>49</v>
      </c>
      <c r="D45" s="60"/>
      <c r="E45" s="6">
        <v>6</v>
      </c>
      <c r="F45" s="6">
        <v>11</v>
      </c>
      <c r="G45" s="6">
        <v>7</v>
      </c>
      <c r="H45" s="6">
        <v>3</v>
      </c>
      <c r="I45" s="6">
        <v>14</v>
      </c>
      <c r="J45" s="6">
        <v>9</v>
      </c>
      <c r="K45" s="6">
        <v>10</v>
      </c>
      <c r="L45" s="6">
        <v>6</v>
      </c>
      <c r="M45" s="6">
        <v>11</v>
      </c>
      <c r="N45" s="6">
        <v>27</v>
      </c>
      <c r="O45" s="6">
        <v>15</v>
      </c>
      <c r="P45" s="6">
        <v>4</v>
      </c>
      <c r="Q45" s="6">
        <v>10</v>
      </c>
      <c r="R45" s="6">
        <v>3</v>
      </c>
      <c r="S45" s="6">
        <v>9</v>
      </c>
      <c r="T45" s="6">
        <v>6</v>
      </c>
      <c r="U45" s="6">
        <v>5</v>
      </c>
      <c r="V45" s="6">
        <v>16</v>
      </c>
      <c r="W45" s="6">
        <v>18</v>
      </c>
      <c r="X45" s="6">
        <v>10</v>
      </c>
      <c r="Y45" s="6">
        <v>6</v>
      </c>
      <c r="Z45" s="6">
        <v>0</v>
      </c>
      <c r="AA45" s="6">
        <v>4</v>
      </c>
      <c r="AB45" s="6">
        <v>4</v>
      </c>
      <c r="AC45" s="5">
        <f t="shared" ref="AC45:AC51" si="18">SUM(E45:AB45)</f>
        <v>214</v>
      </c>
    </row>
    <row r="46" spans="1:29" x14ac:dyDescent="0.4">
      <c r="A46" s="11" t="s">
        <v>50</v>
      </c>
      <c r="B46" s="46">
        <v>1</v>
      </c>
      <c r="C46" s="24" t="s">
        <v>114</v>
      </c>
      <c r="D46" s="47"/>
      <c r="E46" s="6">
        <v>8</v>
      </c>
      <c r="F46" s="6">
        <v>15</v>
      </c>
      <c r="G46" s="6">
        <v>13</v>
      </c>
      <c r="H46" s="6">
        <v>2</v>
      </c>
      <c r="I46" s="6">
        <v>16</v>
      </c>
      <c r="J46" s="6">
        <v>3</v>
      </c>
      <c r="K46" s="6">
        <v>68</v>
      </c>
      <c r="L46" s="6">
        <v>17</v>
      </c>
      <c r="M46" s="6">
        <v>49</v>
      </c>
      <c r="N46" s="6">
        <v>48</v>
      </c>
      <c r="O46" s="6">
        <v>24</v>
      </c>
      <c r="P46" s="6">
        <v>3</v>
      </c>
      <c r="Q46" s="6">
        <v>12</v>
      </c>
      <c r="R46" s="6">
        <v>1</v>
      </c>
      <c r="S46" s="6">
        <v>5</v>
      </c>
      <c r="T46" s="6">
        <v>13</v>
      </c>
      <c r="U46" s="6">
        <v>17</v>
      </c>
      <c r="V46" s="6">
        <v>35</v>
      </c>
      <c r="W46" s="6">
        <v>12</v>
      </c>
      <c r="X46" s="6">
        <v>6</v>
      </c>
      <c r="Y46" s="6">
        <v>17</v>
      </c>
      <c r="Z46" s="6">
        <v>1</v>
      </c>
      <c r="AA46" s="6">
        <v>5</v>
      </c>
      <c r="AB46" s="6">
        <v>3</v>
      </c>
      <c r="AC46" s="5">
        <f t="shared" si="18"/>
        <v>393</v>
      </c>
    </row>
    <row r="47" spans="1:29" x14ac:dyDescent="0.4">
      <c r="A47" s="7"/>
      <c r="B47" s="46">
        <v>2</v>
      </c>
      <c r="C47" s="24" t="s">
        <v>115</v>
      </c>
      <c r="D47" s="47"/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4</v>
      </c>
      <c r="K47" s="6">
        <v>0</v>
      </c>
      <c r="L47" s="6">
        <v>1</v>
      </c>
      <c r="M47" s="6">
        <v>1</v>
      </c>
      <c r="N47" s="6">
        <v>0</v>
      </c>
      <c r="O47" s="6">
        <v>1</v>
      </c>
      <c r="P47" s="6">
        <v>1</v>
      </c>
      <c r="Q47" s="6">
        <v>1</v>
      </c>
      <c r="R47" s="6">
        <v>2</v>
      </c>
      <c r="S47" s="6">
        <v>2</v>
      </c>
      <c r="T47" s="6">
        <v>0</v>
      </c>
      <c r="U47" s="6">
        <v>2</v>
      </c>
      <c r="V47" s="6">
        <v>0</v>
      </c>
      <c r="W47" s="6">
        <v>4</v>
      </c>
      <c r="X47" s="6">
        <v>5</v>
      </c>
      <c r="Y47" s="6">
        <v>9</v>
      </c>
      <c r="Z47" s="6">
        <v>1</v>
      </c>
      <c r="AA47" s="6">
        <v>4</v>
      </c>
      <c r="AB47" s="6">
        <v>1</v>
      </c>
      <c r="AC47" s="5">
        <f t="shared" si="18"/>
        <v>40</v>
      </c>
    </row>
    <row r="48" spans="1:29" x14ac:dyDescent="0.4">
      <c r="A48" s="7"/>
      <c r="B48" s="46">
        <v>3</v>
      </c>
      <c r="C48" s="24" t="s">
        <v>116</v>
      </c>
      <c r="D48" s="47"/>
      <c r="E48" s="6">
        <v>0</v>
      </c>
      <c r="F48" s="6">
        <v>1</v>
      </c>
      <c r="G48" s="6">
        <v>4</v>
      </c>
      <c r="H48" s="6">
        <v>1</v>
      </c>
      <c r="I48" s="6">
        <v>2</v>
      </c>
      <c r="J48" s="6">
        <v>0</v>
      </c>
      <c r="K48" s="6">
        <v>1</v>
      </c>
      <c r="L48" s="6">
        <v>0</v>
      </c>
      <c r="M48" s="6">
        <v>0</v>
      </c>
      <c r="N48" s="6">
        <v>1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1</v>
      </c>
      <c r="Y48" s="6">
        <v>0</v>
      </c>
      <c r="Z48" s="6">
        <v>0</v>
      </c>
      <c r="AA48" s="6">
        <v>2</v>
      </c>
      <c r="AB48" s="6">
        <v>0</v>
      </c>
      <c r="AC48" s="5">
        <f t="shared" si="18"/>
        <v>15</v>
      </c>
    </row>
    <row r="49" spans="1:29" x14ac:dyDescent="0.4">
      <c r="A49" s="7"/>
      <c r="B49" s="46">
        <v>4</v>
      </c>
      <c r="C49" s="24" t="s">
        <v>117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6">
        <v>3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1</v>
      </c>
      <c r="AC49" s="5">
        <f t="shared" si="18"/>
        <v>6</v>
      </c>
    </row>
    <row r="50" spans="1:29" x14ac:dyDescent="0.4">
      <c r="A50" s="7"/>
      <c r="B50" s="46">
        <v>5</v>
      </c>
      <c r="C50" s="24" t="s">
        <v>118</v>
      </c>
      <c r="D50" s="47"/>
      <c r="E50" s="6">
        <v>0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1</v>
      </c>
      <c r="W50" s="6">
        <v>3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f t="shared" si="18"/>
        <v>7</v>
      </c>
    </row>
    <row r="51" spans="1:29" x14ac:dyDescent="0.4">
      <c r="A51" s="7"/>
      <c r="B51" s="46">
        <v>6</v>
      </c>
      <c r="C51" s="24" t="s">
        <v>119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2</v>
      </c>
      <c r="M51" s="6">
        <v>0</v>
      </c>
      <c r="N51" s="6">
        <v>1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2</v>
      </c>
      <c r="W51" s="6">
        <v>10</v>
      </c>
      <c r="X51" s="6">
        <v>7</v>
      </c>
      <c r="Y51" s="6">
        <v>14</v>
      </c>
      <c r="Z51" s="6">
        <v>0</v>
      </c>
      <c r="AA51" s="6">
        <v>23</v>
      </c>
      <c r="AB51" s="6">
        <v>0</v>
      </c>
      <c r="AC51" s="5">
        <f t="shared" si="18"/>
        <v>61</v>
      </c>
    </row>
    <row r="52" spans="1:29" x14ac:dyDescent="0.4">
      <c r="A52" s="6" t="s">
        <v>26</v>
      </c>
      <c r="B52" s="53" t="s">
        <v>51</v>
      </c>
      <c r="C52" s="69"/>
      <c r="D52" s="60"/>
      <c r="E52" s="5">
        <f t="shared" ref="E52:AC52" si="19">SUM(E45:E51)</f>
        <v>14</v>
      </c>
      <c r="F52" s="5">
        <f t="shared" si="19"/>
        <v>27</v>
      </c>
      <c r="G52" s="5">
        <f t="shared" si="19"/>
        <v>26</v>
      </c>
      <c r="H52" s="5">
        <f t="shared" si="19"/>
        <v>6</v>
      </c>
      <c r="I52" s="5">
        <f t="shared" si="19"/>
        <v>32</v>
      </c>
      <c r="J52" s="5">
        <f t="shared" si="19"/>
        <v>16</v>
      </c>
      <c r="K52" s="5">
        <f t="shared" si="19"/>
        <v>79</v>
      </c>
      <c r="L52" s="5">
        <f t="shared" si="19"/>
        <v>26</v>
      </c>
      <c r="M52" s="5">
        <f t="shared" si="19"/>
        <v>61</v>
      </c>
      <c r="N52" s="5">
        <f t="shared" si="19"/>
        <v>79</v>
      </c>
      <c r="O52" s="5">
        <f t="shared" si="19"/>
        <v>42</v>
      </c>
      <c r="P52" s="5">
        <f t="shared" si="19"/>
        <v>8</v>
      </c>
      <c r="Q52" s="5">
        <f t="shared" si="19"/>
        <v>23</v>
      </c>
      <c r="R52" s="5">
        <f t="shared" si="19"/>
        <v>6</v>
      </c>
      <c r="S52" s="5">
        <f t="shared" si="19"/>
        <v>16</v>
      </c>
      <c r="T52" s="5">
        <f t="shared" si="19"/>
        <v>22</v>
      </c>
      <c r="U52" s="5">
        <f t="shared" si="19"/>
        <v>24</v>
      </c>
      <c r="V52" s="5">
        <f t="shared" si="19"/>
        <v>57</v>
      </c>
      <c r="W52" s="5">
        <f t="shared" si="19"/>
        <v>48</v>
      </c>
      <c r="X52" s="5">
        <f t="shared" si="19"/>
        <v>29</v>
      </c>
      <c r="Y52" s="5">
        <f t="shared" si="19"/>
        <v>46</v>
      </c>
      <c r="Z52" s="5">
        <f t="shared" si="19"/>
        <v>2</v>
      </c>
      <c r="AA52" s="5">
        <f t="shared" si="19"/>
        <v>38</v>
      </c>
      <c r="AB52" s="5">
        <f t="shared" si="19"/>
        <v>9</v>
      </c>
      <c r="AC52" s="5">
        <f t="shared" si="19"/>
        <v>736</v>
      </c>
    </row>
    <row r="53" spans="1:29" x14ac:dyDescent="0.4">
      <c r="A53" s="70"/>
      <c r="B53" s="71"/>
      <c r="C53" s="71"/>
      <c r="D53" s="71"/>
      <c r="E53" s="71"/>
      <c r="AC53" s="5"/>
    </row>
    <row r="54" spans="1:29" x14ac:dyDescent="0.4">
      <c r="A54" s="11" t="s">
        <v>48</v>
      </c>
      <c r="B54" s="17" t="s">
        <v>30</v>
      </c>
      <c r="C54" s="59" t="s">
        <v>52</v>
      </c>
      <c r="D54" s="60"/>
      <c r="E54" s="6">
        <v>8</v>
      </c>
      <c r="F54" s="6">
        <v>4</v>
      </c>
      <c r="G54" s="6">
        <v>8</v>
      </c>
      <c r="H54" s="6">
        <v>6</v>
      </c>
      <c r="I54" s="6">
        <v>21</v>
      </c>
      <c r="J54" s="6">
        <v>9</v>
      </c>
      <c r="K54" s="6">
        <v>5</v>
      </c>
      <c r="L54" s="6">
        <v>5</v>
      </c>
      <c r="M54" s="6">
        <v>5</v>
      </c>
      <c r="N54" s="6">
        <v>4</v>
      </c>
      <c r="O54" s="6">
        <v>5</v>
      </c>
      <c r="P54" s="6">
        <v>6</v>
      </c>
      <c r="Q54" s="6">
        <v>11</v>
      </c>
      <c r="R54" s="6">
        <v>30</v>
      </c>
      <c r="S54" s="6">
        <v>12</v>
      </c>
      <c r="T54" s="6">
        <v>11</v>
      </c>
      <c r="U54" s="6">
        <v>7</v>
      </c>
      <c r="V54" s="6">
        <v>9</v>
      </c>
      <c r="W54" s="6">
        <v>10</v>
      </c>
      <c r="X54" s="6">
        <v>4</v>
      </c>
      <c r="Y54" s="6">
        <v>5</v>
      </c>
      <c r="Z54" s="6">
        <v>3</v>
      </c>
      <c r="AA54" s="6">
        <v>1</v>
      </c>
      <c r="AB54" s="6">
        <v>9</v>
      </c>
      <c r="AC54" s="5">
        <f t="shared" ref="AC54:AC60" si="20">SUM(E54:AB54)</f>
        <v>198</v>
      </c>
    </row>
    <row r="55" spans="1:29" x14ac:dyDescent="0.4">
      <c r="A55" s="11" t="s">
        <v>50</v>
      </c>
      <c r="B55" s="46">
        <v>1</v>
      </c>
      <c r="C55" s="24" t="s">
        <v>120</v>
      </c>
      <c r="D55" s="47"/>
      <c r="E55" s="6">
        <v>5</v>
      </c>
      <c r="F55" s="6">
        <v>6</v>
      </c>
      <c r="G55" s="6">
        <v>11</v>
      </c>
      <c r="H55" s="6">
        <v>5</v>
      </c>
      <c r="I55" s="6">
        <v>13</v>
      </c>
      <c r="J55" s="6">
        <v>16</v>
      </c>
      <c r="K55" s="6">
        <v>20</v>
      </c>
      <c r="L55" s="6">
        <v>10</v>
      </c>
      <c r="M55" s="6">
        <v>29</v>
      </c>
      <c r="N55" s="6">
        <v>17</v>
      </c>
      <c r="O55" s="6">
        <v>11</v>
      </c>
      <c r="P55" s="6">
        <v>4</v>
      </c>
      <c r="Q55" s="6">
        <v>5</v>
      </c>
      <c r="R55" s="6">
        <v>6</v>
      </c>
      <c r="S55" s="6">
        <v>7</v>
      </c>
      <c r="T55" s="6">
        <v>32</v>
      </c>
      <c r="U55" s="6">
        <v>49</v>
      </c>
      <c r="V55" s="6">
        <v>14</v>
      </c>
      <c r="W55" s="6">
        <v>11</v>
      </c>
      <c r="X55" s="6">
        <v>3</v>
      </c>
      <c r="Y55" s="6">
        <v>5</v>
      </c>
      <c r="Z55" s="6">
        <v>4</v>
      </c>
      <c r="AA55" s="6">
        <v>3</v>
      </c>
      <c r="AB55" s="6">
        <v>5</v>
      </c>
      <c r="AC55" s="5">
        <f t="shared" si="20"/>
        <v>291</v>
      </c>
    </row>
    <row r="56" spans="1:29" x14ac:dyDescent="0.4">
      <c r="A56" s="7"/>
      <c r="B56" s="46">
        <v>2</v>
      </c>
      <c r="C56" s="24" t="s">
        <v>121</v>
      </c>
      <c r="D56" s="47"/>
      <c r="E56" s="6">
        <v>0</v>
      </c>
      <c r="F56" s="6">
        <v>0</v>
      </c>
      <c r="G56" s="6">
        <v>4</v>
      </c>
      <c r="H56" s="6">
        <v>0</v>
      </c>
      <c r="I56" s="6">
        <v>8</v>
      </c>
      <c r="J56" s="6">
        <v>4</v>
      </c>
      <c r="K56" s="6">
        <v>1</v>
      </c>
      <c r="L56" s="6">
        <v>1</v>
      </c>
      <c r="M56" s="6">
        <v>5</v>
      </c>
      <c r="N56" s="6">
        <v>0</v>
      </c>
      <c r="O56" s="6">
        <v>2</v>
      </c>
      <c r="P56" s="6">
        <v>0</v>
      </c>
      <c r="Q56" s="6">
        <v>1</v>
      </c>
      <c r="R56" s="6">
        <v>2</v>
      </c>
      <c r="S56" s="6">
        <v>5</v>
      </c>
      <c r="T56" s="6">
        <v>2</v>
      </c>
      <c r="U56" s="6">
        <v>4</v>
      </c>
      <c r="V56" s="6">
        <v>3</v>
      </c>
      <c r="W56" s="6">
        <v>1</v>
      </c>
      <c r="X56" s="6">
        <v>1</v>
      </c>
      <c r="Y56" s="6">
        <v>5</v>
      </c>
      <c r="Z56" s="6">
        <v>1</v>
      </c>
      <c r="AA56" s="6">
        <v>1</v>
      </c>
      <c r="AB56" s="6">
        <v>3</v>
      </c>
      <c r="AC56" s="5">
        <f t="shared" si="20"/>
        <v>54</v>
      </c>
    </row>
    <row r="57" spans="1:29" x14ac:dyDescent="0.4">
      <c r="A57" s="7"/>
      <c r="B57" s="46">
        <v>3</v>
      </c>
      <c r="C57" s="24" t="s">
        <v>122</v>
      </c>
      <c r="D57" s="47"/>
      <c r="E57" s="6">
        <v>3</v>
      </c>
      <c r="F57" s="6">
        <v>1</v>
      </c>
      <c r="G57" s="6">
        <v>2</v>
      </c>
      <c r="H57" s="6">
        <v>0</v>
      </c>
      <c r="I57" s="6">
        <v>2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4</v>
      </c>
      <c r="U57" s="6">
        <v>11</v>
      </c>
      <c r="V57" s="6">
        <v>15</v>
      </c>
      <c r="W57" s="6">
        <v>2</v>
      </c>
      <c r="X57" s="6">
        <v>8</v>
      </c>
      <c r="Y57" s="6">
        <v>1</v>
      </c>
      <c r="Z57" s="6">
        <v>5</v>
      </c>
      <c r="AA57" s="6">
        <v>7</v>
      </c>
      <c r="AB57" s="6">
        <v>1</v>
      </c>
      <c r="AC57" s="5">
        <f t="shared" si="20"/>
        <v>62</v>
      </c>
    </row>
    <row r="58" spans="1:29" x14ac:dyDescent="0.4">
      <c r="A58" s="7"/>
      <c r="B58" s="46">
        <v>4</v>
      </c>
      <c r="C58" s="24" t="s">
        <v>123</v>
      </c>
      <c r="D58" s="47"/>
      <c r="E58" s="6">
        <v>0</v>
      </c>
      <c r="F58" s="6">
        <v>0</v>
      </c>
      <c r="G58" s="6">
        <v>1</v>
      </c>
      <c r="H58" s="6">
        <v>0</v>
      </c>
      <c r="I58" s="6">
        <v>1</v>
      </c>
      <c r="J58" s="6">
        <v>0</v>
      </c>
      <c r="K58" s="6">
        <v>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1</v>
      </c>
      <c r="Y58" s="6">
        <v>0</v>
      </c>
      <c r="Z58" s="6">
        <v>0</v>
      </c>
      <c r="AA58" s="6">
        <v>1</v>
      </c>
      <c r="AB58" s="6">
        <v>5</v>
      </c>
      <c r="AC58" s="5">
        <f t="shared" si="20"/>
        <v>15</v>
      </c>
    </row>
    <row r="59" spans="1:29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</v>
      </c>
      <c r="P59" s="6">
        <v>0</v>
      </c>
      <c r="Q59" s="6">
        <v>1</v>
      </c>
      <c r="R59" s="6">
        <v>0</v>
      </c>
      <c r="S59" s="6">
        <v>1</v>
      </c>
      <c r="T59" s="6">
        <v>0</v>
      </c>
      <c r="U59" s="6">
        <v>0</v>
      </c>
      <c r="V59" s="6">
        <v>0</v>
      </c>
      <c r="W59" s="6">
        <v>1</v>
      </c>
      <c r="X59" s="6">
        <v>0</v>
      </c>
      <c r="Y59" s="6">
        <v>1</v>
      </c>
      <c r="Z59" s="6">
        <v>0</v>
      </c>
      <c r="AA59" s="6">
        <v>1</v>
      </c>
      <c r="AB59" s="6">
        <v>0</v>
      </c>
      <c r="AC59" s="5">
        <f t="shared" si="20"/>
        <v>6</v>
      </c>
    </row>
    <row r="60" spans="1:29" ht="13.15" customHeight="1" x14ac:dyDescent="0.4">
      <c r="A60" s="7"/>
      <c r="B60" s="46">
        <v>6</v>
      </c>
      <c r="C60" s="24" t="s">
        <v>125</v>
      </c>
      <c r="D60" s="47"/>
      <c r="E60" s="6">
        <v>1</v>
      </c>
      <c r="F60" s="6">
        <v>2</v>
      </c>
      <c r="G60" s="6">
        <v>6</v>
      </c>
      <c r="H60" s="6">
        <v>0</v>
      </c>
      <c r="I60" s="6">
        <v>4</v>
      </c>
      <c r="J60" s="6">
        <v>0</v>
      </c>
      <c r="K60" s="6">
        <v>3</v>
      </c>
      <c r="L60" s="6">
        <v>0</v>
      </c>
      <c r="M60" s="6">
        <v>0</v>
      </c>
      <c r="N60" s="6">
        <v>2</v>
      </c>
      <c r="O60" s="6">
        <v>0</v>
      </c>
      <c r="P60" s="6">
        <v>0</v>
      </c>
      <c r="Q60" s="6">
        <v>1</v>
      </c>
      <c r="R60" s="6">
        <v>11</v>
      </c>
      <c r="S60" s="6">
        <v>19</v>
      </c>
      <c r="T60" s="6">
        <v>9</v>
      </c>
      <c r="U60" s="6">
        <v>4</v>
      </c>
      <c r="V60" s="6">
        <v>22</v>
      </c>
      <c r="W60" s="6">
        <v>22</v>
      </c>
      <c r="X60" s="6">
        <v>8</v>
      </c>
      <c r="Y60" s="6">
        <v>2</v>
      </c>
      <c r="Z60" s="6">
        <v>3</v>
      </c>
      <c r="AA60" s="6">
        <v>1</v>
      </c>
      <c r="AB60" s="6">
        <v>1</v>
      </c>
      <c r="AC60" s="5">
        <f t="shared" si="20"/>
        <v>121</v>
      </c>
    </row>
    <row r="61" spans="1:29" x14ac:dyDescent="0.4">
      <c r="A61" s="6" t="s">
        <v>26</v>
      </c>
      <c r="B61" s="53" t="s">
        <v>51</v>
      </c>
      <c r="C61" s="69"/>
      <c r="D61" s="60"/>
      <c r="E61" s="5">
        <f t="shared" ref="E61:AC61" si="21">SUM(E54:E60)</f>
        <v>17</v>
      </c>
      <c r="F61" s="5">
        <f t="shared" si="21"/>
        <v>13</v>
      </c>
      <c r="G61" s="5">
        <f t="shared" si="21"/>
        <v>32</v>
      </c>
      <c r="H61" s="5">
        <f t="shared" si="21"/>
        <v>11</v>
      </c>
      <c r="I61" s="5">
        <f t="shared" si="21"/>
        <v>49</v>
      </c>
      <c r="J61" s="5">
        <f t="shared" si="21"/>
        <v>29</v>
      </c>
      <c r="K61" s="5">
        <f t="shared" si="21"/>
        <v>34</v>
      </c>
      <c r="L61" s="5">
        <f t="shared" si="21"/>
        <v>16</v>
      </c>
      <c r="M61" s="5">
        <f t="shared" si="21"/>
        <v>39</v>
      </c>
      <c r="N61" s="5">
        <f t="shared" si="21"/>
        <v>23</v>
      </c>
      <c r="O61" s="5">
        <f t="shared" si="21"/>
        <v>19</v>
      </c>
      <c r="P61" s="5">
        <f t="shared" si="21"/>
        <v>10</v>
      </c>
      <c r="Q61" s="5">
        <f t="shared" si="21"/>
        <v>19</v>
      </c>
      <c r="R61" s="5">
        <f t="shared" si="21"/>
        <v>50</v>
      </c>
      <c r="S61" s="5">
        <f t="shared" si="21"/>
        <v>44</v>
      </c>
      <c r="T61" s="5">
        <f t="shared" si="21"/>
        <v>58</v>
      </c>
      <c r="U61" s="5">
        <f t="shared" si="21"/>
        <v>75</v>
      </c>
      <c r="V61" s="5">
        <f t="shared" si="21"/>
        <v>63</v>
      </c>
      <c r="W61" s="5">
        <f t="shared" si="21"/>
        <v>47</v>
      </c>
      <c r="X61" s="5">
        <f t="shared" si="21"/>
        <v>25</v>
      </c>
      <c r="Y61" s="5">
        <f t="shared" si="21"/>
        <v>19</v>
      </c>
      <c r="Z61" s="5">
        <f t="shared" si="21"/>
        <v>16</v>
      </c>
      <c r="AA61" s="5">
        <f t="shared" si="21"/>
        <v>15</v>
      </c>
      <c r="AB61" s="5">
        <f t="shared" si="21"/>
        <v>24</v>
      </c>
      <c r="AC61" s="5">
        <f t="shared" si="21"/>
        <v>747</v>
      </c>
    </row>
    <row r="62" spans="1:29" x14ac:dyDescent="0.4">
      <c r="A62" s="70"/>
      <c r="B62" s="71"/>
      <c r="C62" s="71"/>
      <c r="D62" s="71"/>
      <c r="E62" s="71"/>
    </row>
    <row r="63" spans="1:29" x14ac:dyDescent="0.4">
      <c r="A63" s="11" t="s">
        <v>48</v>
      </c>
      <c r="B63" s="17" t="s">
        <v>32</v>
      </c>
      <c r="C63" s="59" t="s">
        <v>53</v>
      </c>
      <c r="D63" s="60"/>
      <c r="E63" s="6">
        <v>2</v>
      </c>
      <c r="F63" s="6">
        <v>3</v>
      </c>
      <c r="G63" s="6">
        <v>8</v>
      </c>
      <c r="H63" s="6">
        <v>0</v>
      </c>
      <c r="I63" s="6">
        <v>9</v>
      </c>
      <c r="J63" s="6">
        <v>12</v>
      </c>
      <c r="K63" s="6">
        <v>2</v>
      </c>
      <c r="L63" s="6">
        <v>7</v>
      </c>
      <c r="M63" s="6">
        <v>4</v>
      </c>
      <c r="N63" s="6">
        <v>4</v>
      </c>
      <c r="O63" s="6">
        <v>5</v>
      </c>
      <c r="P63" s="6">
        <v>12</v>
      </c>
      <c r="Q63" s="6">
        <v>23</v>
      </c>
      <c r="R63" s="6">
        <v>17</v>
      </c>
      <c r="S63" s="6">
        <v>2</v>
      </c>
      <c r="T63" s="6">
        <v>7</v>
      </c>
      <c r="U63" s="6">
        <v>3</v>
      </c>
      <c r="V63" s="6">
        <v>7</v>
      </c>
      <c r="W63" s="6">
        <v>2</v>
      </c>
      <c r="X63" s="6">
        <v>2</v>
      </c>
      <c r="Y63" s="6">
        <v>3</v>
      </c>
      <c r="Z63" s="6">
        <v>4</v>
      </c>
      <c r="AA63" s="6">
        <v>0</v>
      </c>
      <c r="AB63" s="6">
        <v>7</v>
      </c>
      <c r="AC63" s="5">
        <f t="shared" ref="AC63:AC69" si="22">SUM(E63:AB63)</f>
        <v>145</v>
      </c>
    </row>
    <row r="64" spans="1:29" x14ac:dyDescent="0.4">
      <c r="A64" s="11" t="s">
        <v>50</v>
      </c>
      <c r="B64" s="46">
        <v>1</v>
      </c>
      <c r="C64" s="24" t="s">
        <v>126</v>
      </c>
      <c r="D64" s="47"/>
      <c r="E64" s="6">
        <v>3</v>
      </c>
      <c r="F64" s="6">
        <v>4</v>
      </c>
      <c r="G64" s="6">
        <v>8</v>
      </c>
      <c r="H64" s="6">
        <v>5</v>
      </c>
      <c r="I64" s="6">
        <v>9</v>
      </c>
      <c r="J64" s="6">
        <v>23</v>
      </c>
      <c r="K64" s="6">
        <v>4</v>
      </c>
      <c r="L64" s="6">
        <v>1</v>
      </c>
      <c r="M64" s="6">
        <v>5</v>
      </c>
      <c r="N64" s="6">
        <v>2</v>
      </c>
      <c r="O64" s="6">
        <v>3</v>
      </c>
      <c r="P64" s="6">
        <v>6</v>
      </c>
      <c r="Q64" s="6">
        <v>7</v>
      </c>
      <c r="R64" s="6">
        <v>10</v>
      </c>
      <c r="S64" s="6">
        <v>0</v>
      </c>
      <c r="T64" s="6">
        <v>5</v>
      </c>
      <c r="U64" s="6">
        <v>5</v>
      </c>
      <c r="V64" s="6">
        <v>5</v>
      </c>
      <c r="W64" s="6">
        <v>2</v>
      </c>
      <c r="X64" s="6">
        <v>3</v>
      </c>
      <c r="Y64" s="6">
        <v>3</v>
      </c>
      <c r="Z64" s="6">
        <v>4</v>
      </c>
      <c r="AA64" s="6">
        <v>11</v>
      </c>
      <c r="AB64" s="6">
        <v>4</v>
      </c>
      <c r="AC64" s="5">
        <f t="shared" si="22"/>
        <v>132</v>
      </c>
    </row>
    <row r="65" spans="1:29" x14ac:dyDescent="0.4">
      <c r="A65" s="7"/>
      <c r="B65" s="46">
        <v>2</v>
      </c>
      <c r="C65" s="24" t="s">
        <v>127</v>
      </c>
      <c r="D65" s="47"/>
      <c r="E65" s="6">
        <v>3</v>
      </c>
      <c r="F65" s="6">
        <v>2</v>
      </c>
      <c r="G65" s="6">
        <v>3</v>
      </c>
      <c r="H65" s="6">
        <v>0</v>
      </c>
      <c r="I65" s="6">
        <v>4</v>
      </c>
      <c r="J65" s="6">
        <v>22</v>
      </c>
      <c r="K65" s="6">
        <v>20</v>
      </c>
      <c r="L65" s="6">
        <v>2</v>
      </c>
      <c r="M65" s="6">
        <v>15</v>
      </c>
      <c r="N65" s="6">
        <v>8</v>
      </c>
      <c r="O65" s="6">
        <v>25</v>
      </c>
      <c r="P65" s="6">
        <v>177</v>
      </c>
      <c r="Q65" s="6">
        <v>79</v>
      </c>
      <c r="R65" s="6">
        <v>17</v>
      </c>
      <c r="S65" s="6">
        <v>5</v>
      </c>
      <c r="T65" s="6">
        <v>4</v>
      </c>
      <c r="U65" s="6">
        <v>15</v>
      </c>
      <c r="V65" s="6">
        <v>5</v>
      </c>
      <c r="W65" s="6">
        <v>19</v>
      </c>
      <c r="X65" s="6">
        <v>11</v>
      </c>
      <c r="Y65" s="6">
        <v>13</v>
      </c>
      <c r="Z65" s="6">
        <v>4</v>
      </c>
      <c r="AA65" s="6">
        <v>5</v>
      </c>
      <c r="AB65" s="6">
        <v>12</v>
      </c>
      <c r="AC65" s="5">
        <f t="shared" si="22"/>
        <v>470</v>
      </c>
    </row>
    <row r="66" spans="1:29" x14ac:dyDescent="0.4">
      <c r="A66" s="7"/>
      <c r="B66" s="46">
        <v>3</v>
      </c>
      <c r="C66" s="24" t="s">
        <v>128</v>
      </c>
      <c r="D66" s="47"/>
      <c r="E66" s="6">
        <v>0</v>
      </c>
      <c r="F66" s="6">
        <v>0</v>
      </c>
      <c r="G66" s="6">
        <v>3</v>
      </c>
      <c r="H66" s="6">
        <v>0</v>
      </c>
      <c r="I66" s="6">
        <v>0</v>
      </c>
      <c r="J66" s="6">
        <v>1</v>
      </c>
      <c r="K66" s="6">
        <v>0</v>
      </c>
      <c r="L66" s="6">
        <v>0</v>
      </c>
      <c r="M66" s="6">
        <v>2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0</v>
      </c>
      <c r="T66" s="6">
        <v>2</v>
      </c>
      <c r="U66" s="6">
        <v>0</v>
      </c>
      <c r="V66" s="6">
        <v>4</v>
      </c>
      <c r="W66" s="6">
        <v>0</v>
      </c>
      <c r="X66" s="6">
        <v>1</v>
      </c>
      <c r="Y66" s="6">
        <v>1</v>
      </c>
      <c r="Z66" s="6">
        <v>0</v>
      </c>
      <c r="AA66" s="6">
        <v>1</v>
      </c>
      <c r="AB66" s="6">
        <v>0</v>
      </c>
      <c r="AC66" s="5">
        <f t="shared" si="22"/>
        <v>16</v>
      </c>
    </row>
    <row r="67" spans="1:29" x14ac:dyDescent="0.4">
      <c r="A67" s="7"/>
      <c r="B67" s="46">
        <v>4</v>
      </c>
      <c r="C67" s="24" t="s">
        <v>129</v>
      </c>
      <c r="D67" s="47"/>
      <c r="E67" s="6">
        <v>0</v>
      </c>
      <c r="F67" s="6">
        <v>1</v>
      </c>
      <c r="G67" s="6">
        <v>0</v>
      </c>
      <c r="H67" s="6">
        <v>0</v>
      </c>
      <c r="I67" s="6">
        <v>0</v>
      </c>
      <c r="J67" s="6">
        <v>2</v>
      </c>
      <c r="K67" s="6">
        <v>1</v>
      </c>
      <c r="L67" s="6">
        <v>1</v>
      </c>
      <c r="M67" s="6">
        <v>0</v>
      </c>
      <c r="N67" s="6">
        <v>0</v>
      </c>
      <c r="O67" s="6">
        <v>1</v>
      </c>
      <c r="P67" s="6">
        <v>0</v>
      </c>
      <c r="Q67" s="6">
        <v>1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6">
        <v>1</v>
      </c>
      <c r="Y67" s="6">
        <v>1</v>
      </c>
      <c r="Z67" s="6">
        <v>0</v>
      </c>
      <c r="AA67" s="6">
        <v>0</v>
      </c>
      <c r="AB67" s="6">
        <v>1</v>
      </c>
      <c r="AC67" s="5">
        <f t="shared" si="22"/>
        <v>11</v>
      </c>
    </row>
    <row r="68" spans="1:29" ht="13.15" customHeight="1" x14ac:dyDescent="0.4">
      <c r="A68" s="7"/>
      <c r="B68" s="46">
        <v>5</v>
      </c>
      <c r="C68" s="24" t="s">
        <v>130</v>
      </c>
      <c r="D68" s="47"/>
      <c r="E68" s="6">
        <v>1</v>
      </c>
      <c r="F68" s="6">
        <v>1</v>
      </c>
      <c r="G68" s="6">
        <v>1</v>
      </c>
      <c r="H68" s="6">
        <v>0</v>
      </c>
      <c r="I68" s="6">
        <v>2</v>
      </c>
      <c r="J68" s="6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1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5">
        <f t="shared" si="22"/>
        <v>8</v>
      </c>
    </row>
    <row r="69" spans="1:29" x14ac:dyDescent="0.4">
      <c r="A69" s="7"/>
      <c r="B69" s="46">
        <v>6</v>
      </c>
      <c r="C69" s="24" t="s">
        <v>131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1</v>
      </c>
      <c r="R69" s="6">
        <v>0</v>
      </c>
      <c r="S69" s="6">
        <v>0</v>
      </c>
      <c r="T69" s="6">
        <v>0</v>
      </c>
      <c r="U69" s="6">
        <v>0</v>
      </c>
      <c r="V69" s="6">
        <v>2</v>
      </c>
      <c r="W69" s="6">
        <v>0</v>
      </c>
      <c r="X69" s="6">
        <v>0</v>
      </c>
      <c r="Y69" s="6">
        <v>0</v>
      </c>
      <c r="Z69" s="6">
        <v>0</v>
      </c>
      <c r="AA69" s="6">
        <v>1</v>
      </c>
      <c r="AB69" s="6">
        <v>1</v>
      </c>
      <c r="AC69" s="5">
        <f t="shared" si="22"/>
        <v>6</v>
      </c>
    </row>
    <row r="70" spans="1:29" x14ac:dyDescent="0.4">
      <c r="A70" s="6" t="s">
        <v>26</v>
      </c>
      <c r="B70" s="53" t="s">
        <v>51</v>
      </c>
      <c r="C70" s="69"/>
      <c r="D70" s="60"/>
      <c r="E70" s="5">
        <f t="shared" ref="E70:AC70" si="23">SUM(E63:E69)</f>
        <v>9</v>
      </c>
      <c r="F70" s="5">
        <f t="shared" si="23"/>
        <v>11</v>
      </c>
      <c r="G70" s="5">
        <f t="shared" si="23"/>
        <v>23</v>
      </c>
      <c r="H70" s="5">
        <f t="shared" si="23"/>
        <v>5</v>
      </c>
      <c r="I70" s="5">
        <f t="shared" si="23"/>
        <v>24</v>
      </c>
      <c r="J70" s="5">
        <f t="shared" si="23"/>
        <v>60</v>
      </c>
      <c r="K70" s="5">
        <f t="shared" si="23"/>
        <v>27</v>
      </c>
      <c r="L70" s="5">
        <f t="shared" si="23"/>
        <v>12</v>
      </c>
      <c r="M70" s="5">
        <f t="shared" si="23"/>
        <v>26</v>
      </c>
      <c r="N70" s="5">
        <f t="shared" si="23"/>
        <v>14</v>
      </c>
      <c r="O70" s="5">
        <f t="shared" si="23"/>
        <v>35</v>
      </c>
      <c r="P70" s="5">
        <f t="shared" si="23"/>
        <v>196</v>
      </c>
      <c r="Q70" s="5">
        <f t="shared" si="23"/>
        <v>112</v>
      </c>
      <c r="R70" s="5">
        <f t="shared" si="23"/>
        <v>44</v>
      </c>
      <c r="S70" s="5">
        <f t="shared" si="23"/>
        <v>7</v>
      </c>
      <c r="T70" s="5">
        <f t="shared" si="23"/>
        <v>18</v>
      </c>
      <c r="U70" s="5">
        <f t="shared" si="23"/>
        <v>24</v>
      </c>
      <c r="V70" s="5">
        <f t="shared" si="23"/>
        <v>23</v>
      </c>
      <c r="W70" s="5">
        <f t="shared" si="23"/>
        <v>24</v>
      </c>
      <c r="X70" s="5">
        <f t="shared" si="23"/>
        <v>18</v>
      </c>
      <c r="Y70" s="5">
        <f t="shared" si="23"/>
        <v>21</v>
      </c>
      <c r="Z70" s="5">
        <f t="shared" si="23"/>
        <v>12</v>
      </c>
      <c r="AA70" s="5">
        <f t="shared" si="23"/>
        <v>18</v>
      </c>
      <c r="AB70" s="5">
        <f t="shared" si="23"/>
        <v>25</v>
      </c>
      <c r="AC70" s="5">
        <f t="shared" si="23"/>
        <v>788</v>
      </c>
    </row>
    <row r="71" spans="1:29" x14ac:dyDescent="0.4">
      <c r="A71" s="70"/>
      <c r="B71" s="71"/>
      <c r="C71" s="71"/>
      <c r="D71" s="71"/>
      <c r="E71" s="71"/>
    </row>
    <row r="72" spans="1:29" x14ac:dyDescent="0.4">
      <c r="A72" s="11" t="s">
        <v>48</v>
      </c>
      <c r="B72" s="17" t="s">
        <v>34</v>
      </c>
      <c r="C72" s="59" t="s">
        <v>54</v>
      </c>
      <c r="D72" s="60"/>
      <c r="E72" s="6">
        <v>0</v>
      </c>
      <c r="F72" s="6">
        <v>17</v>
      </c>
      <c r="G72" s="6">
        <v>4</v>
      </c>
      <c r="H72" s="6">
        <v>8</v>
      </c>
      <c r="I72" s="6">
        <v>7</v>
      </c>
      <c r="J72" s="6">
        <v>9</v>
      </c>
      <c r="K72" s="6">
        <v>3</v>
      </c>
      <c r="L72" s="6">
        <v>5</v>
      </c>
      <c r="M72" s="6">
        <v>6</v>
      </c>
      <c r="N72" s="6">
        <v>3</v>
      </c>
      <c r="O72" s="6">
        <v>4</v>
      </c>
      <c r="P72" s="6">
        <v>0</v>
      </c>
      <c r="Q72" s="6">
        <v>7</v>
      </c>
      <c r="R72" s="6">
        <v>4</v>
      </c>
      <c r="S72" s="6">
        <v>17</v>
      </c>
      <c r="T72" s="6">
        <v>1</v>
      </c>
      <c r="U72" s="6">
        <v>0</v>
      </c>
      <c r="V72" s="6">
        <v>1</v>
      </c>
      <c r="W72" s="6">
        <v>2</v>
      </c>
      <c r="X72" s="6">
        <v>2</v>
      </c>
      <c r="Y72" s="6">
        <v>8</v>
      </c>
      <c r="Z72" s="6">
        <v>2</v>
      </c>
      <c r="AA72" s="6">
        <v>2</v>
      </c>
      <c r="AB72" s="6">
        <v>4</v>
      </c>
      <c r="AC72" s="5">
        <f t="shared" ref="AC72:AC78" si="24">SUM(E72:AB72)</f>
        <v>116</v>
      </c>
    </row>
    <row r="73" spans="1:29" x14ac:dyDescent="0.4">
      <c r="A73" s="11" t="s">
        <v>50</v>
      </c>
      <c r="B73" s="46">
        <v>1</v>
      </c>
      <c r="C73" s="24" t="s">
        <v>132</v>
      </c>
      <c r="D73" s="47"/>
      <c r="E73" s="6">
        <v>2</v>
      </c>
      <c r="F73" s="6">
        <v>52</v>
      </c>
      <c r="G73" s="6">
        <v>12</v>
      </c>
      <c r="H73" s="6">
        <v>47</v>
      </c>
      <c r="I73" s="6">
        <v>53</v>
      </c>
      <c r="J73" s="6">
        <v>64</v>
      </c>
      <c r="K73" s="6">
        <v>63</v>
      </c>
      <c r="L73" s="6">
        <v>12</v>
      </c>
      <c r="M73" s="6">
        <v>6</v>
      </c>
      <c r="N73" s="6">
        <v>3</v>
      </c>
      <c r="O73" s="6">
        <v>6</v>
      </c>
      <c r="P73" s="6">
        <v>3</v>
      </c>
      <c r="Q73" s="6">
        <v>0</v>
      </c>
      <c r="R73" s="6">
        <v>3</v>
      </c>
      <c r="S73" s="6">
        <v>45</v>
      </c>
      <c r="T73" s="6">
        <v>3</v>
      </c>
      <c r="U73" s="6">
        <v>3</v>
      </c>
      <c r="V73" s="6">
        <v>4</v>
      </c>
      <c r="W73" s="6">
        <v>3</v>
      </c>
      <c r="X73" s="6">
        <v>2</v>
      </c>
      <c r="Y73" s="6">
        <v>44</v>
      </c>
      <c r="Z73" s="6">
        <v>1</v>
      </c>
      <c r="AA73" s="6">
        <v>2</v>
      </c>
      <c r="AB73" s="6">
        <v>4</v>
      </c>
      <c r="AC73" s="5">
        <f t="shared" si="24"/>
        <v>437</v>
      </c>
    </row>
    <row r="74" spans="1:29" x14ac:dyDescent="0.4">
      <c r="A74" s="7"/>
      <c r="B74" s="46">
        <v>2</v>
      </c>
      <c r="C74" s="24" t="s">
        <v>133</v>
      </c>
      <c r="D74" s="47"/>
      <c r="E74" s="6">
        <v>3</v>
      </c>
      <c r="F74" s="6">
        <v>5</v>
      </c>
      <c r="G74" s="6">
        <v>12</v>
      </c>
      <c r="H74" s="6">
        <v>2</v>
      </c>
      <c r="I74" s="6">
        <v>13</v>
      </c>
      <c r="J74" s="6">
        <v>8</v>
      </c>
      <c r="K74" s="6">
        <v>0</v>
      </c>
      <c r="L74" s="6">
        <v>1</v>
      </c>
      <c r="M74" s="6">
        <v>17</v>
      </c>
      <c r="N74" s="6">
        <v>6</v>
      </c>
      <c r="O74" s="6">
        <v>0</v>
      </c>
      <c r="P74" s="6">
        <v>3</v>
      </c>
      <c r="Q74" s="6">
        <v>19</v>
      </c>
      <c r="R74" s="6">
        <v>3</v>
      </c>
      <c r="S74" s="6">
        <v>12</v>
      </c>
      <c r="T74" s="6">
        <v>10</v>
      </c>
      <c r="U74" s="6">
        <v>9</v>
      </c>
      <c r="V74" s="6">
        <v>36</v>
      </c>
      <c r="W74" s="6">
        <v>25</v>
      </c>
      <c r="X74" s="6">
        <v>40</v>
      </c>
      <c r="Y74" s="6">
        <v>9</v>
      </c>
      <c r="Z74" s="6">
        <v>14</v>
      </c>
      <c r="AA74" s="6">
        <v>67</v>
      </c>
      <c r="AB74" s="6">
        <v>13</v>
      </c>
      <c r="AC74" s="5">
        <f t="shared" si="24"/>
        <v>327</v>
      </c>
    </row>
    <row r="75" spans="1:29" x14ac:dyDescent="0.4">
      <c r="A75" s="7"/>
      <c r="B75" s="46">
        <v>3</v>
      </c>
      <c r="C75" s="24" t="s">
        <v>134</v>
      </c>
      <c r="D75" s="47"/>
      <c r="E75" s="6">
        <v>0</v>
      </c>
      <c r="F75" s="6">
        <v>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4</v>
      </c>
      <c r="T75" s="6">
        <v>0</v>
      </c>
      <c r="U75" s="6">
        <v>0</v>
      </c>
      <c r="V75" s="6">
        <v>0</v>
      </c>
      <c r="W75" s="6">
        <v>1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5">
        <f t="shared" si="24"/>
        <v>8</v>
      </c>
    </row>
    <row r="76" spans="1:29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1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1</v>
      </c>
      <c r="Z76" s="6">
        <v>0</v>
      </c>
      <c r="AA76" s="6">
        <v>1</v>
      </c>
      <c r="AB76" s="6">
        <v>1</v>
      </c>
      <c r="AC76" s="5">
        <f t="shared" si="24"/>
        <v>7</v>
      </c>
    </row>
    <row r="77" spans="1:29" x14ac:dyDescent="0.4">
      <c r="A77" s="7"/>
      <c r="B77" s="46">
        <v>5</v>
      </c>
      <c r="C77" s="24" t="s">
        <v>136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2</v>
      </c>
      <c r="N77" s="6">
        <v>0</v>
      </c>
      <c r="O77" s="6">
        <v>3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f t="shared" si="24"/>
        <v>5</v>
      </c>
    </row>
    <row r="78" spans="1:29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1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0</v>
      </c>
      <c r="AC78" s="5">
        <f t="shared" si="24"/>
        <v>3</v>
      </c>
    </row>
    <row r="79" spans="1:29" x14ac:dyDescent="0.4">
      <c r="A79" s="6" t="s">
        <v>26</v>
      </c>
      <c r="B79" s="53" t="s">
        <v>51</v>
      </c>
      <c r="C79" s="69"/>
      <c r="D79" s="60"/>
      <c r="E79" s="5">
        <f t="shared" ref="E79:AC79" si="25">SUM(E72:E78)</f>
        <v>5</v>
      </c>
      <c r="F79" s="5">
        <f t="shared" si="25"/>
        <v>75</v>
      </c>
      <c r="G79" s="5">
        <f t="shared" si="25"/>
        <v>28</v>
      </c>
      <c r="H79" s="5">
        <f t="shared" si="25"/>
        <v>57</v>
      </c>
      <c r="I79" s="5">
        <f t="shared" si="25"/>
        <v>73</v>
      </c>
      <c r="J79" s="5">
        <f t="shared" si="25"/>
        <v>82</v>
      </c>
      <c r="K79" s="5">
        <f t="shared" si="25"/>
        <v>67</v>
      </c>
      <c r="L79" s="5">
        <f t="shared" si="25"/>
        <v>19</v>
      </c>
      <c r="M79" s="5">
        <f t="shared" si="25"/>
        <v>32</v>
      </c>
      <c r="N79" s="5">
        <f t="shared" si="25"/>
        <v>12</v>
      </c>
      <c r="O79" s="5">
        <f t="shared" si="25"/>
        <v>14</v>
      </c>
      <c r="P79" s="5">
        <f t="shared" si="25"/>
        <v>6</v>
      </c>
      <c r="Q79" s="5">
        <f t="shared" si="25"/>
        <v>26</v>
      </c>
      <c r="R79" s="5">
        <f t="shared" si="25"/>
        <v>12</v>
      </c>
      <c r="S79" s="5">
        <f t="shared" si="25"/>
        <v>78</v>
      </c>
      <c r="T79" s="5">
        <f t="shared" si="25"/>
        <v>14</v>
      </c>
      <c r="U79" s="5">
        <f t="shared" si="25"/>
        <v>12</v>
      </c>
      <c r="V79" s="5">
        <f t="shared" si="25"/>
        <v>41</v>
      </c>
      <c r="W79" s="5">
        <f t="shared" si="25"/>
        <v>31</v>
      </c>
      <c r="X79" s="5">
        <f t="shared" si="25"/>
        <v>44</v>
      </c>
      <c r="Y79" s="5">
        <f t="shared" si="25"/>
        <v>64</v>
      </c>
      <c r="Z79" s="5">
        <f t="shared" si="25"/>
        <v>17</v>
      </c>
      <c r="AA79" s="5">
        <f t="shared" si="25"/>
        <v>72</v>
      </c>
      <c r="AB79" s="5">
        <f t="shared" si="25"/>
        <v>22</v>
      </c>
      <c r="AC79" s="5">
        <f t="shared" si="25"/>
        <v>903</v>
      </c>
    </row>
    <row r="80" spans="1:29" x14ac:dyDescent="0.4">
      <c r="A80" s="70"/>
      <c r="B80" s="71"/>
      <c r="C80" s="71"/>
      <c r="D80" s="71"/>
      <c r="E80" s="71"/>
    </row>
    <row r="81" spans="1:29" x14ac:dyDescent="0.4">
      <c r="A81" s="11" t="s">
        <v>48</v>
      </c>
      <c r="B81" s="17" t="s">
        <v>55</v>
      </c>
      <c r="C81" s="59" t="s">
        <v>56</v>
      </c>
      <c r="D81" s="60"/>
      <c r="E81" s="6">
        <v>3</v>
      </c>
      <c r="F81" s="6">
        <v>1</v>
      </c>
      <c r="G81" s="6">
        <v>1</v>
      </c>
      <c r="H81" s="6">
        <v>1</v>
      </c>
      <c r="I81" s="6">
        <v>4</v>
      </c>
      <c r="J81" s="6">
        <v>0</v>
      </c>
      <c r="K81" s="6">
        <v>2</v>
      </c>
      <c r="L81" s="6">
        <v>6</v>
      </c>
      <c r="M81" s="6">
        <v>0</v>
      </c>
      <c r="N81" s="6">
        <v>2</v>
      </c>
      <c r="O81" s="6">
        <v>4</v>
      </c>
      <c r="P81" s="6">
        <v>0</v>
      </c>
      <c r="Q81" s="6">
        <v>1</v>
      </c>
      <c r="R81" s="6">
        <v>5</v>
      </c>
      <c r="S81" s="6">
        <v>0</v>
      </c>
      <c r="T81" s="6">
        <v>9</v>
      </c>
      <c r="U81" s="6">
        <v>1</v>
      </c>
      <c r="V81" s="6">
        <v>0</v>
      </c>
      <c r="W81" s="6">
        <v>5</v>
      </c>
      <c r="X81" s="6">
        <v>7</v>
      </c>
      <c r="Y81" s="6">
        <v>2</v>
      </c>
      <c r="Z81" s="6">
        <v>10</v>
      </c>
      <c r="AA81" s="6">
        <v>0</v>
      </c>
      <c r="AB81" s="6">
        <v>6</v>
      </c>
      <c r="AC81" s="5">
        <f t="shared" ref="AC81:AC87" si="26">SUM(E81:AB81)</f>
        <v>70</v>
      </c>
    </row>
    <row r="82" spans="1:29" x14ac:dyDescent="0.4">
      <c r="A82" s="11" t="s">
        <v>50</v>
      </c>
      <c r="B82" s="46">
        <v>1</v>
      </c>
      <c r="C82" s="24" t="s">
        <v>138</v>
      </c>
      <c r="D82" s="47"/>
      <c r="E82" s="6">
        <v>2</v>
      </c>
      <c r="F82" s="6">
        <v>0</v>
      </c>
      <c r="G82" s="6">
        <v>2</v>
      </c>
      <c r="H82" s="6">
        <v>0</v>
      </c>
      <c r="I82" s="6">
        <v>9</v>
      </c>
      <c r="J82" s="6">
        <v>5</v>
      </c>
      <c r="K82" s="6">
        <v>1</v>
      </c>
      <c r="L82" s="6">
        <v>3</v>
      </c>
      <c r="M82" s="6">
        <v>4</v>
      </c>
      <c r="N82" s="6">
        <v>4</v>
      </c>
      <c r="O82" s="6">
        <v>5</v>
      </c>
      <c r="P82" s="6">
        <v>5</v>
      </c>
      <c r="Q82" s="6">
        <v>3</v>
      </c>
      <c r="R82" s="6">
        <v>20</v>
      </c>
      <c r="S82" s="6">
        <v>0</v>
      </c>
      <c r="T82" s="6">
        <v>6</v>
      </c>
      <c r="U82" s="6">
        <v>15</v>
      </c>
      <c r="V82" s="6">
        <v>11</v>
      </c>
      <c r="W82" s="6">
        <v>6</v>
      </c>
      <c r="X82" s="6">
        <v>37</v>
      </c>
      <c r="Y82" s="6">
        <v>5</v>
      </c>
      <c r="Z82" s="6">
        <v>47</v>
      </c>
      <c r="AA82" s="6">
        <v>6</v>
      </c>
      <c r="AB82" s="6">
        <v>19</v>
      </c>
      <c r="AC82" s="5">
        <f t="shared" si="26"/>
        <v>215</v>
      </c>
    </row>
    <row r="83" spans="1:29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1</v>
      </c>
      <c r="S83" s="6">
        <v>0</v>
      </c>
      <c r="T83" s="6">
        <v>1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5">
        <f t="shared" si="26"/>
        <v>4</v>
      </c>
    </row>
    <row r="84" spans="1:29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2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2</v>
      </c>
      <c r="W84" s="6">
        <v>1</v>
      </c>
      <c r="X84" s="6">
        <v>4</v>
      </c>
      <c r="Y84" s="6">
        <v>0</v>
      </c>
      <c r="Z84" s="6">
        <v>0</v>
      </c>
      <c r="AA84" s="6">
        <v>0</v>
      </c>
      <c r="AB84" s="6">
        <v>0</v>
      </c>
      <c r="AC84" s="5">
        <f t="shared" si="26"/>
        <v>10</v>
      </c>
    </row>
    <row r="85" spans="1:29" x14ac:dyDescent="0.4">
      <c r="A85" s="7"/>
      <c r="B85" s="46">
        <v>4</v>
      </c>
      <c r="C85" s="24" t="s">
        <v>141</v>
      </c>
      <c r="D85" s="47"/>
      <c r="E85" s="6">
        <v>0</v>
      </c>
      <c r="F85" s="6">
        <v>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2</v>
      </c>
      <c r="X85" s="6">
        <v>0</v>
      </c>
      <c r="Y85" s="6">
        <v>0</v>
      </c>
      <c r="Z85" s="6">
        <v>0</v>
      </c>
      <c r="AA85" s="6">
        <v>0</v>
      </c>
      <c r="AB85" s="6">
        <v>1</v>
      </c>
      <c r="AC85" s="5">
        <f t="shared" si="26"/>
        <v>5</v>
      </c>
    </row>
    <row r="86" spans="1:29" x14ac:dyDescent="0.4">
      <c r="A86" s="7"/>
      <c r="B86" s="46">
        <v>5</v>
      </c>
      <c r="C86" s="24" t="s">
        <v>142</v>
      </c>
      <c r="D86" s="47"/>
      <c r="E86" s="6">
        <v>0</v>
      </c>
      <c r="F86" s="6">
        <v>2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2</v>
      </c>
      <c r="S86" s="6">
        <v>0</v>
      </c>
      <c r="T86" s="6">
        <v>10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1</v>
      </c>
      <c r="AA86" s="6">
        <v>0</v>
      </c>
      <c r="AB86" s="6">
        <v>3</v>
      </c>
      <c r="AC86" s="5">
        <f t="shared" si="26"/>
        <v>21</v>
      </c>
    </row>
    <row r="87" spans="1:29" x14ac:dyDescent="0.4">
      <c r="A87" s="7"/>
      <c r="B87" s="46">
        <v>6</v>
      </c>
      <c r="C87" s="24" t="s">
        <v>143</v>
      </c>
      <c r="D87" s="47"/>
      <c r="E87" s="6">
        <v>52</v>
      </c>
      <c r="F87" s="6">
        <v>0</v>
      </c>
      <c r="G87" s="6">
        <v>12</v>
      </c>
      <c r="H87" s="6">
        <v>0</v>
      </c>
      <c r="I87" s="6">
        <v>1</v>
      </c>
      <c r="J87" s="6">
        <v>7</v>
      </c>
      <c r="K87" s="6">
        <v>7</v>
      </c>
      <c r="L87" s="6">
        <v>75</v>
      </c>
      <c r="M87" s="6">
        <v>0</v>
      </c>
      <c r="N87" s="6">
        <v>3</v>
      </c>
      <c r="O87" s="6">
        <v>28</v>
      </c>
      <c r="P87" s="6">
        <v>0</v>
      </c>
      <c r="Q87" s="6">
        <v>0</v>
      </c>
      <c r="R87" s="6">
        <v>0</v>
      </c>
      <c r="S87" s="6">
        <v>1</v>
      </c>
      <c r="T87" s="6">
        <v>10</v>
      </c>
      <c r="U87" s="6">
        <v>14</v>
      </c>
      <c r="V87" s="6">
        <v>22</v>
      </c>
      <c r="W87" s="6">
        <v>10</v>
      </c>
      <c r="X87" s="6">
        <v>6</v>
      </c>
      <c r="Y87" s="6">
        <v>17</v>
      </c>
      <c r="Z87" s="6">
        <v>48</v>
      </c>
      <c r="AA87" s="6">
        <v>35</v>
      </c>
      <c r="AB87" s="6">
        <v>56</v>
      </c>
      <c r="AC87" s="5">
        <f t="shared" si="26"/>
        <v>404</v>
      </c>
    </row>
    <row r="88" spans="1:29" x14ac:dyDescent="0.4">
      <c r="A88" s="6" t="s">
        <v>26</v>
      </c>
      <c r="B88" s="53" t="s">
        <v>51</v>
      </c>
      <c r="C88" s="69"/>
      <c r="D88" s="60"/>
      <c r="E88" s="5">
        <f t="shared" ref="E88:AC88" si="27">SUM(E81:E87)</f>
        <v>57</v>
      </c>
      <c r="F88" s="5">
        <f t="shared" si="27"/>
        <v>5</v>
      </c>
      <c r="G88" s="5">
        <f t="shared" si="27"/>
        <v>16</v>
      </c>
      <c r="H88" s="5">
        <f t="shared" si="27"/>
        <v>2</v>
      </c>
      <c r="I88" s="5">
        <f t="shared" si="27"/>
        <v>14</v>
      </c>
      <c r="J88" s="5">
        <f t="shared" si="27"/>
        <v>13</v>
      </c>
      <c r="K88" s="5">
        <f t="shared" si="27"/>
        <v>10</v>
      </c>
      <c r="L88" s="5">
        <f t="shared" si="27"/>
        <v>87</v>
      </c>
      <c r="M88" s="5">
        <f t="shared" si="27"/>
        <v>4</v>
      </c>
      <c r="N88" s="5">
        <f t="shared" si="27"/>
        <v>10</v>
      </c>
      <c r="O88" s="5">
        <f t="shared" si="27"/>
        <v>37</v>
      </c>
      <c r="P88" s="5">
        <f t="shared" si="27"/>
        <v>5</v>
      </c>
      <c r="Q88" s="5">
        <f t="shared" si="27"/>
        <v>4</v>
      </c>
      <c r="R88" s="5">
        <f t="shared" si="27"/>
        <v>28</v>
      </c>
      <c r="S88" s="5">
        <f t="shared" si="27"/>
        <v>1</v>
      </c>
      <c r="T88" s="5">
        <f t="shared" si="27"/>
        <v>36</v>
      </c>
      <c r="U88" s="5">
        <f t="shared" si="27"/>
        <v>30</v>
      </c>
      <c r="V88" s="5">
        <f t="shared" si="27"/>
        <v>35</v>
      </c>
      <c r="W88" s="5">
        <f t="shared" si="27"/>
        <v>24</v>
      </c>
      <c r="X88" s="5">
        <f t="shared" si="27"/>
        <v>55</v>
      </c>
      <c r="Y88" s="5">
        <f t="shared" si="27"/>
        <v>24</v>
      </c>
      <c r="Z88" s="5">
        <f t="shared" si="27"/>
        <v>106</v>
      </c>
      <c r="AA88" s="5">
        <f t="shared" si="27"/>
        <v>41</v>
      </c>
      <c r="AB88" s="5">
        <f t="shared" si="27"/>
        <v>85</v>
      </c>
      <c r="AC88" s="5">
        <f t="shared" si="27"/>
        <v>729</v>
      </c>
    </row>
    <row r="89" spans="1:29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x14ac:dyDescent="0.4">
      <c r="A90" s="11" t="s">
        <v>48</v>
      </c>
      <c r="B90" s="17" t="s">
        <v>57</v>
      </c>
      <c r="C90" s="59" t="s">
        <v>58</v>
      </c>
      <c r="D90" s="60"/>
      <c r="E90" s="6">
        <v>10</v>
      </c>
      <c r="F90" s="6">
        <v>0</v>
      </c>
      <c r="G90" s="6">
        <v>1</v>
      </c>
      <c r="H90" s="6">
        <v>0</v>
      </c>
      <c r="I90" s="6">
        <v>1</v>
      </c>
      <c r="J90" s="6">
        <v>0</v>
      </c>
      <c r="K90" s="6">
        <v>0</v>
      </c>
      <c r="L90" s="6">
        <v>2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3</v>
      </c>
      <c r="S90" s="6">
        <v>4</v>
      </c>
      <c r="T90" s="6">
        <v>2</v>
      </c>
      <c r="U90" s="6">
        <v>1</v>
      </c>
      <c r="V90" s="6">
        <v>1</v>
      </c>
      <c r="W90" s="6">
        <v>3</v>
      </c>
      <c r="X90" s="6">
        <v>0</v>
      </c>
      <c r="Y90" s="6">
        <v>1</v>
      </c>
      <c r="Z90" s="6">
        <v>3</v>
      </c>
      <c r="AA90" s="6">
        <v>0</v>
      </c>
      <c r="AB90" s="6">
        <v>3</v>
      </c>
      <c r="AC90" s="5">
        <f>SUM(E90:AB90)</f>
        <v>36</v>
      </c>
    </row>
    <row r="91" spans="1:29" ht="13.15" customHeight="1" x14ac:dyDescent="0.4">
      <c r="A91" s="6" t="s">
        <v>26</v>
      </c>
      <c r="B91" s="53" t="s">
        <v>51</v>
      </c>
      <c r="C91" s="54"/>
      <c r="D91" s="55"/>
      <c r="E91" s="5">
        <f t="shared" ref="E91:AC91" si="28">SUM(E90:E90)</f>
        <v>10</v>
      </c>
      <c r="F91" s="5">
        <f t="shared" si="28"/>
        <v>0</v>
      </c>
      <c r="G91" s="5">
        <f t="shared" si="28"/>
        <v>1</v>
      </c>
      <c r="H91" s="5">
        <f t="shared" si="28"/>
        <v>0</v>
      </c>
      <c r="I91" s="5">
        <f t="shared" si="28"/>
        <v>1</v>
      </c>
      <c r="J91" s="5">
        <f t="shared" si="28"/>
        <v>0</v>
      </c>
      <c r="K91" s="5">
        <f t="shared" si="28"/>
        <v>0</v>
      </c>
      <c r="L91" s="5">
        <f t="shared" si="28"/>
        <v>2</v>
      </c>
      <c r="M91" s="5">
        <f t="shared" si="28"/>
        <v>0</v>
      </c>
      <c r="N91" s="5">
        <f t="shared" si="28"/>
        <v>0</v>
      </c>
      <c r="O91" s="5">
        <f t="shared" si="28"/>
        <v>0</v>
      </c>
      <c r="P91" s="5">
        <f t="shared" si="28"/>
        <v>0</v>
      </c>
      <c r="Q91" s="5">
        <f t="shared" si="28"/>
        <v>1</v>
      </c>
      <c r="R91" s="5">
        <f t="shared" si="28"/>
        <v>3</v>
      </c>
      <c r="S91" s="5">
        <f t="shared" si="28"/>
        <v>4</v>
      </c>
      <c r="T91" s="5">
        <f t="shared" si="28"/>
        <v>2</v>
      </c>
      <c r="U91" s="5">
        <f t="shared" si="28"/>
        <v>1</v>
      </c>
      <c r="V91" s="5">
        <f t="shared" si="28"/>
        <v>1</v>
      </c>
      <c r="W91" s="5">
        <f t="shared" si="28"/>
        <v>3</v>
      </c>
      <c r="X91" s="5">
        <f t="shared" si="28"/>
        <v>0</v>
      </c>
      <c r="Y91" s="5">
        <f t="shared" si="28"/>
        <v>1</v>
      </c>
      <c r="Z91" s="5">
        <f t="shared" si="28"/>
        <v>3</v>
      </c>
      <c r="AA91" s="5">
        <f t="shared" si="28"/>
        <v>0</v>
      </c>
      <c r="AB91" s="5">
        <f t="shared" si="28"/>
        <v>3</v>
      </c>
      <c r="AC91" s="5">
        <f t="shared" si="28"/>
        <v>36</v>
      </c>
    </row>
    <row r="92" spans="1:29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Y92" s="18"/>
      <c r="Z92" s="18"/>
      <c r="AA92" s="18"/>
      <c r="AB92" s="18"/>
      <c r="AC92" s="5"/>
    </row>
    <row r="93" spans="1:29" x14ac:dyDescent="0.4">
      <c r="A93" s="11" t="s">
        <v>48</v>
      </c>
      <c r="B93" s="17" t="s">
        <v>59</v>
      </c>
      <c r="C93" s="59" t="s">
        <v>60</v>
      </c>
      <c r="D93" s="60"/>
      <c r="E93" s="6">
        <v>1</v>
      </c>
      <c r="F93" s="6">
        <v>0</v>
      </c>
      <c r="G93" s="6">
        <v>0</v>
      </c>
      <c r="H93" s="6">
        <v>1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1</v>
      </c>
      <c r="P93" s="6">
        <v>0</v>
      </c>
      <c r="Q93" s="6">
        <v>0</v>
      </c>
      <c r="R93" s="6">
        <v>1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1</v>
      </c>
      <c r="AA93" s="6">
        <v>2</v>
      </c>
      <c r="AB93" s="6">
        <v>0</v>
      </c>
      <c r="AC93" s="5">
        <f>SUM(E93:AB93)</f>
        <v>9</v>
      </c>
    </row>
    <row r="94" spans="1:29" x14ac:dyDescent="0.4">
      <c r="A94" s="11" t="s">
        <v>50</v>
      </c>
      <c r="B94" s="46">
        <v>1</v>
      </c>
      <c r="C94" s="24" t="s">
        <v>144</v>
      </c>
      <c r="D94" s="47"/>
      <c r="E94" s="6">
        <v>1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1</v>
      </c>
      <c r="AB94" s="6">
        <v>0</v>
      </c>
      <c r="AC94" s="5">
        <f>SUM(E94:AB94)</f>
        <v>3</v>
      </c>
    </row>
    <row r="95" spans="1:29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5">
        <f>SUM(E95:AB95)</f>
        <v>2</v>
      </c>
    </row>
    <row r="96" spans="1:29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5">
        <f>SUM(E96:AB96)</f>
        <v>1</v>
      </c>
    </row>
    <row r="97" spans="1:29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5">
        <f>SUM(E97:AB97)</f>
        <v>0</v>
      </c>
    </row>
    <row r="98" spans="1:29" x14ac:dyDescent="0.4">
      <c r="A98" s="6" t="s">
        <v>26</v>
      </c>
      <c r="B98" s="53" t="s">
        <v>51</v>
      </c>
      <c r="C98" s="54"/>
      <c r="D98" s="55"/>
      <c r="E98" s="5">
        <f t="shared" ref="E98:AC98" si="29">SUM(E93:E97)</f>
        <v>2</v>
      </c>
      <c r="F98" s="5">
        <f t="shared" si="29"/>
        <v>0</v>
      </c>
      <c r="G98" s="5">
        <f t="shared" si="29"/>
        <v>2</v>
      </c>
      <c r="H98" s="5">
        <f t="shared" si="29"/>
        <v>1</v>
      </c>
      <c r="I98" s="5">
        <f t="shared" si="29"/>
        <v>2</v>
      </c>
      <c r="J98" s="5">
        <f t="shared" si="29"/>
        <v>0</v>
      </c>
      <c r="K98" s="5">
        <f t="shared" si="29"/>
        <v>0</v>
      </c>
      <c r="L98" s="5">
        <f t="shared" si="29"/>
        <v>0</v>
      </c>
      <c r="M98" s="5">
        <f t="shared" si="29"/>
        <v>0</v>
      </c>
      <c r="N98" s="5">
        <f t="shared" si="29"/>
        <v>0</v>
      </c>
      <c r="O98" s="5">
        <f t="shared" si="29"/>
        <v>1</v>
      </c>
      <c r="P98" s="5">
        <f t="shared" si="29"/>
        <v>0</v>
      </c>
      <c r="Q98" s="5">
        <f t="shared" si="29"/>
        <v>0</v>
      </c>
      <c r="R98" s="5">
        <f t="shared" si="29"/>
        <v>2</v>
      </c>
      <c r="S98" s="5">
        <f t="shared" si="29"/>
        <v>0</v>
      </c>
      <c r="T98" s="5">
        <f t="shared" si="29"/>
        <v>0</v>
      </c>
      <c r="U98" s="5">
        <f t="shared" si="29"/>
        <v>1</v>
      </c>
      <c r="V98" s="5">
        <f t="shared" si="29"/>
        <v>0</v>
      </c>
      <c r="W98" s="5">
        <f t="shared" si="29"/>
        <v>0</v>
      </c>
      <c r="X98" s="5">
        <f t="shared" si="29"/>
        <v>0</v>
      </c>
      <c r="Y98" s="5">
        <f t="shared" si="29"/>
        <v>0</v>
      </c>
      <c r="Z98" s="5">
        <f t="shared" si="29"/>
        <v>1</v>
      </c>
      <c r="AA98" s="5">
        <f t="shared" si="29"/>
        <v>3</v>
      </c>
      <c r="AB98" s="5">
        <f t="shared" si="29"/>
        <v>0</v>
      </c>
      <c r="AC98" s="5">
        <f t="shared" si="29"/>
        <v>15</v>
      </c>
    </row>
    <row r="99" spans="1:29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spans="1:29" x14ac:dyDescent="0.4">
      <c r="A100" s="11" t="s">
        <v>48</v>
      </c>
      <c r="B100" s="17" t="s">
        <v>61</v>
      </c>
      <c r="C100" s="59" t="s">
        <v>62</v>
      </c>
      <c r="D100" s="60"/>
      <c r="E100" s="6">
        <v>0</v>
      </c>
      <c r="F100" s="6">
        <v>0</v>
      </c>
      <c r="G100" s="6">
        <v>0</v>
      </c>
      <c r="H100" s="6">
        <v>0</v>
      </c>
      <c r="I100" s="6">
        <v>2</v>
      </c>
      <c r="J100" s="6">
        <v>0</v>
      </c>
      <c r="K100" s="6">
        <v>1</v>
      </c>
      <c r="L100" s="6">
        <v>3</v>
      </c>
      <c r="M100" s="6">
        <v>0</v>
      </c>
      <c r="N100" s="6">
        <v>3</v>
      </c>
      <c r="O100" s="6">
        <v>4</v>
      </c>
      <c r="P100" s="6">
        <v>2</v>
      </c>
      <c r="Q100" s="6">
        <v>4</v>
      </c>
      <c r="R100" s="6">
        <v>14</v>
      </c>
      <c r="S100" s="6">
        <v>2</v>
      </c>
      <c r="T100" s="6">
        <v>2</v>
      </c>
      <c r="U100" s="6">
        <v>3</v>
      </c>
      <c r="V100" s="6">
        <v>0</v>
      </c>
      <c r="W100" s="6">
        <v>1</v>
      </c>
      <c r="X100" s="6">
        <v>0</v>
      </c>
      <c r="Y100" s="6">
        <v>0</v>
      </c>
      <c r="Z100" s="6">
        <v>0</v>
      </c>
      <c r="AA100" s="6">
        <v>3</v>
      </c>
      <c r="AB100" s="6">
        <v>0</v>
      </c>
      <c r="AC100" s="5">
        <f t="shared" ref="AC100:AC106" si="30">SUM(E100:AB100)</f>
        <v>44</v>
      </c>
    </row>
    <row r="101" spans="1:29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0</v>
      </c>
      <c r="F101" s="6">
        <v>0</v>
      </c>
      <c r="G101" s="6">
        <v>8</v>
      </c>
      <c r="H101" s="6">
        <v>1</v>
      </c>
      <c r="I101" s="6">
        <v>2</v>
      </c>
      <c r="J101" s="6">
        <v>0</v>
      </c>
      <c r="K101" s="6">
        <v>7</v>
      </c>
      <c r="L101" s="6">
        <v>39</v>
      </c>
      <c r="M101" s="6">
        <v>10</v>
      </c>
      <c r="N101" s="6">
        <v>35</v>
      </c>
      <c r="O101" s="6">
        <v>23</v>
      </c>
      <c r="P101" s="6">
        <v>3</v>
      </c>
      <c r="Q101" s="6">
        <v>13</v>
      </c>
      <c r="R101" s="6">
        <v>31</v>
      </c>
      <c r="S101" s="6">
        <v>13</v>
      </c>
      <c r="T101" s="6">
        <v>14</v>
      </c>
      <c r="U101" s="6">
        <v>22</v>
      </c>
      <c r="V101" s="6">
        <v>1</v>
      </c>
      <c r="W101" s="6">
        <v>1</v>
      </c>
      <c r="X101" s="6">
        <v>2</v>
      </c>
      <c r="Y101" s="6">
        <v>4</v>
      </c>
      <c r="Z101" s="6">
        <v>0</v>
      </c>
      <c r="AA101" s="6">
        <v>10</v>
      </c>
      <c r="AB101" s="6">
        <v>3</v>
      </c>
      <c r="AC101" s="5">
        <f t="shared" si="30"/>
        <v>242</v>
      </c>
    </row>
    <row r="102" spans="1:29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2</v>
      </c>
      <c r="G102" s="6">
        <v>1</v>
      </c>
      <c r="H102" s="6">
        <v>1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5">
        <f t="shared" si="30"/>
        <v>4</v>
      </c>
    </row>
    <row r="103" spans="1:29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1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1</v>
      </c>
      <c r="AC103" s="5">
        <f t="shared" si="30"/>
        <v>3</v>
      </c>
    </row>
    <row r="104" spans="1:29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5">
        <f t="shared" si="30"/>
        <v>1</v>
      </c>
    </row>
    <row r="105" spans="1:29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5">
        <f t="shared" si="30"/>
        <v>2</v>
      </c>
    </row>
    <row r="106" spans="1:29" x14ac:dyDescent="0.4">
      <c r="A106" s="7"/>
      <c r="B106" s="46">
        <v>6</v>
      </c>
      <c r="C106" s="24" t="s">
        <v>153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5">
        <f t="shared" si="30"/>
        <v>2</v>
      </c>
    </row>
    <row r="107" spans="1:29" x14ac:dyDescent="0.4">
      <c r="A107" s="6" t="s">
        <v>26</v>
      </c>
      <c r="B107" s="53" t="s">
        <v>51</v>
      </c>
      <c r="C107" s="54"/>
      <c r="D107" s="55"/>
      <c r="E107" s="5">
        <f t="shared" ref="E107:AC107" si="31">SUM(E100:E106)</f>
        <v>0</v>
      </c>
      <c r="F107" s="5">
        <f t="shared" si="31"/>
        <v>2</v>
      </c>
      <c r="G107" s="5">
        <f t="shared" si="31"/>
        <v>10</v>
      </c>
      <c r="H107" s="5">
        <f t="shared" si="31"/>
        <v>3</v>
      </c>
      <c r="I107" s="5">
        <f t="shared" si="31"/>
        <v>4</v>
      </c>
      <c r="J107" s="5">
        <f t="shared" si="31"/>
        <v>0</v>
      </c>
      <c r="K107" s="5">
        <f t="shared" si="31"/>
        <v>8</v>
      </c>
      <c r="L107" s="5">
        <f t="shared" si="31"/>
        <v>43</v>
      </c>
      <c r="M107" s="5">
        <f t="shared" si="31"/>
        <v>10</v>
      </c>
      <c r="N107" s="5">
        <f t="shared" si="31"/>
        <v>38</v>
      </c>
      <c r="O107" s="5">
        <f t="shared" si="31"/>
        <v>29</v>
      </c>
      <c r="P107" s="5">
        <f t="shared" si="31"/>
        <v>5</v>
      </c>
      <c r="Q107" s="5">
        <f t="shared" si="31"/>
        <v>17</v>
      </c>
      <c r="R107" s="5">
        <f t="shared" si="31"/>
        <v>46</v>
      </c>
      <c r="S107" s="5">
        <f t="shared" si="31"/>
        <v>16</v>
      </c>
      <c r="T107" s="5">
        <f t="shared" si="31"/>
        <v>16</v>
      </c>
      <c r="U107" s="5">
        <f t="shared" si="31"/>
        <v>25</v>
      </c>
      <c r="V107" s="5">
        <f t="shared" si="31"/>
        <v>1</v>
      </c>
      <c r="W107" s="5">
        <f t="shared" si="31"/>
        <v>2</v>
      </c>
      <c r="X107" s="5">
        <f t="shared" si="31"/>
        <v>2</v>
      </c>
      <c r="Y107" s="5">
        <f t="shared" si="31"/>
        <v>4</v>
      </c>
      <c r="Z107" s="5">
        <f t="shared" si="31"/>
        <v>0</v>
      </c>
      <c r="AA107" s="5">
        <f t="shared" si="31"/>
        <v>13</v>
      </c>
      <c r="AB107" s="5">
        <f t="shared" si="31"/>
        <v>4</v>
      </c>
      <c r="AC107" s="5">
        <f t="shared" si="31"/>
        <v>298</v>
      </c>
    </row>
    <row r="108" spans="1:29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spans="1:29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4</v>
      </c>
      <c r="F109" s="6">
        <v>0</v>
      </c>
      <c r="G109" s="6">
        <v>0</v>
      </c>
      <c r="H109" s="6">
        <v>0</v>
      </c>
      <c r="I109" s="6">
        <v>0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1</v>
      </c>
      <c r="AB109" s="6">
        <v>0</v>
      </c>
      <c r="AC109" s="5">
        <f>SUM(E109:AB109)</f>
        <v>6</v>
      </c>
    </row>
    <row r="110" spans="1:29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5">
        <f>SUM(E110:AB110)</f>
        <v>0</v>
      </c>
    </row>
    <row r="111" spans="1:29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5">
        <f>SUM(E111:AB111)</f>
        <v>0</v>
      </c>
    </row>
    <row r="112" spans="1:29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5">
        <f>SUM(E112:AB112)</f>
        <v>0</v>
      </c>
    </row>
    <row r="113" spans="1:29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AC113" si="32">SUM(E109:E112)</f>
        <v>4</v>
      </c>
      <c r="F113" s="5">
        <f t="shared" si="32"/>
        <v>0</v>
      </c>
      <c r="G113" s="5">
        <f t="shared" si="32"/>
        <v>0</v>
      </c>
      <c r="H113" s="5">
        <f t="shared" si="32"/>
        <v>0</v>
      </c>
      <c r="I113" s="5">
        <f t="shared" si="32"/>
        <v>0</v>
      </c>
      <c r="J113" s="5">
        <f t="shared" si="32"/>
        <v>1</v>
      </c>
      <c r="K113" s="5">
        <f t="shared" si="32"/>
        <v>0</v>
      </c>
      <c r="L113" s="5">
        <f t="shared" si="32"/>
        <v>0</v>
      </c>
      <c r="M113" s="5">
        <f t="shared" si="32"/>
        <v>0</v>
      </c>
      <c r="N113" s="5">
        <f t="shared" si="32"/>
        <v>0</v>
      </c>
      <c r="O113" s="5">
        <f t="shared" si="32"/>
        <v>0</v>
      </c>
      <c r="P113" s="5">
        <f t="shared" si="32"/>
        <v>0</v>
      </c>
      <c r="Q113" s="5">
        <f t="shared" si="32"/>
        <v>0</v>
      </c>
      <c r="R113" s="5">
        <f t="shared" si="32"/>
        <v>0</v>
      </c>
      <c r="S113" s="5">
        <f t="shared" si="32"/>
        <v>0</v>
      </c>
      <c r="T113" s="5">
        <f t="shared" si="32"/>
        <v>0</v>
      </c>
      <c r="U113" s="5">
        <f t="shared" si="32"/>
        <v>0</v>
      </c>
      <c r="V113" s="5">
        <f t="shared" si="32"/>
        <v>0</v>
      </c>
      <c r="W113" s="5">
        <f t="shared" si="32"/>
        <v>0</v>
      </c>
      <c r="X113" s="5">
        <f t="shared" si="32"/>
        <v>0</v>
      </c>
      <c r="Y113" s="5">
        <f t="shared" si="32"/>
        <v>0</v>
      </c>
      <c r="Z113" s="5">
        <f t="shared" si="32"/>
        <v>0</v>
      </c>
      <c r="AA113" s="5">
        <f t="shared" si="32"/>
        <v>1</v>
      </c>
      <c r="AB113" s="5">
        <f t="shared" si="32"/>
        <v>0</v>
      </c>
      <c r="AC113" s="5">
        <f t="shared" si="32"/>
        <v>6</v>
      </c>
    </row>
    <row r="114" spans="1:29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5"/>
    </row>
    <row r="115" spans="1:29" x14ac:dyDescent="0.4">
      <c r="A115" s="11" t="s">
        <v>48</v>
      </c>
      <c r="B115" s="44" t="s">
        <v>65</v>
      </c>
      <c r="C115" s="67" t="s">
        <v>66</v>
      </c>
      <c r="D115" s="68"/>
      <c r="E115" s="6">
        <v>1</v>
      </c>
      <c r="F115" s="6">
        <v>2</v>
      </c>
      <c r="G115" s="6">
        <v>1</v>
      </c>
      <c r="H115" s="6">
        <v>6</v>
      </c>
      <c r="I115" s="6">
        <v>1</v>
      </c>
      <c r="J115" s="6">
        <v>2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</v>
      </c>
      <c r="R115" s="6">
        <v>0</v>
      </c>
      <c r="S115" s="6">
        <v>0</v>
      </c>
      <c r="T115" s="6">
        <v>4</v>
      </c>
      <c r="U115" s="6">
        <v>0</v>
      </c>
      <c r="V115" s="6">
        <v>0</v>
      </c>
      <c r="W115" s="6">
        <v>0</v>
      </c>
      <c r="X115" s="6">
        <v>1</v>
      </c>
      <c r="Y115" s="6">
        <v>0</v>
      </c>
      <c r="Z115" s="6">
        <v>0</v>
      </c>
      <c r="AA115" s="6">
        <v>0</v>
      </c>
      <c r="AB115" s="6">
        <v>0</v>
      </c>
      <c r="AC115" s="5">
        <f t="shared" ref="AC115:AC121" si="33">SUM(E115:AB115)</f>
        <v>19</v>
      </c>
    </row>
    <row r="116" spans="1:29" x14ac:dyDescent="0.4">
      <c r="A116" s="48" t="s">
        <v>50</v>
      </c>
      <c r="B116" s="46">
        <v>1</v>
      </c>
      <c r="C116" s="24" t="s">
        <v>157</v>
      </c>
      <c r="D116" s="47"/>
      <c r="E116" s="49">
        <v>0</v>
      </c>
      <c r="F116" s="6">
        <v>9</v>
      </c>
      <c r="G116" s="6">
        <v>20</v>
      </c>
      <c r="H116" s="6">
        <v>60</v>
      </c>
      <c r="I116" s="6">
        <v>6</v>
      </c>
      <c r="J116" s="6">
        <v>14</v>
      </c>
      <c r="K116" s="6">
        <v>1</v>
      </c>
      <c r="L116" s="6">
        <v>3</v>
      </c>
      <c r="M116" s="6">
        <v>2</v>
      </c>
      <c r="N116" s="6">
        <v>2</v>
      </c>
      <c r="O116" s="6">
        <v>1</v>
      </c>
      <c r="P116" s="6">
        <v>3</v>
      </c>
      <c r="Q116" s="6">
        <v>0</v>
      </c>
      <c r="R116" s="6">
        <v>0</v>
      </c>
      <c r="S116" s="6">
        <v>1</v>
      </c>
      <c r="T116" s="6">
        <v>22</v>
      </c>
      <c r="U116" s="6">
        <v>1</v>
      </c>
      <c r="V116" s="6">
        <v>3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1</v>
      </c>
      <c r="AC116" s="5">
        <f t="shared" si="33"/>
        <v>149</v>
      </c>
    </row>
    <row r="117" spans="1:29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0</v>
      </c>
      <c r="G117" s="6">
        <v>1</v>
      </c>
      <c r="H117" s="6">
        <v>0</v>
      </c>
      <c r="I117" s="6">
        <v>0</v>
      </c>
      <c r="J117" s="6">
        <v>5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1</v>
      </c>
      <c r="U117" s="6">
        <v>0</v>
      </c>
      <c r="V117" s="6">
        <v>0</v>
      </c>
      <c r="W117" s="6">
        <v>1</v>
      </c>
      <c r="X117" s="6">
        <v>2</v>
      </c>
      <c r="Y117" s="6">
        <v>0</v>
      </c>
      <c r="Z117" s="6">
        <v>0</v>
      </c>
      <c r="AA117" s="6">
        <v>0</v>
      </c>
      <c r="AB117" s="6">
        <v>0</v>
      </c>
      <c r="AC117" s="5">
        <f t="shared" si="33"/>
        <v>11</v>
      </c>
    </row>
    <row r="118" spans="1:29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5">
        <f t="shared" si="33"/>
        <v>1</v>
      </c>
    </row>
    <row r="119" spans="1:29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5">
        <f t="shared" si="33"/>
        <v>0</v>
      </c>
    </row>
    <row r="120" spans="1:29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5">
        <f t="shared" si="33"/>
        <v>0</v>
      </c>
    </row>
    <row r="121" spans="1:29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33"/>
        <v>2</v>
      </c>
    </row>
    <row r="122" spans="1:29" x14ac:dyDescent="0.4">
      <c r="A122" s="6" t="s">
        <v>26</v>
      </c>
      <c r="B122" s="64" t="s">
        <v>51</v>
      </c>
      <c r="C122" s="65"/>
      <c r="D122" s="66"/>
      <c r="E122" s="5">
        <f t="shared" ref="E122:AC122" si="34">SUM(E115:E121)</f>
        <v>1</v>
      </c>
      <c r="F122" s="5">
        <f t="shared" si="34"/>
        <v>11</v>
      </c>
      <c r="G122" s="5">
        <f t="shared" si="34"/>
        <v>22</v>
      </c>
      <c r="H122" s="5">
        <f t="shared" si="34"/>
        <v>66</v>
      </c>
      <c r="I122" s="5">
        <f t="shared" si="34"/>
        <v>7</v>
      </c>
      <c r="J122" s="5">
        <f t="shared" si="34"/>
        <v>21</v>
      </c>
      <c r="K122" s="5">
        <f t="shared" si="34"/>
        <v>2</v>
      </c>
      <c r="L122" s="5">
        <f t="shared" si="34"/>
        <v>3</v>
      </c>
      <c r="M122" s="5">
        <f t="shared" si="34"/>
        <v>2</v>
      </c>
      <c r="N122" s="5">
        <f t="shared" si="34"/>
        <v>2</v>
      </c>
      <c r="O122" s="5">
        <f t="shared" si="34"/>
        <v>1</v>
      </c>
      <c r="P122" s="5">
        <f t="shared" si="34"/>
        <v>3</v>
      </c>
      <c r="Q122" s="5">
        <f t="shared" si="34"/>
        <v>1</v>
      </c>
      <c r="R122" s="5">
        <f t="shared" si="34"/>
        <v>1</v>
      </c>
      <c r="S122" s="5">
        <f t="shared" si="34"/>
        <v>2</v>
      </c>
      <c r="T122" s="5">
        <f t="shared" si="34"/>
        <v>27</v>
      </c>
      <c r="U122" s="5">
        <f t="shared" si="34"/>
        <v>1</v>
      </c>
      <c r="V122" s="5">
        <f t="shared" si="34"/>
        <v>3</v>
      </c>
      <c r="W122" s="5">
        <f t="shared" si="34"/>
        <v>2</v>
      </c>
      <c r="X122" s="5">
        <f t="shared" si="34"/>
        <v>3</v>
      </c>
      <c r="Y122" s="5">
        <f t="shared" si="34"/>
        <v>0</v>
      </c>
      <c r="Z122" s="5">
        <f t="shared" si="34"/>
        <v>0</v>
      </c>
      <c r="AA122" s="5">
        <f t="shared" si="34"/>
        <v>0</v>
      </c>
      <c r="AB122" s="5">
        <f t="shared" si="34"/>
        <v>1</v>
      </c>
      <c r="AC122" s="5">
        <f t="shared" si="34"/>
        <v>182</v>
      </c>
    </row>
    <row r="123" spans="1:29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spans="1:29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1</v>
      </c>
      <c r="G124" s="6">
        <v>0</v>
      </c>
      <c r="H124" s="6">
        <v>1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1</v>
      </c>
      <c r="S124" s="6">
        <v>0</v>
      </c>
      <c r="T124" s="6">
        <v>1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5">
        <f>SUM(E124:AB124)</f>
        <v>4</v>
      </c>
    </row>
    <row r="125" spans="1:29" x14ac:dyDescent="0.4">
      <c r="A125" s="6" t="s">
        <v>26</v>
      </c>
      <c r="B125" s="53" t="s">
        <v>51</v>
      </c>
      <c r="C125" s="54"/>
      <c r="D125" s="55"/>
      <c r="E125" s="5">
        <f t="shared" ref="E125:AC125" si="35">SUM(E124:E124)</f>
        <v>0</v>
      </c>
      <c r="F125" s="5">
        <f t="shared" si="35"/>
        <v>1</v>
      </c>
      <c r="G125" s="5">
        <f t="shared" si="35"/>
        <v>0</v>
      </c>
      <c r="H125" s="5">
        <f t="shared" si="35"/>
        <v>1</v>
      </c>
      <c r="I125" s="5">
        <f t="shared" si="35"/>
        <v>0</v>
      </c>
      <c r="J125" s="5">
        <f t="shared" si="35"/>
        <v>0</v>
      </c>
      <c r="K125" s="5">
        <f t="shared" si="35"/>
        <v>0</v>
      </c>
      <c r="L125" s="5">
        <f t="shared" si="35"/>
        <v>0</v>
      </c>
      <c r="M125" s="5">
        <f t="shared" si="35"/>
        <v>0</v>
      </c>
      <c r="N125" s="5">
        <f t="shared" si="35"/>
        <v>0</v>
      </c>
      <c r="O125" s="5">
        <f t="shared" si="35"/>
        <v>0</v>
      </c>
      <c r="P125" s="5">
        <f t="shared" si="35"/>
        <v>0</v>
      </c>
      <c r="Q125" s="5">
        <f t="shared" si="35"/>
        <v>0</v>
      </c>
      <c r="R125" s="5">
        <f t="shared" si="35"/>
        <v>1</v>
      </c>
      <c r="S125" s="5">
        <f t="shared" si="35"/>
        <v>0</v>
      </c>
      <c r="T125" s="5">
        <f t="shared" si="35"/>
        <v>1</v>
      </c>
      <c r="U125" s="5">
        <f t="shared" si="35"/>
        <v>0</v>
      </c>
      <c r="V125" s="5">
        <f t="shared" si="35"/>
        <v>0</v>
      </c>
      <c r="W125" s="5">
        <f t="shared" si="35"/>
        <v>0</v>
      </c>
      <c r="X125" s="5">
        <f t="shared" si="35"/>
        <v>0</v>
      </c>
      <c r="Y125" s="5">
        <f t="shared" si="35"/>
        <v>0</v>
      </c>
      <c r="Z125" s="5">
        <f t="shared" si="35"/>
        <v>0</v>
      </c>
      <c r="AA125" s="5">
        <f t="shared" si="35"/>
        <v>0</v>
      </c>
      <c r="AB125" s="5">
        <f t="shared" si="35"/>
        <v>0</v>
      </c>
      <c r="AC125" s="5">
        <f t="shared" si="35"/>
        <v>4</v>
      </c>
    </row>
    <row r="126" spans="1:29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spans="1:29" x14ac:dyDescent="0.4">
      <c r="A127" s="11" t="s">
        <v>48</v>
      </c>
      <c r="B127" s="17" t="s">
        <v>69</v>
      </c>
      <c r="C127" s="59" t="s">
        <v>70</v>
      </c>
      <c r="D127" s="60"/>
      <c r="E127" s="6">
        <v>1</v>
      </c>
      <c r="F127" s="6">
        <v>0</v>
      </c>
      <c r="G127" s="6">
        <v>2</v>
      </c>
      <c r="H127" s="6">
        <v>1</v>
      </c>
      <c r="I127" s="6">
        <v>2</v>
      </c>
      <c r="J127" s="6">
        <v>0</v>
      </c>
      <c r="K127" s="6">
        <v>0</v>
      </c>
      <c r="L127" s="6">
        <v>1</v>
      </c>
      <c r="M127" s="6">
        <v>0</v>
      </c>
      <c r="N127" s="6">
        <v>0</v>
      </c>
      <c r="O127" s="6">
        <v>0</v>
      </c>
      <c r="P127" s="6">
        <v>0</v>
      </c>
      <c r="Q127" s="6">
        <v>1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1</v>
      </c>
      <c r="Y127" s="6">
        <v>1</v>
      </c>
      <c r="Z127" s="6">
        <v>0</v>
      </c>
      <c r="AA127" s="6">
        <v>0</v>
      </c>
      <c r="AB127" s="6">
        <v>0</v>
      </c>
      <c r="AC127" s="5">
        <f t="shared" ref="AC127:AC133" si="36">SUM(E127:AB127)</f>
        <v>10</v>
      </c>
    </row>
    <row r="128" spans="1:29" x14ac:dyDescent="0.4">
      <c r="A128" s="11" t="s">
        <v>50</v>
      </c>
      <c r="B128" s="46">
        <v>1</v>
      </c>
      <c r="C128" s="24" t="s">
        <v>163</v>
      </c>
      <c r="D128" s="47"/>
      <c r="E128" s="6">
        <v>1</v>
      </c>
      <c r="F128" s="6">
        <v>0</v>
      </c>
      <c r="G128" s="6">
        <v>3</v>
      </c>
      <c r="H128" s="6">
        <v>0</v>
      </c>
      <c r="I128" s="6">
        <v>0</v>
      </c>
      <c r="J128" s="6">
        <v>0</v>
      </c>
      <c r="K128" s="6">
        <v>2</v>
      </c>
      <c r="L128" s="6">
        <v>3</v>
      </c>
      <c r="M128" s="6">
        <v>0</v>
      </c>
      <c r="N128" s="6">
        <v>1</v>
      </c>
      <c r="O128" s="6">
        <v>0</v>
      </c>
      <c r="P128" s="6">
        <v>0</v>
      </c>
      <c r="Q128" s="6">
        <v>2</v>
      </c>
      <c r="R128" s="6">
        <v>4</v>
      </c>
      <c r="S128" s="6">
        <v>0</v>
      </c>
      <c r="T128" s="6">
        <v>1</v>
      </c>
      <c r="U128" s="6">
        <v>1</v>
      </c>
      <c r="V128" s="6">
        <v>0</v>
      </c>
      <c r="W128" s="6">
        <v>0</v>
      </c>
      <c r="X128" s="6">
        <v>0</v>
      </c>
      <c r="Y128" s="6">
        <v>7</v>
      </c>
      <c r="Z128" s="6">
        <v>0</v>
      </c>
      <c r="AA128" s="6">
        <v>0</v>
      </c>
      <c r="AB128" s="6">
        <v>0</v>
      </c>
      <c r="AC128" s="5">
        <f t="shared" si="36"/>
        <v>25</v>
      </c>
    </row>
    <row r="129" spans="1:29" x14ac:dyDescent="0.4">
      <c r="A129" s="7"/>
      <c r="B129" s="46">
        <v>2</v>
      </c>
      <c r="C129" s="24" t="s">
        <v>164</v>
      </c>
      <c r="D129" s="47"/>
      <c r="E129" s="6">
        <v>1</v>
      </c>
      <c r="F129" s="6">
        <v>5</v>
      </c>
      <c r="G129" s="6">
        <v>1</v>
      </c>
      <c r="H129" s="6">
        <v>3</v>
      </c>
      <c r="I129" s="6">
        <v>4</v>
      </c>
      <c r="J129" s="6">
        <v>0</v>
      </c>
      <c r="K129" s="6">
        <v>0</v>
      </c>
      <c r="L129" s="6">
        <v>2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5</v>
      </c>
      <c r="S129" s="6">
        <v>0</v>
      </c>
      <c r="T129" s="6">
        <v>4</v>
      </c>
      <c r="U129" s="6">
        <v>0</v>
      </c>
      <c r="V129" s="6">
        <v>0</v>
      </c>
      <c r="W129" s="6">
        <v>0</v>
      </c>
      <c r="X129" s="6">
        <v>1</v>
      </c>
      <c r="Y129" s="6">
        <v>0</v>
      </c>
      <c r="Z129" s="6">
        <v>0</v>
      </c>
      <c r="AA129" s="6">
        <v>0</v>
      </c>
      <c r="AB129" s="6">
        <v>1</v>
      </c>
      <c r="AC129" s="5">
        <f t="shared" si="36"/>
        <v>28</v>
      </c>
    </row>
    <row r="130" spans="1:29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1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 t="shared" si="36"/>
        <v>2</v>
      </c>
    </row>
    <row r="131" spans="1:29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 t="shared" si="36"/>
        <v>0</v>
      </c>
    </row>
    <row r="132" spans="1:29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36"/>
        <v>1</v>
      </c>
    </row>
    <row r="133" spans="1:29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36"/>
        <v>1</v>
      </c>
    </row>
    <row r="134" spans="1:29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AC134" si="37">SUM(E127:E133)</f>
        <v>3</v>
      </c>
      <c r="F134" s="5">
        <f t="shared" si="37"/>
        <v>5</v>
      </c>
      <c r="G134" s="5">
        <f t="shared" si="37"/>
        <v>6</v>
      </c>
      <c r="H134" s="5">
        <f t="shared" si="37"/>
        <v>4</v>
      </c>
      <c r="I134" s="5">
        <f t="shared" si="37"/>
        <v>6</v>
      </c>
      <c r="J134" s="5">
        <f t="shared" si="37"/>
        <v>0</v>
      </c>
      <c r="K134" s="5">
        <f t="shared" si="37"/>
        <v>3</v>
      </c>
      <c r="L134" s="5">
        <f t="shared" si="37"/>
        <v>6</v>
      </c>
      <c r="M134" s="5">
        <f t="shared" si="37"/>
        <v>0</v>
      </c>
      <c r="N134" s="5">
        <f t="shared" si="37"/>
        <v>2</v>
      </c>
      <c r="O134" s="5">
        <f t="shared" si="37"/>
        <v>1</v>
      </c>
      <c r="P134" s="5">
        <f t="shared" si="37"/>
        <v>0</v>
      </c>
      <c r="Q134" s="5">
        <f t="shared" si="37"/>
        <v>3</v>
      </c>
      <c r="R134" s="5">
        <f t="shared" si="37"/>
        <v>9</v>
      </c>
      <c r="S134" s="5">
        <f t="shared" si="37"/>
        <v>1</v>
      </c>
      <c r="T134" s="5">
        <f t="shared" si="37"/>
        <v>6</v>
      </c>
      <c r="U134" s="5">
        <f t="shared" si="37"/>
        <v>1</v>
      </c>
      <c r="V134" s="5">
        <f t="shared" si="37"/>
        <v>0</v>
      </c>
      <c r="W134" s="5">
        <f t="shared" si="37"/>
        <v>0</v>
      </c>
      <c r="X134" s="5">
        <f t="shared" si="37"/>
        <v>2</v>
      </c>
      <c r="Y134" s="5">
        <f t="shared" si="37"/>
        <v>8</v>
      </c>
      <c r="Z134" s="5">
        <f t="shared" si="37"/>
        <v>0</v>
      </c>
      <c r="AA134" s="5">
        <f t="shared" si="37"/>
        <v>0</v>
      </c>
      <c r="AB134" s="5">
        <f t="shared" si="37"/>
        <v>1</v>
      </c>
      <c r="AC134" s="5">
        <f t="shared" si="37"/>
        <v>67</v>
      </c>
    </row>
    <row r="135" spans="1:29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AC135" s="5"/>
    </row>
    <row r="136" spans="1:29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6">
        <v>0</v>
      </c>
      <c r="W136" s="6">
        <v>0</v>
      </c>
      <c r="X136" s="6">
        <v>1</v>
      </c>
      <c r="Y136" s="6">
        <v>0</v>
      </c>
      <c r="Z136" s="6">
        <v>0</v>
      </c>
      <c r="AA136" s="6">
        <v>1</v>
      </c>
      <c r="AB136" s="6">
        <v>0</v>
      </c>
      <c r="AC136" s="5">
        <f t="shared" ref="AC136:AC141" si="38">SUM(E136:AB136)</f>
        <v>4</v>
      </c>
    </row>
    <row r="137" spans="1:29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2</v>
      </c>
      <c r="H137" s="6">
        <v>0</v>
      </c>
      <c r="I137" s="6">
        <v>0</v>
      </c>
      <c r="J137" s="6">
        <v>0</v>
      </c>
      <c r="K137" s="6">
        <v>0</v>
      </c>
      <c r="L137" s="6">
        <v>1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38"/>
        <v>3</v>
      </c>
    </row>
    <row r="138" spans="1:29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9</v>
      </c>
      <c r="H138" s="6">
        <v>0</v>
      </c>
      <c r="I138" s="6">
        <v>0</v>
      </c>
      <c r="J138" s="6">
        <v>0</v>
      </c>
      <c r="K138" s="6">
        <v>0</v>
      </c>
      <c r="L138" s="6">
        <v>4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5">
        <f t="shared" si="38"/>
        <v>13</v>
      </c>
    </row>
    <row r="139" spans="1:29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5">
        <f t="shared" si="38"/>
        <v>0</v>
      </c>
    </row>
    <row r="140" spans="1:29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5">
        <f t="shared" si="38"/>
        <v>0</v>
      </c>
    </row>
    <row r="141" spans="1:29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5">
        <f t="shared" si="38"/>
        <v>0</v>
      </c>
    </row>
    <row r="142" spans="1:29" x14ac:dyDescent="0.4">
      <c r="A142" s="6" t="s">
        <v>26</v>
      </c>
      <c r="B142" s="53" t="s">
        <v>51</v>
      </c>
      <c r="C142" s="54"/>
      <c r="D142" s="55"/>
      <c r="E142" s="5">
        <f t="shared" ref="E142:AC142" si="39">SUM(E136:E141)</f>
        <v>0</v>
      </c>
      <c r="F142" s="5">
        <f t="shared" si="39"/>
        <v>1</v>
      </c>
      <c r="G142" s="5">
        <f t="shared" si="39"/>
        <v>11</v>
      </c>
      <c r="H142" s="5">
        <f t="shared" si="39"/>
        <v>0</v>
      </c>
      <c r="I142" s="5">
        <f t="shared" si="39"/>
        <v>0</v>
      </c>
      <c r="J142" s="5">
        <f t="shared" si="39"/>
        <v>0</v>
      </c>
      <c r="K142" s="5">
        <f t="shared" si="39"/>
        <v>0</v>
      </c>
      <c r="L142" s="5">
        <f t="shared" si="39"/>
        <v>5</v>
      </c>
      <c r="M142" s="5">
        <f t="shared" si="39"/>
        <v>0</v>
      </c>
      <c r="N142" s="5">
        <f t="shared" si="39"/>
        <v>0</v>
      </c>
      <c r="O142" s="5">
        <f t="shared" si="39"/>
        <v>0</v>
      </c>
      <c r="P142" s="5">
        <f t="shared" si="39"/>
        <v>0</v>
      </c>
      <c r="Q142" s="5">
        <f t="shared" si="39"/>
        <v>0</v>
      </c>
      <c r="R142" s="5">
        <f t="shared" si="39"/>
        <v>0</v>
      </c>
      <c r="S142" s="5">
        <f t="shared" si="39"/>
        <v>0</v>
      </c>
      <c r="T142" s="5">
        <f t="shared" si="39"/>
        <v>1</v>
      </c>
      <c r="U142" s="5">
        <f t="shared" si="39"/>
        <v>0</v>
      </c>
      <c r="V142" s="5">
        <f t="shared" si="39"/>
        <v>0</v>
      </c>
      <c r="W142" s="5">
        <f t="shared" si="39"/>
        <v>0</v>
      </c>
      <c r="X142" s="5">
        <f t="shared" si="39"/>
        <v>1</v>
      </c>
      <c r="Y142" s="5">
        <f t="shared" si="39"/>
        <v>0</v>
      </c>
      <c r="Z142" s="5">
        <f t="shared" si="39"/>
        <v>0</v>
      </c>
      <c r="AA142" s="5">
        <f t="shared" si="39"/>
        <v>1</v>
      </c>
      <c r="AB142" s="5">
        <f t="shared" si="39"/>
        <v>0</v>
      </c>
      <c r="AC142" s="5">
        <f t="shared" si="39"/>
        <v>20</v>
      </c>
    </row>
    <row r="143" spans="1:29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spans="1:29" x14ac:dyDescent="0.4">
      <c r="A144" s="11" t="s">
        <v>48</v>
      </c>
      <c r="B144" s="17" t="s">
        <v>73</v>
      </c>
      <c r="C144" s="59" t="s">
        <v>74</v>
      </c>
      <c r="D144" s="60"/>
      <c r="E144" s="6">
        <v>0</v>
      </c>
      <c r="F144" s="6">
        <v>2</v>
      </c>
      <c r="G144" s="6">
        <v>4</v>
      </c>
      <c r="H144" s="6">
        <v>1</v>
      </c>
      <c r="I144" s="6">
        <v>1</v>
      </c>
      <c r="J144" s="6">
        <v>0</v>
      </c>
      <c r="K144" s="6">
        <v>1</v>
      </c>
      <c r="L144" s="6">
        <v>0</v>
      </c>
      <c r="M144" s="6">
        <v>0</v>
      </c>
      <c r="N144" s="6">
        <v>1</v>
      </c>
      <c r="O144" s="6">
        <v>0</v>
      </c>
      <c r="P144" s="6">
        <v>1</v>
      </c>
      <c r="Q144" s="6">
        <v>0</v>
      </c>
      <c r="R144" s="6">
        <v>0</v>
      </c>
      <c r="S144" s="6">
        <v>1</v>
      </c>
      <c r="T144" s="6">
        <v>1</v>
      </c>
      <c r="U144" s="6">
        <v>1</v>
      </c>
      <c r="V144" s="6">
        <v>0</v>
      </c>
      <c r="W144" s="6">
        <v>0</v>
      </c>
      <c r="X144" s="6">
        <v>3</v>
      </c>
      <c r="Y144" s="6">
        <v>0</v>
      </c>
      <c r="Z144" s="6">
        <v>1</v>
      </c>
      <c r="AA144" s="6">
        <v>1</v>
      </c>
      <c r="AB144" s="6">
        <v>4</v>
      </c>
      <c r="AC144" s="5">
        <f t="shared" ref="AC144:AC150" si="40">SUM(E144:AB144)</f>
        <v>23</v>
      </c>
    </row>
    <row r="145" spans="1:29" x14ac:dyDescent="0.4">
      <c r="A145" s="11" t="s">
        <v>50</v>
      </c>
      <c r="B145" s="46">
        <v>1</v>
      </c>
      <c r="C145" s="24" t="s">
        <v>174</v>
      </c>
      <c r="D145" s="47"/>
      <c r="E145" s="6">
        <v>0</v>
      </c>
      <c r="F145" s="6">
        <v>0</v>
      </c>
      <c r="G145" s="6">
        <v>0</v>
      </c>
      <c r="H145" s="6">
        <v>1</v>
      </c>
      <c r="I145" s="6">
        <v>0</v>
      </c>
      <c r="J145" s="6">
        <v>0</v>
      </c>
      <c r="K145" s="6">
        <v>3</v>
      </c>
      <c r="L145" s="6">
        <v>4</v>
      </c>
      <c r="M145" s="6">
        <v>3</v>
      </c>
      <c r="N145" s="6">
        <v>1</v>
      </c>
      <c r="O145" s="6">
        <v>2</v>
      </c>
      <c r="P145" s="6">
        <v>0</v>
      </c>
      <c r="Q145" s="6">
        <v>0</v>
      </c>
      <c r="R145" s="6">
        <v>0</v>
      </c>
      <c r="S145" s="6">
        <v>0</v>
      </c>
      <c r="T145" s="6">
        <v>1</v>
      </c>
      <c r="U145" s="6">
        <v>2</v>
      </c>
      <c r="V145" s="6">
        <v>0</v>
      </c>
      <c r="W145" s="6">
        <v>0</v>
      </c>
      <c r="X145" s="6">
        <v>3</v>
      </c>
      <c r="Y145" s="6">
        <v>4</v>
      </c>
      <c r="Z145" s="6">
        <v>1</v>
      </c>
      <c r="AA145" s="6">
        <v>5</v>
      </c>
      <c r="AB145" s="6">
        <v>0</v>
      </c>
      <c r="AC145" s="5">
        <f t="shared" si="40"/>
        <v>30</v>
      </c>
    </row>
    <row r="146" spans="1:29" x14ac:dyDescent="0.4">
      <c r="A146" s="7"/>
      <c r="B146" s="46">
        <v>2</v>
      </c>
      <c r="C146" s="24" t="s">
        <v>175</v>
      </c>
      <c r="D146" s="47"/>
      <c r="E146" s="6">
        <v>2</v>
      </c>
      <c r="F146" s="6">
        <v>14</v>
      </c>
      <c r="G146" s="6">
        <v>3</v>
      </c>
      <c r="H146" s="6">
        <v>4</v>
      </c>
      <c r="I146" s="6">
        <v>2</v>
      </c>
      <c r="J146" s="6">
        <v>1</v>
      </c>
      <c r="K146" s="6">
        <v>1</v>
      </c>
      <c r="L146" s="6">
        <v>1</v>
      </c>
      <c r="M146" s="6">
        <v>6</v>
      </c>
      <c r="N146" s="6">
        <v>9</v>
      </c>
      <c r="O146" s="6">
        <v>26</v>
      </c>
      <c r="P146" s="6">
        <v>3</v>
      </c>
      <c r="Q146" s="6">
        <v>5</v>
      </c>
      <c r="R146" s="6">
        <v>1</v>
      </c>
      <c r="S146" s="6">
        <v>0</v>
      </c>
      <c r="T146" s="6">
        <v>1</v>
      </c>
      <c r="U146" s="6">
        <v>0</v>
      </c>
      <c r="V146" s="6">
        <v>1</v>
      </c>
      <c r="W146" s="6">
        <v>0</v>
      </c>
      <c r="X146" s="6">
        <v>17</v>
      </c>
      <c r="Y146" s="6">
        <v>3</v>
      </c>
      <c r="Z146" s="6">
        <v>5</v>
      </c>
      <c r="AA146" s="6">
        <v>1</v>
      </c>
      <c r="AB146" s="6">
        <v>6</v>
      </c>
      <c r="AC146" s="5">
        <f t="shared" si="40"/>
        <v>112</v>
      </c>
    </row>
    <row r="147" spans="1:29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5">
        <f t="shared" si="40"/>
        <v>0</v>
      </c>
    </row>
    <row r="148" spans="1:29" x14ac:dyDescent="0.4">
      <c r="A148" s="7"/>
      <c r="B148" s="46">
        <v>4</v>
      </c>
      <c r="C148" s="24" t="s">
        <v>177</v>
      </c>
      <c r="D148" s="47"/>
      <c r="E148" s="6">
        <v>1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1</v>
      </c>
      <c r="S148" s="6">
        <v>0</v>
      </c>
      <c r="T148" s="6">
        <v>0</v>
      </c>
      <c r="U148" s="6">
        <v>5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1</v>
      </c>
      <c r="AB148" s="6">
        <v>0</v>
      </c>
      <c r="AC148" s="5">
        <f t="shared" si="40"/>
        <v>9</v>
      </c>
    </row>
    <row r="149" spans="1:29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5">
        <f t="shared" si="40"/>
        <v>1</v>
      </c>
    </row>
    <row r="150" spans="1:29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1</v>
      </c>
      <c r="L150" s="6">
        <v>2</v>
      </c>
      <c r="M150" s="6">
        <v>0</v>
      </c>
      <c r="N150" s="6">
        <v>0</v>
      </c>
      <c r="O150" s="6">
        <v>1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5">
        <f t="shared" si="40"/>
        <v>4</v>
      </c>
    </row>
    <row r="151" spans="1:29" x14ac:dyDescent="0.4">
      <c r="A151" s="6" t="s">
        <v>26</v>
      </c>
      <c r="B151" s="53" t="s">
        <v>51</v>
      </c>
      <c r="C151" s="54"/>
      <c r="D151" s="55"/>
      <c r="E151" s="5">
        <f t="shared" ref="E151:AC151" si="41">SUM(E144:E150)</f>
        <v>3</v>
      </c>
      <c r="F151" s="5">
        <f t="shared" si="41"/>
        <v>17</v>
      </c>
      <c r="G151" s="5">
        <f t="shared" si="41"/>
        <v>8</v>
      </c>
      <c r="H151" s="5">
        <f t="shared" si="41"/>
        <v>6</v>
      </c>
      <c r="I151" s="5">
        <f t="shared" si="41"/>
        <v>3</v>
      </c>
      <c r="J151" s="5">
        <f t="shared" si="41"/>
        <v>1</v>
      </c>
      <c r="K151" s="5">
        <f t="shared" si="41"/>
        <v>6</v>
      </c>
      <c r="L151" s="5">
        <f t="shared" si="41"/>
        <v>7</v>
      </c>
      <c r="M151" s="5">
        <f t="shared" si="41"/>
        <v>9</v>
      </c>
      <c r="N151" s="5">
        <f t="shared" si="41"/>
        <v>11</v>
      </c>
      <c r="O151" s="5">
        <f t="shared" si="41"/>
        <v>29</v>
      </c>
      <c r="P151" s="5">
        <f t="shared" si="41"/>
        <v>4</v>
      </c>
      <c r="Q151" s="5">
        <f t="shared" si="41"/>
        <v>5</v>
      </c>
      <c r="R151" s="5">
        <f t="shared" si="41"/>
        <v>2</v>
      </c>
      <c r="S151" s="5">
        <f t="shared" si="41"/>
        <v>1</v>
      </c>
      <c r="T151" s="5">
        <f t="shared" si="41"/>
        <v>3</v>
      </c>
      <c r="U151" s="5">
        <f t="shared" si="41"/>
        <v>8</v>
      </c>
      <c r="V151" s="5">
        <f t="shared" si="41"/>
        <v>1</v>
      </c>
      <c r="W151" s="5">
        <f t="shared" si="41"/>
        <v>0</v>
      </c>
      <c r="X151" s="5">
        <f t="shared" si="41"/>
        <v>23</v>
      </c>
      <c r="Y151" s="5">
        <f t="shared" si="41"/>
        <v>7</v>
      </c>
      <c r="Z151" s="5">
        <f t="shared" si="41"/>
        <v>7</v>
      </c>
      <c r="AA151" s="5">
        <f t="shared" si="41"/>
        <v>8</v>
      </c>
      <c r="AB151" s="5">
        <f t="shared" si="41"/>
        <v>10</v>
      </c>
      <c r="AC151" s="5">
        <f t="shared" si="41"/>
        <v>179</v>
      </c>
    </row>
    <row r="152" spans="1:29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spans="1:29" x14ac:dyDescent="0.4">
      <c r="A153" s="11" t="s">
        <v>48</v>
      </c>
      <c r="B153" s="17" t="s">
        <v>75</v>
      </c>
      <c r="C153" s="59" t="s">
        <v>76</v>
      </c>
      <c r="D153" s="60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1</v>
      </c>
      <c r="L153" s="6">
        <v>1</v>
      </c>
      <c r="M153" s="6">
        <v>1</v>
      </c>
      <c r="N153" s="6">
        <v>1</v>
      </c>
      <c r="O153" s="6">
        <v>2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6">
        <v>2</v>
      </c>
      <c r="V153" s="6">
        <v>1</v>
      </c>
      <c r="W153" s="6">
        <v>1</v>
      </c>
      <c r="X153" s="6">
        <v>2</v>
      </c>
      <c r="Y153" s="6">
        <v>0</v>
      </c>
      <c r="Z153" s="6">
        <v>2</v>
      </c>
      <c r="AA153" s="6">
        <v>0</v>
      </c>
      <c r="AB153" s="6">
        <v>2</v>
      </c>
      <c r="AC153" s="5">
        <f>SUM(E153:AB153)</f>
        <v>18</v>
      </c>
    </row>
    <row r="154" spans="1:29" x14ac:dyDescent="0.4">
      <c r="A154" s="11" t="s">
        <v>50</v>
      </c>
      <c r="B154" s="46">
        <v>1</v>
      </c>
      <c r="C154" s="24" t="s">
        <v>180</v>
      </c>
      <c r="D154" s="47"/>
      <c r="E154" s="6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1</v>
      </c>
      <c r="L154" s="6">
        <v>0</v>
      </c>
      <c r="M154" s="6">
        <v>2</v>
      </c>
      <c r="N154" s="6">
        <v>4</v>
      </c>
      <c r="O154" s="6">
        <v>1</v>
      </c>
      <c r="P154" s="6">
        <v>0</v>
      </c>
      <c r="Q154" s="6">
        <v>1</v>
      </c>
      <c r="R154" s="6">
        <v>0</v>
      </c>
      <c r="S154" s="6">
        <v>0</v>
      </c>
      <c r="T154" s="6">
        <v>5</v>
      </c>
      <c r="U154" s="6">
        <v>27</v>
      </c>
      <c r="V154" s="6">
        <v>4</v>
      </c>
      <c r="W154" s="6">
        <v>6</v>
      </c>
      <c r="X154" s="6">
        <v>5</v>
      </c>
      <c r="Y154" s="6">
        <v>6</v>
      </c>
      <c r="Z154" s="6">
        <v>2</v>
      </c>
      <c r="AA154" s="6">
        <v>2</v>
      </c>
      <c r="AB154" s="6">
        <v>2</v>
      </c>
      <c r="AC154" s="5">
        <f>SUM(E154:AB154)</f>
        <v>69</v>
      </c>
    </row>
    <row r="155" spans="1:29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1</v>
      </c>
      <c r="G155" s="6">
        <v>4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2</v>
      </c>
      <c r="N155" s="6">
        <v>1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1</v>
      </c>
      <c r="AA155" s="6">
        <v>0</v>
      </c>
      <c r="AB155" s="6">
        <v>0</v>
      </c>
      <c r="AC155" s="5">
        <f>SUM(E155:AB155)</f>
        <v>10</v>
      </c>
    </row>
    <row r="156" spans="1:29" x14ac:dyDescent="0.4">
      <c r="A156" s="6" t="s">
        <v>26</v>
      </c>
      <c r="B156" s="53" t="s">
        <v>51</v>
      </c>
      <c r="C156" s="54"/>
      <c r="D156" s="55"/>
      <c r="E156" s="5">
        <f t="shared" ref="E156:AC156" si="42">SUM(E153:E155)</f>
        <v>0</v>
      </c>
      <c r="F156" s="5">
        <f t="shared" si="42"/>
        <v>1</v>
      </c>
      <c r="G156" s="5">
        <f t="shared" si="42"/>
        <v>4</v>
      </c>
      <c r="H156" s="5">
        <f t="shared" si="42"/>
        <v>0</v>
      </c>
      <c r="I156" s="5">
        <f t="shared" si="42"/>
        <v>1</v>
      </c>
      <c r="J156" s="5">
        <f t="shared" si="42"/>
        <v>1</v>
      </c>
      <c r="K156" s="5">
        <f t="shared" si="42"/>
        <v>2</v>
      </c>
      <c r="L156" s="5">
        <f t="shared" si="42"/>
        <v>1</v>
      </c>
      <c r="M156" s="5">
        <f t="shared" si="42"/>
        <v>5</v>
      </c>
      <c r="N156" s="5">
        <f t="shared" si="42"/>
        <v>6</v>
      </c>
      <c r="O156" s="5">
        <f t="shared" si="42"/>
        <v>3</v>
      </c>
      <c r="P156" s="5">
        <f t="shared" si="42"/>
        <v>1</v>
      </c>
      <c r="Q156" s="5">
        <f t="shared" si="42"/>
        <v>1</v>
      </c>
      <c r="R156" s="5">
        <f t="shared" si="42"/>
        <v>1</v>
      </c>
      <c r="S156" s="5">
        <f t="shared" si="42"/>
        <v>0</v>
      </c>
      <c r="T156" s="5">
        <f t="shared" si="42"/>
        <v>5</v>
      </c>
      <c r="U156" s="5">
        <f t="shared" si="42"/>
        <v>29</v>
      </c>
      <c r="V156" s="5">
        <f t="shared" si="42"/>
        <v>5</v>
      </c>
      <c r="W156" s="5">
        <f t="shared" si="42"/>
        <v>7</v>
      </c>
      <c r="X156" s="5">
        <f t="shared" si="42"/>
        <v>7</v>
      </c>
      <c r="Y156" s="5">
        <f t="shared" si="42"/>
        <v>6</v>
      </c>
      <c r="Z156" s="5">
        <f t="shared" si="42"/>
        <v>5</v>
      </c>
      <c r="AA156" s="5">
        <f t="shared" si="42"/>
        <v>2</v>
      </c>
      <c r="AB156" s="5">
        <f t="shared" si="42"/>
        <v>4</v>
      </c>
      <c r="AC156" s="5">
        <f t="shared" si="42"/>
        <v>97</v>
      </c>
    </row>
    <row r="157" spans="1:29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spans="1:29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1</v>
      </c>
      <c r="Z158" s="6">
        <v>1</v>
      </c>
      <c r="AA158" s="6">
        <v>0</v>
      </c>
      <c r="AB158" s="6">
        <v>1</v>
      </c>
      <c r="AC158" s="5">
        <f>SUM(E158:AB158)</f>
        <v>4</v>
      </c>
    </row>
    <row r="159" spans="1:29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>SUM(E159:AB159)</f>
        <v>1</v>
      </c>
    </row>
    <row r="160" spans="1:29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1</v>
      </c>
      <c r="AA160" s="6">
        <v>0</v>
      </c>
      <c r="AB160" s="6">
        <v>0</v>
      </c>
      <c r="AC160" s="5">
        <f>SUM(E160:AB160)</f>
        <v>2</v>
      </c>
    </row>
    <row r="161" spans="1:29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1</v>
      </c>
      <c r="U161" s="6">
        <v>0</v>
      </c>
      <c r="V161" s="6">
        <v>1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1</v>
      </c>
      <c r="AC161" s="5">
        <f>SUM(E161:AB161)</f>
        <v>3</v>
      </c>
    </row>
    <row r="162" spans="1:29" x14ac:dyDescent="0.4">
      <c r="A162" s="6" t="s">
        <v>26</v>
      </c>
      <c r="B162" s="53" t="s">
        <v>51</v>
      </c>
      <c r="C162" s="54"/>
      <c r="D162" s="55"/>
      <c r="E162" s="5">
        <f t="shared" ref="E162:AC162" si="43">SUM(E158:E161)</f>
        <v>0</v>
      </c>
      <c r="F162" s="5">
        <f t="shared" si="43"/>
        <v>0</v>
      </c>
      <c r="G162" s="5">
        <f t="shared" si="43"/>
        <v>0</v>
      </c>
      <c r="H162" s="5">
        <f t="shared" si="43"/>
        <v>0</v>
      </c>
      <c r="I162" s="5">
        <f t="shared" si="43"/>
        <v>1</v>
      </c>
      <c r="J162" s="5">
        <f t="shared" si="43"/>
        <v>0</v>
      </c>
      <c r="K162" s="5">
        <f t="shared" si="43"/>
        <v>0</v>
      </c>
      <c r="L162" s="5">
        <f t="shared" si="43"/>
        <v>0</v>
      </c>
      <c r="M162" s="5">
        <f t="shared" si="43"/>
        <v>0</v>
      </c>
      <c r="N162" s="5">
        <f t="shared" si="43"/>
        <v>1</v>
      </c>
      <c r="O162" s="5">
        <f t="shared" si="43"/>
        <v>0</v>
      </c>
      <c r="P162" s="5">
        <f t="shared" si="43"/>
        <v>0</v>
      </c>
      <c r="Q162" s="5">
        <f t="shared" si="43"/>
        <v>1</v>
      </c>
      <c r="R162" s="5">
        <f t="shared" si="43"/>
        <v>0</v>
      </c>
      <c r="S162" s="5">
        <f t="shared" si="43"/>
        <v>0</v>
      </c>
      <c r="T162" s="5">
        <f t="shared" si="43"/>
        <v>1</v>
      </c>
      <c r="U162" s="5">
        <f t="shared" si="43"/>
        <v>0</v>
      </c>
      <c r="V162" s="5">
        <f t="shared" si="43"/>
        <v>1</v>
      </c>
      <c r="W162" s="5">
        <f t="shared" si="43"/>
        <v>0</v>
      </c>
      <c r="X162" s="5">
        <f t="shared" si="43"/>
        <v>0</v>
      </c>
      <c r="Y162" s="5">
        <f t="shared" si="43"/>
        <v>1</v>
      </c>
      <c r="Z162" s="5">
        <f t="shared" si="43"/>
        <v>2</v>
      </c>
      <c r="AA162" s="5">
        <f t="shared" si="43"/>
        <v>0</v>
      </c>
      <c r="AB162" s="5">
        <f t="shared" si="43"/>
        <v>2</v>
      </c>
      <c r="AC162" s="5">
        <f t="shared" si="43"/>
        <v>10</v>
      </c>
    </row>
    <row r="163" spans="1:29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spans="1:29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1</v>
      </c>
      <c r="G164" s="6">
        <v>0</v>
      </c>
      <c r="H164" s="6">
        <v>1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1</v>
      </c>
      <c r="R164" s="6">
        <v>0</v>
      </c>
      <c r="S164" s="6">
        <v>0</v>
      </c>
      <c r="T164" s="6">
        <v>0</v>
      </c>
      <c r="U164" s="6">
        <v>0</v>
      </c>
      <c r="V164" s="6">
        <v>1</v>
      </c>
      <c r="W164" s="6">
        <v>7</v>
      </c>
      <c r="X164" s="6">
        <v>0</v>
      </c>
      <c r="Y164" s="6">
        <v>1</v>
      </c>
      <c r="Z164" s="6">
        <v>0</v>
      </c>
      <c r="AA164" s="6">
        <v>1</v>
      </c>
      <c r="AB164" s="6">
        <v>0</v>
      </c>
      <c r="AC164" s="5">
        <f t="shared" ref="AC164:AC170" si="44">SUM(E164:AB164)</f>
        <v>15</v>
      </c>
    </row>
    <row r="165" spans="1:29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2</v>
      </c>
      <c r="G165" s="6">
        <v>0</v>
      </c>
      <c r="H165" s="6">
        <v>1</v>
      </c>
      <c r="I165" s="6">
        <v>1</v>
      </c>
      <c r="J165" s="6">
        <v>1</v>
      </c>
      <c r="K165" s="6">
        <v>2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2</v>
      </c>
      <c r="V165" s="6">
        <v>2</v>
      </c>
      <c r="W165" s="6">
        <v>2</v>
      </c>
      <c r="X165" s="6">
        <v>2</v>
      </c>
      <c r="Y165" s="6">
        <v>3</v>
      </c>
      <c r="Z165" s="6">
        <v>0</v>
      </c>
      <c r="AA165" s="6">
        <v>0</v>
      </c>
      <c r="AB165" s="6">
        <v>0</v>
      </c>
      <c r="AC165" s="5">
        <f t="shared" si="44"/>
        <v>19</v>
      </c>
    </row>
    <row r="166" spans="1:29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2</v>
      </c>
      <c r="V166" s="6">
        <v>0</v>
      </c>
      <c r="W166" s="6">
        <v>0</v>
      </c>
      <c r="X166" s="6">
        <v>1</v>
      </c>
      <c r="Y166" s="6">
        <v>0</v>
      </c>
      <c r="Z166" s="6">
        <v>0</v>
      </c>
      <c r="AA166" s="6">
        <v>0</v>
      </c>
      <c r="AB166" s="6">
        <v>0</v>
      </c>
      <c r="AC166" s="5">
        <f t="shared" si="44"/>
        <v>6</v>
      </c>
    </row>
    <row r="167" spans="1:29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2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5">
        <f t="shared" si="44"/>
        <v>2</v>
      </c>
    </row>
    <row r="168" spans="1:29" x14ac:dyDescent="0.4">
      <c r="A168" s="7"/>
      <c r="B168" s="46">
        <v>4</v>
      </c>
      <c r="C168" s="24" t="s">
        <v>188</v>
      </c>
      <c r="D168" s="47"/>
      <c r="E168" s="6">
        <v>0</v>
      </c>
      <c r="F168" s="6">
        <v>0</v>
      </c>
      <c r="G168" s="6">
        <v>6</v>
      </c>
      <c r="H168" s="6">
        <v>0</v>
      </c>
      <c r="I168" s="6">
        <v>0</v>
      </c>
      <c r="J168" s="6">
        <v>1</v>
      </c>
      <c r="K168" s="6">
        <v>0</v>
      </c>
      <c r="L168" s="6">
        <v>1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1</v>
      </c>
      <c r="Y168" s="6">
        <v>0</v>
      </c>
      <c r="Z168" s="6">
        <v>0</v>
      </c>
      <c r="AA168" s="6">
        <v>0</v>
      </c>
      <c r="AB168" s="6">
        <v>0</v>
      </c>
      <c r="AC168" s="5">
        <f t="shared" si="44"/>
        <v>10</v>
      </c>
    </row>
    <row r="169" spans="1:29" ht="12.75" customHeight="1" x14ac:dyDescent="0.4">
      <c r="A169" s="7"/>
      <c r="B169" s="46">
        <v>5</v>
      </c>
      <c r="C169" s="24" t="s">
        <v>189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1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1</v>
      </c>
      <c r="X169" s="6">
        <v>0</v>
      </c>
      <c r="Y169" s="6">
        <v>0</v>
      </c>
      <c r="Z169" s="6">
        <v>0</v>
      </c>
      <c r="AA169" s="6">
        <v>1</v>
      </c>
      <c r="AB169" s="6">
        <v>0</v>
      </c>
      <c r="AC169" s="5">
        <f t="shared" si="44"/>
        <v>3</v>
      </c>
    </row>
    <row r="170" spans="1:29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2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2</v>
      </c>
      <c r="Q170" s="6">
        <v>0</v>
      </c>
      <c r="R170" s="6">
        <v>0</v>
      </c>
      <c r="S170" s="6">
        <v>0</v>
      </c>
      <c r="T170" s="6">
        <v>1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1</v>
      </c>
      <c r="AB170" s="6">
        <v>0</v>
      </c>
      <c r="AC170" s="5">
        <f t="shared" si="44"/>
        <v>6</v>
      </c>
    </row>
    <row r="171" spans="1:29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AC171" si="45">SUM(E164:E170)</f>
        <v>0</v>
      </c>
      <c r="F171" s="5">
        <f t="shared" si="45"/>
        <v>3</v>
      </c>
      <c r="G171" s="5">
        <f t="shared" si="45"/>
        <v>8</v>
      </c>
      <c r="H171" s="5">
        <f t="shared" si="45"/>
        <v>2</v>
      </c>
      <c r="I171" s="5">
        <f t="shared" si="45"/>
        <v>2</v>
      </c>
      <c r="J171" s="5">
        <f t="shared" si="45"/>
        <v>4</v>
      </c>
      <c r="K171" s="5">
        <f t="shared" si="45"/>
        <v>2</v>
      </c>
      <c r="L171" s="5">
        <f t="shared" si="45"/>
        <v>3</v>
      </c>
      <c r="M171" s="5">
        <f t="shared" si="45"/>
        <v>2</v>
      </c>
      <c r="N171" s="5">
        <f t="shared" si="45"/>
        <v>0</v>
      </c>
      <c r="O171" s="5">
        <f t="shared" si="45"/>
        <v>0</v>
      </c>
      <c r="P171" s="5">
        <f t="shared" si="45"/>
        <v>3</v>
      </c>
      <c r="Q171" s="5">
        <f t="shared" si="45"/>
        <v>2</v>
      </c>
      <c r="R171" s="5">
        <f t="shared" si="45"/>
        <v>0</v>
      </c>
      <c r="S171" s="5">
        <f t="shared" si="45"/>
        <v>0</v>
      </c>
      <c r="T171" s="5">
        <f t="shared" si="45"/>
        <v>2</v>
      </c>
      <c r="U171" s="5">
        <f t="shared" si="45"/>
        <v>4</v>
      </c>
      <c r="V171" s="5">
        <f t="shared" si="45"/>
        <v>3</v>
      </c>
      <c r="W171" s="5">
        <f t="shared" si="45"/>
        <v>10</v>
      </c>
      <c r="X171" s="5">
        <f t="shared" si="45"/>
        <v>4</v>
      </c>
      <c r="Y171" s="5">
        <f t="shared" si="45"/>
        <v>4</v>
      </c>
      <c r="Z171" s="5">
        <f t="shared" si="45"/>
        <v>0</v>
      </c>
      <c r="AA171" s="5">
        <f t="shared" si="45"/>
        <v>3</v>
      </c>
      <c r="AB171" s="5">
        <f t="shared" si="45"/>
        <v>0</v>
      </c>
      <c r="AC171" s="5">
        <f t="shared" si="45"/>
        <v>61</v>
      </c>
    </row>
    <row r="172" spans="1:29" x14ac:dyDescent="0.4">
      <c r="A172" s="61"/>
      <c r="B172" s="62"/>
      <c r="C172" s="62"/>
      <c r="D172" s="62"/>
      <c r="E172" s="63"/>
    </row>
    <row r="173" spans="1:29" x14ac:dyDescent="0.4">
      <c r="A173" s="11" t="s">
        <v>48</v>
      </c>
      <c r="B173" s="17" t="s">
        <v>81</v>
      </c>
      <c r="C173" s="59" t="s">
        <v>82</v>
      </c>
      <c r="D173" s="60"/>
      <c r="E173" s="6">
        <v>0</v>
      </c>
      <c r="F173" s="6">
        <v>0</v>
      </c>
      <c r="G173" s="6">
        <v>0</v>
      </c>
      <c r="H173" s="6">
        <v>0</v>
      </c>
      <c r="I173" s="6">
        <v>1</v>
      </c>
      <c r="J173" s="6">
        <v>1</v>
      </c>
      <c r="K173" s="6">
        <v>0</v>
      </c>
      <c r="L173" s="6">
        <v>1</v>
      </c>
      <c r="M173" s="6">
        <v>1</v>
      </c>
      <c r="N173" s="6">
        <v>1</v>
      </c>
      <c r="O173" s="6">
        <v>1</v>
      </c>
      <c r="P173" s="6">
        <v>0</v>
      </c>
      <c r="Q173" s="6">
        <v>0</v>
      </c>
      <c r="R173" s="6">
        <v>1</v>
      </c>
      <c r="S173" s="6">
        <v>1</v>
      </c>
      <c r="T173" s="6">
        <v>0</v>
      </c>
      <c r="U173" s="6">
        <v>0</v>
      </c>
      <c r="V173" s="6">
        <v>0</v>
      </c>
      <c r="W173" s="6">
        <v>0</v>
      </c>
      <c r="X173" s="6">
        <v>1</v>
      </c>
      <c r="Y173" s="6">
        <v>0</v>
      </c>
      <c r="Z173" s="6">
        <v>0</v>
      </c>
      <c r="AA173" s="6">
        <v>0</v>
      </c>
      <c r="AB173" s="6">
        <v>0</v>
      </c>
      <c r="AC173" s="5">
        <f>SUM(E173:AB173)</f>
        <v>9</v>
      </c>
    </row>
    <row r="174" spans="1:29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5">
        <f>SUM(E174:AB174)</f>
        <v>0</v>
      </c>
    </row>
    <row r="175" spans="1:29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5">
        <f>SUM(E175:AB175)</f>
        <v>0</v>
      </c>
    </row>
    <row r="176" spans="1:29" x14ac:dyDescent="0.4">
      <c r="A176" s="6" t="s">
        <v>26</v>
      </c>
      <c r="B176" s="53" t="s">
        <v>51</v>
      </c>
      <c r="C176" s="54"/>
      <c r="D176" s="55"/>
      <c r="E176" s="5">
        <f t="shared" ref="E176:AC176" si="46">SUM(E173:E175)</f>
        <v>0</v>
      </c>
      <c r="F176" s="5">
        <f t="shared" si="46"/>
        <v>0</v>
      </c>
      <c r="G176" s="5">
        <f t="shared" si="46"/>
        <v>0</v>
      </c>
      <c r="H176" s="5">
        <f t="shared" si="46"/>
        <v>0</v>
      </c>
      <c r="I176" s="5">
        <f t="shared" si="46"/>
        <v>1</v>
      </c>
      <c r="J176" s="5">
        <f t="shared" si="46"/>
        <v>1</v>
      </c>
      <c r="K176" s="5">
        <f t="shared" si="46"/>
        <v>0</v>
      </c>
      <c r="L176" s="5">
        <f t="shared" si="46"/>
        <v>1</v>
      </c>
      <c r="M176" s="5">
        <f t="shared" si="46"/>
        <v>1</v>
      </c>
      <c r="N176" s="5">
        <f t="shared" si="46"/>
        <v>1</v>
      </c>
      <c r="O176" s="5">
        <f t="shared" si="46"/>
        <v>1</v>
      </c>
      <c r="P176" s="5">
        <f t="shared" si="46"/>
        <v>0</v>
      </c>
      <c r="Q176" s="5">
        <f t="shared" si="46"/>
        <v>0</v>
      </c>
      <c r="R176" s="5">
        <f t="shared" si="46"/>
        <v>1</v>
      </c>
      <c r="S176" s="5">
        <f t="shared" si="46"/>
        <v>1</v>
      </c>
      <c r="T176" s="5">
        <f t="shared" si="46"/>
        <v>0</v>
      </c>
      <c r="U176" s="5">
        <f t="shared" si="46"/>
        <v>0</v>
      </c>
      <c r="V176" s="5">
        <f t="shared" si="46"/>
        <v>0</v>
      </c>
      <c r="W176" s="5">
        <f t="shared" si="46"/>
        <v>0</v>
      </c>
      <c r="X176" s="5">
        <f t="shared" si="46"/>
        <v>1</v>
      </c>
      <c r="Y176" s="5">
        <f t="shared" si="46"/>
        <v>0</v>
      </c>
      <c r="Z176" s="5">
        <f t="shared" si="46"/>
        <v>0</v>
      </c>
      <c r="AA176" s="5">
        <f t="shared" si="46"/>
        <v>0</v>
      </c>
      <c r="AB176" s="5">
        <f t="shared" si="46"/>
        <v>0</v>
      </c>
      <c r="AC176" s="5">
        <f t="shared" si="46"/>
        <v>9</v>
      </c>
    </row>
    <row r="178" spans="1:29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5"/>
    </row>
    <row r="179" spans="1:29" x14ac:dyDescent="0.4">
      <c r="A179" s="16"/>
      <c r="B179" s="19" t="s">
        <v>85</v>
      </c>
      <c r="C179" s="51" t="s">
        <v>86</v>
      </c>
      <c r="D179" s="52"/>
      <c r="E179" s="6">
        <f t="shared" ref="E179:AB179" si="47">E52+E61+E70+E79+E88+E91+E98+E107+E113+E122+E125+E134+E142+E151+E156+E162+E171+E176</f>
        <v>125</v>
      </c>
      <c r="F179" s="6">
        <f t="shared" si="47"/>
        <v>172</v>
      </c>
      <c r="G179" s="6">
        <f t="shared" si="47"/>
        <v>197</v>
      </c>
      <c r="H179" s="6">
        <f t="shared" si="47"/>
        <v>164</v>
      </c>
      <c r="I179" s="6">
        <f t="shared" si="47"/>
        <v>220</v>
      </c>
      <c r="J179" s="6">
        <f t="shared" si="47"/>
        <v>229</v>
      </c>
      <c r="K179" s="6">
        <f t="shared" si="47"/>
        <v>240</v>
      </c>
      <c r="L179" s="6">
        <f t="shared" si="47"/>
        <v>231</v>
      </c>
      <c r="M179" s="6">
        <f t="shared" si="47"/>
        <v>191</v>
      </c>
      <c r="N179" s="6">
        <f t="shared" si="47"/>
        <v>199</v>
      </c>
      <c r="O179" s="6">
        <f t="shared" si="47"/>
        <v>212</v>
      </c>
      <c r="P179" s="6">
        <f t="shared" si="47"/>
        <v>241</v>
      </c>
      <c r="Q179" s="6">
        <f t="shared" si="47"/>
        <v>215</v>
      </c>
      <c r="R179" s="6">
        <f t="shared" si="47"/>
        <v>206</v>
      </c>
      <c r="S179" s="6">
        <f t="shared" si="47"/>
        <v>171</v>
      </c>
      <c r="T179" s="6">
        <f t="shared" si="47"/>
        <v>212</v>
      </c>
      <c r="U179" s="6">
        <f t="shared" si="47"/>
        <v>235</v>
      </c>
      <c r="V179" s="6">
        <f t="shared" si="47"/>
        <v>234</v>
      </c>
      <c r="W179" s="6">
        <f t="shared" si="47"/>
        <v>198</v>
      </c>
      <c r="X179" s="6">
        <f t="shared" si="47"/>
        <v>214</v>
      </c>
      <c r="Y179" s="6">
        <f t="shared" si="47"/>
        <v>205</v>
      </c>
      <c r="Z179" s="6">
        <f t="shared" si="47"/>
        <v>171</v>
      </c>
      <c r="AA179" s="6">
        <f t="shared" si="47"/>
        <v>215</v>
      </c>
      <c r="AB179" s="6">
        <f t="shared" si="47"/>
        <v>190</v>
      </c>
      <c r="AC179" s="5">
        <f>SUM(E179:AB179)</f>
        <v>4887</v>
      </c>
    </row>
    <row r="180" spans="1:29" x14ac:dyDescent="0.4">
      <c r="A180" s="13"/>
      <c r="B180" s="19" t="s">
        <v>87</v>
      </c>
      <c r="C180" s="51" t="s">
        <v>88</v>
      </c>
      <c r="D180" s="52"/>
      <c r="E180" s="6">
        <v>13</v>
      </c>
      <c r="F180" s="6">
        <v>24</v>
      </c>
      <c r="G180" s="6">
        <v>24</v>
      </c>
      <c r="H180" s="6">
        <v>14</v>
      </c>
      <c r="I180" s="6">
        <v>19</v>
      </c>
      <c r="J180" s="6">
        <v>17</v>
      </c>
      <c r="K180" s="6">
        <v>9</v>
      </c>
      <c r="L180" s="6">
        <v>22</v>
      </c>
      <c r="M180" s="6">
        <v>14</v>
      </c>
      <c r="N180" s="6">
        <v>5</v>
      </c>
      <c r="O180" s="6">
        <v>13</v>
      </c>
      <c r="P180" s="6">
        <v>11</v>
      </c>
      <c r="Q180" s="6">
        <v>15</v>
      </c>
      <c r="R180" s="6">
        <v>32</v>
      </c>
      <c r="S180" s="6">
        <v>18</v>
      </c>
      <c r="T180" s="6">
        <v>32</v>
      </c>
      <c r="U180" s="6">
        <v>7</v>
      </c>
      <c r="V180" s="6">
        <v>12</v>
      </c>
      <c r="W180" s="6">
        <v>39</v>
      </c>
      <c r="X180" s="6">
        <v>13</v>
      </c>
      <c r="Y180" s="6">
        <v>12</v>
      </c>
      <c r="Z180" s="6">
        <v>5</v>
      </c>
      <c r="AA180" s="6">
        <v>4</v>
      </c>
      <c r="AB180" s="6">
        <v>6</v>
      </c>
      <c r="AC180" s="5">
        <f>SUM(E180:AB180)</f>
        <v>380</v>
      </c>
    </row>
    <row r="181" spans="1:29" x14ac:dyDescent="0.4">
      <c r="A181" s="14"/>
      <c r="B181" s="19" t="s">
        <v>89</v>
      </c>
      <c r="C181" s="51" t="s">
        <v>90</v>
      </c>
      <c r="D181" s="52"/>
      <c r="E181" s="5">
        <f>SUM(E179:E180)</f>
        <v>138</v>
      </c>
      <c r="F181" s="5">
        <f t="shared" ref="F181:AB181" si="48">SUM(F179:F180)</f>
        <v>196</v>
      </c>
      <c r="G181" s="5">
        <f t="shared" si="48"/>
        <v>221</v>
      </c>
      <c r="H181" s="5">
        <f t="shared" si="48"/>
        <v>178</v>
      </c>
      <c r="I181" s="5">
        <f t="shared" si="48"/>
        <v>239</v>
      </c>
      <c r="J181" s="5">
        <f t="shared" si="48"/>
        <v>246</v>
      </c>
      <c r="K181" s="5">
        <f t="shared" si="48"/>
        <v>249</v>
      </c>
      <c r="L181" s="5">
        <f t="shared" si="48"/>
        <v>253</v>
      </c>
      <c r="M181" s="5">
        <f t="shared" si="48"/>
        <v>205</v>
      </c>
      <c r="N181" s="5">
        <f t="shared" si="48"/>
        <v>204</v>
      </c>
      <c r="O181" s="5">
        <f t="shared" si="48"/>
        <v>225</v>
      </c>
      <c r="P181" s="5">
        <f t="shared" ref="P181:X181" si="49">SUM(P179:P180)</f>
        <v>252</v>
      </c>
      <c r="Q181" s="5">
        <f t="shared" si="49"/>
        <v>230</v>
      </c>
      <c r="R181" s="5">
        <f t="shared" si="49"/>
        <v>238</v>
      </c>
      <c r="S181" s="5">
        <f t="shared" si="49"/>
        <v>189</v>
      </c>
      <c r="T181" s="5">
        <f t="shared" si="49"/>
        <v>244</v>
      </c>
      <c r="U181" s="5">
        <f t="shared" si="49"/>
        <v>242</v>
      </c>
      <c r="V181" s="5">
        <f t="shared" si="49"/>
        <v>246</v>
      </c>
      <c r="W181" s="5">
        <f t="shared" si="49"/>
        <v>237</v>
      </c>
      <c r="X181" s="5">
        <f t="shared" si="49"/>
        <v>227</v>
      </c>
      <c r="Y181" s="5">
        <f t="shared" si="48"/>
        <v>217</v>
      </c>
      <c r="Z181" s="5">
        <f t="shared" si="48"/>
        <v>176</v>
      </c>
      <c r="AA181" s="5">
        <f t="shared" si="48"/>
        <v>219</v>
      </c>
      <c r="AB181" s="5">
        <f t="shared" si="48"/>
        <v>196</v>
      </c>
      <c r="AC181" s="5">
        <f>SUM(E181:AB181)</f>
        <v>5267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34:T34 Y34:AB34">
    <cfRule type="expression" dxfId="157" priority="126">
      <formula>E34&lt;&gt;#REF!</formula>
    </cfRule>
  </conditionalFormatting>
  <conditionalFormatting sqref="E14:AB15">
    <cfRule type="containsBlanks" dxfId="156" priority="22">
      <formula>LEN(TRIM(E14))=0</formula>
    </cfRule>
  </conditionalFormatting>
  <conditionalFormatting sqref="E19:AB20">
    <cfRule type="containsBlanks" dxfId="155" priority="25">
      <formula>LEN(TRIM(E19))=0</formula>
    </cfRule>
  </conditionalFormatting>
  <conditionalFormatting sqref="E22:AB23 E25:AB26 E33:AB33 E35:AB35 E39:AB40">
    <cfRule type="containsBlanks" dxfId="154" priority="26">
      <formula>LEN(TRIM(E22))=0</formula>
    </cfRule>
  </conditionalFormatting>
  <conditionalFormatting sqref="E30:AB30">
    <cfRule type="expression" dxfId="153" priority="27">
      <formula>E30&lt;&gt;E47</formula>
    </cfRule>
    <cfRule type="expression" dxfId="152" priority="28">
      <formula>E30&lt;&gt;E34</formula>
    </cfRule>
  </conditionalFormatting>
  <conditionalFormatting sqref="E34:AB34">
    <cfRule type="expression" dxfId="151" priority="23">
      <formula>E30&lt;&gt;E34</formula>
    </cfRule>
    <cfRule type="expression" dxfId="150" priority="24">
      <formula>E30=E34</formula>
    </cfRule>
    <cfRule type="expression" dxfId="149" priority="29">
      <formula>E34&lt;&gt;E30</formula>
    </cfRule>
  </conditionalFormatting>
  <conditionalFormatting sqref="E45:AB51">
    <cfRule type="containsBlanks" dxfId="148" priority="21">
      <formula>LEN(TRIM(E45))=0</formula>
    </cfRule>
  </conditionalFormatting>
  <conditionalFormatting sqref="E54:AB60">
    <cfRule type="containsBlanks" dxfId="147" priority="20">
      <formula>LEN(TRIM(E54))=0</formula>
    </cfRule>
  </conditionalFormatting>
  <conditionalFormatting sqref="E63:AB69">
    <cfRule type="containsBlanks" dxfId="146" priority="19">
      <formula>LEN(TRIM(E63))=0</formula>
    </cfRule>
  </conditionalFormatting>
  <conditionalFormatting sqref="E72:AB78">
    <cfRule type="containsBlanks" dxfId="145" priority="18">
      <formula>LEN(TRIM(E72))=0</formula>
    </cfRule>
  </conditionalFormatting>
  <conditionalFormatting sqref="E81:AB87">
    <cfRule type="containsBlanks" dxfId="144" priority="17">
      <formula>LEN(TRIM(E81))=0</formula>
    </cfRule>
  </conditionalFormatting>
  <conditionalFormatting sqref="E90:AB90">
    <cfRule type="containsBlanks" dxfId="143" priority="16">
      <formula>LEN(TRIM(E90))=0</formula>
    </cfRule>
  </conditionalFormatting>
  <conditionalFormatting sqref="E93:AB97">
    <cfRule type="containsBlanks" dxfId="142" priority="2">
      <formula>LEN(TRIM(E93))=0</formula>
    </cfRule>
  </conditionalFormatting>
  <conditionalFormatting sqref="E100:AB106">
    <cfRule type="containsBlanks" dxfId="141" priority="15">
      <formula>LEN(TRIM(E100))=0</formula>
    </cfRule>
  </conditionalFormatting>
  <conditionalFormatting sqref="E109:AB112">
    <cfRule type="containsBlanks" dxfId="140" priority="14">
      <formula>LEN(TRIM(E109))=0</formula>
    </cfRule>
  </conditionalFormatting>
  <conditionalFormatting sqref="E115:AB121">
    <cfRule type="containsBlanks" dxfId="139" priority="4">
      <formula>LEN(TRIM(E115))=0</formula>
    </cfRule>
  </conditionalFormatting>
  <conditionalFormatting sqref="E124:AB124">
    <cfRule type="containsBlanks" dxfId="138" priority="13">
      <formula>LEN(TRIM(E124))=0</formula>
    </cfRule>
  </conditionalFormatting>
  <conditionalFormatting sqref="E127:AB133">
    <cfRule type="containsBlanks" dxfId="137" priority="12">
      <formula>LEN(TRIM(E127))=0</formula>
    </cfRule>
  </conditionalFormatting>
  <conditionalFormatting sqref="E136:AB141">
    <cfRule type="containsBlanks" dxfId="136" priority="11">
      <formula>LEN(TRIM(E136))=0</formula>
    </cfRule>
  </conditionalFormatting>
  <conditionalFormatting sqref="E144:AB150">
    <cfRule type="containsBlanks" dxfId="135" priority="10">
      <formula>LEN(TRIM(E144))=0</formula>
    </cfRule>
  </conditionalFormatting>
  <conditionalFormatting sqref="E153:AB155">
    <cfRule type="containsBlanks" dxfId="134" priority="9">
      <formula>LEN(TRIM(E153))=0</formula>
    </cfRule>
  </conditionalFormatting>
  <conditionalFormatting sqref="E158:AB161">
    <cfRule type="containsBlanks" dxfId="133" priority="8">
      <formula>LEN(TRIM(E158))=0</formula>
    </cfRule>
  </conditionalFormatting>
  <conditionalFormatting sqref="E164:AB170">
    <cfRule type="containsBlanks" dxfId="132" priority="7">
      <formula>LEN(TRIM(E164))=0</formula>
    </cfRule>
  </conditionalFormatting>
  <conditionalFormatting sqref="E173:AB175">
    <cfRule type="containsBlanks" dxfId="131" priority="5">
      <formula>LEN(TRIM(E173))=0</formula>
    </cfRule>
  </conditionalFormatting>
  <conditionalFormatting sqref="E179:AB180">
    <cfRule type="containsBlanks" dxfId="130" priority="3">
      <formula>LEN(TRIM(E179))=0</formula>
    </cfRule>
  </conditionalFormatting>
  <conditionalFormatting sqref="U34:X34">
    <cfRule type="expression" dxfId="129" priority="1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AR181"/>
  <sheetViews>
    <sheetView topLeftCell="AA13" zoomScale="115" zoomScaleNormal="115" workbookViewId="0">
      <pane ySplit="1" topLeftCell="A175" activePane="bottomLeft" state="frozen"/>
      <selection activeCell="A13" sqref="A13"/>
      <selection pane="bottomLeft" activeCell="AM179" sqref="AM179"/>
    </sheetView>
  </sheetViews>
  <sheetFormatPr defaultRowHeight="13.15" x14ac:dyDescent="0.4"/>
  <cols>
    <col min="3" max="3" width="67.140625" bestFit="1" customWidth="1"/>
    <col min="4" max="4" width="5.85546875" bestFit="1" customWidth="1"/>
    <col min="44" max="44" width="13.28515625" customWidth="1"/>
  </cols>
  <sheetData>
    <row r="2" spans="1:44" x14ac:dyDescent="0.4">
      <c r="C2" s="43" t="s">
        <v>104</v>
      </c>
      <c r="D2" s="43" t="s">
        <v>193</v>
      </c>
    </row>
    <row r="3" spans="1:44" x14ac:dyDescent="0.4">
      <c r="C3" s="43" t="s">
        <v>105</v>
      </c>
      <c r="D3" s="43" t="s">
        <v>106</v>
      </c>
    </row>
    <row r="4" spans="1:44" x14ac:dyDescent="0.4">
      <c r="C4" s="43" t="s">
        <v>107</v>
      </c>
      <c r="D4" s="43" t="s">
        <v>108</v>
      </c>
    </row>
    <row r="5" spans="1:44" x14ac:dyDescent="0.4">
      <c r="C5" s="43"/>
      <c r="D5" s="43"/>
    </row>
    <row r="6" spans="1:44" x14ac:dyDescent="0.4">
      <c r="C6" s="43"/>
      <c r="D6" s="43"/>
    </row>
    <row r="7" spans="1:44" x14ac:dyDescent="0.4">
      <c r="C7" s="43"/>
      <c r="D7" s="43"/>
    </row>
    <row r="8" spans="1:44" x14ac:dyDescent="0.4">
      <c r="C8" s="43"/>
      <c r="D8" s="43"/>
    </row>
    <row r="9" spans="1:44" x14ac:dyDescent="0.4">
      <c r="C9" s="43" t="s">
        <v>109</v>
      </c>
      <c r="D9" s="43" t="s">
        <v>193</v>
      </c>
    </row>
    <row r="11" spans="1:4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V11" s="1"/>
      <c r="W11" s="1"/>
      <c r="X11" s="1"/>
      <c r="Y11" s="1"/>
      <c r="Z11" s="1"/>
      <c r="AA11" s="1"/>
      <c r="AB11" s="1"/>
      <c r="AC11" s="1"/>
      <c r="AD11" s="3"/>
    </row>
    <row r="12" spans="1:44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2" t="s">
        <v>103</v>
      </c>
    </row>
    <row r="13" spans="1:44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197</v>
      </c>
      <c r="AN13" s="5" t="s">
        <v>198</v>
      </c>
      <c r="AO13" s="5" t="s">
        <v>199</v>
      </c>
      <c r="AP13" s="5" t="s">
        <v>200</v>
      </c>
      <c r="AQ13" s="5" t="s">
        <v>201</v>
      </c>
      <c r="AR13" s="93"/>
    </row>
    <row r="14" spans="1:44" x14ac:dyDescent="0.4">
      <c r="A14" s="7"/>
      <c r="B14" s="80" t="s">
        <v>22</v>
      </c>
      <c r="C14" s="68"/>
      <c r="D14" s="6" t="s">
        <v>23</v>
      </c>
      <c r="E14" s="6">
        <v>137</v>
      </c>
      <c r="F14" s="6">
        <v>141</v>
      </c>
      <c r="G14" s="6">
        <v>136</v>
      </c>
      <c r="H14" s="6">
        <v>135</v>
      </c>
      <c r="I14" s="6">
        <v>156</v>
      </c>
      <c r="J14" s="6">
        <v>147</v>
      </c>
      <c r="K14" s="6">
        <v>145</v>
      </c>
      <c r="L14" s="6">
        <v>147</v>
      </c>
      <c r="M14" s="6">
        <v>140</v>
      </c>
      <c r="N14" s="6">
        <v>141</v>
      </c>
      <c r="O14" s="6">
        <v>145</v>
      </c>
      <c r="P14" s="6">
        <v>134</v>
      </c>
      <c r="Q14" s="6">
        <v>148</v>
      </c>
      <c r="R14" s="6">
        <v>147</v>
      </c>
      <c r="S14" s="6">
        <v>139</v>
      </c>
      <c r="T14" s="6">
        <v>147</v>
      </c>
      <c r="U14" s="6">
        <v>138</v>
      </c>
      <c r="V14" s="6">
        <v>143</v>
      </c>
      <c r="W14" s="6">
        <v>133</v>
      </c>
      <c r="X14" s="6">
        <v>141</v>
      </c>
      <c r="Y14" s="6">
        <v>122</v>
      </c>
      <c r="Z14" s="6">
        <v>145</v>
      </c>
      <c r="AA14" s="6">
        <v>126</v>
      </c>
      <c r="AB14" s="6">
        <v>144</v>
      </c>
      <c r="AC14" s="6">
        <v>145</v>
      </c>
      <c r="AD14" s="6">
        <v>155</v>
      </c>
      <c r="AE14" s="6">
        <v>155</v>
      </c>
      <c r="AF14" s="6">
        <v>149</v>
      </c>
      <c r="AG14" s="6">
        <v>145</v>
      </c>
      <c r="AH14" s="6">
        <v>141</v>
      </c>
      <c r="AI14" s="6">
        <v>143</v>
      </c>
      <c r="AJ14" s="6">
        <v>135</v>
      </c>
      <c r="AK14" s="6">
        <v>145</v>
      </c>
      <c r="AL14" s="6">
        <v>147</v>
      </c>
      <c r="AM14" s="6">
        <v>132</v>
      </c>
      <c r="AN14" s="6">
        <v>147</v>
      </c>
      <c r="AO14" s="6">
        <v>136</v>
      </c>
      <c r="AP14" s="6">
        <v>150</v>
      </c>
      <c r="AQ14" s="6">
        <v>134</v>
      </c>
      <c r="AR14" s="5">
        <f>SUM(E14:AQ14)</f>
        <v>5536</v>
      </c>
    </row>
    <row r="15" spans="1:44" x14ac:dyDescent="0.4">
      <c r="A15" s="7"/>
      <c r="B15" s="81"/>
      <c r="C15" s="74"/>
      <c r="D15" s="6" t="s">
        <v>24</v>
      </c>
      <c r="E15" s="6">
        <v>157</v>
      </c>
      <c r="F15" s="6">
        <v>146</v>
      </c>
      <c r="G15" s="6">
        <v>131</v>
      </c>
      <c r="H15" s="6">
        <v>154</v>
      </c>
      <c r="I15" s="6">
        <v>140</v>
      </c>
      <c r="J15" s="6">
        <v>146</v>
      </c>
      <c r="K15" s="6">
        <v>148</v>
      </c>
      <c r="L15" s="6">
        <v>151</v>
      </c>
      <c r="M15" s="6">
        <v>135</v>
      </c>
      <c r="N15" s="6">
        <v>158</v>
      </c>
      <c r="O15" s="6">
        <v>154</v>
      </c>
      <c r="P15" s="6">
        <v>124</v>
      </c>
      <c r="Q15" s="6">
        <v>150</v>
      </c>
      <c r="R15" s="6">
        <v>149</v>
      </c>
      <c r="S15" s="6">
        <v>156</v>
      </c>
      <c r="T15" s="6">
        <v>151</v>
      </c>
      <c r="U15" s="6">
        <v>158</v>
      </c>
      <c r="V15" s="6">
        <v>153</v>
      </c>
      <c r="W15" s="6">
        <v>158</v>
      </c>
      <c r="X15" s="6">
        <v>157</v>
      </c>
      <c r="Y15" s="6">
        <v>143</v>
      </c>
      <c r="Z15" s="6">
        <v>142</v>
      </c>
      <c r="AA15" s="6">
        <v>156</v>
      </c>
      <c r="AB15" s="6">
        <v>154</v>
      </c>
      <c r="AC15" s="6">
        <v>149</v>
      </c>
      <c r="AD15" s="6">
        <v>143</v>
      </c>
      <c r="AE15" s="6">
        <v>144</v>
      </c>
      <c r="AF15" s="6">
        <v>143</v>
      </c>
      <c r="AG15" s="6">
        <v>142</v>
      </c>
      <c r="AH15" s="6">
        <v>137</v>
      </c>
      <c r="AI15" s="6">
        <v>150</v>
      </c>
      <c r="AJ15" s="6">
        <v>157</v>
      </c>
      <c r="AK15" s="6">
        <v>149</v>
      </c>
      <c r="AL15" s="6">
        <v>147</v>
      </c>
      <c r="AM15" s="6">
        <v>123</v>
      </c>
      <c r="AN15" s="6">
        <v>147</v>
      </c>
      <c r="AO15" s="6">
        <v>143</v>
      </c>
      <c r="AP15" s="6">
        <v>147</v>
      </c>
      <c r="AQ15" s="6">
        <v>149</v>
      </c>
      <c r="AR15" s="5">
        <f>SUM(E15:AQ15)</f>
        <v>5741</v>
      </c>
    </row>
    <row r="16" spans="1:44" x14ac:dyDescent="0.4">
      <c r="A16" s="8"/>
      <c r="B16" s="79"/>
      <c r="C16" s="75"/>
      <c r="D16" s="5" t="s">
        <v>25</v>
      </c>
      <c r="E16" s="5">
        <f t="shared" ref="E16:AQ16" si="0">SUM(E14:E15)</f>
        <v>294</v>
      </c>
      <c r="F16" s="5">
        <f t="shared" ref="F16:U16" si="1">SUM(F14:F15)</f>
        <v>287</v>
      </c>
      <c r="G16" s="5">
        <f t="shared" si="1"/>
        <v>267</v>
      </c>
      <c r="H16" s="5">
        <f t="shared" si="1"/>
        <v>289</v>
      </c>
      <c r="I16" s="5">
        <f t="shared" si="1"/>
        <v>296</v>
      </c>
      <c r="J16" s="5">
        <f t="shared" si="1"/>
        <v>293</v>
      </c>
      <c r="K16" s="5">
        <f t="shared" si="1"/>
        <v>293</v>
      </c>
      <c r="L16" s="5">
        <f t="shared" si="1"/>
        <v>298</v>
      </c>
      <c r="M16" s="5">
        <f t="shared" si="1"/>
        <v>275</v>
      </c>
      <c r="N16" s="5">
        <f t="shared" si="1"/>
        <v>299</v>
      </c>
      <c r="O16" s="5">
        <f t="shared" si="1"/>
        <v>299</v>
      </c>
      <c r="P16" s="5">
        <f t="shared" si="1"/>
        <v>258</v>
      </c>
      <c r="Q16" s="5">
        <f t="shared" si="1"/>
        <v>298</v>
      </c>
      <c r="R16" s="5">
        <f t="shared" si="1"/>
        <v>296</v>
      </c>
      <c r="S16" s="5">
        <f t="shared" si="1"/>
        <v>295</v>
      </c>
      <c r="T16" s="5">
        <f t="shared" si="1"/>
        <v>298</v>
      </c>
      <c r="U16" s="5">
        <f t="shared" si="1"/>
        <v>296</v>
      </c>
      <c r="V16" s="5">
        <f t="shared" si="0"/>
        <v>296</v>
      </c>
      <c r="W16" s="5">
        <f t="shared" si="0"/>
        <v>291</v>
      </c>
      <c r="X16" s="5">
        <f t="shared" si="0"/>
        <v>298</v>
      </c>
      <c r="Y16" s="5">
        <f t="shared" si="0"/>
        <v>265</v>
      </c>
      <c r="Z16" s="5">
        <f t="shared" si="0"/>
        <v>287</v>
      </c>
      <c r="AA16" s="5">
        <f t="shared" si="0"/>
        <v>282</v>
      </c>
      <c r="AB16" s="5">
        <f t="shared" si="0"/>
        <v>298</v>
      </c>
      <c r="AC16" s="5">
        <f t="shared" si="0"/>
        <v>294</v>
      </c>
      <c r="AD16" s="5">
        <f t="shared" si="0"/>
        <v>298</v>
      </c>
      <c r="AE16" s="5">
        <f t="shared" si="0"/>
        <v>299</v>
      </c>
      <c r="AF16" s="5">
        <f t="shared" si="0"/>
        <v>292</v>
      </c>
      <c r="AG16" s="5">
        <f t="shared" ref="AG16:AK16" si="2">SUM(AG14:AG15)</f>
        <v>287</v>
      </c>
      <c r="AH16" s="5">
        <f t="shared" si="2"/>
        <v>278</v>
      </c>
      <c r="AI16" s="5">
        <f t="shared" si="2"/>
        <v>293</v>
      </c>
      <c r="AJ16" s="5">
        <f t="shared" si="2"/>
        <v>292</v>
      </c>
      <c r="AK16" s="5">
        <f t="shared" si="2"/>
        <v>294</v>
      </c>
      <c r="AL16" s="5">
        <f t="shared" si="0"/>
        <v>294</v>
      </c>
      <c r="AM16" s="5">
        <f t="shared" si="0"/>
        <v>255</v>
      </c>
      <c r="AN16" s="5">
        <f t="shared" si="0"/>
        <v>294</v>
      </c>
      <c r="AO16" s="5">
        <f t="shared" si="0"/>
        <v>279</v>
      </c>
      <c r="AP16" s="5">
        <f t="shared" si="0"/>
        <v>297</v>
      </c>
      <c r="AQ16" s="5">
        <f t="shared" si="0"/>
        <v>283</v>
      </c>
      <c r="AR16" s="5">
        <f>SUM(E16:AQ16)</f>
        <v>11277</v>
      </c>
    </row>
    <row r="17" spans="1:44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6"/>
      <c r="W17" s="6"/>
      <c r="X17" s="6"/>
      <c r="Y17" s="6"/>
      <c r="Z17" s="6"/>
      <c r="AA17" s="6"/>
      <c r="AB17" s="6"/>
      <c r="AC17" s="6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28"/>
    </row>
    <row r="18" spans="1:44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6"/>
      <c r="W18" s="6"/>
      <c r="X18" s="6"/>
      <c r="Y18" s="6"/>
      <c r="Z18" s="6"/>
      <c r="AA18" s="6"/>
      <c r="AB18" s="6"/>
      <c r="AC18" s="6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28"/>
    </row>
    <row r="19" spans="1:44" x14ac:dyDescent="0.4">
      <c r="A19" s="11"/>
      <c r="B19" s="82" t="s">
        <v>28</v>
      </c>
      <c r="C19" s="83" t="s">
        <v>29</v>
      </c>
      <c r="D19" s="6" t="s">
        <v>23</v>
      </c>
      <c r="E19" s="6">
        <v>107</v>
      </c>
      <c r="F19" s="6">
        <v>105</v>
      </c>
      <c r="G19" s="6">
        <v>71</v>
      </c>
      <c r="H19" s="6">
        <v>91</v>
      </c>
      <c r="I19" s="6">
        <v>100</v>
      </c>
      <c r="J19" s="6">
        <v>84</v>
      </c>
      <c r="K19" s="6">
        <v>104</v>
      </c>
      <c r="L19" s="6">
        <v>108</v>
      </c>
      <c r="M19" s="6">
        <v>106</v>
      </c>
      <c r="N19" s="6">
        <v>101</v>
      </c>
      <c r="O19" s="6">
        <v>104</v>
      </c>
      <c r="P19" s="6">
        <v>103</v>
      </c>
      <c r="Q19" s="6">
        <v>113</v>
      </c>
      <c r="R19" s="6">
        <v>108</v>
      </c>
      <c r="S19" s="6">
        <v>105</v>
      </c>
      <c r="T19" s="6">
        <v>122</v>
      </c>
      <c r="U19" s="6">
        <v>89</v>
      </c>
      <c r="V19" s="6">
        <v>122</v>
      </c>
      <c r="W19" s="6">
        <v>95</v>
      </c>
      <c r="X19" s="6">
        <v>96</v>
      </c>
      <c r="Y19" s="6">
        <v>98</v>
      </c>
      <c r="Z19" s="6">
        <v>104</v>
      </c>
      <c r="AA19" s="6">
        <v>94</v>
      </c>
      <c r="AB19" s="6">
        <v>132</v>
      </c>
      <c r="AC19" s="6">
        <v>109</v>
      </c>
      <c r="AD19" s="6">
        <v>138</v>
      </c>
      <c r="AE19" s="6">
        <v>116</v>
      </c>
      <c r="AF19" s="6">
        <v>131</v>
      </c>
      <c r="AG19" s="6">
        <v>109</v>
      </c>
      <c r="AH19" s="6">
        <v>107</v>
      </c>
      <c r="AI19" s="6">
        <v>114</v>
      </c>
      <c r="AJ19" s="6">
        <v>110</v>
      </c>
      <c r="AK19" s="6">
        <v>111</v>
      </c>
      <c r="AL19" s="6">
        <v>127</v>
      </c>
      <c r="AM19" s="6">
        <v>107</v>
      </c>
      <c r="AN19" s="6">
        <v>123</v>
      </c>
      <c r="AO19" s="6">
        <v>101</v>
      </c>
      <c r="AP19" s="6">
        <v>131</v>
      </c>
      <c r="AQ19" s="6">
        <v>101</v>
      </c>
      <c r="AR19" s="5">
        <f t="shared" ref="AR19:AR30" si="3">SUM(E19:AQ19)</f>
        <v>4197</v>
      </c>
    </row>
    <row r="20" spans="1:44" x14ac:dyDescent="0.4">
      <c r="A20" s="12"/>
      <c r="B20" s="74"/>
      <c r="C20" s="84"/>
      <c r="D20" s="6" t="s">
        <v>24</v>
      </c>
      <c r="E20" s="6">
        <v>128</v>
      </c>
      <c r="F20" s="6">
        <v>117</v>
      </c>
      <c r="G20" s="6">
        <v>90</v>
      </c>
      <c r="H20" s="6">
        <v>101</v>
      </c>
      <c r="I20" s="6">
        <v>104</v>
      </c>
      <c r="J20" s="6">
        <v>99</v>
      </c>
      <c r="K20" s="6">
        <v>108</v>
      </c>
      <c r="L20" s="6">
        <v>126</v>
      </c>
      <c r="M20" s="6">
        <v>102</v>
      </c>
      <c r="N20" s="6">
        <v>116</v>
      </c>
      <c r="O20" s="6">
        <v>132</v>
      </c>
      <c r="P20" s="6">
        <v>109</v>
      </c>
      <c r="Q20" s="6">
        <v>122</v>
      </c>
      <c r="R20" s="6">
        <v>125</v>
      </c>
      <c r="S20" s="6">
        <v>120</v>
      </c>
      <c r="T20" s="6">
        <v>130</v>
      </c>
      <c r="U20" s="6">
        <v>111</v>
      </c>
      <c r="V20" s="6">
        <v>116</v>
      </c>
      <c r="W20" s="6">
        <v>125</v>
      </c>
      <c r="X20" s="6">
        <v>126</v>
      </c>
      <c r="Y20" s="6">
        <v>102</v>
      </c>
      <c r="Z20" s="6">
        <v>107</v>
      </c>
      <c r="AA20" s="6">
        <v>121</v>
      </c>
      <c r="AB20" s="6">
        <v>124</v>
      </c>
      <c r="AC20" s="6">
        <v>127</v>
      </c>
      <c r="AD20" s="6">
        <v>127</v>
      </c>
      <c r="AE20" s="6">
        <v>117</v>
      </c>
      <c r="AF20" s="6">
        <v>134</v>
      </c>
      <c r="AG20" s="6">
        <v>114</v>
      </c>
      <c r="AH20" s="6">
        <v>103</v>
      </c>
      <c r="AI20" s="6">
        <v>120</v>
      </c>
      <c r="AJ20" s="6">
        <v>123</v>
      </c>
      <c r="AK20" s="6">
        <v>109</v>
      </c>
      <c r="AL20" s="6">
        <v>126</v>
      </c>
      <c r="AM20" s="6">
        <v>107</v>
      </c>
      <c r="AN20" s="6">
        <v>116</v>
      </c>
      <c r="AO20" s="6">
        <v>96</v>
      </c>
      <c r="AP20" s="6">
        <v>122</v>
      </c>
      <c r="AQ20" s="6">
        <v>99</v>
      </c>
      <c r="AR20" s="5">
        <f t="shared" si="3"/>
        <v>4501</v>
      </c>
    </row>
    <row r="21" spans="1:44" x14ac:dyDescent="0.4">
      <c r="A21" s="13"/>
      <c r="B21" s="75"/>
      <c r="C21" s="85"/>
      <c r="D21" s="5" t="s">
        <v>25</v>
      </c>
      <c r="E21" s="5">
        <f t="shared" ref="E21:AQ21" si="4">SUM(E19:E20)</f>
        <v>235</v>
      </c>
      <c r="F21" s="5">
        <f t="shared" ref="F21:U21" si="5">SUM(F19:F20)</f>
        <v>222</v>
      </c>
      <c r="G21" s="5">
        <f t="shared" si="5"/>
        <v>161</v>
      </c>
      <c r="H21" s="5">
        <f t="shared" si="5"/>
        <v>192</v>
      </c>
      <c r="I21" s="5">
        <f t="shared" si="5"/>
        <v>204</v>
      </c>
      <c r="J21" s="5">
        <f t="shared" si="5"/>
        <v>183</v>
      </c>
      <c r="K21" s="5">
        <f t="shared" si="5"/>
        <v>212</v>
      </c>
      <c r="L21" s="5">
        <f t="shared" si="5"/>
        <v>234</v>
      </c>
      <c r="M21" s="5">
        <f t="shared" si="5"/>
        <v>208</v>
      </c>
      <c r="N21" s="5">
        <f t="shared" si="5"/>
        <v>217</v>
      </c>
      <c r="O21" s="5">
        <f t="shared" si="5"/>
        <v>236</v>
      </c>
      <c r="P21" s="5">
        <f t="shared" si="5"/>
        <v>212</v>
      </c>
      <c r="Q21" s="5">
        <f t="shared" si="5"/>
        <v>235</v>
      </c>
      <c r="R21" s="5">
        <f t="shared" si="5"/>
        <v>233</v>
      </c>
      <c r="S21" s="5">
        <f t="shared" si="5"/>
        <v>225</v>
      </c>
      <c r="T21" s="5">
        <f t="shared" si="5"/>
        <v>252</v>
      </c>
      <c r="U21" s="5">
        <f t="shared" si="5"/>
        <v>200</v>
      </c>
      <c r="V21" s="5">
        <f t="shared" si="4"/>
        <v>238</v>
      </c>
      <c r="W21" s="5">
        <f t="shared" si="4"/>
        <v>220</v>
      </c>
      <c r="X21" s="5">
        <f t="shared" si="4"/>
        <v>222</v>
      </c>
      <c r="Y21" s="5">
        <f t="shared" si="4"/>
        <v>200</v>
      </c>
      <c r="Z21" s="5">
        <f t="shared" si="4"/>
        <v>211</v>
      </c>
      <c r="AA21" s="5">
        <f t="shared" si="4"/>
        <v>215</v>
      </c>
      <c r="AB21" s="5">
        <f t="shared" si="4"/>
        <v>256</v>
      </c>
      <c r="AC21" s="5">
        <f t="shared" si="4"/>
        <v>236</v>
      </c>
      <c r="AD21" s="5">
        <f t="shared" si="4"/>
        <v>265</v>
      </c>
      <c r="AE21" s="5">
        <f t="shared" si="4"/>
        <v>233</v>
      </c>
      <c r="AF21" s="5">
        <f t="shared" si="4"/>
        <v>265</v>
      </c>
      <c r="AG21" s="5">
        <f t="shared" ref="AG21:AK21" si="6">SUM(AG19:AG20)</f>
        <v>223</v>
      </c>
      <c r="AH21" s="5">
        <f t="shared" si="6"/>
        <v>210</v>
      </c>
      <c r="AI21" s="5">
        <f t="shared" si="6"/>
        <v>234</v>
      </c>
      <c r="AJ21" s="5">
        <f t="shared" si="6"/>
        <v>233</v>
      </c>
      <c r="AK21" s="5">
        <f t="shared" si="6"/>
        <v>220</v>
      </c>
      <c r="AL21" s="5">
        <f t="shared" si="4"/>
        <v>253</v>
      </c>
      <c r="AM21" s="5">
        <f t="shared" si="4"/>
        <v>214</v>
      </c>
      <c r="AN21" s="5">
        <f t="shared" si="4"/>
        <v>239</v>
      </c>
      <c r="AO21" s="5">
        <f t="shared" si="4"/>
        <v>197</v>
      </c>
      <c r="AP21" s="5">
        <f t="shared" si="4"/>
        <v>253</v>
      </c>
      <c r="AQ21" s="5">
        <f t="shared" si="4"/>
        <v>200</v>
      </c>
      <c r="AR21" s="5">
        <f t="shared" si="3"/>
        <v>8698</v>
      </c>
    </row>
    <row r="22" spans="1:44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1</v>
      </c>
      <c r="G22" s="6">
        <v>2</v>
      </c>
      <c r="H22" s="6">
        <v>0</v>
      </c>
      <c r="I22" s="6">
        <v>1</v>
      </c>
      <c r="J22" s="6">
        <v>2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1</v>
      </c>
      <c r="S22" s="6">
        <v>0</v>
      </c>
      <c r="T22" s="6">
        <v>1</v>
      </c>
      <c r="U22" s="6">
        <v>1</v>
      </c>
      <c r="V22" s="6">
        <v>0</v>
      </c>
      <c r="W22" s="6">
        <v>1</v>
      </c>
      <c r="X22" s="6">
        <v>0</v>
      </c>
      <c r="Y22" s="6">
        <v>0</v>
      </c>
      <c r="Z22" s="6">
        <v>1</v>
      </c>
      <c r="AA22" s="6">
        <v>0</v>
      </c>
      <c r="AB22" s="6">
        <v>1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1</v>
      </c>
      <c r="AM22" s="6">
        <v>0</v>
      </c>
      <c r="AN22" s="6">
        <v>0</v>
      </c>
      <c r="AO22" s="6">
        <v>0</v>
      </c>
      <c r="AP22" s="6">
        <v>0</v>
      </c>
      <c r="AQ22" s="6">
        <v>1</v>
      </c>
      <c r="AR22" s="5">
        <f t="shared" si="3"/>
        <v>18</v>
      </c>
    </row>
    <row r="23" spans="1:44" x14ac:dyDescent="0.4">
      <c r="A23" s="12"/>
      <c r="B23" s="74"/>
      <c r="C23" s="84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0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1</v>
      </c>
      <c r="AB23" s="6">
        <v>1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1</v>
      </c>
      <c r="AJ23" s="6">
        <v>0</v>
      </c>
      <c r="AK23" s="6">
        <v>0</v>
      </c>
      <c r="AL23" s="6">
        <v>0</v>
      </c>
      <c r="AM23" s="6">
        <v>1</v>
      </c>
      <c r="AN23" s="6">
        <v>0</v>
      </c>
      <c r="AO23" s="6">
        <v>0</v>
      </c>
      <c r="AP23" s="6">
        <v>0</v>
      </c>
      <c r="AQ23" s="6">
        <v>0</v>
      </c>
      <c r="AR23" s="5">
        <f t="shared" si="3"/>
        <v>9</v>
      </c>
    </row>
    <row r="24" spans="1:44" x14ac:dyDescent="0.4">
      <c r="A24" s="13"/>
      <c r="B24" s="75"/>
      <c r="C24" s="85"/>
      <c r="D24" s="5" t="s">
        <v>25</v>
      </c>
      <c r="E24" s="5">
        <f t="shared" ref="E24:AQ24" si="7">SUM(E22:E23)</f>
        <v>0</v>
      </c>
      <c r="F24" s="5">
        <f t="shared" ref="F24:U24" si="8">SUM(F22:F23)</f>
        <v>2</v>
      </c>
      <c r="G24" s="5">
        <f t="shared" si="8"/>
        <v>2</v>
      </c>
      <c r="H24" s="5">
        <f t="shared" si="8"/>
        <v>0</v>
      </c>
      <c r="I24" s="5">
        <f t="shared" si="8"/>
        <v>1</v>
      </c>
      <c r="J24" s="5">
        <f t="shared" si="8"/>
        <v>2</v>
      </c>
      <c r="K24" s="5">
        <f t="shared" si="8"/>
        <v>1</v>
      </c>
      <c r="L24" s="5">
        <f t="shared" si="8"/>
        <v>2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2</v>
      </c>
      <c r="R24" s="5">
        <f t="shared" si="8"/>
        <v>1</v>
      </c>
      <c r="S24" s="5">
        <f t="shared" si="8"/>
        <v>1</v>
      </c>
      <c r="T24" s="5">
        <f t="shared" si="8"/>
        <v>1</v>
      </c>
      <c r="U24" s="5">
        <f t="shared" si="8"/>
        <v>1</v>
      </c>
      <c r="V24" s="5">
        <f t="shared" si="7"/>
        <v>0</v>
      </c>
      <c r="W24" s="5">
        <f t="shared" si="7"/>
        <v>1</v>
      </c>
      <c r="X24" s="5">
        <f t="shared" si="7"/>
        <v>1</v>
      </c>
      <c r="Y24" s="5">
        <f t="shared" si="7"/>
        <v>0</v>
      </c>
      <c r="Z24" s="5">
        <f t="shared" si="7"/>
        <v>1</v>
      </c>
      <c r="AA24" s="5">
        <f t="shared" si="7"/>
        <v>1</v>
      </c>
      <c r="AB24" s="5">
        <f t="shared" si="7"/>
        <v>2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si="7"/>
        <v>0</v>
      </c>
      <c r="AG24" s="5">
        <f t="shared" ref="AG24:AK24" si="9">SUM(AG22:AG23)</f>
        <v>0</v>
      </c>
      <c r="AH24" s="5">
        <f t="shared" si="9"/>
        <v>0</v>
      </c>
      <c r="AI24" s="5">
        <f t="shared" si="9"/>
        <v>1</v>
      </c>
      <c r="AJ24" s="5">
        <f t="shared" si="9"/>
        <v>0</v>
      </c>
      <c r="AK24" s="5">
        <f t="shared" si="9"/>
        <v>1</v>
      </c>
      <c r="AL24" s="5">
        <f t="shared" si="7"/>
        <v>1</v>
      </c>
      <c r="AM24" s="5">
        <f t="shared" si="7"/>
        <v>1</v>
      </c>
      <c r="AN24" s="5">
        <f t="shared" si="7"/>
        <v>0</v>
      </c>
      <c r="AO24" s="5">
        <f t="shared" si="7"/>
        <v>0</v>
      </c>
      <c r="AP24" s="5">
        <f t="shared" si="7"/>
        <v>0</v>
      </c>
      <c r="AQ24" s="5">
        <f t="shared" si="7"/>
        <v>1</v>
      </c>
      <c r="AR24" s="5">
        <f t="shared" si="3"/>
        <v>27</v>
      </c>
    </row>
    <row r="25" spans="1:44" x14ac:dyDescent="0.4">
      <c r="A25" s="12"/>
      <c r="B25" s="82" t="s">
        <v>32</v>
      </c>
      <c r="C25" s="83" t="s">
        <v>33</v>
      </c>
      <c r="D25" s="6" t="s">
        <v>23</v>
      </c>
      <c r="E25" s="6">
        <v>1</v>
      </c>
      <c r="F25" s="6">
        <v>6</v>
      </c>
      <c r="G25" s="6">
        <v>0</v>
      </c>
      <c r="H25" s="6">
        <v>0</v>
      </c>
      <c r="I25" s="6">
        <v>2</v>
      </c>
      <c r="J25" s="6">
        <v>2</v>
      </c>
      <c r="K25" s="6">
        <v>4</v>
      </c>
      <c r="L25" s="6">
        <v>3</v>
      </c>
      <c r="M25" s="6">
        <v>2</v>
      </c>
      <c r="N25" s="6">
        <v>2</v>
      </c>
      <c r="O25" s="6">
        <v>2</v>
      </c>
      <c r="P25" s="6">
        <v>2</v>
      </c>
      <c r="Q25" s="6">
        <v>1</v>
      </c>
      <c r="R25" s="6">
        <v>0</v>
      </c>
      <c r="S25" s="6">
        <v>0</v>
      </c>
      <c r="T25" s="6">
        <v>3</v>
      </c>
      <c r="U25" s="6">
        <v>0</v>
      </c>
      <c r="V25" s="6">
        <v>9</v>
      </c>
      <c r="W25" s="6">
        <v>1</v>
      </c>
      <c r="X25" s="6">
        <v>7</v>
      </c>
      <c r="Y25" s="6">
        <v>1</v>
      </c>
      <c r="Z25" s="6">
        <v>1</v>
      </c>
      <c r="AA25" s="6">
        <v>0</v>
      </c>
      <c r="AB25" s="6">
        <v>2</v>
      </c>
      <c r="AC25" s="6">
        <v>1</v>
      </c>
      <c r="AD25" s="6">
        <v>3</v>
      </c>
      <c r="AE25" s="6">
        <v>3</v>
      </c>
      <c r="AF25" s="6">
        <v>0</v>
      </c>
      <c r="AG25" s="6">
        <v>2</v>
      </c>
      <c r="AH25" s="6">
        <v>6</v>
      </c>
      <c r="AI25" s="6">
        <v>4</v>
      </c>
      <c r="AJ25" s="6">
        <v>5</v>
      </c>
      <c r="AK25" s="6">
        <v>5</v>
      </c>
      <c r="AL25" s="6">
        <v>1</v>
      </c>
      <c r="AM25" s="6">
        <v>6</v>
      </c>
      <c r="AN25" s="6">
        <v>15</v>
      </c>
      <c r="AO25" s="6">
        <v>4</v>
      </c>
      <c r="AP25" s="6">
        <v>0</v>
      </c>
      <c r="AQ25" s="6">
        <v>0</v>
      </c>
      <c r="AR25" s="5">
        <f t="shared" si="3"/>
        <v>106</v>
      </c>
    </row>
    <row r="26" spans="1:44" x14ac:dyDescent="0.4">
      <c r="A26" s="12"/>
      <c r="B26" s="74"/>
      <c r="C26" s="84"/>
      <c r="D26" s="6" t="s">
        <v>24</v>
      </c>
      <c r="E26" s="6">
        <v>0</v>
      </c>
      <c r="F26" s="6">
        <v>0</v>
      </c>
      <c r="G26" s="6">
        <v>0</v>
      </c>
      <c r="H26" s="6">
        <v>1</v>
      </c>
      <c r="I26" s="6">
        <v>3</v>
      </c>
      <c r="J26" s="6">
        <v>7</v>
      </c>
      <c r="K26" s="6">
        <v>2</v>
      </c>
      <c r="L26" s="6">
        <v>2</v>
      </c>
      <c r="M26" s="6">
        <v>3</v>
      </c>
      <c r="N26" s="6">
        <v>1</v>
      </c>
      <c r="O26" s="6">
        <v>3</v>
      </c>
      <c r="P26" s="6">
        <v>2</v>
      </c>
      <c r="Q26" s="6">
        <v>2</v>
      </c>
      <c r="R26" s="6">
        <v>1</v>
      </c>
      <c r="S26" s="6">
        <v>5</v>
      </c>
      <c r="T26" s="6">
        <v>4</v>
      </c>
      <c r="U26" s="6">
        <v>0</v>
      </c>
      <c r="V26" s="6">
        <v>10</v>
      </c>
      <c r="W26" s="6">
        <v>0</v>
      </c>
      <c r="X26" s="6">
        <v>6</v>
      </c>
      <c r="Y26" s="6">
        <v>1</v>
      </c>
      <c r="Z26" s="6">
        <v>4</v>
      </c>
      <c r="AA26" s="6">
        <v>0</v>
      </c>
      <c r="AB26" s="6">
        <v>0</v>
      </c>
      <c r="AC26" s="6">
        <v>2</v>
      </c>
      <c r="AD26" s="6">
        <v>6</v>
      </c>
      <c r="AE26" s="6">
        <v>6</v>
      </c>
      <c r="AF26" s="6">
        <v>1</v>
      </c>
      <c r="AG26" s="6">
        <v>3</v>
      </c>
      <c r="AH26" s="6">
        <v>3</v>
      </c>
      <c r="AI26" s="6">
        <v>7</v>
      </c>
      <c r="AJ26" s="6">
        <v>6</v>
      </c>
      <c r="AK26" s="6">
        <v>8</v>
      </c>
      <c r="AL26" s="6">
        <v>2</v>
      </c>
      <c r="AM26" s="6">
        <v>5</v>
      </c>
      <c r="AN26" s="6">
        <v>15</v>
      </c>
      <c r="AO26" s="6">
        <v>4</v>
      </c>
      <c r="AP26" s="6">
        <v>0</v>
      </c>
      <c r="AQ26" s="6">
        <v>1</v>
      </c>
      <c r="AR26" s="5">
        <f t="shared" si="3"/>
        <v>126</v>
      </c>
    </row>
    <row r="27" spans="1:44" x14ac:dyDescent="0.4">
      <c r="A27" s="13"/>
      <c r="B27" s="75"/>
      <c r="C27" s="85"/>
      <c r="D27" s="5" t="s">
        <v>25</v>
      </c>
      <c r="E27" s="5">
        <f t="shared" ref="E27:AQ27" si="10">SUM(E25:E26)</f>
        <v>1</v>
      </c>
      <c r="F27" s="5">
        <f t="shared" ref="F27:U27" si="11">SUM(F25:F26)</f>
        <v>6</v>
      </c>
      <c r="G27" s="5">
        <f t="shared" si="11"/>
        <v>0</v>
      </c>
      <c r="H27" s="5">
        <f t="shared" si="11"/>
        <v>1</v>
      </c>
      <c r="I27" s="5">
        <f t="shared" si="11"/>
        <v>5</v>
      </c>
      <c r="J27" s="5">
        <f t="shared" si="11"/>
        <v>9</v>
      </c>
      <c r="K27" s="5">
        <f t="shared" si="11"/>
        <v>6</v>
      </c>
      <c r="L27" s="5">
        <f t="shared" si="11"/>
        <v>5</v>
      </c>
      <c r="M27" s="5">
        <f t="shared" si="11"/>
        <v>5</v>
      </c>
      <c r="N27" s="5">
        <f t="shared" si="11"/>
        <v>3</v>
      </c>
      <c r="O27" s="5">
        <f t="shared" si="11"/>
        <v>5</v>
      </c>
      <c r="P27" s="5">
        <f t="shared" si="11"/>
        <v>4</v>
      </c>
      <c r="Q27" s="5">
        <f t="shared" si="11"/>
        <v>3</v>
      </c>
      <c r="R27" s="5">
        <f t="shared" si="11"/>
        <v>1</v>
      </c>
      <c r="S27" s="5">
        <f t="shared" si="11"/>
        <v>5</v>
      </c>
      <c r="T27" s="5">
        <f t="shared" si="11"/>
        <v>7</v>
      </c>
      <c r="U27" s="5">
        <f t="shared" si="11"/>
        <v>0</v>
      </c>
      <c r="V27" s="5">
        <f t="shared" si="10"/>
        <v>19</v>
      </c>
      <c r="W27" s="5">
        <f t="shared" si="10"/>
        <v>1</v>
      </c>
      <c r="X27" s="5">
        <f t="shared" si="10"/>
        <v>13</v>
      </c>
      <c r="Y27" s="5">
        <f t="shared" si="10"/>
        <v>2</v>
      </c>
      <c r="Z27" s="5">
        <f t="shared" si="10"/>
        <v>5</v>
      </c>
      <c r="AA27" s="5">
        <f t="shared" si="10"/>
        <v>0</v>
      </c>
      <c r="AB27" s="5">
        <f t="shared" si="10"/>
        <v>2</v>
      </c>
      <c r="AC27" s="5">
        <f t="shared" si="10"/>
        <v>3</v>
      </c>
      <c r="AD27" s="5">
        <f t="shared" si="10"/>
        <v>9</v>
      </c>
      <c r="AE27" s="5">
        <f t="shared" si="10"/>
        <v>9</v>
      </c>
      <c r="AF27" s="5">
        <f t="shared" si="10"/>
        <v>1</v>
      </c>
      <c r="AG27" s="5">
        <f t="shared" ref="AG27:AK27" si="12">SUM(AG25:AG26)</f>
        <v>5</v>
      </c>
      <c r="AH27" s="5">
        <f t="shared" si="12"/>
        <v>9</v>
      </c>
      <c r="AI27" s="5">
        <f t="shared" si="12"/>
        <v>11</v>
      </c>
      <c r="AJ27" s="5">
        <f t="shared" si="12"/>
        <v>11</v>
      </c>
      <c r="AK27" s="5">
        <f t="shared" si="12"/>
        <v>13</v>
      </c>
      <c r="AL27" s="5">
        <f t="shared" si="10"/>
        <v>3</v>
      </c>
      <c r="AM27" s="5">
        <f t="shared" si="10"/>
        <v>11</v>
      </c>
      <c r="AN27" s="5">
        <f t="shared" si="10"/>
        <v>30</v>
      </c>
      <c r="AO27" s="5">
        <f t="shared" si="10"/>
        <v>8</v>
      </c>
      <c r="AP27" s="5">
        <f t="shared" si="10"/>
        <v>0</v>
      </c>
      <c r="AQ27" s="5">
        <f t="shared" si="10"/>
        <v>1</v>
      </c>
      <c r="AR27" s="5">
        <f t="shared" si="3"/>
        <v>232</v>
      </c>
    </row>
    <row r="28" spans="1:44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108</v>
      </c>
      <c r="F28" s="5">
        <f t="shared" ref="F28:U28" si="13">SUM(F19,F22,F25)</f>
        <v>112</v>
      </c>
      <c r="G28" s="5">
        <f t="shared" si="13"/>
        <v>73</v>
      </c>
      <c r="H28" s="5">
        <f t="shared" si="13"/>
        <v>91</v>
      </c>
      <c r="I28" s="5">
        <f t="shared" si="13"/>
        <v>103</v>
      </c>
      <c r="J28" s="5">
        <f t="shared" si="13"/>
        <v>88</v>
      </c>
      <c r="K28" s="5">
        <f t="shared" si="13"/>
        <v>108</v>
      </c>
      <c r="L28" s="5">
        <f t="shared" si="13"/>
        <v>112</v>
      </c>
      <c r="M28" s="5">
        <f t="shared" si="13"/>
        <v>108</v>
      </c>
      <c r="N28" s="5">
        <f t="shared" si="13"/>
        <v>103</v>
      </c>
      <c r="O28" s="5">
        <f t="shared" si="13"/>
        <v>106</v>
      </c>
      <c r="P28" s="5">
        <f t="shared" si="13"/>
        <v>105</v>
      </c>
      <c r="Q28" s="5">
        <f t="shared" si="13"/>
        <v>116</v>
      </c>
      <c r="R28" s="5">
        <f t="shared" si="13"/>
        <v>109</v>
      </c>
      <c r="S28" s="5">
        <f t="shared" si="13"/>
        <v>105</v>
      </c>
      <c r="T28" s="5">
        <f t="shared" si="13"/>
        <v>126</v>
      </c>
      <c r="U28" s="5">
        <f t="shared" si="13"/>
        <v>90</v>
      </c>
      <c r="V28" s="5">
        <f t="shared" ref="V28:AQ29" si="14">SUM(V19,V22,V25)</f>
        <v>131</v>
      </c>
      <c r="W28" s="5">
        <f t="shared" si="14"/>
        <v>97</v>
      </c>
      <c r="X28" s="5">
        <f t="shared" si="14"/>
        <v>103</v>
      </c>
      <c r="Y28" s="5">
        <f t="shared" si="14"/>
        <v>99</v>
      </c>
      <c r="Z28" s="5">
        <f t="shared" si="14"/>
        <v>106</v>
      </c>
      <c r="AA28" s="5">
        <f t="shared" si="14"/>
        <v>94</v>
      </c>
      <c r="AB28" s="5">
        <f t="shared" si="14"/>
        <v>135</v>
      </c>
      <c r="AC28" s="5">
        <f t="shared" si="14"/>
        <v>110</v>
      </c>
      <c r="AD28" s="5">
        <f t="shared" si="14"/>
        <v>141</v>
      </c>
      <c r="AE28" s="5">
        <f t="shared" si="14"/>
        <v>119</v>
      </c>
      <c r="AF28" s="5">
        <f t="shared" si="14"/>
        <v>131</v>
      </c>
      <c r="AG28" s="5">
        <f t="shared" ref="AG28:AK28" si="15">SUM(AG19,AG22,AG25)</f>
        <v>111</v>
      </c>
      <c r="AH28" s="5">
        <f t="shared" si="15"/>
        <v>113</v>
      </c>
      <c r="AI28" s="5">
        <f t="shared" si="15"/>
        <v>118</v>
      </c>
      <c r="AJ28" s="5">
        <f t="shared" si="15"/>
        <v>115</v>
      </c>
      <c r="AK28" s="5">
        <f t="shared" si="15"/>
        <v>117</v>
      </c>
      <c r="AL28" s="5">
        <f t="shared" si="14"/>
        <v>129</v>
      </c>
      <c r="AM28" s="5">
        <f t="shared" si="14"/>
        <v>113</v>
      </c>
      <c r="AN28" s="5">
        <f t="shared" si="14"/>
        <v>138</v>
      </c>
      <c r="AO28" s="5">
        <f t="shared" si="14"/>
        <v>105</v>
      </c>
      <c r="AP28" s="5">
        <f t="shared" si="14"/>
        <v>131</v>
      </c>
      <c r="AQ28" s="5">
        <f t="shared" si="14"/>
        <v>102</v>
      </c>
      <c r="AR28" s="5">
        <f t="shared" si="3"/>
        <v>4321</v>
      </c>
    </row>
    <row r="29" spans="1:44" x14ac:dyDescent="0.4">
      <c r="A29" s="13"/>
      <c r="B29" s="74"/>
      <c r="C29" s="84"/>
      <c r="D29" s="5" t="s">
        <v>24</v>
      </c>
      <c r="E29" s="5">
        <f>SUM(E20,E23,E26)</f>
        <v>128</v>
      </c>
      <c r="F29" s="5">
        <f t="shared" ref="F29:U29" si="16">SUM(F20,F23,F26)</f>
        <v>118</v>
      </c>
      <c r="G29" s="5">
        <f t="shared" si="16"/>
        <v>90</v>
      </c>
      <c r="H29" s="5">
        <f t="shared" si="16"/>
        <v>102</v>
      </c>
      <c r="I29" s="5">
        <f t="shared" si="16"/>
        <v>107</v>
      </c>
      <c r="J29" s="5">
        <f t="shared" si="16"/>
        <v>106</v>
      </c>
      <c r="K29" s="5">
        <f t="shared" si="16"/>
        <v>111</v>
      </c>
      <c r="L29" s="5">
        <f t="shared" si="16"/>
        <v>129</v>
      </c>
      <c r="M29" s="5">
        <f t="shared" si="16"/>
        <v>105</v>
      </c>
      <c r="N29" s="5">
        <f t="shared" si="16"/>
        <v>117</v>
      </c>
      <c r="O29" s="5">
        <f t="shared" si="16"/>
        <v>135</v>
      </c>
      <c r="P29" s="5">
        <f t="shared" si="16"/>
        <v>111</v>
      </c>
      <c r="Q29" s="5">
        <f t="shared" si="16"/>
        <v>124</v>
      </c>
      <c r="R29" s="5">
        <f t="shared" si="16"/>
        <v>126</v>
      </c>
      <c r="S29" s="5">
        <f t="shared" si="16"/>
        <v>126</v>
      </c>
      <c r="T29" s="5">
        <f t="shared" si="16"/>
        <v>134</v>
      </c>
      <c r="U29" s="5">
        <f t="shared" si="16"/>
        <v>111</v>
      </c>
      <c r="V29" s="5">
        <f t="shared" si="14"/>
        <v>126</v>
      </c>
      <c r="W29" s="5">
        <f t="shared" si="14"/>
        <v>125</v>
      </c>
      <c r="X29" s="5">
        <f t="shared" si="14"/>
        <v>133</v>
      </c>
      <c r="Y29" s="5">
        <f t="shared" si="14"/>
        <v>103</v>
      </c>
      <c r="Z29" s="5">
        <f t="shared" si="14"/>
        <v>111</v>
      </c>
      <c r="AA29" s="5">
        <f t="shared" si="14"/>
        <v>122</v>
      </c>
      <c r="AB29" s="5">
        <f t="shared" si="14"/>
        <v>125</v>
      </c>
      <c r="AC29" s="5">
        <f t="shared" si="14"/>
        <v>129</v>
      </c>
      <c r="AD29" s="5">
        <f t="shared" si="14"/>
        <v>133</v>
      </c>
      <c r="AE29" s="5">
        <f t="shared" si="14"/>
        <v>123</v>
      </c>
      <c r="AF29" s="5">
        <f t="shared" si="14"/>
        <v>135</v>
      </c>
      <c r="AG29" s="5">
        <f t="shared" ref="AG29:AK29" si="17">SUM(AG20,AG23,AG26)</f>
        <v>117</v>
      </c>
      <c r="AH29" s="5">
        <f t="shared" si="17"/>
        <v>106</v>
      </c>
      <c r="AI29" s="5">
        <f t="shared" si="17"/>
        <v>128</v>
      </c>
      <c r="AJ29" s="5">
        <f t="shared" si="17"/>
        <v>129</v>
      </c>
      <c r="AK29" s="5">
        <f t="shared" si="17"/>
        <v>117</v>
      </c>
      <c r="AL29" s="5">
        <f t="shared" si="14"/>
        <v>128</v>
      </c>
      <c r="AM29" s="5">
        <f t="shared" si="14"/>
        <v>113</v>
      </c>
      <c r="AN29" s="5">
        <f t="shared" si="14"/>
        <v>131</v>
      </c>
      <c r="AO29" s="5">
        <f t="shared" si="14"/>
        <v>100</v>
      </c>
      <c r="AP29" s="5">
        <f t="shared" si="14"/>
        <v>122</v>
      </c>
      <c r="AQ29" s="5">
        <f t="shared" si="14"/>
        <v>100</v>
      </c>
      <c r="AR29" s="5">
        <f t="shared" si="3"/>
        <v>4636</v>
      </c>
    </row>
    <row r="30" spans="1:44" x14ac:dyDescent="0.4">
      <c r="A30" s="13"/>
      <c r="B30" s="75"/>
      <c r="C30" s="85"/>
      <c r="D30" s="5" t="s">
        <v>25</v>
      </c>
      <c r="E30" s="5">
        <f t="shared" ref="E30:U30" si="18">SUM(E28:E29)</f>
        <v>236</v>
      </c>
      <c r="F30" s="5">
        <f t="shared" si="18"/>
        <v>230</v>
      </c>
      <c r="G30" s="5">
        <f t="shared" si="18"/>
        <v>163</v>
      </c>
      <c r="H30" s="5">
        <f t="shared" si="18"/>
        <v>193</v>
      </c>
      <c r="I30" s="5">
        <f t="shared" si="18"/>
        <v>210</v>
      </c>
      <c r="J30" s="5">
        <f t="shared" si="18"/>
        <v>194</v>
      </c>
      <c r="K30" s="5">
        <f t="shared" si="18"/>
        <v>219</v>
      </c>
      <c r="L30" s="5">
        <f t="shared" si="18"/>
        <v>241</v>
      </c>
      <c r="M30" s="5">
        <f t="shared" si="18"/>
        <v>213</v>
      </c>
      <c r="N30" s="5">
        <f t="shared" si="18"/>
        <v>220</v>
      </c>
      <c r="O30" s="5">
        <f t="shared" si="18"/>
        <v>241</v>
      </c>
      <c r="P30" s="5">
        <f t="shared" si="18"/>
        <v>216</v>
      </c>
      <c r="Q30" s="5">
        <f t="shared" si="18"/>
        <v>240</v>
      </c>
      <c r="R30" s="5">
        <f t="shared" si="18"/>
        <v>235</v>
      </c>
      <c r="S30" s="5">
        <f t="shared" si="18"/>
        <v>231</v>
      </c>
      <c r="T30" s="5">
        <f t="shared" si="18"/>
        <v>260</v>
      </c>
      <c r="U30" s="5">
        <f t="shared" si="18"/>
        <v>201</v>
      </c>
      <c r="V30" s="5">
        <f t="shared" ref="V30:AQ30" si="19">SUM(V28:V29)</f>
        <v>257</v>
      </c>
      <c r="W30" s="5">
        <f t="shared" si="19"/>
        <v>222</v>
      </c>
      <c r="X30" s="5">
        <f t="shared" si="19"/>
        <v>236</v>
      </c>
      <c r="Y30" s="5">
        <f t="shared" si="19"/>
        <v>202</v>
      </c>
      <c r="Z30" s="5">
        <f t="shared" si="19"/>
        <v>217</v>
      </c>
      <c r="AA30" s="5">
        <f t="shared" si="19"/>
        <v>216</v>
      </c>
      <c r="AB30" s="5">
        <f t="shared" si="19"/>
        <v>260</v>
      </c>
      <c r="AC30" s="5">
        <f t="shared" si="19"/>
        <v>239</v>
      </c>
      <c r="AD30" s="5">
        <f t="shared" si="19"/>
        <v>274</v>
      </c>
      <c r="AE30" s="5">
        <f t="shared" si="19"/>
        <v>242</v>
      </c>
      <c r="AF30" s="5">
        <f t="shared" si="19"/>
        <v>266</v>
      </c>
      <c r="AG30" s="5">
        <f t="shared" ref="AG30:AK30" si="20">SUM(AG28:AG29)</f>
        <v>228</v>
      </c>
      <c r="AH30" s="5">
        <f t="shared" si="20"/>
        <v>219</v>
      </c>
      <c r="AI30" s="5">
        <f t="shared" si="20"/>
        <v>246</v>
      </c>
      <c r="AJ30" s="5">
        <f t="shared" si="20"/>
        <v>244</v>
      </c>
      <c r="AK30" s="5">
        <f t="shared" si="20"/>
        <v>234</v>
      </c>
      <c r="AL30" s="5">
        <f t="shared" si="19"/>
        <v>257</v>
      </c>
      <c r="AM30" s="5">
        <f t="shared" si="19"/>
        <v>226</v>
      </c>
      <c r="AN30" s="5">
        <f t="shared" si="19"/>
        <v>269</v>
      </c>
      <c r="AO30" s="5">
        <f t="shared" si="19"/>
        <v>205</v>
      </c>
      <c r="AP30" s="5">
        <f t="shared" si="19"/>
        <v>253</v>
      </c>
      <c r="AQ30" s="5">
        <f t="shared" si="19"/>
        <v>202</v>
      </c>
      <c r="AR30" s="5">
        <f t="shared" si="3"/>
        <v>8957</v>
      </c>
    </row>
    <row r="31" spans="1:44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6"/>
      <c r="W31" s="6"/>
      <c r="X31" s="6"/>
      <c r="Y31" s="6"/>
      <c r="Z31" s="6"/>
      <c r="AA31" s="6"/>
      <c r="AB31" s="6"/>
      <c r="AC31" s="6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28"/>
    </row>
    <row r="32" spans="1:44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5"/>
      <c r="W32" s="5"/>
      <c r="X32" s="5"/>
      <c r="Y32" s="5"/>
      <c r="Z32" s="5"/>
      <c r="AA32" s="5"/>
      <c r="AB32" s="5"/>
      <c r="AC32" s="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28"/>
    </row>
    <row r="33" spans="1:44" x14ac:dyDescent="0.4">
      <c r="A33" s="6">
        <v>1</v>
      </c>
      <c r="B33" s="77" t="s">
        <v>38</v>
      </c>
      <c r="C33" s="69"/>
      <c r="D33" s="60"/>
      <c r="E33" s="6">
        <v>302</v>
      </c>
      <c r="F33" s="6">
        <v>293</v>
      </c>
      <c r="G33" s="6">
        <v>273</v>
      </c>
      <c r="H33" s="6">
        <v>295</v>
      </c>
      <c r="I33" s="6">
        <v>302</v>
      </c>
      <c r="J33" s="6">
        <v>299</v>
      </c>
      <c r="K33" s="6">
        <v>299</v>
      </c>
      <c r="L33" s="6">
        <v>304</v>
      </c>
      <c r="M33" s="6">
        <v>281</v>
      </c>
      <c r="N33" s="6">
        <v>305</v>
      </c>
      <c r="O33" s="6">
        <v>305</v>
      </c>
      <c r="P33" s="6">
        <v>264</v>
      </c>
      <c r="Q33" s="6">
        <v>304</v>
      </c>
      <c r="R33" s="6">
        <v>302</v>
      </c>
      <c r="S33" s="6">
        <v>301</v>
      </c>
      <c r="T33" s="6">
        <v>304</v>
      </c>
      <c r="U33" s="6">
        <v>303</v>
      </c>
      <c r="V33" s="6">
        <v>301</v>
      </c>
      <c r="W33" s="6">
        <v>297</v>
      </c>
      <c r="X33" s="6">
        <v>304</v>
      </c>
      <c r="Y33" s="6">
        <v>271</v>
      </c>
      <c r="Z33" s="6">
        <v>273</v>
      </c>
      <c r="AA33" s="6">
        <v>288</v>
      </c>
      <c r="AB33" s="6">
        <v>304</v>
      </c>
      <c r="AC33" s="6">
        <v>301</v>
      </c>
      <c r="AD33" s="6">
        <v>303</v>
      </c>
      <c r="AE33" s="6">
        <v>305</v>
      </c>
      <c r="AF33" s="6">
        <v>298</v>
      </c>
      <c r="AG33" s="6">
        <v>293</v>
      </c>
      <c r="AH33" s="6">
        <v>284</v>
      </c>
      <c r="AI33" s="6">
        <v>299</v>
      </c>
      <c r="AJ33" s="6">
        <v>298</v>
      </c>
      <c r="AK33" s="6">
        <v>300</v>
      </c>
      <c r="AL33" s="6">
        <v>300</v>
      </c>
      <c r="AM33" s="6">
        <v>261</v>
      </c>
      <c r="AN33" s="6">
        <v>301</v>
      </c>
      <c r="AO33" s="6">
        <v>285</v>
      </c>
      <c r="AP33" s="6">
        <v>303</v>
      </c>
      <c r="AQ33" s="6">
        <v>289</v>
      </c>
      <c r="AR33" s="5">
        <f>SUM(E33:AQ33)</f>
        <v>11494</v>
      </c>
    </row>
    <row r="34" spans="1:44" x14ac:dyDescent="0.4">
      <c r="A34" s="6">
        <v>2</v>
      </c>
      <c r="B34" s="77" t="s">
        <v>39</v>
      </c>
      <c r="C34" s="69"/>
      <c r="D34" s="60"/>
      <c r="E34" s="5">
        <v>236</v>
      </c>
      <c r="F34" s="5">
        <v>230</v>
      </c>
      <c r="G34" s="5">
        <v>163</v>
      </c>
      <c r="H34" s="5">
        <v>193</v>
      </c>
      <c r="I34" s="5">
        <v>210</v>
      </c>
      <c r="J34" s="5">
        <v>194</v>
      </c>
      <c r="K34" s="5">
        <v>219</v>
      </c>
      <c r="L34" s="5">
        <v>241</v>
      </c>
      <c r="M34" s="5">
        <v>213</v>
      </c>
      <c r="N34" s="5">
        <v>220</v>
      </c>
      <c r="O34" s="5">
        <v>241</v>
      </c>
      <c r="P34" s="5">
        <v>216</v>
      </c>
      <c r="Q34" s="5">
        <v>240</v>
      </c>
      <c r="R34" s="5">
        <v>235</v>
      </c>
      <c r="S34" s="5">
        <v>231</v>
      </c>
      <c r="T34" s="5">
        <v>260</v>
      </c>
      <c r="U34" s="5">
        <v>201</v>
      </c>
      <c r="V34" s="5">
        <v>257</v>
      </c>
      <c r="W34" s="5">
        <v>222</v>
      </c>
      <c r="X34" s="5">
        <v>236</v>
      </c>
      <c r="Y34" s="5">
        <v>202</v>
      </c>
      <c r="Z34" s="5">
        <v>217</v>
      </c>
      <c r="AA34" s="5">
        <v>216</v>
      </c>
      <c r="AB34" s="5">
        <v>260</v>
      </c>
      <c r="AC34" s="5">
        <v>239</v>
      </c>
      <c r="AD34" s="5">
        <v>274</v>
      </c>
      <c r="AE34" s="5">
        <v>242</v>
      </c>
      <c r="AF34" s="5">
        <v>266</v>
      </c>
      <c r="AG34" s="5">
        <v>228</v>
      </c>
      <c r="AH34" s="5">
        <v>219</v>
      </c>
      <c r="AI34" s="5">
        <v>246</v>
      </c>
      <c r="AJ34" s="5">
        <v>244</v>
      </c>
      <c r="AK34" s="5">
        <v>234</v>
      </c>
      <c r="AL34" s="5">
        <v>257</v>
      </c>
      <c r="AM34" s="5">
        <v>226</v>
      </c>
      <c r="AN34" s="5">
        <v>269</v>
      </c>
      <c r="AO34" s="5">
        <v>205</v>
      </c>
      <c r="AP34" s="5">
        <v>253</v>
      </c>
      <c r="AQ34" s="5">
        <v>202</v>
      </c>
      <c r="AR34" s="5">
        <f>SUM(E34:AQ34)</f>
        <v>8957</v>
      </c>
    </row>
    <row r="35" spans="1:44" x14ac:dyDescent="0.4">
      <c r="A35" s="6">
        <v>3</v>
      </c>
      <c r="B35" s="77" t="s">
        <v>40</v>
      </c>
      <c r="C35" s="69"/>
      <c r="D35" s="60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2</v>
      </c>
      <c r="P35" s="6">
        <v>2</v>
      </c>
      <c r="Q35" s="6">
        <v>1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0</v>
      </c>
      <c r="X35" s="6">
        <v>0</v>
      </c>
      <c r="Y35" s="6">
        <v>0</v>
      </c>
      <c r="Z35" s="6">
        <v>2</v>
      </c>
      <c r="AA35" s="6">
        <v>0</v>
      </c>
      <c r="AB35" s="6">
        <v>0</v>
      </c>
      <c r="AC35" s="6">
        <v>0</v>
      </c>
      <c r="AD35" s="6">
        <v>1</v>
      </c>
      <c r="AE35" s="6">
        <v>0</v>
      </c>
      <c r="AF35" s="6">
        <v>0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</v>
      </c>
      <c r="AN35" s="6">
        <v>0</v>
      </c>
      <c r="AO35" s="6">
        <v>0</v>
      </c>
      <c r="AP35" s="6">
        <v>0</v>
      </c>
      <c r="AQ35" s="6">
        <v>0</v>
      </c>
      <c r="AR35" s="5">
        <f>SUM(E35:AQ35)</f>
        <v>13</v>
      </c>
    </row>
    <row r="36" spans="1:44" x14ac:dyDescent="0.4">
      <c r="A36" s="6">
        <v>4</v>
      </c>
      <c r="B36" s="77" t="s">
        <v>41</v>
      </c>
      <c r="C36" s="69"/>
      <c r="D36" s="60"/>
      <c r="E36" s="5">
        <f t="shared" ref="E36:AQ36" si="21">E33-(E34+E35)</f>
        <v>65</v>
      </c>
      <c r="F36" s="5">
        <f t="shared" ref="F36:S36" si="22">F33-(F34+F35)</f>
        <v>63</v>
      </c>
      <c r="G36" s="5">
        <f t="shared" si="22"/>
        <v>110</v>
      </c>
      <c r="H36" s="5">
        <f t="shared" si="22"/>
        <v>102</v>
      </c>
      <c r="I36" s="5">
        <f t="shared" si="22"/>
        <v>92</v>
      </c>
      <c r="J36" s="5">
        <f t="shared" si="22"/>
        <v>104</v>
      </c>
      <c r="K36" s="5">
        <f t="shared" si="22"/>
        <v>80</v>
      </c>
      <c r="L36" s="5">
        <f t="shared" si="22"/>
        <v>63</v>
      </c>
      <c r="M36" s="5">
        <f t="shared" si="22"/>
        <v>68</v>
      </c>
      <c r="N36" s="5">
        <f t="shared" si="22"/>
        <v>85</v>
      </c>
      <c r="O36" s="5">
        <f t="shared" si="22"/>
        <v>62</v>
      </c>
      <c r="P36" s="5">
        <f t="shared" si="22"/>
        <v>46</v>
      </c>
      <c r="Q36" s="5">
        <f t="shared" si="22"/>
        <v>63</v>
      </c>
      <c r="R36" s="5">
        <f t="shared" si="22"/>
        <v>67</v>
      </c>
      <c r="S36" s="5">
        <f t="shared" si="22"/>
        <v>70</v>
      </c>
      <c r="T36" s="5">
        <v>44</v>
      </c>
      <c r="U36" s="5">
        <v>102</v>
      </c>
      <c r="V36" s="5">
        <v>43</v>
      </c>
      <c r="W36" s="5">
        <v>75</v>
      </c>
      <c r="X36" s="5">
        <v>68</v>
      </c>
      <c r="Y36" s="5">
        <v>69</v>
      </c>
      <c r="Z36" s="5">
        <v>54</v>
      </c>
      <c r="AA36" s="5">
        <v>72</v>
      </c>
      <c r="AB36" s="5">
        <v>44</v>
      </c>
      <c r="AC36" s="5">
        <v>62</v>
      </c>
      <c r="AD36" s="5">
        <v>28</v>
      </c>
      <c r="AE36" s="5">
        <v>63</v>
      </c>
      <c r="AF36" s="5">
        <v>32</v>
      </c>
      <c r="AG36" s="5">
        <v>64</v>
      </c>
      <c r="AH36" s="5">
        <v>65</v>
      </c>
      <c r="AI36" s="5">
        <f t="shared" ref="AI36:AK36" si="23">AI33-(AI34+AI35)</f>
        <v>53</v>
      </c>
      <c r="AJ36" s="5">
        <f t="shared" si="23"/>
        <v>54</v>
      </c>
      <c r="AK36" s="5">
        <f t="shared" si="23"/>
        <v>66</v>
      </c>
      <c r="AL36" s="5">
        <f t="shared" si="21"/>
        <v>43</v>
      </c>
      <c r="AM36" s="5">
        <f t="shared" si="21"/>
        <v>34</v>
      </c>
      <c r="AN36" s="5">
        <f t="shared" si="21"/>
        <v>32</v>
      </c>
      <c r="AO36" s="5">
        <f t="shared" si="21"/>
        <v>80</v>
      </c>
      <c r="AP36" s="5">
        <f t="shared" si="21"/>
        <v>50</v>
      </c>
      <c r="AQ36" s="5">
        <f t="shared" si="21"/>
        <v>87</v>
      </c>
      <c r="AR36" s="5">
        <f>SUM(E36:AQ36)</f>
        <v>2524</v>
      </c>
    </row>
    <row r="37" spans="1:44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88"/>
      <c r="W37" s="88"/>
      <c r="X37" s="88"/>
      <c r="Y37" s="89"/>
      <c r="Z37" s="6"/>
      <c r="AA37" s="6"/>
      <c r="AB37" s="6"/>
      <c r="AC37" s="6"/>
      <c r="AD37" s="10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8"/>
    </row>
    <row r="38" spans="1:44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5"/>
      <c r="W38" s="5"/>
      <c r="X38" s="5"/>
      <c r="Y38" s="5"/>
      <c r="Z38" s="5"/>
      <c r="AA38" s="5"/>
      <c r="AB38" s="5"/>
      <c r="AC38" s="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28"/>
    </row>
    <row r="39" spans="1:44" x14ac:dyDescent="0.4">
      <c r="A39" s="11"/>
      <c r="B39" s="72" t="s">
        <v>44</v>
      </c>
      <c r="C39" s="68"/>
      <c r="D39" s="6" t="s">
        <v>23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2</v>
      </c>
      <c r="T39" s="6">
        <v>1</v>
      </c>
      <c r="U39" s="6">
        <v>0</v>
      </c>
      <c r="V39" s="6">
        <v>0</v>
      </c>
      <c r="W39" s="6">
        <v>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3</v>
      </c>
      <c r="AD39" s="6">
        <v>3</v>
      </c>
      <c r="AE39" s="6">
        <v>0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1</v>
      </c>
      <c r="AR39" s="5">
        <f>SUM(E39:AQ39)</f>
        <v>16</v>
      </c>
    </row>
    <row r="40" spans="1:44" x14ac:dyDescent="0.4">
      <c r="A40" s="12"/>
      <c r="B40" s="73"/>
      <c r="C40" s="74"/>
      <c r="D40" s="6" t="s">
        <v>24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3</v>
      </c>
      <c r="T40" s="6">
        <v>0</v>
      </c>
      <c r="U40" s="6">
        <v>2</v>
      </c>
      <c r="V40" s="6">
        <v>0</v>
      </c>
      <c r="W40" s="6">
        <v>1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4</v>
      </c>
      <c r="AD40" s="6">
        <v>1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5">
        <f>SUM(E40:AQ40)</f>
        <v>14</v>
      </c>
    </row>
    <row r="41" spans="1:44" x14ac:dyDescent="0.4">
      <c r="A41" s="14"/>
      <c r="B41" s="71"/>
      <c r="C41" s="75"/>
      <c r="D41" s="5" t="s">
        <v>25</v>
      </c>
      <c r="E41" s="5">
        <f t="shared" ref="E41:AQ41" si="24">SUM(E39:E40)</f>
        <v>3</v>
      </c>
      <c r="F41" s="5">
        <f t="shared" ref="F41:U41" si="25">SUM(F39:F40)</f>
        <v>1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1</v>
      </c>
      <c r="N41" s="5">
        <f t="shared" si="25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5"/>
        <v>5</v>
      </c>
      <c r="T41" s="5">
        <f t="shared" si="25"/>
        <v>1</v>
      </c>
      <c r="U41" s="5">
        <f t="shared" si="25"/>
        <v>2</v>
      </c>
      <c r="V41" s="5">
        <f t="shared" si="24"/>
        <v>0</v>
      </c>
      <c r="W41" s="5">
        <f t="shared" si="24"/>
        <v>3</v>
      </c>
      <c r="X41" s="5">
        <f t="shared" si="24"/>
        <v>0</v>
      </c>
      <c r="Y41" s="5">
        <f t="shared" si="24"/>
        <v>0</v>
      </c>
      <c r="Z41" s="5">
        <f t="shared" si="24"/>
        <v>0</v>
      </c>
      <c r="AA41" s="5">
        <f t="shared" si="24"/>
        <v>0</v>
      </c>
      <c r="AB41" s="5">
        <f t="shared" si="24"/>
        <v>0</v>
      </c>
      <c r="AC41" s="5">
        <f t="shared" si="24"/>
        <v>7</v>
      </c>
      <c r="AD41" s="5">
        <f t="shared" si="24"/>
        <v>4</v>
      </c>
      <c r="AE41" s="5">
        <f t="shared" si="24"/>
        <v>0</v>
      </c>
      <c r="AF41" s="5">
        <f t="shared" si="24"/>
        <v>0</v>
      </c>
      <c r="AG41" s="5">
        <f t="shared" ref="AG41:AK41" si="26">SUM(AG39:AG40)</f>
        <v>1</v>
      </c>
      <c r="AH41" s="5">
        <f t="shared" si="26"/>
        <v>1</v>
      </c>
      <c r="AI41" s="5">
        <f t="shared" si="26"/>
        <v>0</v>
      </c>
      <c r="AJ41" s="5">
        <f t="shared" si="26"/>
        <v>0</v>
      </c>
      <c r="AK41" s="5">
        <f t="shared" si="26"/>
        <v>0</v>
      </c>
      <c r="AL41" s="5">
        <f t="shared" si="24"/>
        <v>0</v>
      </c>
      <c r="AM41" s="5">
        <f t="shared" si="24"/>
        <v>0</v>
      </c>
      <c r="AN41" s="5">
        <f t="shared" si="24"/>
        <v>0</v>
      </c>
      <c r="AO41" s="5">
        <f t="shared" si="24"/>
        <v>0</v>
      </c>
      <c r="AP41" s="5">
        <f t="shared" si="24"/>
        <v>0</v>
      </c>
      <c r="AQ41" s="5">
        <f t="shared" si="24"/>
        <v>1</v>
      </c>
      <c r="AR41" s="5">
        <f>SUM(E41:AQ41)</f>
        <v>30</v>
      </c>
    </row>
    <row r="42" spans="1:44" x14ac:dyDescent="0.4">
      <c r="A42" s="70"/>
      <c r="B42" s="71"/>
      <c r="C42" s="71"/>
      <c r="D42" s="75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9"/>
      <c r="W42" s="69"/>
      <c r="X42" s="69"/>
      <c r="Y42" s="60"/>
      <c r="Z42" s="6"/>
      <c r="AA42" s="6"/>
      <c r="AB42" s="6"/>
      <c r="AC42" s="6"/>
      <c r="AD42" s="10"/>
      <c r="AE42" s="6"/>
      <c r="AF42" s="10"/>
      <c r="AG42" s="6"/>
      <c r="AH42" s="10"/>
      <c r="AI42" s="6"/>
      <c r="AJ42" s="10"/>
      <c r="AK42" s="6"/>
      <c r="AL42" s="6"/>
      <c r="AM42" s="10"/>
      <c r="AN42" s="6"/>
      <c r="AO42" s="10"/>
      <c r="AP42" s="6"/>
      <c r="AQ42" s="10"/>
      <c r="AR42" s="5"/>
    </row>
    <row r="43" spans="1:44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5"/>
      <c r="W43" s="5"/>
      <c r="X43" s="5"/>
      <c r="Y43" s="5"/>
      <c r="Z43" s="5"/>
      <c r="AA43" s="5"/>
      <c r="AB43" s="5"/>
      <c r="AC43" s="5"/>
      <c r="AD43" s="15"/>
      <c r="AE43" s="5"/>
      <c r="AF43" s="15"/>
      <c r="AG43" s="5"/>
      <c r="AH43" s="15"/>
      <c r="AI43" s="5"/>
      <c r="AJ43" s="15"/>
      <c r="AK43" s="5"/>
      <c r="AL43" s="5"/>
      <c r="AM43" s="15"/>
      <c r="AN43" s="5"/>
      <c r="AO43" s="15"/>
      <c r="AP43" s="5"/>
      <c r="AQ43" s="15"/>
      <c r="AR43" s="5"/>
    </row>
    <row r="44" spans="1:44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6"/>
      <c r="W44" s="6"/>
      <c r="X44" s="6"/>
      <c r="Y44" s="6"/>
      <c r="Z44" s="6"/>
      <c r="AA44" s="6"/>
      <c r="AB44" s="6"/>
      <c r="AC44" s="6"/>
      <c r="AD44" s="10"/>
      <c r="AE44" s="6"/>
      <c r="AF44" s="10"/>
      <c r="AG44" s="6"/>
      <c r="AH44" s="10"/>
      <c r="AI44" s="6"/>
      <c r="AJ44" s="10"/>
      <c r="AK44" s="6"/>
      <c r="AL44" s="6"/>
      <c r="AM44" s="10"/>
      <c r="AN44" s="6"/>
      <c r="AO44" s="10"/>
      <c r="AP44" s="6"/>
      <c r="AQ44" s="10"/>
      <c r="AR44" s="5"/>
    </row>
    <row r="45" spans="1:44" x14ac:dyDescent="0.4">
      <c r="A45" s="11" t="s">
        <v>48</v>
      </c>
      <c r="B45" s="17" t="s">
        <v>28</v>
      </c>
      <c r="C45" s="59" t="s">
        <v>49</v>
      </c>
      <c r="D45" s="60"/>
      <c r="E45" s="6">
        <v>5</v>
      </c>
      <c r="F45" s="6">
        <v>9</v>
      </c>
      <c r="G45" s="6">
        <v>3</v>
      </c>
      <c r="H45" s="6">
        <v>7</v>
      </c>
      <c r="I45" s="6">
        <v>2</v>
      </c>
      <c r="J45" s="6">
        <v>6</v>
      </c>
      <c r="K45" s="6">
        <v>2</v>
      </c>
      <c r="L45" s="6">
        <v>9</v>
      </c>
      <c r="M45" s="6">
        <v>2</v>
      </c>
      <c r="N45" s="6">
        <v>13</v>
      </c>
      <c r="O45" s="6">
        <v>1</v>
      </c>
      <c r="P45" s="6">
        <v>9</v>
      </c>
      <c r="Q45" s="6">
        <v>7</v>
      </c>
      <c r="R45" s="6">
        <v>6</v>
      </c>
      <c r="S45" s="6">
        <v>3</v>
      </c>
      <c r="T45" s="6">
        <v>7</v>
      </c>
      <c r="U45" s="6">
        <v>5</v>
      </c>
      <c r="V45" s="6">
        <v>20</v>
      </c>
      <c r="W45" s="6">
        <v>3</v>
      </c>
      <c r="X45" s="6">
        <v>6</v>
      </c>
      <c r="Y45" s="6">
        <v>6</v>
      </c>
      <c r="Z45" s="6">
        <v>4</v>
      </c>
      <c r="AA45" s="6">
        <v>20</v>
      </c>
      <c r="AB45" s="6">
        <v>14</v>
      </c>
      <c r="AC45" s="6">
        <v>9</v>
      </c>
      <c r="AD45" s="6">
        <v>4</v>
      </c>
      <c r="AE45" s="6">
        <v>3</v>
      </c>
      <c r="AF45" s="6">
        <v>12</v>
      </c>
      <c r="AG45" s="6">
        <v>11</v>
      </c>
      <c r="AH45" s="6">
        <v>12</v>
      </c>
      <c r="AI45" s="6">
        <v>20</v>
      </c>
      <c r="AJ45" s="6">
        <v>9</v>
      </c>
      <c r="AK45" s="6">
        <v>8</v>
      </c>
      <c r="AL45" s="6">
        <v>29</v>
      </c>
      <c r="AM45" s="6">
        <v>10</v>
      </c>
      <c r="AN45" s="6">
        <v>21</v>
      </c>
      <c r="AO45" s="6">
        <v>12</v>
      </c>
      <c r="AP45" s="6">
        <v>15</v>
      </c>
      <c r="AQ45" s="6">
        <v>1</v>
      </c>
      <c r="AR45" s="5">
        <f t="shared" ref="AR45:AR51" si="27">SUM(E45:AQ45)</f>
        <v>345</v>
      </c>
    </row>
    <row r="46" spans="1:44" x14ac:dyDescent="0.4">
      <c r="A46" s="11" t="s">
        <v>50</v>
      </c>
      <c r="B46" s="46">
        <v>1</v>
      </c>
      <c r="C46" s="24" t="s">
        <v>114</v>
      </c>
      <c r="D46" s="47"/>
      <c r="E46" s="6">
        <v>4</v>
      </c>
      <c r="F46" s="6">
        <v>11</v>
      </c>
      <c r="G46" s="6">
        <v>6</v>
      </c>
      <c r="H46" s="6">
        <v>12</v>
      </c>
      <c r="I46" s="6">
        <v>3</v>
      </c>
      <c r="J46" s="6">
        <v>5</v>
      </c>
      <c r="K46" s="6">
        <v>5</v>
      </c>
      <c r="L46" s="6">
        <v>19</v>
      </c>
      <c r="M46" s="6">
        <v>9</v>
      </c>
      <c r="N46" s="6">
        <v>13</v>
      </c>
      <c r="O46" s="6">
        <v>4</v>
      </c>
      <c r="P46" s="6">
        <v>18</v>
      </c>
      <c r="Q46" s="6">
        <v>7</v>
      </c>
      <c r="R46" s="6">
        <v>5</v>
      </c>
      <c r="S46" s="6">
        <v>5</v>
      </c>
      <c r="T46" s="6">
        <v>4</v>
      </c>
      <c r="U46" s="6">
        <v>5</v>
      </c>
      <c r="V46" s="6">
        <v>30</v>
      </c>
      <c r="W46" s="6">
        <v>5</v>
      </c>
      <c r="X46" s="6">
        <v>7</v>
      </c>
      <c r="Y46" s="6">
        <v>17</v>
      </c>
      <c r="Z46" s="6">
        <v>30</v>
      </c>
      <c r="AA46" s="6">
        <v>25</v>
      </c>
      <c r="AB46" s="6">
        <v>15</v>
      </c>
      <c r="AC46" s="6">
        <v>5</v>
      </c>
      <c r="AD46" s="6">
        <v>4</v>
      </c>
      <c r="AE46" s="6">
        <v>8</v>
      </c>
      <c r="AF46" s="6">
        <v>24</v>
      </c>
      <c r="AG46" s="6">
        <v>18</v>
      </c>
      <c r="AH46" s="6">
        <v>15</v>
      </c>
      <c r="AI46" s="6">
        <v>16</v>
      </c>
      <c r="AJ46" s="6">
        <v>20</v>
      </c>
      <c r="AK46" s="6">
        <v>37</v>
      </c>
      <c r="AL46" s="6">
        <v>26</v>
      </c>
      <c r="AM46" s="6">
        <v>4</v>
      </c>
      <c r="AN46" s="6">
        <v>23</v>
      </c>
      <c r="AO46" s="6">
        <v>21</v>
      </c>
      <c r="AP46" s="6">
        <v>24</v>
      </c>
      <c r="AQ46" s="6">
        <v>2</v>
      </c>
      <c r="AR46" s="5">
        <f t="shared" si="27"/>
        <v>511</v>
      </c>
    </row>
    <row r="47" spans="1:44" x14ac:dyDescent="0.4">
      <c r="A47" s="7"/>
      <c r="B47" s="46">
        <v>2</v>
      </c>
      <c r="C47" s="24" t="s">
        <v>115</v>
      </c>
      <c r="D47" s="47"/>
      <c r="E47" s="6">
        <v>0</v>
      </c>
      <c r="F47" s="6">
        <v>2</v>
      </c>
      <c r="G47" s="6">
        <v>2</v>
      </c>
      <c r="H47" s="6">
        <v>0</v>
      </c>
      <c r="I47" s="6">
        <v>2</v>
      </c>
      <c r="J47" s="6">
        <v>1</v>
      </c>
      <c r="K47" s="6">
        <v>4</v>
      </c>
      <c r="L47" s="6">
        <v>0</v>
      </c>
      <c r="M47" s="6">
        <v>9</v>
      </c>
      <c r="N47" s="6">
        <v>3</v>
      </c>
      <c r="O47" s="6">
        <v>14</v>
      </c>
      <c r="P47" s="6">
        <v>0</v>
      </c>
      <c r="Q47" s="6">
        <v>3</v>
      </c>
      <c r="R47" s="6">
        <v>2</v>
      </c>
      <c r="S47" s="6">
        <v>1</v>
      </c>
      <c r="T47" s="6">
        <v>0</v>
      </c>
      <c r="U47" s="6">
        <v>3</v>
      </c>
      <c r="V47" s="6">
        <v>1</v>
      </c>
      <c r="W47" s="6">
        <v>2</v>
      </c>
      <c r="X47" s="6">
        <v>0</v>
      </c>
      <c r="Y47" s="6">
        <v>2</v>
      </c>
      <c r="Z47" s="6">
        <v>5</v>
      </c>
      <c r="AA47" s="6">
        <v>1</v>
      </c>
      <c r="AB47" s="6">
        <v>3</v>
      </c>
      <c r="AC47" s="6">
        <v>18</v>
      </c>
      <c r="AD47" s="6">
        <v>5</v>
      </c>
      <c r="AE47" s="6">
        <v>7</v>
      </c>
      <c r="AF47" s="6">
        <v>4</v>
      </c>
      <c r="AG47" s="6">
        <v>28</v>
      </c>
      <c r="AH47" s="6">
        <v>4</v>
      </c>
      <c r="AI47" s="6">
        <v>4</v>
      </c>
      <c r="AJ47" s="6">
        <v>1</v>
      </c>
      <c r="AK47" s="6">
        <v>2</v>
      </c>
      <c r="AL47" s="6">
        <v>6</v>
      </c>
      <c r="AM47" s="6">
        <v>2</v>
      </c>
      <c r="AN47" s="6">
        <v>4</v>
      </c>
      <c r="AO47" s="6">
        <v>11</v>
      </c>
      <c r="AP47" s="6">
        <v>6</v>
      </c>
      <c r="AQ47" s="6">
        <v>0</v>
      </c>
      <c r="AR47" s="5">
        <f t="shared" si="27"/>
        <v>162</v>
      </c>
    </row>
    <row r="48" spans="1:44" x14ac:dyDescent="0.4">
      <c r="A48" s="7"/>
      <c r="B48" s="46">
        <v>3</v>
      </c>
      <c r="C48" s="24" t="s">
        <v>116</v>
      </c>
      <c r="D48" s="47"/>
      <c r="E48" s="6">
        <v>1</v>
      </c>
      <c r="F48" s="6">
        <v>2</v>
      </c>
      <c r="G48" s="6">
        <v>3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0</v>
      </c>
      <c r="N48" s="6">
        <v>1</v>
      </c>
      <c r="O48" s="6">
        <v>1</v>
      </c>
      <c r="P48" s="6">
        <v>1</v>
      </c>
      <c r="Q48" s="6">
        <v>4</v>
      </c>
      <c r="R48" s="6">
        <v>1</v>
      </c>
      <c r="S48" s="6">
        <v>0</v>
      </c>
      <c r="T48" s="6">
        <v>0</v>
      </c>
      <c r="U48" s="6">
        <v>1</v>
      </c>
      <c r="V48" s="6">
        <v>0</v>
      </c>
      <c r="W48" s="6">
        <v>0</v>
      </c>
      <c r="X48" s="6">
        <v>2</v>
      </c>
      <c r="Y48" s="6">
        <v>1</v>
      </c>
      <c r="Z48" s="6">
        <v>1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1</v>
      </c>
      <c r="AH48" s="6">
        <v>1</v>
      </c>
      <c r="AI48" s="6">
        <v>1</v>
      </c>
      <c r="AJ48" s="6">
        <v>0</v>
      </c>
      <c r="AK48" s="6">
        <v>0</v>
      </c>
      <c r="AL48" s="6">
        <v>1</v>
      </c>
      <c r="AM48" s="6">
        <v>1</v>
      </c>
      <c r="AN48" s="6">
        <v>0</v>
      </c>
      <c r="AO48" s="6">
        <v>2</v>
      </c>
      <c r="AP48" s="6">
        <v>3</v>
      </c>
      <c r="AQ48" s="6">
        <v>0</v>
      </c>
      <c r="AR48" s="5">
        <f t="shared" si="27"/>
        <v>31</v>
      </c>
    </row>
    <row r="49" spans="1:44" x14ac:dyDescent="0.4">
      <c r="A49" s="7"/>
      <c r="B49" s="46">
        <v>4</v>
      </c>
      <c r="C49" s="24" t="s">
        <v>117</v>
      </c>
      <c r="D49" s="47"/>
      <c r="E49" s="6">
        <v>1</v>
      </c>
      <c r="F49" s="6">
        <v>2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1</v>
      </c>
      <c r="X49" s="6">
        <v>1</v>
      </c>
      <c r="Y49" s="6">
        <v>0</v>
      </c>
      <c r="Z49" s="6">
        <v>0</v>
      </c>
      <c r="AA49" s="6">
        <v>0</v>
      </c>
      <c r="AB49" s="6">
        <v>0</v>
      </c>
      <c r="AC49" s="6">
        <v>1</v>
      </c>
      <c r="AD49" s="6">
        <v>0</v>
      </c>
      <c r="AE49" s="6">
        <v>0</v>
      </c>
      <c r="AF49" s="6">
        <v>0</v>
      </c>
      <c r="AG49" s="6">
        <v>0</v>
      </c>
      <c r="AH49" s="6">
        <v>2</v>
      </c>
      <c r="AI49" s="6">
        <v>1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5">
        <f t="shared" si="27"/>
        <v>11</v>
      </c>
    </row>
    <row r="50" spans="1:44" x14ac:dyDescent="0.4">
      <c r="A50" s="7"/>
      <c r="B50" s="46">
        <v>5</v>
      </c>
      <c r="C50" s="24" t="s">
        <v>118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5">
        <f t="shared" si="27"/>
        <v>0</v>
      </c>
    </row>
    <row r="51" spans="1:44" x14ac:dyDescent="0.4">
      <c r="A51" s="7"/>
      <c r="B51" s="46">
        <v>6</v>
      </c>
      <c r="C51" s="24" t="s">
        <v>119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5">
        <f t="shared" si="27"/>
        <v>4</v>
      </c>
    </row>
    <row r="52" spans="1:44" x14ac:dyDescent="0.4">
      <c r="A52" s="6" t="s">
        <v>26</v>
      </c>
      <c r="B52" s="53" t="s">
        <v>51</v>
      </c>
      <c r="C52" s="69"/>
      <c r="D52" s="60"/>
      <c r="E52" s="5">
        <f t="shared" ref="E52:AR52" si="28">SUM(E45:E51)</f>
        <v>11</v>
      </c>
      <c r="F52" s="5">
        <f t="shared" si="28"/>
        <v>26</v>
      </c>
      <c r="G52" s="5">
        <f t="shared" si="28"/>
        <v>15</v>
      </c>
      <c r="H52" s="5">
        <f t="shared" si="28"/>
        <v>19</v>
      </c>
      <c r="I52" s="5">
        <f t="shared" si="28"/>
        <v>7</v>
      </c>
      <c r="J52" s="5">
        <f t="shared" si="28"/>
        <v>12</v>
      </c>
      <c r="K52" s="5">
        <f t="shared" si="28"/>
        <v>14</v>
      </c>
      <c r="L52" s="5">
        <f t="shared" si="28"/>
        <v>28</v>
      </c>
      <c r="M52" s="5">
        <f t="shared" si="28"/>
        <v>21</v>
      </c>
      <c r="N52" s="5">
        <f t="shared" si="28"/>
        <v>30</v>
      </c>
      <c r="O52" s="5">
        <f t="shared" si="28"/>
        <v>20</v>
      </c>
      <c r="P52" s="5">
        <f t="shared" si="28"/>
        <v>28</v>
      </c>
      <c r="Q52" s="5">
        <f t="shared" si="28"/>
        <v>21</v>
      </c>
      <c r="R52" s="5">
        <f t="shared" si="28"/>
        <v>14</v>
      </c>
      <c r="S52" s="5">
        <f t="shared" si="28"/>
        <v>10</v>
      </c>
      <c r="T52" s="5">
        <f t="shared" si="28"/>
        <v>12</v>
      </c>
      <c r="U52" s="5">
        <f t="shared" si="28"/>
        <v>14</v>
      </c>
      <c r="V52" s="5">
        <f t="shared" si="28"/>
        <v>51</v>
      </c>
      <c r="W52" s="5">
        <f t="shared" si="28"/>
        <v>11</v>
      </c>
      <c r="X52" s="5">
        <f t="shared" si="28"/>
        <v>16</v>
      </c>
      <c r="Y52" s="5">
        <f t="shared" si="28"/>
        <v>26</v>
      </c>
      <c r="Z52" s="5">
        <f t="shared" si="28"/>
        <v>40</v>
      </c>
      <c r="AA52" s="5">
        <f t="shared" si="28"/>
        <v>47</v>
      </c>
      <c r="AB52" s="5">
        <f t="shared" si="28"/>
        <v>32</v>
      </c>
      <c r="AC52" s="5">
        <f t="shared" si="28"/>
        <v>33</v>
      </c>
      <c r="AD52" s="5">
        <f t="shared" si="28"/>
        <v>13</v>
      </c>
      <c r="AE52" s="5">
        <f t="shared" si="28"/>
        <v>18</v>
      </c>
      <c r="AF52" s="5">
        <f t="shared" si="28"/>
        <v>40</v>
      </c>
      <c r="AG52" s="5">
        <f t="shared" si="28"/>
        <v>58</v>
      </c>
      <c r="AH52" s="5">
        <f t="shared" si="28"/>
        <v>34</v>
      </c>
      <c r="AI52" s="5">
        <f t="shared" si="28"/>
        <v>42</v>
      </c>
      <c r="AJ52" s="5">
        <f t="shared" si="28"/>
        <v>30</v>
      </c>
      <c r="AK52" s="5">
        <f t="shared" si="28"/>
        <v>47</v>
      </c>
      <c r="AL52" s="5">
        <f t="shared" si="28"/>
        <v>62</v>
      </c>
      <c r="AM52" s="5">
        <f t="shared" si="28"/>
        <v>17</v>
      </c>
      <c r="AN52" s="5">
        <f t="shared" si="28"/>
        <v>48</v>
      </c>
      <c r="AO52" s="5">
        <f t="shared" si="28"/>
        <v>46</v>
      </c>
      <c r="AP52" s="5">
        <f t="shared" si="28"/>
        <v>48</v>
      </c>
      <c r="AQ52" s="5">
        <f t="shared" si="28"/>
        <v>3</v>
      </c>
      <c r="AR52" s="5">
        <f t="shared" si="28"/>
        <v>1064</v>
      </c>
    </row>
    <row r="53" spans="1:44" x14ac:dyDescent="0.4">
      <c r="A53" s="70"/>
      <c r="B53" s="71"/>
      <c r="C53" s="71"/>
      <c r="D53" s="71"/>
      <c r="E53" s="71"/>
      <c r="AR53" s="5"/>
    </row>
    <row r="54" spans="1:44" x14ac:dyDescent="0.4">
      <c r="A54" s="11" t="s">
        <v>48</v>
      </c>
      <c r="B54" s="17" t="s">
        <v>30</v>
      </c>
      <c r="C54" s="59" t="s">
        <v>52</v>
      </c>
      <c r="D54" s="60"/>
      <c r="E54" s="6">
        <v>7</v>
      </c>
      <c r="F54" s="6">
        <v>14</v>
      </c>
      <c r="G54" s="6">
        <v>11</v>
      </c>
      <c r="H54" s="6">
        <v>7</v>
      </c>
      <c r="I54" s="6">
        <v>7</v>
      </c>
      <c r="J54" s="6">
        <v>7</v>
      </c>
      <c r="K54" s="6">
        <v>10</v>
      </c>
      <c r="L54" s="6">
        <v>3</v>
      </c>
      <c r="M54" s="6">
        <v>8</v>
      </c>
      <c r="N54" s="6">
        <v>4</v>
      </c>
      <c r="O54" s="6">
        <v>6</v>
      </c>
      <c r="P54" s="6">
        <v>4</v>
      </c>
      <c r="Q54" s="6">
        <v>13</v>
      </c>
      <c r="R54" s="6">
        <v>6</v>
      </c>
      <c r="S54" s="6">
        <v>11</v>
      </c>
      <c r="T54" s="6">
        <v>2</v>
      </c>
      <c r="U54" s="6">
        <v>7</v>
      </c>
      <c r="V54" s="6">
        <v>3</v>
      </c>
      <c r="W54" s="6">
        <v>3</v>
      </c>
      <c r="X54" s="6">
        <v>11</v>
      </c>
      <c r="Y54" s="6">
        <v>2</v>
      </c>
      <c r="Z54" s="6">
        <v>1</v>
      </c>
      <c r="AA54" s="6">
        <v>8</v>
      </c>
      <c r="AB54" s="6">
        <v>7</v>
      </c>
      <c r="AC54" s="6">
        <v>3</v>
      </c>
      <c r="AD54" s="6">
        <v>8</v>
      </c>
      <c r="AE54" s="6">
        <v>6</v>
      </c>
      <c r="AF54" s="6">
        <v>6</v>
      </c>
      <c r="AG54" s="6">
        <v>4</v>
      </c>
      <c r="AH54" s="6">
        <v>4</v>
      </c>
      <c r="AI54" s="6">
        <v>8</v>
      </c>
      <c r="AJ54" s="6">
        <v>5</v>
      </c>
      <c r="AK54" s="6">
        <v>10</v>
      </c>
      <c r="AL54" s="6">
        <v>9</v>
      </c>
      <c r="AM54" s="6">
        <v>11</v>
      </c>
      <c r="AN54" s="6">
        <v>1</v>
      </c>
      <c r="AO54" s="6">
        <v>5</v>
      </c>
      <c r="AP54" s="6">
        <v>7</v>
      </c>
      <c r="AQ54" s="6">
        <v>5</v>
      </c>
      <c r="AR54" s="5">
        <f t="shared" ref="AR54:AR60" si="29">SUM(E54:AQ54)</f>
        <v>254</v>
      </c>
    </row>
    <row r="55" spans="1:44" x14ac:dyDescent="0.4">
      <c r="A55" s="11" t="s">
        <v>50</v>
      </c>
      <c r="B55" s="46">
        <v>1</v>
      </c>
      <c r="C55" s="24" t="s">
        <v>120</v>
      </c>
      <c r="D55" s="47"/>
      <c r="E55" s="6">
        <v>4</v>
      </c>
      <c r="F55" s="6">
        <v>8</v>
      </c>
      <c r="G55" s="6">
        <v>10</v>
      </c>
      <c r="H55" s="6">
        <v>6</v>
      </c>
      <c r="I55" s="6">
        <v>12</v>
      </c>
      <c r="J55" s="6">
        <v>3</v>
      </c>
      <c r="K55" s="6">
        <v>6</v>
      </c>
      <c r="L55" s="6">
        <v>2</v>
      </c>
      <c r="M55" s="6">
        <v>7</v>
      </c>
      <c r="N55" s="6">
        <v>9</v>
      </c>
      <c r="O55" s="6">
        <v>3</v>
      </c>
      <c r="P55" s="6">
        <v>3</v>
      </c>
      <c r="Q55" s="6">
        <v>10</v>
      </c>
      <c r="R55" s="6">
        <v>8</v>
      </c>
      <c r="S55" s="6">
        <v>2</v>
      </c>
      <c r="T55" s="6">
        <v>4</v>
      </c>
      <c r="U55" s="6">
        <v>10</v>
      </c>
      <c r="V55" s="6">
        <v>14</v>
      </c>
      <c r="W55" s="6">
        <v>7</v>
      </c>
      <c r="X55" s="6">
        <v>8</v>
      </c>
      <c r="Y55" s="6">
        <v>28</v>
      </c>
      <c r="Z55" s="6">
        <v>4</v>
      </c>
      <c r="AA55" s="6">
        <v>3</v>
      </c>
      <c r="AB55" s="6">
        <v>16</v>
      </c>
      <c r="AC55" s="6">
        <v>4</v>
      </c>
      <c r="AD55" s="6">
        <v>15</v>
      </c>
      <c r="AE55" s="6">
        <v>12</v>
      </c>
      <c r="AF55" s="6">
        <v>7</v>
      </c>
      <c r="AG55" s="6">
        <v>0</v>
      </c>
      <c r="AH55" s="6">
        <v>2</v>
      </c>
      <c r="AI55" s="6">
        <v>13</v>
      </c>
      <c r="AJ55" s="6">
        <v>7</v>
      </c>
      <c r="AK55" s="6">
        <v>1</v>
      </c>
      <c r="AL55" s="6">
        <v>6</v>
      </c>
      <c r="AM55" s="6">
        <v>8</v>
      </c>
      <c r="AN55" s="6">
        <v>0</v>
      </c>
      <c r="AO55" s="6">
        <v>1</v>
      </c>
      <c r="AP55" s="6">
        <v>8</v>
      </c>
      <c r="AQ55" s="6">
        <v>4</v>
      </c>
      <c r="AR55" s="5">
        <f t="shared" si="29"/>
        <v>275</v>
      </c>
    </row>
    <row r="56" spans="1:44" x14ac:dyDescent="0.4">
      <c r="A56" s="7"/>
      <c r="B56" s="46">
        <v>2</v>
      </c>
      <c r="C56" s="24" t="s">
        <v>121</v>
      </c>
      <c r="D56" s="47"/>
      <c r="E56" s="6">
        <v>0</v>
      </c>
      <c r="F56" s="6">
        <v>5</v>
      </c>
      <c r="G56" s="6">
        <v>3</v>
      </c>
      <c r="H56" s="6">
        <v>5</v>
      </c>
      <c r="I56" s="6">
        <v>3</v>
      </c>
      <c r="J56" s="6">
        <v>2</v>
      </c>
      <c r="K56" s="6">
        <v>0</v>
      </c>
      <c r="L56" s="6">
        <v>4</v>
      </c>
      <c r="M56" s="6">
        <v>1</v>
      </c>
      <c r="N56" s="6">
        <v>2</v>
      </c>
      <c r="O56" s="6">
        <v>4</v>
      </c>
      <c r="P56" s="6">
        <v>2</v>
      </c>
      <c r="Q56" s="6">
        <v>2</v>
      </c>
      <c r="R56" s="6">
        <v>1</v>
      </c>
      <c r="S56" s="6">
        <v>2</v>
      </c>
      <c r="T56" s="6">
        <v>2</v>
      </c>
      <c r="U56" s="6">
        <v>1</v>
      </c>
      <c r="V56" s="6">
        <v>2</v>
      </c>
      <c r="W56" s="6">
        <v>1</v>
      </c>
      <c r="X56" s="6">
        <v>2</v>
      </c>
      <c r="Y56" s="6">
        <v>0</v>
      </c>
      <c r="Z56" s="6">
        <v>2</v>
      </c>
      <c r="AA56" s="6">
        <v>1</v>
      </c>
      <c r="AB56" s="6">
        <v>0</v>
      </c>
      <c r="AC56" s="6">
        <v>1</v>
      </c>
      <c r="AD56" s="6">
        <v>4</v>
      </c>
      <c r="AE56" s="6">
        <v>0</v>
      </c>
      <c r="AF56" s="6">
        <v>2</v>
      </c>
      <c r="AG56" s="6">
        <v>1</v>
      </c>
      <c r="AH56" s="6">
        <v>1</v>
      </c>
      <c r="AI56" s="6">
        <v>2</v>
      </c>
      <c r="AJ56" s="6">
        <v>3</v>
      </c>
      <c r="AK56" s="6">
        <v>0</v>
      </c>
      <c r="AL56" s="6">
        <v>1</v>
      </c>
      <c r="AM56" s="6">
        <v>3</v>
      </c>
      <c r="AN56" s="6">
        <v>0</v>
      </c>
      <c r="AO56" s="6">
        <v>1</v>
      </c>
      <c r="AP56" s="6">
        <v>2</v>
      </c>
      <c r="AQ56" s="6">
        <v>33</v>
      </c>
      <c r="AR56" s="5">
        <f t="shared" si="29"/>
        <v>101</v>
      </c>
    </row>
    <row r="57" spans="1:44" x14ac:dyDescent="0.4">
      <c r="A57" s="7"/>
      <c r="B57" s="46">
        <v>3</v>
      </c>
      <c r="C57" s="24" t="s">
        <v>122</v>
      </c>
      <c r="D57" s="47"/>
      <c r="E57" s="6">
        <v>0</v>
      </c>
      <c r="F57" s="6">
        <v>2</v>
      </c>
      <c r="G57" s="6">
        <v>0</v>
      </c>
      <c r="H57" s="6">
        <v>0</v>
      </c>
      <c r="I57" s="6">
        <v>0</v>
      </c>
      <c r="J57" s="6">
        <v>1</v>
      </c>
      <c r="K57" s="6">
        <v>2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3</v>
      </c>
      <c r="R57" s="6">
        <v>1</v>
      </c>
      <c r="S57" s="6">
        <v>0</v>
      </c>
      <c r="T57" s="6">
        <v>0</v>
      </c>
      <c r="U57" s="6">
        <v>2</v>
      </c>
      <c r="V57" s="6">
        <v>0</v>
      </c>
      <c r="W57" s="6">
        <v>0</v>
      </c>
      <c r="X57" s="6">
        <v>4</v>
      </c>
      <c r="Y57" s="6">
        <v>0</v>
      </c>
      <c r="Z57" s="6">
        <v>1</v>
      </c>
      <c r="AA57" s="6">
        <v>1</v>
      </c>
      <c r="AB57" s="6">
        <v>1</v>
      </c>
      <c r="AC57" s="6">
        <v>0</v>
      </c>
      <c r="AD57" s="6">
        <v>0</v>
      </c>
      <c r="AE57" s="6">
        <v>7</v>
      </c>
      <c r="AF57" s="6">
        <v>5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5">
        <f t="shared" si="29"/>
        <v>31</v>
      </c>
    </row>
    <row r="58" spans="1:44" x14ac:dyDescent="0.4">
      <c r="A58" s="7"/>
      <c r="B58" s="46">
        <v>4</v>
      </c>
      <c r="C58" s="24" t="s">
        <v>123</v>
      </c>
      <c r="D58" s="47"/>
      <c r="E58" s="6">
        <v>5</v>
      </c>
      <c r="F58" s="6">
        <v>7</v>
      </c>
      <c r="G58" s="6">
        <v>11</v>
      </c>
      <c r="H58" s="6">
        <v>15</v>
      </c>
      <c r="I58" s="6">
        <v>1</v>
      </c>
      <c r="J58" s="6">
        <v>1</v>
      </c>
      <c r="K58" s="6">
        <v>0</v>
      </c>
      <c r="L58" s="6">
        <v>1</v>
      </c>
      <c r="M58" s="6">
        <v>1</v>
      </c>
      <c r="N58" s="6">
        <v>0</v>
      </c>
      <c r="O58" s="6">
        <v>0</v>
      </c>
      <c r="P58" s="6">
        <v>7</v>
      </c>
      <c r="Q58" s="6">
        <v>2</v>
      </c>
      <c r="R58" s="6">
        <v>0</v>
      </c>
      <c r="S58" s="6">
        <v>1</v>
      </c>
      <c r="T58" s="6">
        <v>0</v>
      </c>
      <c r="U58" s="6">
        <v>1</v>
      </c>
      <c r="V58" s="6">
        <v>0</v>
      </c>
      <c r="W58" s="6">
        <v>7</v>
      </c>
      <c r="X58" s="6">
        <v>2</v>
      </c>
      <c r="Y58" s="6">
        <v>1</v>
      </c>
      <c r="Z58" s="6">
        <v>0</v>
      </c>
      <c r="AA58" s="6">
        <v>1</v>
      </c>
      <c r="AB58" s="6">
        <v>0</v>
      </c>
      <c r="AC58" s="6">
        <v>2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1</v>
      </c>
      <c r="AJ58" s="6">
        <v>1</v>
      </c>
      <c r="AK58" s="6">
        <v>0</v>
      </c>
      <c r="AL58" s="6">
        <v>2</v>
      </c>
      <c r="AM58" s="6">
        <v>0</v>
      </c>
      <c r="AN58" s="6">
        <v>0</v>
      </c>
      <c r="AO58" s="6">
        <v>1</v>
      </c>
      <c r="AP58" s="6">
        <v>1</v>
      </c>
      <c r="AQ58" s="6">
        <v>0</v>
      </c>
      <c r="AR58" s="5">
        <f t="shared" si="29"/>
        <v>72</v>
      </c>
    </row>
    <row r="59" spans="1:44" x14ac:dyDescent="0.4">
      <c r="A59" s="7"/>
      <c r="B59" s="46">
        <v>5</v>
      </c>
      <c r="C59" s="24" t="s">
        <v>124</v>
      </c>
      <c r="D59" s="47"/>
      <c r="E59" s="6">
        <v>0</v>
      </c>
      <c r="F59" s="6">
        <v>2</v>
      </c>
      <c r="G59" s="6">
        <v>0</v>
      </c>
      <c r="H59" s="6">
        <v>0</v>
      </c>
      <c r="I59" s="6">
        <v>1</v>
      </c>
      <c r="J59" s="6">
        <v>0</v>
      </c>
      <c r="K59" s="6">
        <v>1</v>
      </c>
      <c r="L59" s="6">
        <v>1</v>
      </c>
      <c r="M59" s="6">
        <v>0</v>
      </c>
      <c r="N59" s="6">
        <v>0</v>
      </c>
      <c r="O59" s="6">
        <v>1</v>
      </c>
      <c r="P59" s="6">
        <v>1</v>
      </c>
      <c r="Q59" s="6">
        <v>3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5">
        <f t="shared" si="29"/>
        <v>10</v>
      </c>
    </row>
    <row r="60" spans="1:44" ht="13.15" customHeight="1" x14ac:dyDescent="0.4">
      <c r="A60" s="7"/>
      <c r="B60" s="46">
        <v>6</v>
      </c>
      <c r="C60" s="24" t="s">
        <v>125</v>
      </c>
      <c r="D60" s="47"/>
      <c r="E60" s="6">
        <v>23</v>
      </c>
      <c r="F60" s="6">
        <v>14</v>
      </c>
      <c r="G60" s="6">
        <v>4</v>
      </c>
      <c r="H60" s="6">
        <v>20</v>
      </c>
      <c r="I60" s="6">
        <v>4</v>
      </c>
      <c r="J60" s="6">
        <v>8</v>
      </c>
      <c r="K60" s="6">
        <v>74</v>
      </c>
      <c r="L60" s="6">
        <v>63</v>
      </c>
      <c r="M60" s="6">
        <v>18</v>
      </c>
      <c r="N60" s="6">
        <v>20</v>
      </c>
      <c r="O60" s="6">
        <v>18</v>
      </c>
      <c r="P60" s="6">
        <v>29</v>
      </c>
      <c r="Q60" s="6">
        <v>33</v>
      </c>
      <c r="R60" s="6">
        <v>28</v>
      </c>
      <c r="S60" s="6">
        <v>52</v>
      </c>
      <c r="T60" s="6">
        <v>1</v>
      </c>
      <c r="U60" s="6">
        <v>59</v>
      </c>
      <c r="V60" s="6">
        <v>1</v>
      </c>
      <c r="W60" s="6">
        <v>60</v>
      </c>
      <c r="X60" s="6">
        <v>34</v>
      </c>
      <c r="Y60" s="6">
        <v>2</v>
      </c>
      <c r="Z60" s="6">
        <v>5</v>
      </c>
      <c r="AA60" s="6">
        <v>17</v>
      </c>
      <c r="AB60" s="6">
        <v>5</v>
      </c>
      <c r="AC60" s="6">
        <v>3</v>
      </c>
      <c r="AD60" s="6">
        <v>7</v>
      </c>
      <c r="AE60" s="6">
        <v>4</v>
      </c>
      <c r="AF60" s="6">
        <v>3</v>
      </c>
      <c r="AG60" s="6">
        <v>3</v>
      </c>
      <c r="AH60" s="6">
        <v>10</v>
      </c>
      <c r="AI60" s="6">
        <v>5</v>
      </c>
      <c r="AJ60" s="6">
        <v>0</v>
      </c>
      <c r="AK60" s="6">
        <v>3</v>
      </c>
      <c r="AL60" s="6">
        <v>30</v>
      </c>
      <c r="AM60" s="6">
        <v>8</v>
      </c>
      <c r="AN60" s="6">
        <v>8</v>
      </c>
      <c r="AO60" s="6">
        <v>3</v>
      </c>
      <c r="AP60" s="6">
        <v>0</v>
      </c>
      <c r="AQ60" s="6">
        <v>0</v>
      </c>
      <c r="AR60" s="5">
        <f t="shared" si="29"/>
        <v>679</v>
      </c>
    </row>
    <row r="61" spans="1:44" x14ac:dyDescent="0.4">
      <c r="A61" s="6" t="s">
        <v>26</v>
      </c>
      <c r="B61" s="53" t="s">
        <v>51</v>
      </c>
      <c r="C61" s="69"/>
      <c r="D61" s="60"/>
      <c r="E61" s="5">
        <f t="shared" ref="E61:AR61" si="30">SUM(E54:E60)</f>
        <v>39</v>
      </c>
      <c r="F61" s="5">
        <f t="shared" si="30"/>
        <v>52</v>
      </c>
      <c r="G61" s="5">
        <f t="shared" si="30"/>
        <v>39</v>
      </c>
      <c r="H61" s="5">
        <f t="shared" si="30"/>
        <v>53</v>
      </c>
      <c r="I61" s="5">
        <f t="shared" si="30"/>
        <v>28</v>
      </c>
      <c r="J61" s="5">
        <f t="shared" si="30"/>
        <v>22</v>
      </c>
      <c r="K61" s="5">
        <f t="shared" si="30"/>
        <v>93</v>
      </c>
      <c r="L61" s="5">
        <f t="shared" si="30"/>
        <v>74</v>
      </c>
      <c r="M61" s="5">
        <f t="shared" si="30"/>
        <v>35</v>
      </c>
      <c r="N61" s="5">
        <f t="shared" si="30"/>
        <v>35</v>
      </c>
      <c r="O61" s="5">
        <f t="shared" si="30"/>
        <v>32</v>
      </c>
      <c r="P61" s="5">
        <f t="shared" si="30"/>
        <v>46</v>
      </c>
      <c r="Q61" s="5">
        <f t="shared" si="30"/>
        <v>66</v>
      </c>
      <c r="R61" s="5">
        <f t="shared" si="30"/>
        <v>44</v>
      </c>
      <c r="S61" s="5">
        <f t="shared" si="30"/>
        <v>68</v>
      </c>
      <c r="T61" s="5">
        <f t="shared" si="30"/>
        <v>9</v>
      </c>
      <c r="U61" s="5">
        <f t="shared" si="30"/>
        <v>80</v>
      </c>
      <c r="V61" s="5">
        <f t="shared" si="30"/>
        <v>20</v>
      </c>
      <c r="W61" s="5">
        <f t="shared" si="30"/>
        <v>78</v>
      </c>
      <c r="X61" s="5">
        <f t="shared" si="30"/>
        <v>61</v>
      </c>
      <c r="Y61" s="5">
        <f t="shared" si="30"/>
        <v>33</v>
      </c>
      <c r="Z61" s="5">
        <f t="shared" si="30"/>
        <v>13</v>
      </c>
      <c r="AA61" s="5">
        <f t="shared" si="30"/>
        <v>31</v>
      </c>
      <c r="AB61" s="5">
        <f t="shared" si="30"/>
        <v>29</v>
      </c>
      <c r="AC61" s="5">
        <f t="shared" si="30"/>
        <v>13</v>
      </c>
      <c r="AD61" s="5">
        <f t="shared" si="30"/>
        <v>34</v>
      </c>
      <c r="AE61" s="5">
        <f t="shared" si="30"/>
        <v>29</v>
      </c>
      <c r="AF61" s="5">
        <f t="shared" si="30"/>
        <v>23</v>
      </c>
      <c r="AG61" s="5">
        <f t="shared" si="30"/>
        <v>8</v>
      </c>
      <c r="AH61" s="5">
        <f t="shared" si="30"/>
        <v>18</v>
      </c>
      <c r="AI61" s="5">
        <f t="shared" si="30"/>
        <v>29</v>
      </c>
      <c r="AJ61" s="5">
        <f t="shared" si="30"/>
        <v>16</v>
      </c>
      <c r="AK61" s="5">
        <f t="shared" si="30"/>
        <v>14</v>
      </c>
      <c r="AL61" s="5">
        <f t="shared" si="30"/>
        <v>48</v>
      </c>
      <c r="AM61" s="5">
        <f t="shared" si="30"/>
        <v>30</v>
      </c>
      <c r="AN61" s="5">
        <f t="shared" si="30"/>
        <v>9</v>
      </c>
      <c r="AO61" s="5">
        <f t="shared" si="30"/>
        <v>11</v>
      </c>
      <c r="AP61" s="5">
        <f t="shared" si="30"/>
        <v>18</v>
      </c>
      <c r="AQ61" s="5">
        <f t="shared" si="30"/>
        <v>42</v>
      </c>
      <c r="AR61" s="5">
        <f t="shared" si="30"/>
        <v>1422</v>
      </c>
    </row>
    <row r="62" spans="1:44" x14ac:dyDescent="0.4">
      <c r="A62" s="70"/>
      <c r="B62" s="71"/>
      <c r="C62" s="71"/>
      <c r="D62" s="71"/>
      <c r="E62" s="71"/>
    </row>
    <row r="63" spans="1:44" x14ac:dyDescent="0.4">
      <c r="A63" s="11" t="s">
        <v>48</v>
      </c>
      <c r="B63" s="17" t="s">
        <v>32</v>
      </c>
      <c r="C63" s="59" t="s">
        <v>53</v>
      </c>
      <c r="D63" s="60"/>
      <c r="E63" s="6">
        <v>6</v>
      </c>
      <c r="F63" s="6">
        <v>5</v>
      </c>
      <c r="G63" s="6">
        <v>3</v>
      </c>
      <c r="H63" s="6">
        <v>5</v>
      </c>
      <c r="I63" s="6">
        <v>6</v>
      </c>
      <c r="J63" s="6">
        <v>3</v>
      </c>
      <c r="K63" s="6">
        <v>3</v>
      </c>
      <c r="L63" s="6">
        <v>2</v>
      </c>
      <c r="M63" s="6">
        <v>4</v>
      </c>
      <c r="N63" s="6">
        <v>3</v>
      </c>
      <c r="O63" s="6">
        <v>2</v>
      </c>
      <c r="P63" s="6">
        <v>2</v>
      </c>
      <c r="Q63" s="6">
        <v>0</v>
      </c>
      <c r="R63" s="6">
        <v>5</v>
      </c>
      <c r="S63" s="6">
        <v>6</v>
      </c>
      <c r="T63" s="6">
        <v>1</v>
      </c>
      <c r="U63" s="6">
        <v>2</v>
      </c>
      <c r="V63" s="6">
        <v>4</v>
      </c>
      <c r="W63" s="6">
        <v>1</v>
      </c>
      <c r="X63" s="6">
        <v>6</v>
      </c>
      <c r="Y63" s="6">
        <v>11</v>
      </c>
      <c r="Z63" s="6">
        <v>1</v>
      </c>
      <c r="AA63" s="6">
        <v>11</v>
      </c>
      <c r="AB63" s="6">
        <v>13</v>
      </c>
      <c r="AC63" s="6">
        <v>6</v>
      </c>
      <c r="AD63" s="6">
        <v>0</v>
      </c>
      <c r="AE63" s="6">
        <v>6</v>
      </c>
      <c r="AF63" s="6">
        <v>12</v>
      </c>
      <c r="AG63" s="6">
        <v>5</v>
      </c>
      <c r="AH63" s="6">
        <v>20</v>
      </c>
      <c r="AI63" s="6">
        <v>8</v>
      </c>
      <c r="AJ63" s="6">
        <v>8</v>
      </c>
      <c r="AK63" s="6">
        <v>6</v>
      </c>
      <c r="AL63" s="6">
        <v>3</v>
      </c>
      <c r="AM63" s="6">
        <v>7</v>
      </c>
      <c r="AN63" s="6">
        <v>2</v>
      </c>
      <c r="AO63" s="6">
        <v>8</v>
      </c>
      <c r="AP63" s="6">
        <v>2</v>
      </c>
      <c r="AQ63" s="6">
        <v>4</v>
      </c>
      <c r="AR63" s="5">
        <f t="shared" ref="AR63:AR69" si="31">SUM(E63:AQ63)</f>
        <v>202</v>
      </c>
    </row>
    <row r="64" spans="1:44" x14ac:dyDescent="0.4">
      <c r="A64" s="11" t="s">
        <v>50</v>
      </c>
      <c r="B64" s="46">
        <v>1</v>
      </c>
      <c r="C64" s="24" t="s">
        <v>126</v>
      </c>
      <c r="D64" s="47"/>
      <c r="E64" s="6">
        <v>4</v>
      </c>
      <c r="F64" s="6">
        <v>11</v>
      </c>
      <c r="G64" s="6">
        <v>27</v>
      </c>
      <c r="H64" s="6">
        <v>20</v>
      </c>
      <c r="I64" s="6">
        <v>23</v>
      </c>
      <c r="J64" s="6">
        <v>5</v>
      </c>
      <c r="K64" s="6">
        <v>1</v>
      </c>
      <c r="L64" s="6">
        <v>13</v>
      </c>
      <c r="M64" s="6">
        <v>10</v>
      </c>
      <c r="N64" s="6">
        <v>11</v>
      </c>
      <c r="O64" s="6">
        <v>32</v>
      </c>
      <c r="P64" s="6">
        <v>10</v>
      </c>
      <c r="Q64" s="6">
        <v>10</v>
      </c>
      <c r="R64" s="6">
        <v>8</v>
      </c>
      <c r="S64" s="6">
        <v>15</v>
      </c>
      <c r="T64" s="6">
        <v>2</v>
      </c>
      <c r="U64" s="6">
        <v>7</v>
      </c>
      <c r="V64" s="6">
        <v>17</v>
      </c>
      <c r="W64" s="6">
        <v>19</v>
      </c>
      <c r="X64" s="6">
        <v>8</v>
      </c>
      <c r="Y64" s="6">
        <v>53</v>
      </c>
      <c r="Z64" s="6">
        <v>33</v>
      </c>
      <c r="AA64" s="6">
        <v>26</v>
      </c>
      <c r="AB64" s="6">
        <v>33</v>
      </c>
      <c r="AC64" s="6">
        <v>26</v>
      </c>
      <c r="AD64" s="6">
        <v>49</v>
      </c>
      <c r="AE64" s="6">
        <v>8</v>
      </c>
      <c r="AF64" s="6">
        <v>43</v>
      </c>
      <c r="AG64" s="6">
        <v>16</v>
      </c>
      <c r="AH64" s="6">
        <v>56</v>
      </c>
      <c r="AI64" s="6">
        <v>24</v>
      </c>
      <c r="AJ64" s="6">
        <v>52</v>
      </c>
      <c r="AK64" s="6">
        <v>33</v>
      </c>
      <c r="AL64" s="6">
        <v>31</v>
      </c>
      <c r="AM64" s="6">
        <v>23</v>
      </c>
      <c r="AN64" s="6">
        <v>15</v>
      </c>
      <c r="AO64" s="6">
        <v>27</v>
      </c>
      <c r="AP64" s="6">
        <v>27</v>
      </c>
      <c r="AQ64" s="6">
        <v>31</v>
      </c>
      <c r="AR64" s="5">
        <f t="shared" si="31"/>
        <v>859</v>
      </c>
    </row>
    <row r="65" spans="1:44" x14ac:dyDescent="0.4">
      <c r="A65" s="7"/>
      <c r="B65" s="46">
        <v>2</v>
      </c>
      <c r="C65" s="24" t="s">
        <v>127</v>
      </c>
      <c r="D65" s="47"/>
      <c r="E65" s="6">
        <v>1</v>
      </c>
      <c r="F65" s="6">
        <v>3</v>
      </c>
      <c r="G65" s="6">
        <v>2</v>
      </c>
      <c r="H65" s="6">
        <v>2</v>
      </c>
      <c r="I65" s="6">
        <v>3</v>
      </c>
      <c r="J65" s="6">
        <v>0</v>
      </c>
      <c r="K65" s="6">
        <v>1</v>
      </c>
      <c r="L65" s="6">
        <v>1</v>
      </c>
      <c r="M65" s="6">
        <v>3</v>
      </c>
      <c r="N65" s="6">
        <v>1</v>
      </c>
      <c r="O65" s="6">
        <v>0</v>
      </c>
      <c r="P65" s="6">
        <v>1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3</v>
      </c>
      <c r="W65" s="6">
        <v>1</v>
      </c>
      <c r="X65" s="6">
        <v>0</v>
      </c>
      <c r="Y65" s="6">
        <v>0</v>
      </c>
      <c r="Z65" s="6">
        <v>2</v>
      </c>
      <c r="AA65" s="6">
        <v>0</v>
      </c>
      <c r="AB65" s="6">
        <v>1</v>
      </c>
      <c r="AC65" s="6">
        <v>1</v>
      </c>
      <c r="AD65" s="6">
        <v>0</v>
      </c>
      <c r="AE65" s="6">
        <v>1</v>
      </c>
      <c r="AF65" s="6">
        <v>0</v>
      </c>
      <c r="AG65" s="6">
        <v>2</v>
      </c>
      <c r="AH65" s="6">
        <v>2</v>
      </c>
      <c r="AI65" s="6">
        <v>1</v>
      </c>
      <c r="AJ65" s="6">
        <v>3</v>
      </c>
      <c r="AK65" s="6">
        <v>4</v>
      </c>
      <c r="AL65" s="6">
        <v>0</v>
      </c>
      <c r="AM65" s="6">
        <v>1</v>
      </c>
      <c r="AN65" s="6">
        <v>6</v>
      </c>
      <c r="AO65" s="6">
        <v>1</v>
      </c>
      <c r="AP65" s="6">
        <v>1</v>
      </c>
      <c r="AQ65" s="6">
        <v>1</v>
      </c>
      <c r="AR65" s="5">
        <f t="shared" si="31"/>
        <v>50</v>
      </c>
    </row>
    <row r="66" spans="1:44" x14ac:dyDescent="0.4">
      <c r="A66" s="7"/>
      <c r="B66" s="46">
        <v>3</v>
      </c>
      <c r="C66" s="24" t="s">
        <v>128</v>
      </c>
      <c r="D66" s="47"/>
      <c r="E66" s="6">
        <v>0</v>
      </c>
      <c r="F66" s="6">
        <v>1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1</v>
      </c>
      <c r="P66" s="6">
        <v>0</v>
      </c>
      <c r="Q66" s="6">
        <v>1</v>
      </c>
      <c r="R66" s="6">
        <v>0</v>
      </c>
      <c r="S66" s="6">
        <v>0</v>
      </c>
      <c r="T66" s="6">
        <v>1</v>
      </c>
      <c r="U66" s="6">
        <v>0</v>
      </c>
      <c r="V66" s="6">
        <v>0</v>
      </c>
      <c r="W66" s="6">
        <v>2</v>
      </c>
      <c r="X66" s="6">
        <v>0</v>
      </c>
      <c r="Y66" s="6">
        <v>3</v>
      </c>
      <c r="Z66" s="6">
        <v>3</v>
      </c>
      <c r="AA66" s="6">
        <v>0</v>
      </c>
      <c r="AB66" s="6">
        <v>1</v>
      </c>
      <c r="AC66" s="6">
        <v>0</v>
      </c>
      <c r="AD66" s="6">
        <v>0</v>
      </c>
      <c r="AE66" s="6">
        <v>0</v>
      </c>
      <c r="AF66" s="6">
        <v>1</v>
      </c>
      <c r="AG66" s="6">
        <v>0</v>
      </c>
      <c r="AH66" s="6">
        <v>1</v>
      </c>
      <c r="AI66" s="6">
        <v>0</v>
      </c>
      <c r="AJ66" s="6">
        <v>1</v>
      </c>
      <c r="AK66" s="6">
        <v>2</v>
      </c>
      <c r="AL66" s="6">
        <v>1</v>
      </c>
      <c r="AM66" s="6">
        <v>0</v>
      </c>
      <c r="AN66" s="6">
        <v>0</v>
      </c>
      <c r="AO66" s="6">
        <v>0</v>
      </c>
      <c r="AP66" s="6">
        <v>1</v>
      </c>
      <c r="AQ66" s="6">
        <v>0</v>
      </c>
      <c r="AR66" s="5">
        <f t="shared" si="31"/>
        <v>22</v>
      </c>
    </row>
    <row r="67" spans="1:44" x14ac:dyDescent="0.4">
      <c r="A67" s="7"/>
      <c r="B67" s="46">
        <v>4</v>
      </c>
      <c r="C67" s="24" t="s">
        <v>129</v>
      </c>
      <c r="D67" s="47"/>
      <c r="E67" s="6">
        <v>0</v>
      </c>
      <c r="F67" s="6">
        <v>2</v>
      </c>
      <c r="G67" s="6">
        <v>1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1</v>
      </c>
      <c r="Y67" s="6">
        <v>0</v>
      </c>
      <c r="Z67" s="6">
        <v>0</v>
      </c>
      <c r="AA67" s="6">
        <v>0</v>
      </c>
      <c r="AB67" s="6">
        <v>1</v>
      </c>
      <c r="AC67" s="6">
        <v>0</v>
      </c>
      <c r="AD67" s="6">
        <v>1</v>
      </c>
      <c r="AE67" s="6">
        <v>1</v>
      </c>
      <c r="AF67" s="6">
        <v>2</v>
      </c>
      <c r="AG67" s="6">
        <v>1</v>
      </c>
      <c r="AH67" s="6">
        <v>0</v>
      </c>
      <c r="AI67" s="6">
        <v>0</v>
      </c>
      <c r="AJ67" s="6">
        <v>1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1</v>
      </c>
      <c r="AQ67" s="6">
        <v>0</v>
      </c>
      <c r="AR67" s="5">
        <f t="shared" si="31"/>
        <v>13</v>
      </c>
    </row>
    <row r="68" spans="1:44" ht="13.15" customHeight="1" x14ac:dyDescent="0.4">
      <c r="A68" s="7"/>
      <c r="B68" s="46">
        <v>5</v>
      </c>
      <c r="C68" s="24" t="s">
        <v>130</v>
      </c>
      <c r="D68" s="47"/>
      <c r="E68" s="6">
        <v>0</v>
      </c>
      <c r="F68" s="6">
        <v>3</v>
      </c>
      <c r="G68" s="6">
        <v>4</v>
      </c>
      <c r="H68" s="6">
        <v>1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2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1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5">
        <f t="shared" si="31"/>
        <v>13</v>
      </c>
    </row>
    <row r="69" spans="1:44" x14ac:dyDescent="0.4">
      <c r="A69" s="7"/>
      <c r="B69" s="46">
        <v>6</v>
      </c>
      <c r="C69" s="24" t="s">
        <v>131</v>
      </c>
      <c r="D69" s="47"/>
      <c r="E69" s="6">
        <v>0</v>
      </c>
      <c r="F69" s="6">
        <v>2</v>
      </c>
      <c r="G69" s="6">
        <v>2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1</v>
      </c>
      <c r="W69" s="6">
        <v>1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1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5">
        <f t="shared" si="31"/>
        <v>9</v>
      </c>
    </row>
    <row r="70" spans="1:44" x14ac:dyDescent="0.4">
      <c r="A70" s="6" t="s">
        <v>26</v>
      </c>
      <c r="B70" s="53" t="s">
        <v>51</v>
      </c>
      <c r="C70" s="69"/>
      <c r="D70" s="60"/>
      <c r="E70" s="5">
        <f t="shared" ref="E70:AR70" si="32">SUM(E63:E69)</f>
        <v>11</v>
      </c>
      <c r="F70" s="5">
        <f t="shared" si="32"/>
        <v>27</v>
      </c>
      <c r="G70" s="5">
        <f t="shared" si="32"/>
        <v>39</v>
      </c>
      <c r="H70" s="5">
        <f t="shared" si="32"/>
        <v>28</v>
      </c>
      <c r="I70" s="5">
        <f t="shared" si="32"/>
        <v>34</v>
      </c>
      <c r="J70" s="5">
        <f t="shared" si="32"/>
        <v>9</v>
      </c>
      <c r="K70" s="5">
        <f t="shared" si="32"/>
        <v>6</v>
      </c>
      <c r="L70" s="5">
        <f t="shared" si="32"/>
        <v>17</v>
      </c>
      <c r="M70" s="5">
        <f t="shared" si="32"/>
        <v>18</v>
      </c>
      <c r="N70" s="5">
        <f t="shared" si="32"/>
        <v>15</v>
      </c>
      <c r="O70" s="5">
        <f t="shared" si="32"/>
        <v>35</v>
      </c>
      <c r="P70" s="5">
        <f t="shared" si="32"/>
        <v>13</v>
      </c>
      <c r="Q70" s="5">
        <f t="shared" si="32"/>
        <v>12</v>
      </c>
      <c r="R70" s="5">
        <f t="shared" si="32"/>
        <v>14</v>
      </c>
      <c r="S70" s="5">
        <f t="shared" si="32"/>
        <v>23</v>
      </c>
      <c r="T70" s="5">
        <f t="shared" si="32"/>
        <v>4</v>
      </c>
      <c r="U70" s="5">
        <f t="shared" si="32"/>
        <v>9</v>
      </c>
      <c r="V70" s="5">
        <f t="shared" si="32"/>
        <v>25</v>
      </c>
      <c r="W70" s="5">
        <f t="shared" si="32"/>
        <v>24</v>
      </c>
      <c r="X70" s="5">
        <f t="shared" si="32"/>
        <v>15</v>
      </c>
      <c r="Y70" s="5">
        <f t="shared" si="32"/>
        <v>67</v>
      </c>
      <c r="Z70" s="5">
        <f t="shared" si="32"/>
        <v>40</v>
      </c>
      <c r="AA70" s="5">
        <f t="shared" si="32"/>
        <v>37</v>
      </c>
      <c r="AB70" s="5">
        <f t="shared" si="32"/>
        <v>49</v>
      </c>
      <c r="AC70" s="5">
        <f t="shared" si="32"/>
        <v>34</v>
      </c>
      <c r="AD70" s="5">
        <f t="shared" si="32"/>
        <v>50</v>
      </c>
      <c r="AE70" s="5">
        <f t="shared" si="32"/>
        <v>16</v>
      </c>
      <c r="AF70" s="5">
        <f t="shared" si="32"/>
        <v>58</v>
      </c>
      <c r="AG70" s="5">
        <f t="shared" si="32"/>
        <v>24</v>
      </c>
      <c r="AH70" s="5">
        <f t="shared" si="32"/>
        <v>79</v>
      </c>
      <c r="AI70" s="5">
        <f t="shared" si="32"/>
        <v>33</v>
      </c>
      <c r="AJ70" s="5">
        <f t="shared" si="32"/>
        <v>65</v>
      </c>
      <c r="AK70" s="5">
        <f t="shared" si="32"/>
        <v>45</v>
      </c>
      <c r="AL70" s="5">
        <f t="shared" si="32"/>
        <v>35</v>
      </c>
      <c r="AM70" s="5">
        <f t="shared" si="32"/>
        <v>31</v>
      </c>
      <c r="AN70" s="5">
        <f t="shared" si="32"/>
        <v>23</v>
      </c>
      <c r="AO70" s="5">
        <f t="shared" si="32"/>
        <v>36</v>
      </c>
      <c r="AP70" s="5">
        <f t="shared" si="32"/>
        <v>32</v>
      </c>
      <c r="AQ70" s="5">
        <f t="shared" si="32"/>
        <v>36</v>
      </c>
      <c r="AR70" s="5">
        <f t="shared" si="32"/>
        <v>1168</v>
      </c>
    </row>
    <row r="71" spans="1:44" x14ac:dyDescent="0.4">
      <c r="A71" s="70"/>
      <c r="B71" s="71"/>
      <c r="C71" s="71"/>
      <c r="D71" s="71"/>
      <c r="E71" s="71"/>
    </row>
    <row r="72" spans="1:44" x14ac:dyDescent="0.4">
      <c r="A72" s="11" t="s">
        <v>48</v>
      </c>
      <c r="B72" s="17" t="s">
        <v>34</v>
      </c>
      <c r="C72" s="59" t="s">
        <v>54</v>
      </c>
      <c r="D72" s="60"/>
      <c r="E72" s="6">
        <v>12</v>
      </c>
      <c r="F72" s="6">
        <v>5</v>
      </c>
      <c r="G72" s="6">
        <v>2</v>
      </c>
      <c r="H72" s="6">
        <v>1</v>
      </c>
      <c r="I72" s="6">
        <v>10</v>
      </c>
      <c r="J72" s="6">
        <v>10</v>
      </c>
      <c r="K72" s="6">
        <v>2</v>
      </c>
      <c r="L72" s="6">
        <v>0</v>
      </c>
      <c r="M72" s="6">
        <v>0</v>
      </c>
      <c r="N72" s="6">
        <v>1</v>
      </c>
      <c r="O72" s="6">
        <v>1</v>
      </c>
      <c r="P72" s="6">
        <v>1</v>
      </c>
      <c r="Q72" s="6">
        <v>3</v>
      </c>
      <c r="R72" s="6">
        <v>11</v>
      </c>
      <c r="S72" s="6">
        <v>1</v>
      </c>
      <c r="T72" s="6">
        <v>16</v>
      </c>
      <c r="U72" s="6">
        <v>5</v>
      </c>
      <c r="V72" s="6">
        <v>11</v>
      </c>
      <c r="W72" s="6">
        <v>2</v>
      </c>
      <c r="X72" s="6">
        <v>11</v>
      </c>
      <c r="Y72" s="6">
        <v>0</v>
      </c>
      <c r="Z72" s="6">
        <v>0</v>
      </c>
      <c r="AA72" s="6">
        <v>12</v>
      </c>
      <c r="AB72" s="6">
        <v>1</v>
      </c>
      <c r="AC72" s="6">
        <v>3</v>
      </c>
      <c r="AD72" s="6">
        <v>0</v>
      </c>
      <c r="AE72" s="6">
        <v>8</v>
      </c>
      <c r="AF72" s="6">
        <v>5</v>
      </c>
      <c r="AG72" s="6">
        <v>9</v>
      </c>
      <c r="AH72" s="6">
        <v>6</v>
      </c>
      <c r="AI72" s="6">
        <v>7</v>
      </c>
      <c r="AJ72" s="6">
        <v>2</v>
      </c>
      <c r="AK72" s="6">
        <v>3</v>
      </c>
      <c r="AL72" s="6">
        <v>3</v>
      </c>
      <c r="AM72" s="6">
        <v>7</v>
      </c>
      <c r="AN72" s="6">
        <v>3</v>
      </c>
      <c r="AO72" s="6">
        <v>0</v>
      </c>
      <c r="AP72" s="6">
        <v>1</v>
      </c>
      <c r="AQ72" s="6">
        <v>0</v>
      </c>
      <c r="AR72" s="5">
        <f t="shared" ref="AR72:AR78" si="33">SUM(E72:AQ72)</f>
        <v>175</v>
      </c>
    </row>
    <row r="73" spans="1:44" x14ac:dyDescent="0.4">
      <c r="A73" s="11" t="s">
        <v>50</v>
      </c>
      <c r="B73" s="46">
        <v>1</v>
      </c>
      <c r="C73" s="24" t="s">
        <v>132</v>
      </c>
      <c r="D73" s="47"/>
      <c r="E73" s="6">
        <v>103</v>
      </c>
      <c r="F73" s="6">
        <v>9</v>
      </c>
      <c r="G73" s="6">
        <v>6</v>
      </c>
      <c r="H73" s="6">
        <v>5</v>
      </c>
      <c r="I73" s="6">
        <v>45</v>
      </c>
      <c r="J73" s="6">
        <v>54</v>
      </c>
      <c r="K73" s="6">
        <v>5</v>
      </c>
      <c r="L73" s="6">
        <v>6</v>
      </c>
      <c r="M73" s="6">
        <v>5</v>
      </c>
      <c r="N73" s="6">
        <v>2</v>
      </c>
      <c r="O73" s="6">
        <v>6</v>
      </c>
      <c r="P73" s="6">
        <v>2</v>
      </c>
      <c r="Q73" s="6">
        <v>8</v>
      </c>
      <c r="R73" s="6">
        <v>81</v>
      </c>
      <c r="S73" s="6">
        <v>10</v>
      </c>
      <c r="T73" s="6">
        <v>128</v>
      </c>
      <c r="U73" s="6">
        <v>19</v>
      </c>
      <c r="V73" s="6">
        <v>112</v>
      </c>
      <c r="W73" s="6">
        <v>2</v>
      </c>
      <c r="X73" s="6">
        <v>61</v>
      </c>
      <c r="Y73" s="6">
        <v>2</v>
      </c>
      <c r="Z73" s="6">
        <v>4</v>
      </c>
      <c r="AA73" s="6">
        <v>28</v>
      </c>
      <c r="AB73" s="6">
        <v>31</v>
      </c>
      <c r="AC73" s="6">
        <v>7</v>
      </c>
      <c r="AD73" s="6">
        <v>1</v>
      </c>
      <c r="AE73" s="6">
        <v>6</v>
      </c>
      <c r="AF73" s="6">
        <v>7</v>
      </c>
      <c r="AG73" s="6">
        <v>49</v>
      </c>
      <c r="AH73" s="6">
        <v>32</v>
      </c>
      <c r="AI73" s="6">
        <v>63</v>
      </c>
      <c r="AJ73" s="6">
        <v>5</v>
      </c>
      <c r="AK73" s="6">
        <v>4</v>
      </c>
      <c r="AL73" s="6">
        <v>6</v>
      </c>
      <c r="AM73" s="6">
        <v>4</v>
      </c>
      <c r="AN73" s="6">
        <v>94</v>
      </c>
      <c r="AO73" s="6">
        <v>4</v>
      </c>
      <c r="AP73" s="6">
        <v>3</v>
      </c>
      <c r="AQ73" s="6">
        <v>2</v>
      </c>
      <c r="AR73" s="5">
        <f t="shared" si="33"/>
        <v>1021</v>
      </c>
    </row>
    <row r="74" spans="1:44" x14ac:dyDescent="0.4">
      <c r="A74" s="7"/>
      <c r="B74" s="46">
        <v>2</v>
      </c>
      <c r="C74" s="24" t="s">
        <v>133</v>
      </c>
      <c r="D74" s="47"/>
      <c r="E74" s="6">
        <v>7</v>
      </c>
      <c r="F74" s="6">
        <v>8</v>
      </c>
      <c r="G74" s="6">
        <v>3</v>
      </c>
      <c r="H74" s="6">
        <v>4</v>
      </c>
      <c r="I74" s="6">
        <v>10</v>
      </c>
      <c r="J74" s="6">
        <v>5</v>
      </c>
      <c r="K74" s="6">
        <v>0</v>
      </c>
      <c r="L74" s="6">
        <v>0</v>
      </c>
      <c r="M74" s="6">
        <v>3</v>
      </c>
      <c r="N74" s="6">
        <v>3</v>
      </c>
      <c r="O74" s="6">
        <v>2</v>
      </c>
      <c r="P74" s="6">
        <v>2</v>
      </c>
      <c r="Q74" s="6">
        <v>1</v>
      </c>
      <c r="R74" s="6">
        <v>2</v>
      </c>
      <c r="S74" s="6">
        <v>2</v>
      </c>
      <c r="T74" s="6">
        <v>26</v>
      </c>
      <c r="U74" s="6">
        <v>5</v>
      </c>
      <c r="V74" s="6">
        <v>3</v>
      </c>
      <c r="W74" s="6">
        <v>1</v>
      </c>
      <c r="X74" s="6">
        <v>4</v>
      </c>
      <c r="Y74" s="6">
        <v>0</v>
      </c>
      <c r="Z74" s="6">
        <v>1</v>
      </c>
      <c r="AA74" s="6">
        <v>6</v>
      </c>
      <c r="AB74" s="6">
        <v>43</v>
      </c>
      <c r="AC74" s="6">
        <v>56</v>
      </c>
      <c r="AD74" s="6">
        <v>6</v>
      </c>
      <c r="AE74" s="6">
        <v>61</v>
      </c>
      <c r="AF74" s="6">
        <v>5</v>
      </c>
      <c r="AG74" s="6">
        <v>6</v>
      </c>
      <c r="AH74" s="6">
        <v>8</v>
      </c>
      <c r="AI74" s="6">
        <v>18</v>
      </c>
      <c r="AJ74" s="6">
        <v>49</v>
      </c>
      <c r="AK74" s="6">
        <v>33</v>
      </c>
      <c r="AL74" s="6">
        <v>1</v>
      </c>
      <c r="AM74" s="6">
        <v>18</v>
      </c>
      <c r="AN74" s="6">
        <v>0</v>
      </c>
      <c r="AO74" s="6">
        <v>1</v>
      </c>
      <c r="AP74" s="6">
        <v>0</v>
      </c>
      <c r="AQ74" s="6">
        <v>3</v>
      </c>
      <c r="AR74" s="5">
        <f t="shared" si="33"/>
        <v>406</v>
      </c>
    </row>
    <row r="75" spans="1:44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1</v>
      </c>
      <c r="H75" s="6">
        <v>1</v>
      </c>
      <c r="I75" s="6">
        <v>0</v>
      </c>
      <c r="J75" s="6">
        <v>2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5">
        <f t="shared" si="33"/>
        <v>5</v>
      </c>
    </row>
    <row r="76" spans="1:44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1</v>
      </c>
      <c r="AB76" s="6">
        <v>1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1</v>
      </c>
      <c r="AN76" s="6">
        <v>0</v>
      </c>
      <c r="AO76" s="6">
        <v>0</v>
      </c>
      <c r="AP76" s="6">
        <v>0</v>
      </c>
      <c r="AQ76" s="6">
        <v>0</v>
      </c>
      <c r="AR76" s="5">
        <f t="shared" si="33"/>
        <v>6</v>
      </c>
    </row>
    <row r="77" spans="1:44" x14ac:dyDescent="0.4">
      <c r="A77" s="7"/>
      <c r="B77" s="46">
        <v>5</v>
      </c>
      <c r="C77" s="24" t="s">
        <v>136</v>
      </c>
      <c r="D77" s="47"/>
      <c r="E77" s="6">
        <v>0</v>
      </c>
      <c r="F77" s="6">
        <v>1</v>
      </c>
      <c r="G77" s="6">
        <v>0</v>
      </c>
      <c r="H77" s="6">
        <v>2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1</v>
      </c>
      <c r="AP77" s="6">
        <v>0</v>
      </c>
      <c r="AQ77" s="6">
        <v>0</v>
      </c>
      <c r="AR77" s="5">
        <f t="shared" si="33"/>
        <v>5</v>
      </c>
    </row>
    <row r="78" spans="1:44" x14ac:dyDescent="0.4">
      <c r="A78" s="7"/>
      <c r="B78" s="46">
        <v>6</v>
      </c>
      <c r="C78" s="24" t="s">
        <v>137</v>
      </c>
      <c r="D78" s="47"/>
      <c r="E78" s="6">
        <v>1</v>
      </c>
      <c r="F78" s="6">
        <v>0</v>
      </c>
      <c r="G78" s="6">
        <v>1</v>
      </c>
      <c r="H78" s="6">
        <v>0</v>
      </c>
      <c r="I78" s="6">
        <v>0</v>
      </c>
      <c r="J78" s="6">
        <v>2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1</v>
      </c>
      <c r="AQ78" s="6">
        <v>0</v>
      </c>
      <c r="AR78" s="5">
        <f t="shared" si="33"/>
        <v>5</v>
      </c>
    </row>
    <row r="79" spans="1:44" x14ac:dyDescent="0.4">
      <c r="A79" s="6" t="s">
        <v>26</v>
      </c>
      <c r="B79" s="53" t="s">
        <v>51</v>
      </c>
      <c r="C79" s="69"/>
      <c r="D79" s="60"/>
      <c r="E79" s="5">
        <f t="shared" ref="E79:AR79" si="34">SUM(E72:E78)</f>
        <v>123</v>
      </c>
      <c r="F79" s="5">
        <f t="shared" si="34"/>
        <v>23</v>
      </c>
      <c r="G79" s="5">
        <f t="shared" si="34"/>
        <v>13</v>
      </c>
      <c r="H79" s="5">
        <f t="shared" si="34"/>
        <v>13</v>
      </c>
      <c r="I79" s="5">
        <f t="shared" si="34"/>
        <v>67</v>
      </c>
      <c r="J79" s="5">
        <f t="shared" si="34"/>
        <v>73</v>
      </c>
      <c r="K79" s="5">
        <f t="shared" si="34"/>
        <v>7</v>
      </c>
      <c r="L79" s="5">
        <f t="shared" si="34"/>
        <v>6</v>
      </c>
      <c r="M79" s="5">
        <f t="shared" si="34"/>
        <v>8</v>
      </c>
      <c r="N79" s="5">
        <f t="shared" si="34"/>
        <v>6</v>
      </c>
      <c r="O79" s="5">
        <f t="shared" si="34"/>
        <v>10</v>
      </c>
      <c r="P79" s="5">
        <f t="shared" si="34"/>
        <v>5</v>
      </c>
      <c r="Q79" s="5">
        <f t="shared" si="34"/>
        <v>12</v>
      </c>
      <c r="R79" s="5">
        <f t="shared" si="34"/>
        <v>94</v>
      </c>
      <c r="S79" s="5">
        <f t="shared" si="34"/>
        <v>13</v>
      </c>
      <c r="T79" s="5">
        <f t="shared" si="34"/>
        <v>170</v>
      </c>
      <c r="U79" s="5">
        <f t="shared" si="34"/>
        <v>30</v>
      </c>
      <c r="V79" s="5">
        <f t="shared" si="34"/>
        <v>126</v>
      </c>
      <c r="W79" s="5">
        <f t="shared" si="34"/>
        <v>5</v>
      </c>
      <c r="X79" s="5">
        <f t="shared" si="34"/>
        <v>76</v>
      </c>
      <c r="Y79" s="5">
        <f t="shared" si="34"/>
        <v>2</v>
      </c>
      <c r="Z79" s="5">
        <f t="shared" si="34"/>
        <v>5</v>
      </c>
      <c r="AA79" s="5">
        <f t="shared" si="34"/>
        <v>47</v>
      </c>
      <c r="AB79" s="5">
        <f t="shared" si="34"/>
        <v>76</v>
      </c>
      <c r="AC79" s="5">
        <f t="shared" si="34"/>
        <v>66</v>
      </c>
      <c r="AD79" s="5">
        <f t="shared" si="34"/>
        <v>7</v>
      </c>
      <c r="AE79" s="5">
        <f t="shared" si="34"/>
        <v>75</v>
      </c>
      <c r="AF79" s="5">
        <f t="shared" si="34"/>
        <v>17</v>
      </c>
      <c r="AG79" s="5">
        <f t="shared" si="34"/>
        <v>64</v>
      </c>
      <c r="AH79" s="5">
        <f t="shared" si="34"/>
        <v>47</v>
      </c>
      <c r="AI79" s="5">
        <f t="shared" si="34"/>
        <v>88</v>
      </c>
      <c r="AJ79" s="5">
        <f t="shared" si="34"/>
        <v>56</v>
      </c>
      <c r="AK79" s="5">
        <f t="shared" si="34"/>
        <v>40</v>
      </c>
      <c r="AL79" s="5">
        <f t="shared" si="34"/>
        <v>10</v>
      </c>
      <c r="AM79" s="5">
        <f t="shared" si="34"/>
        <v>30</v>
      </c>
      <c r="AN79" s="5">
        <f t="shared" si="34"/>
        <v>97</v>
      </c>
      <c r="AO79" s="5">
        <f t="shared" si="34"/>
        <v>6</v>
      </c>
      <c r="AP79" s="5">
        <f t="shared" si="34"/>
        <v>5</v>
      </c>
      <c r="AQ79" s="5">
        <f t="shared" si="34"/>
        <v>5</v>
      </c>
      <c r="AR79" s="5">
        <f t="shared" si="34"/>
        <v>1623</v>
      </c>
    </row>
    <row r="80" spans="1:44" x14ac:dyDescent="0.4">
      <c r="A80" s="70"/>
      <c r="B80" s="71"/>
      <c r="C80" s="71"/>
      <c r="D80" s="71"/>
      <c r="E80" s="71"/>
    </row>
    <row r="81" spans="1:44" x14ac:dyDescent="0.4">
      <c r="A81" s="11" t="s">
        <v>48</v>
      </c>
      <c r="B81" s="17" t="s">
        <v>55</v>
      </c>
      <c r="C81" s="59" t="s">
        <v>56</v>
      </c>
      <c r="D81" s="60"/>
      <c r="E81" s="6">
        <v>2</v>
      </c>
      <c r="F81" s="6">
        <v>4</v>
      </c>
      <c r="G81" s="6">
        <v>3</v>
      </c>
      <c r="H81" s="6">
        <v>1</v>
      </c>
      <c r="I81" s="6">
        <v>2</v>
      </c>
      <c r="J81" s="6">
        <v>0</v>
      </c>
      <c r="K81" s="6">
        <v>4</v>
      </c>
      <c r="L81" s="6">
        <v>3</v>
      </c>
      <c r="M81" s="6">
        <v>2</v>
      </c>
      <c r="N81" s="6">
        <v>0</v>
      </c>
      <c r="O81" s="6">
        <v>2</v>
      </c>
      <c r="P81" s="6">
        <v>6</v>
      </c>
      <c r="Q81" s="6">
        <v>4</v>
      </c>
      <c r="R81" s="6">
        <v>2</v>
      </c>
      <c r="S81" s="6">
        <v>1</v>
      </c>
      <c r="T81" s="6">
        <v>3</v>
      </c>
      <c r="U81" s="6">
        <v>1</v>
      </c>
      <c r="V81" s="6">
        <v>3</v>
      </c>
      <c r="W81" s="6">
        <v>1</v>
      </c>
      <c r="X81" s="6">
        <v>2</v>
      </c>
      <c r="Y81" s="6">
        <v>6</v>
      </c>
      <c r="Z81" s="6">
        <v>5</v>
      </c>
      <c r="AA81" s="6">
        <v>3</v>
      </c>
      <c r="AB81" s="6">
        <v>2</v>
      </c>
      <c r="AC81" s="6">
        <v>5</v>
      </c>
      <c r="AD81" s="6">
        <v>3</v>
      </c>
      <c r="AE81" s="6">
        <v>2</v>
      </c>
      <c r="AF81" s="6">
        <v>1</v>
      </c>
      <c r="AG81" s="6">
        <v>0</v>
      </c>
      <c r="AH81" s="6">
        <v>1</v>
      </c>
      <c r="AI81" s="6">
        <v>2</v>
      </c>
      <c r="AJ81" s="6">
        <v>0</v>
      </c>
      <c r="AK81" s="6">
        <v>3</v>
      </c>
      <c r="AL81" s="6">
        <v>2</v>
      </c>
      <c r="AM81" s="6">
        <v>4</v>
      </c>
      <c r="AN81" s="6">
        <v>1</v>
      </c>
      <c r="AO81" s="6">
        <v>1</v>
      </c>
      <c r="AP81" s="6">
        <v>5</v>
      </c>
      <c r="AQ81" s="6">
        <v>0</v>
      </c>
      <c r="AR81" s="5">
        <f t="shared" ref="AR81:AR87" si="35">SUM(E81:AQ81)</f>
        <v>92</v>
      </c>
    </row>
    <row r="82" spans="1:44" x14ac:dyDescent="0.4">
      <c r="A82" s="11" t="s">
        <v>50</v>
      </c>
      <c r="B82" s="46">
        <v>1</v>
      </c>
      <c r="C82" s="24" t="s">
        <v>138</v>
      </c>
      <c r="D82" s="47"/>
      <c r="E82" s="6">
        <v>5</v>
      </c>
      <c r="F82" s="6">
        <v>19</v>
      </c>
      <c r="G82" s="6">
        <v>0</v>
      </c>
      <c r="H82" s="6">
        <v>8</v>
      </c>
      <c r="I82" s="6">
        <v>2</v>
      </c>
      <c r="J82" s="6">
        <v>16</v>
      </c>
      <c r="K82" s="6">
        <v>40</v>
      </c>
      <c r="L82" s="6">
        <v>53</v>
      </c>
      <c r="M82" s="6">
        <v>26</v>
      </c>
      <c r="N82" s="6">
        <v>23</v>
      </c>
      <c r="O82" s="6">
        <v>46</v>
      </c>
      <c r="P82" s="6">
        <v>30</v>
      </c>
      <c r="Q82" s="6">
        <v>42</v>
      </c>
      <c r="R82" s="6">
        <v>8</v>
      </c>
      <c r="S82" s="6">
        <v>21</v>
      </c>
      <c r="T82" s="6">
        <v>0</v>
      </c>
      <c r="U82" s="6">
        <v>17</v>
      </c>
      <c r="V82" s="6">
        <v>6</v>
      </c>
      <c r="W82" s="6">
        <v>18</v>
      </c>
      <c r="X82" s="6">
        <v>10</v>
      </c>
      <c r="Y82" s="6">
        <v>29</v>
      </c>
      <c r="Z82" s="6">
        <v>68</v>
      </c>
      <c r="AA82" s="6">
        <v>1</v>
      </c>
      <c r="AB82" s="6">
        <v>28</v>
      </c>
      <c r="AC82" s="6">
        <v>52</v>
      </c>
      <c r="AD82" s="6">
        <v>66</v>
      </c>
      <c r="AE82" s="6">
        <v>23</v>
      </c>
      <c r="AF82" s="6">
        <v>20</v>
      </c>
      <c r="AG82" s="6">
        <v>4</v>
      </c>
      <c r="AH82" s="6">
        <v>2</v>
      </c>
      <c r="AI82" s="6">
        <v>0</v>
      </c>
      <c r="AJ82" s="6">
        <v>1</v>
      </c>
      <c r="AK82" s="6">
        <v>37</v>
      </c>
      <c r="AL82" s="6">
        <v>21</v>
      </c>
      <c r="AM82" s="6">
        <v>2</v>
      </c>
      <c r="AN82" s="6">
        <v>2</v>
      </c>
      <c r="AO82" s="6">
        <v>3</v>
      </c>
      <c r="AP82" s="6">
        <v>32</v>
      </c>
      <c r="AQ82" s="6">
        <v>20</v>
      </c>
      <c r="AR82" s="5">
        <f t="shared" si="35"/>
        <v>801</v>
      </c>
    </row>
    <row r="83" spans="1:44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2</v>
      </c>
      <c r="P83" s="6">
        <v>0</v>
      </c>
      <c r="Q83" s="6">
        <v>1</v>
      </c>
      <c r="R83" s="6">
        <v>0</v>
      </c>
      <c r="S83" s="6">
        <v>0</v>
      </c>
      <c r="T83" s="6">
        <v>0</v>
      </c>
      <c r="U83" s="6">
        <v>1</v>
      </c>
      <c r="V83" s="6">
        <v>9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1</v>
      </c>
      <c r="AE83" s="6">
        <v>0</v>
      </c>
      <c r="AF83" s="6">
        <v>0</v>
      </c>
      <c r="AG83" s="6">
        <v>0</v>
      </c>
      <c r="AH83" s="6">
        <v>0</v>
      </c>
      <c r="AI83" s="6">
        <v>1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5">
        <f t="shared" si="35"/>
        <v>15</v>
      </c>
    </row>
    <row r="84" spans="1:44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1</v>
      </c>
      <c r="G84" s="6">
        <v>0</v>
      </c>
      <c r="H84" s="6">
        <v>2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5">
        <f t="shared" si="35"/>
        <v>5</v>
      </c>
    </row>
    <row r="85" spans="1:44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1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>
        <v>6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1</v>
      </c>
      <c r="AR85" s="5">
        <f t="shared" si="35"/>
        <v>11</v>
      </c>
    </row>
    <row r="86" spans="1:44" x14ac:dyDescent="0.4">
      <c r="A86" s="7"/>
      <c r="B86" s="46">
        <v>5</v>
      </c>
      <c r="C86" s="24" t="s">
        <v>142</v>
      </c>
      <c r="D86" s="47"/>
      <c r="E86" s="6">
        <v>5</v>
      </c>
      <c r="F86" s="6">
        <v>9</v>
      </c>
      <c r="G86" s="6">
        <v>1</v>
      </c>
      <c r="H86" s="6">
        <v>5</v>
      </c>
      <c r="I86" s="6">
        <v>14</v>
      </c>
      <c r="J86" s="6">
        <v>2</v>
      </c>
      <c r="K86" s="6">
        <v>2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1</v>
      </c>
      <c r="R86" s="6">
        <v>0</v>
      </c>
      <c r="S86" s="6">
        <v>1</v>
      </c>
      <c r="T86" s="6">
        <v>0</v>
      </c>
      <c r="U86" s="6">
        <v>1</v>
      </c>
      <c r="V86" s="6">
        <v>3</v>
      </c>
      <c r="W86" s="6">
        <v>0</v>
      </c>
      <c r="X86" s="6">
        <v>2</v>
      </c>
      <c r="Y86" s="6">
        <v>1</v>
      </c>
      <c r="Z86" s="6">
        <v>6</v>
      </c>
      <c r="AA86" s="6">
        <v>0</v>
      </c>
      <c r="AB86" s="6">
        <v>0</v>
      </c>
      <c r="AC86" s="6">
        <v>0</v>
      </c>
      <c r="AD86" s="6">
        <v>0</v>
      </c>
      <c r="AE86" s="6">
        <v>2</v>
      </c>
      <c r="AF86" s="6">
        <v>0</v>
      </c>
      <c r="AG86" s="6">
        <v>0</v>
      </c>
      <c r="AH86" s="6">
        <v>1</v>
      </c>
      <c r="AI86" s="6">
        <v>2</v>
      </c>
      <c r="AJ86" s="6">
        <v>0</v>
      </c>
      <c r="AK86" s="6">
        <v>1</v>
      </c>
      <c r="AL86" s="6">
        <v>0</v>
      </c>
      <c r="AM86" s="6">
        <v>0</v>
      </c>
      <c r="AN86" s="6">
        <v>0</v>
      </c>
      <c r="AO86" s="6">
        <v>0</v>
      </c>
      <c r="AP86" s="6">
        <v>1</v>
      </c>
      <c r="AQ86" s="6">
        <v>0</v>
      </c>
      <c r="AR86" s="5">
        <f t="shared" si="35"/>
        <v>61</v>
      </c>
    </row>
    <row r="87" spans="1:44" x14ac:dyDescent="0.4">
      <c r="A87" s="7"/>
      <c r="B87" s="46">
        <v>6</v>
      </c>
      <c r="C87" s="24" t="s">
        <v>143</v>
      </c>
      <c r="D87" s="47"/>
      <c r="E87" s="6">
        <v>0</v>
      </c>
      <c r="F87" s="6">
        <v>7</v>
      </c>
      <c r="G87" s="6">
        <v>2</v>
      </c>
      <c r="H87" s="6">
        <v>2</v>
      </c>
      <c r="I87" s="6">
        <v>0</v>
      </c>
      <c r="J87" s="6">
        <v>21</v>
      </c>
      <c r="K87" s="6">
        <v>0</v>
      </c>
      <c r="L87" s="6">
        <v>0</v>
      </c>
      <c r="M87" s="6">
        <v>0</v>
      </c>
      <c r="N87" s="6">
        <v>2</v>
      </c>
      <c r="O87" s="6">
        <v>15</v>
      </c>
      <c r="P87" s="6">
        <v>0</v>
      </c>
      <c r="Q87" s="6">
        <v>2</v>
      </c>
      <c r="R87" s="6">
        <v>10</v>
      </c>
      <c r="S87" s="6">
        <v>12</v>
      </c>
      <c r="T87" s="6">
        <v>30</v>
      </c>
      <c r="U87" s="6">
        <v>0</v>
      </c>
      <c r="V87" s="6">
        <v>0</v>
      </c>
      <c r="W87" s="6">
        <v>6</v>
      </c>
      <c r="X87" s="6">
        <v>1</v>
      </c>
      <c r="Y87" s="6">
        <v>6</v>
      </c>
      <c r="Z87" s="6">
        <v>2</v>
      </c>
      <c r="AA87" s="6">
        <v>9</v>
      </c>
      <c r="AB87" s="6">
        <v>9</v>
      </c>
      <c r="AC87" s="6">
        <v>12</v>
      </c>
      <c r="AD87" s="6">
        <v>5</v>
      </c>
      <c r="AE87" s="6">
        <v>2</v>
      </c>
      <c r="AF87" s="6">
        <v>4</v>
      </c>
      <c r="AG87" s="6">
        <v>0</v>
      </c>
      <c r="AH87" s="6">
        <v>1</v>
      </c>
      <c r="AI87" s="6">
        <v>5</v>
      </c>
      <c r="AJ87" s="6">
        <v>0</v>
      </c>
      <c r="AK87" s="6">
        <v>2</v>
      </c>
      <c r="AL87" s="6">
        <v>0</v>
      </c>
      <c r="AM87" s="6">
        <v>1</v>
      </c>
      <c r="AN87" s="6">
        <v>0</v>
      </c>
      <c r="AO87" s="6">
        <v>0</v>
      </c>
      <c r="AP87" s="6">
        <v>6</v>
      </c>
      <c r="AQ87" s="6">
        <v>0</v>
      </c>
      <c r="AR87" s="5">
        <f t="shared" si="35"/>
        <v>174</v>
      </c>
    </row>
    <row r="88" spans="1:44" x14ac:dyDescent="0.4">
      <c r="A88" s="6" t="s">
        <v>26</v>
      </c>
      <c r="B88" s="53" t="s">
        <v>51</v>
      </c>
      <c r="C88" s="69"/>
      <c r="D88" s="60"/>
      <c r="E88" s="5">
        <f t="shared" ref="E88:AR88" si="36">SUM(E81:E87)</f>
        <v>12</v>
      </c>
      <c r="F88" s="5">
        <f t="shared" si="36"/>
        <v>40</v>
      </c>
      <c r="G88" s="5">
        <f t="shared" si="36"/>
        <v>6</v>
      </c>
      <c r="H88" s="5">
        <f t="shared" si="36"/>
        <v>19</v>
      </c>
      <c r="I88" s="5">
        <f t="shared" si="36"/>
        <v>18</v>
      </c>
      <c r="J88" s="5">
        <f t="shared" si="36"/>
        <v>40</v>
      </c>
      <c r="K88" s="5">
        <f t="shared" si="36"/>
        <v>47</v>
      </c>
      <c r="L88" s="5">
        <f t="shared" si="36"/>
        <v>56</v>
      </c>
      <c r="M88" s="5">
        <f t="shared" si="36"/>
        <v>28</v>
      </c>
      <c r="N88" s="5">
        <f t="shared" si="36"/>
        <v>26</v>
      </c>
      <c r="O88" s="5">
        <f t="shared" si="36"/>
        <v>66</v>
      </c>
      <c r="P88" s="5">
        <f t="shared" si="36"/>
        <v>37</v>
      </c>
      <c r="Q88" s="5">
        <f t="shared" si="36"/>
        <v>56</v>
      </c>
      <c r="R88" s="5">
        <f t="shared" si="36"/>
        <v>20</v>
      </c>
      <c r="S88" s="5">
        <f t="shared" si="36"/>
        <v>35</v>
      </c>
      <c r="T88" s="5">
        <f t="shared" si="36"/>
        <v>33</v>
      </c>
      <c r="U88" s="5">
        <f t="shared" si="36"/>
        <v>20</v>
      </c>
      <c r="V88" s="5">
        <f t="shared" si="36"/>
        <v>21</v>
      </c>
      <c r="W88" s="5">
        <f t="shared" si="36"/>
        <v>25</v>
      </c>
      <c r="X88" s="5">
        <f t="shared" si="36"/>
        <v>16</v>
      </c>
      <c r="Y88" s="5">
        <f t="shared" si="36"/>
        <v>42</v>
      </c>
      <c r="Z88" s="5">
        <f t="shared" si="36"/>
        <v>81</v>
      </c>
      <c r="AA88" s="5">
        <f t="shared" si="36"/>
        <v>13</v>
      </c>
      <c r="AB88" s="5">
        <f t="shared" si="36"/>
        <v>39</v>
      </c>
      <c r="AC88" s="5">
        <f t="shared" si="36"/>
        <v>69</v>
      </c>
      <c r="AD88" s="5">
        <f t="shared" si="36"/>
        <v>75</v>
      </c>
      <c r="AE88" s="5">
        <f t="shared" si="36"/>
        <v>29</v>
      </c>
      <c r="AF88" s="5">
        <f t="shared" si="36"/>
        <v>25</v>
      </c>
      <c r="AG88" s="5">
        <f t="shared" si="36"/>
        <v>4</v>
      </c>
      <c r="AH88" s="5">
        <f t="shared" si="36"/>
        <v>5</v>
      </c>
      <c r="AI88" s="5">
        <f t="shared" si="36"/>
        <v>10</v>
      </c>
      <c r="AJ88" s="5">
        <f t="shared" si="36"/>
        <v>1</v>
      </c>
      <c r="AK88" s="5">
        <f t="shared" si="36"/>
        <v>43</v>
      </c>
      <c r="AL88" s="5">
        <f t="shared" si="36"/>
        <v>23</v>
      </c>
      <c r="AM88" s="5">
        <f t="shared" si="36"/>
        <v>7</v>
      </c>
      <c r="AN88" s="5">
        <f t="shared" si="36"/>
        <v>3</v>
      </c>
      <c r="AO88" s="5">
        <f t="shared" si="36"/>
        <v>4</v>
      </c>
      <c r="AP88" s="5">
        <f t="shared" si="36"/>
        <v>44</v>
      </c>
      <c r="AQ88" s="5">
        <f t="shared" si="36"/>
        <v>21</v>
      </c>
      <c r="AR88" s="5">
        <f t="shared" si="36"/>
        <v>1159</v>
      </c>
    </row>
    <row r="89" spans="1:44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2</v>
      </c>
      <c r="G90" s="6">
        <v>1</v>
      </c>
      <c r="H90" s="6">
        <v>0</v>
      </c>
      <c r="I90" s="6">
        <v>0</v>
      </c>
      <c r="J90" s="6">
        <v>2</v>
      </c>
      <c r="K90" s="6">
        <v>3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1</v>
      </c>
      <c r="R90" s="6">
        <v>0</v>
      </c>
      <c r="S90" s="6">
        <v>3</v>
      </c>
      <c r="T90" s="6">
        <v>1</v>
      </c>
      <c r="U90" s="6">
        <v>1</v>
      </c>
      <c r="V90" s="6">
        <v>0</v>
      </c>
      <c r="W90" s="6">
        <v>1</v>
      </c>
      <c r="X90" s="6">
        <v>5</v>
      </c>
      <c r="Y90" s="6">
        <v>1</v>
      </c>
      <c r="Z90" s="6">
        <v>0</v>
      </c>
      <c r="AA90" s="6">
        <v>5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4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5">
        <f>SUM(E90:AQ90)</f>
        <v>31</v>
      </c>
    </row>
    <row r="91" spans="1:44" ht="13.15" customHeight="1" x14ac:dyDescent="0.4">
      <c r="A91" s="6" t="s">
        <v>26</v>
      </c>
      <c r="B91" s="53" t="s">
        <v>51</v>
      </c>
      <c r="C91" s="54"/>
      <c r="D91" s="55"/>
      <c r="E91" s="5">
        <f t="shared" ref="E91:AR91" si="37">SUM(E90:E90)</f>
        <v>0</v>
      </c>
      <c r="F91" s="5">
        <f t="shared" si="37"/>
        <v>2</v>
      </c>
      <c r="G91" s="5">
        <f t="shared" si="37"/>
        <v>1</v>
      </c>
      <c r="H91" s="5">
        <f t="shared" si="37"/>
        <v>0</v>
      </c>
      <c r="I91" s="5">
        <f t="shared" si="37"/>
        <v>0</v>
      </c>
      <c r="J91" s="5">
        <f t="shared" si="37"/>
        <v>2</v>
      </c>
      <c r="K91" s="5">
        <f t="shared" si="37"/>
        <v>3</v>
      </c>
      <c r="L91" s="5">
        <f t="shared" si="37"/>
        <v>0</v>
      </c>
      <c r="M91" s="5">
        <f t="shared" si="37"/>
        <v>0</v>
      </c>
      <c r="N91" s="5">
        <f t="shared" si="37"/>
        <v>1</v>
      </c>
      <c r="O91" s="5">
        <f t="shared" si="37"/>
        <v>0</v>
      </c>
      <c r="P91" s="5">
        <f t="shared" si="37"/>
        <v>0</v>
      </c>
      <c r="Q91" s="5">
        <f t="shared" si="37"/>
        <v>1</v>
      </c>
      <c r="R91" s="5">
        <f t="shared" si="37"/>
        <v>0</v>
      </c>
      <c r="S91" s="5">
        <f t="shared" si="37"/>
        <v>3</v>
      </c>
      <c r="T91" s="5">
        <f t="shared" si="37"/>
        <v>1</v>
      </c>
      <c r="U91" s="5">
        <f t="shared" si="37"/>
        <v>1</v>
      </c>
      <c r="V91" s="5">
        <f t="shared" si="37"/>
        <v>0</v>
      </c>
      <c r="W91" s="5">
        <f t="shared" si="37"/>
        <v>1</v>
      </c>
      <c r="X91" s="5">
        <f t="shared" si="37"/>
        <v>5</v>
      </c>
      <c r="Y91" s="5">
        <f t="shared" si="37"/>
        <v>1</v>
      </c>
      <c r="Z91" s="5">
        <f t="shared" si="37"/>
        <v>0</v>
      </c>
      <c r="AA91" s="5">
        <f t="shared" si="37"/>
        <v>5</v>
      </c>
      <c r="AB91" s="5">
        <f t="shared" si="37"/>
        <v>0</v>
      </c>
      <c r="AC91" s="5">
        <f t="shared" si="37"/>
        <v>0</v>
      </c>
      <c r="AD91" s="5">
        <f t="shared" si="37"/>
        <v>0</v>
      </c>
      <c r="AE91" s="5">
        <f t="shared" si="37"/>
        <v>0</v>
      </c>
      <c r="AF91" s="5">
        <f t="shared" si="37"/>
        <v>0</v>
      </c>
      <c r="AG91" s="5">
        <f t="shared" si="37"/>
        <v>0</v>
      </c>
      <c r="AH91" s="5">
        <f t="shared" si="37"/>
        <v>0</v>
      </c>
      <c r="AI91" s="5">
        <f t="shared" si="37"/>
        <v>0</v>
      </c>
      <c r="AJ91" s="5">
        <f t="shared" si="37"/>
        <v>0</v>
      </c>
      <c r="AK91" s="5">
        <f t="shared" si="37"/>
        <v>0</v>
      </c>
      <c r="AL91" s="5">
        <f t="shared" si="37"/>
        <v>4</v>
      </c>
      <c r="AM91" s="5">
        <f t="shared" si="37"/>
        <v>0</v>
      </c>
      <c r="AN91" s="5">
        <f t="shared" si="37"/>
        <v>0</v>
      </c>
      <c r="AO91" s="5">
        <f t="shared" si="37"/>
        <v>0</v>
      </c>
      <c r="AP91" s="5">
        <f t="shared" si="37"/>
        <v>0</v>
      </c>
      <c r="AQ91" s="5">
        <f t="shared" si="37"/>
        <v>0</v>
      </c>
      <c r="AR91" s="5">
        <f t="shared" si="37"/>
        <v>31</v>
      </c>
    </row>
    <row r="92" spans="1:44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5"/>
    </row>
    <row r="93" spans="1:44" x14ac:dyDescent="0.4">
      <c r="A93" s="11" t="s">
        <v>48</v>
      </c>
      <c r="B93" s="17" t="s">
        <v>59</v>
      </c>
      <c r="C93" s="59" t="s">
        <v>60</v>
      </c>
      <c r="D93" s="60"/>
      <c r="E93" s="6">
        <v>0</v>
      </c>
      <c r="F93" s="6">
        <v>0</v>
      </c>
      <c r="G93" s="6">
        <v>0</v>
      </c>
      <c r="H93" s="6">
        <v>1</v>
      </c>
      <c r="I93" s="6">
        <v>1</v>
      </c>
      <c r="J93" s="6">
        <v>0</v>
      </c>
      <c r="K93" s="6">
        <v>1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2</v>
      </c>
      <c r="U93" s="6">
        <v>1</v>
      </c>
      <c r="V93" s="6">
        <v>0</v>
      </c>
      <c r="W93" s="6">
        <v>0</v>
      </c>
      <c r="X93" s="6">
        <v>0</v>
      </c>
      <c r="Y93" s="6">
        <v>1</v>
      </c>
      <c r="Z93" s="6">
        <v>1</v>
      </c>
      <c r="AA93" s="6">
        <v>0</v>
      </c>
      <c r="AB93" s="6">
        <v>1</v>
      </c>
      <c r="AC93" s="6">
        <v>0</v>
      </c>
      <c r="AD93" s="6">
        <v>0</v>
      </c>
      <c r="AE93" s="6">
        <v>1</v>
      </c>
      <c r="AF93" s="6">
        <v>0</v>
      </c>
      <c r="AG93" s="6">
        <v>0</v>
      </c>
      <c r="AH93" s="6">
        <v>1</v>
      </c>
      <c r="AI93" s="6">
        <v>1</v>
      </c>
      <c r="AJ93" s="6">
        <v>1</v>
      </c>
      <c r="AK93" s="6">
        <v>0</v>
      </c>
      <c r="AL93" s="6">
        <v>2</v>
      </c>
      <c r="AM93" s="6">
        <v>1</v>
      </c>
      <c r="AN93" s="6">
        <v>2</v>
      </c>
      <c r="AO93" s="6">
        <v>1</v>
      </c>
      <c r="AP93" s="6">
        <v>0</v>
      </c>
      <c r="AQ93" s="6">
        <v>1</v>
      </c>
      <c r="AR93" s="5">
        <f t="shared" ref="AR93:AR97" si="38">SUM(E93:AQ93)</f>
        <v>21</v>
      </c>
    </row>
    <row r="94" spans="1:44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1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1</v>
      </c>
      <c r="V94" s="6">
        <v>0</v>
      </c>
      <c r="W94" s="6">
        <v>0</v>
      </c>
      <c r="X94" s="6">
        <v>1</v>
      </c>
      <c r="Y94" s="6">
        <v>1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1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5">
        <f t="shared" si="38"/>
        <v>7</v>
      </c>
    </row>
    <row r="95" spans="1:44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5">
        <f t="shared" si="38"/>
        <v>3</v>
      </c>
    </row>
    <row r="96" spans="1:44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5">
        <f t="shared" si="38"/>
        <v>0</v>
      </c>
    </row>
    <row r="97" spans="1:44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1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5">
        <f t="shared" si="38"/>
        <v>1</v>
      </c>
    </row>
    <row r="98" spans="1:44" x14ac:dyDescent="0.4">
      <c r="A98" s="6" t="s">
        <v>26</v>
      </c>
      <c r="B98" s="53" t="s">
        <v>51</v>
      </c>
      <c r="C98" s="54"/>
      <c r="D98" s="55"/>
      <c r="E98" s="5">
        <f t="shared" ref="E98:AR98" si="39">SUM(E93:E97)</f>
        <v>0</v>
      </c>
      <c r="F98" s="5">
        <f t="shared" si="39"/>
        <v>1</v>
      </c>
      <c r="G98" s="5">
        <f t="shared" si="39"/>
        <v>1</v>
      </c>
      <c r="H98" s="5">
        <f t="shared" si="39"/>
        <v>1</v>
      </c>
      <c r="I98" s="5">
        <f t="shared" si="39"/>
        <v>1</v>
      </c>
      <c r="J98" s="5">
        <f t="shared" si="39"/>
        <v>0</v>
      </c>
      <c r="K98" s="5">
        <f t="shared" si="39"/>
        <v>1</v>
      </c>
      <c r="L98" s="5">
        <f t="shared" si="39"/>
        <v>0</v>
      </c>
      <c r="M98" s="5">
        <f t="shared" si="39"/>
        <v>1</v>
      </c>
      <c r="N98" s="5">
        <f t="shared" si="39"/>
        <v>1</v>
      </c>
      <c r="O98" s="5">
        <f t="shared" si="39"/>
        <v>0</v>
      </c>
      <c r="P98" s="5">
        <f t="shared" si="39"/>
        <v>1</v>
      </c>
      <c r="Q98" s="5">
        <f t="shared" si="39"/>
        <v>0</v>
      </c>
      <c r="R98" s="5">
        <f t="shared" si="39"/>
        <v>0</v>
      </c>
      <c r="S98" s="5">
        <f t="shared" si="39"/>
        <v>0</v>
      </c>
      <c r="T98" s="5">
        <f t="shared" si="39"/>
        <v>2</v>
      </c>
      <c r="U98" s="5">
        <f t="shared" si="39"/>
        <v>2</v>
      </c>
      <c r="V98" s="5">
        <f t="shared" si="39"/>
        <v>1</v>
      </c>
      <c r="W98" s="5">
        <f t="shared" si="39"/>
        <v>0</v>
      </c>
      <c r="X98" s="5">
        <f t="shared" si="39"/>
        <v>1</v>
      </c>
      <c r="Y98" s="5">
        <f t="shared" si="39"/>
        <v>2</v>
      </c>
      <c r="Z98" s="5">
        <f t="shared" si="39"/>
        <v>1</v>
      </c>
      <c r="AA98" s="5">
        <f t="shared" si="39"/>
        <v>0</v>
      </c>
      <c r="AB98" s="5">
        <f t="shared" si="39"/>
        <v>1</v>
      </c>
      <c r="AC98" s="5">
        <f t="shared" si="39"/>
        <v>0</v>
      </c>
      <c r="AD98" s="5">
        <f t="shared" si="39"/>
        <v>0</v>
      </c>
      <c r="AE98" s="5">
        <f t="shared" si="39"/>
        <v>1</v>
      </c>
      <c r="AF98" s="5">
        <f t="shared" si="39"/>
        <v>1</v>
      </c>
      <c r="AG98" s="5">
        <f t="shared" si="39"/>
        <v>0</v>
      </c>
      <c r="AH98" s="5">
        <f t="shared" si="39"/>
        <v>1</v>
      </c>
      <c r="AI98" s="5">
        <f t="shared" si="39"/>
        <v>2</v>
      </c>
      <c r="AJ98" s="5">
        <f t="shared" si="39"/>
        <v>2</v>
      </c>
      <c r="AK98" s="5">
        <f t="shared" si="39"/>
        <v>0</v>
      </c>
      <c r="AL98" s="5">
        <f t="shared" si="39"/>
        <v>2</v>
      </c>
      <c r="AM98" s="5">
        <f t="shared" si="39"/>
        <v>1</v>
      </c>
      <c r="AN98" s="5">
        <f t="shared" si="39"/>
        <v>2</v>
      </c>
      <c r="AO98" s="5">
        <f t="shared" si="39"/>
        <v>1</v>
      </c>
      <c r="AP98" s="5">
        <f t="shared" si="39"/>
        <v>0</v>
      </c>
      <c r="AQ98" s="5">
        <f t="shared" si="39"/>
        <v>1</v>
      </c>
      <c r="AR98" s="5">
        <f t="shared" si="39"/>
        <v>32</v>
      </c>
    </row>
    <row r="99" spans="1:44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spans="1:44" x14ac:dyDescent="0.4">
      <c r="A100" s="11" t="s">
        <v>48</v>
      </c>
      <c r="B100" s="17" t="s">
        <v>61</v>
      </c>
      <c r="C100" s="59" t="s">
        <v>62</v>
      </c>
      <c r="D100" s="60"/>
      <c r="E100" s="6">
        <v>0</v>
      </c>
      <c r="F100" s="6">
        <v>0</v>
      </c>
      <c r="G100" s="6">
        <v>0</v>
      </c>
      <c r="H100" s="6">
        <v>1</v>
      </c>
      <c r="I100" s="6">
        <v>3</v>
      </c>
      <c r="J100" s="6">
        <v>1</v>
      </c>
      <c r="K100" s="6">
        <v>0</v>
      </c>
      <c r="L100" s="6">
        <v>1</v>
      </c>
      <c r="M100" s="6">
        <v>0</v>
      </c>
      <c r="N100" s="6">
        <v>1</v>
      </c>
      <c r="O100" s="6">
        <v>0</v>
      </c>
      <c r="P100" s="6">
        <v>2</v>
      </c>
      <c r="Q100" s="6">
        <v>0</v>
      </c>
      <c r="R100" s="6">
        <v>1</v>
      </c>
      <c r="S100" s="6">
        <v>0</v>
      </c>
      <c r="T100" s="6">
        <v>0</v>
      </c>
      <c r="U100" s="6">
        <v>1</v>
      </c>
      <c r="V100" s="6">
        <v>0</v>
      </c>
      <c r="W100" s="6">
        <v>0</v>
      </c>
      <c r="X100" s="6">
        <v>0</v>
      </c>
      <c r="Y100" s="6">
        <v>1</v>
      </c>
      <c r="Z100" s="6">
        <v>0</v>
      </c>
      <c r="AA100" s="6">
        <v>1</v>
      </c>
      <c r="AB100" s="6">
        <v>0</v>
      </c>
      <c r="AC100" s="6">
        <v>1</v>
      </c>
      <c r="AD100" s="6">
        <v>2</v>
      </c>
      <c r="AE100" s="6">
        <v>0</v>
      </c>
      <c r="AF100" s="6">
        <v>2</v>
      </c>
      <c r="AG100" s="6">
        <v>0</v>
      </c>
      <c r="AH100" s="6">
        <v>0</v>
      </c>
      <c r="AI100" s="6">
        <v>0</v>
      </c>
      <c r="AJ100" s="6">
        <v>0</v>
      </c>
      <c r="AK100" s="6">
        <v>2</v>
      </c>
      <c r="AL100" s="6">
        <v>0</v>
      </c>
      <c r="AM100" s="6">
        <v>9</v>
      </c>
      <c r="AN100" s="6">
        <v>11</v>
      </c>
      <c r="AO100" s="6">
        <v>3</v>
      </c>
      <c r="AP100" s="6">
        <v>0</v>
      </c>
      <c r="AQ100" s="6">
        <v>0</v>
      </c>
      <c r="AR100" s="5">
        <f t="shared" ref="AR100:AR106" si="40">SUM(E100:AQ100)</f>
        <v>43</v>
      </c>
    </row>
    <row r="101" spans="1:44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5</v>
      </c>
      <c r="F101" s="6">
        <v>2</v>
      </c>
      <c r="G101" s="6">
        <v>2</v>
      </c>
      <c r="H101" s="6">
        <v>5</v>
      </c>
      <c r="I101" s="6">
        <v>3</v>
      </c>
      <c r="J101" s="6">
        <v>5</v>
      </c>
      <c r="K101" s="6">
        <v>4</v>
      </c>
      <c r="L101" s="6">
        <v>1</v>
      </c>
      <c r="M101" s="6">
        <v>0</v>
      </c>
      <c r="N101" s="6">
        <v>3</v>
      </c>
      <c r="O101" s="6">
        <v>1</v>
      </c>
      <c r="P101" s="6">
        <v>2</v>
      </c>
      <c r="Q101" s="6">
        <v>3</v>
      </c>
      <c r="R101" s="6">
        <v>1</v>
      </c>
      <c r="S101" s="6">
        <v>3</v>
      </c>
      <c r="T101" s="6">
        <v>0</v>
      </c>
      <c r="U101" s="6">
        <v>2</v>
      </c>
      <c r="V101" s="6">
        <v>1</v>
      </c>
      <c r="W101" s="6">
        <v>7</v>
      </c>
      <c r="X101" s="6">
        <v>2</v>
      </c>
      <c r="Y101" s="6">
        <v>0</v>
      </c>
      <c r="Z101" s="6">
        <v>0</v>
      </c>
      <c r="AA101" s="6">
        <v>0</v>
      </c>
      <c r="AB101" s="6">
        <v>1</v>
      </c>
      <c r="AC101" s="6">
        <v>3</v>
      </c>
      <c r="AD101" s="6">
        <v>7</v>
      </c>
      <c r="AE101" s="6">
        <v>24</v>
      </c>
      <c r="AF101" s="6">
        <v>12</v>
      </c>
      <c r="AG101" s="6">
        <v>0</v>
      </c>
      <c r="AH101" s="6">
        <v>4</v>
      </c>
      <c r="AI101" s="6">
        <v>4</v>
      </c>
      <c r="AJ101" s="6">
        <v>0</v>
      </c>
      <c r="AK101" s="6">
        <v>6</v>
      </c>
      <c r="AL101" s="6">
        <v>5</v>
      </c>
      <c r="AM101" s="6">
        <v>28</v>
      </c>
      <c r="AN101" s="6">
        <v>45</v>
      </c>
      <c r="AO101" s="6">
        <v>69</v>
      </c>
      <c r="AP101" s="6">
        <v>21</v>
      </c>
      <c r="AQ101" s="6">
        <v>0</v>
      </c>
      <c r="AR101" s="5">
        <f t="shared" si="40"/>
        <v>281</v>
      </c>
    </row>
    <row r="102" spans="1:44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3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5">
        <f t="shared" si="40"/>
        <v>5</v>
      </c>
    </row>
    <row r="103" spans="1:44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2</v>
      </c>
      <c r="H103" s="6">
        <v>0</v>
      </c>
      <c r="I103" s="6">
        <v>1</v>
      </c>
      <c r="J103" s="6">
        <v>0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1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5">
        <f t="shared" si="40"/>
        <v>5</v>
      </c>
    </row>
    <row r="104" spans="1:44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1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5">
        <f t="shared" si="40"/>
        <v>2</v>
      </c>
    </row>
    <row r="105" spans="1:44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2</v>
      </c>
      <c r="V105" s="6">
        <v>0</v>
      </c>
      <c r="W105" s="6">
        <v>2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5">
        <f t="shared" si="40"/>
        <v>6</v>
      </c>
    </row>
    <row r="106" spans="1:44" x14ac:dyDescent="0.4">
      <c r="A106" s="7"/>
      <c r="B106" s="46">
        <v>6</v>
      </c>
      <c r="C106" s="24" t="s">
        <v>153</v>
      </c>
      <c r="D106" s="47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5">
        <f t="shared" si="40"/>
        <v>3</v>
      </c>
    </row>
    <row r="107" spans="1:44" x14ac:dyDescent="0.4">
      <c r="A107" s="6" t="s">
        <v>26</v>
      </c>
      <c r="B107" s="53" t="s">
        <v>51</v>
      </c>
      <c r="C107" s="54"/>
      <c r="D107" s="55"/>
      <c r="E107" s="5">
        <f t="shared" ref="E107:AR107" si="41">SUM(E100:E106)</f>
        <v>6</v>
      </c>
      <c r="F107" s="5">
        <f t="shared" si="41"/>
        <v>2</v>
      </c>
      <c r="G107" s="5">
        <f t="shared" si="41"/>
        <v>6</v>
      </c>
      <c r="H107" s="5">
        <f t="shared" si="41"/>
        <v>7</v>
      </c>
      <c r="I107" s="5">
        <f t="shared" si="41"/>
        <v>7</v>
      </c>
      <c r="J107" s="5">
        <f t="shared" si="41"/>
        <v>9</v>
      </c>
      <c r="K107" s="5">
        <f t="shared" si="41"/>
        <v>5</v>
      </c>
      <c r="L107" s="5">
        <f t="shared" si="41"/>
        <v>3</v>
      </c>
      <c r="M107" s="5">
        <f t="shared" si="41"/>
        <v>0</v>
      </c>
      <c r="N107" s="5">
        <f t="shared" si="41"/>
        <v>4</v>
      </c>
      <c r="O107" s="5">
        <f t="shared" si="41"/>
        <v>2</v>
      </c>
      <c r="P107" s="5">
        <f t="shared" si="41"/>
        <v>5</v>
      </c>
      <c r="Q107" s="5">
        <f t="shared" si="41"/>
        <v>3</v>
      </c>
      <c r="R107" s="5">
        <f t="shared" si="41"/>
        <v>2</v>
      </c>
      <c r="S107" s="5">
        <f t="shared" si="41"/>
        <v>3</v>
      </c>
      <c r="T107" s="5">
        <f t="shared" si="41"/>
        <v>0</v>
      </c>
      <c r="U107" s="5">
        <f t="shared" si="41"/>
        <v>5</v>
      </c>
      <c r="V107" s="5">
        <f t="shared" si="41"/>
        <v>1</v>
      </c>
      <c r="W107" s="5">
        <f t="shared" si="41"/>
        <v>9</v>
      </c>
      <c r="X107" s="5">
        <f t="shared" si="41"/>
        <v>2</v>
      </c>
      <c r="Y107" s="5">
        <f t="shared" si="41"/>
        <v>1</v>
      </c>
      <c r="Z107" s="5">
        <f t="shared" si="41"/>
        <v>0</v>
      </c>
      <c r="AA107" s="5">
        <f t="shared" si="41"/>
        <v>1</v>
      </c>
      <c r="AB107" s="5">
        <f t="shared" si="41"/>
        <v>1</v>
      </c>
      <c r="AC107" s="5">
        <f t="shared" si="41"/>
        <v>4</v>
      </c>
      <c r="AD107" s="5">
        <f t="shared" si="41"/>
        <v>11</v>
      </c>
      <c r="AE107" s="5">
        <f t="shared" si="41"/>
        <v>24</v>
      </c>
      <c r="AF107" s="5">
        <f t="shared" si="41"/>
        <v>14</v>
      </c>
      <c r="AG107" s="5">
        <f t="shared" si="41"/>
        <v>1</v>
      </c>
      <c r="AH107" s="5">
        <f t="shared" si="41"/>
        <v>4</v>
      </c>
      <c r="AI107" s="5">
        <f t="shared" si="41"/>
        <v>4</v>
      </c>
      <c r="AJ107" s="5">
        <f t="shared" si="41"/>
        <v>0</v>
      </c>
      <c r="AK107" s="5">
        <f t="shared" si="41"/>
        <v>8</v>
      </c>
      <c r="AL107" s="5">
        <f t="shared" si="41"/>
        <v>5</v>
      </c>
      <c r="AM107" s="5">
        <f t="shared" si="41"/>
        <v>37</v>
      </c>
      <c r="AN107" s="5">
        <f t="shared" si="41"/>
        <v>56</v>
      </c>
      <c r="AO107" s="5">
        <f t="shared" si="41"/>
        <v>72</v>
      </c>
      <c r="AP107" s="5">
        <f t="shared" si="41"/>
        <v>21</v>
      </c>
      <c r="AQ107" s="5">
        <f t="shared" si="41"/>
        <v>0</v>
      </c>
      <c r="AR107" s="5">
        <f t="shared" si="41"/>
        <v>345</v>
      </c>
    </row>
    <row r="108" spans="1:44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spans="1:44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1</v>
      </c>
      <c r="AQ109" s="6">
        <v>0</v>
      </c>
      <c r="AR109" s="5">
        <f>SUM(E109:AQ109)</f>
        <v>1</v>
      </c>
    </row>
    <row r="110" spans="1:44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5">
        <f>SUM(E110:AQ110)</f>
        <v>0</v>
      </c>
    </row>
    <row r="111" spans="1:44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5">
        <f>SUM(E111:AQ111)</f>
        <v>1</v>
      </c>
    </row>
    <row r="112" spans="1:44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5">
        <f t="shared" ref="AR112" si="42">SUM(E112:AQ112)</f>
        <v>0</v>
      </c>
    </row>
    <row r="113" spans="1:44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AR113" si="43">SUM(E109:E112)</f>
        <v>0</v>
      </c>
      <c r="F113" s="5">
        <f t="shared" si="43"/>
        <v>0</v>
      </c>
      <c r="G113" s="5">
        <f t="shared" si="43"/>
        <v>0</v>
      </c>
      <c r="H113" s="5">
        <f t="shared" si="43"/>
        <v>0</v>
      </c>
      <c r="I113" s="5">
        <f t="shared" si="43"/>
        <v>0</v>
      </c>
      <c r="J113" s="5">
        <f t="shared" si="43"/>
        <v>0</v>
      </c>
      <c r="K113" s="5">
        <f t="shared" si="43"/>
        <v>0</v>
      </c>
      <c r="L113" s="5">
        <f t="shared" si="43"/>
        <v>0</v>
      </c>
      <c r="M113" s="5">
        <f t="shared" si="43"/>
        <v>1</v>
      </c>
      <c r="N113" s="5">
        <f t="shared" si="43"/>
        <v>0</v>
      </c>
      <c r="O113" s="5">
        <f t="shared" si="43"/>
        <v>0</v>
      </c>
      <c r="P113" s="5">
        <f t="shared" si="43"/>
        <v>0</v>
      </c>
      <c r="Q113" s="5">
        <f t="shared" si="43"/>
        <v>0</v>
      </c>
      <c r="R113" s="5">
        <f t="shared" si="43"/>
        <v>0</v>
      </c>
      <c r="S113" s="5">
        <f t="shared" si="43"/>
        <v>0</v>
      </c>
      <c r="T113" s="5">
        <f t="shared" si="43"/>
        <v>0</v>
      </c>
      <c r="U113" s="5">
        <f t="shared" si="43"/>
        <v>0</v>
      </c>
      <c r="V113" s="5">
        <f t="shared" si="43"/>
        <v>0</v>
      </c>
      <c r="W113" s="5">
        <f t="shared" si="43"/>
        <v>0</v>
      </c>
      <c r="X113" s="5">
        <f t="shared" si="43"/>
        <v>0</v>
      </c>
      <c r="Y113" s="5">
        <f t="shared" si="43"/>
        <v>0</v>
      </c>
      <c r="Z113" s="5">
        <f t="shared" si="43"/>
        <v>0</v>
      </c>
      <c r="AA113" s="5">
        <f t="shared" si="43"/>
        <v>0</v>
      </c>
      <c r="AB113" s="5">
        <f t="shared" si="43"/>
        <v>0</v>
      </c>
      <c r="AC113" s="5">
        <f t="shared" si="43"/>
        <v>0</v>
      </c>
      <c r="AD113" s="5">
        <f t="shared" si="43"/>
        <v>0</v>
      </c>
      <c r="AE113" s="5">
        <f t="shared" si="43"/>
        <v>0</v>
      </c>
      <c r="AF113" s="5">
        <f t="shared" si="43"/>
        <v>0</v>
      </c>
      <c r="AG113" s="5">
        <f t="shared" si="43"/>
        <v>0</v>
      </c>
      <c r="AH113" s="5">
        <f t="shared" si="43"/>
        <v>0</v>
      </c>
      <c r="AI113" s="5">
        <f t="shared" si="43"/>
        <v>0</v>
      </c>
      <c r="AJ113" s="5">
        <f t="shared" si="43"/>
        <v>0</v>
      </c>
      <c r="AK113" s="5">
        <f t="shared" si="43"/>
        <v>0</v>
      </c>
      <c r="AL113" s="5">
        <f t="shared" si="43"/>
        <v>0</v>
      </c>
      <c r="AM113" s="5">
        <f t="shared" si="43"/>
        <v>0</v>
      </c>
      <c r="AN113" s="5">
        <f t="shared" si="43"/>
        <v>0</v>
      </c>
      <c r="AO113" s="5">
        <f t="shared" si="43"/>
        <v>0</v>
      </c>
      <c r="AP113" s="5">
        <f t="shared" si="43"/>
        <v>1</v>
      </c>
      <c r="AQ113" s="5">
        <f t="shared" si="43"/>
        <v>0</v>
      </c>
      <c r="AR113" s="5">
        <f t="shared" si="43"/>
        <v>2</v>
      </c>
    </row>
    <row r="114" spans="1:44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5"/>
    </row>
    <row r="115" spans="1:44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2</v>
      </c>
      <c r="L115" s="6">
        <v>1</v>
      </c>
      <c r="M115" s="6">
        <v>2</v>
      </c>
      <c r="N115" s="6">
        <v>5</v>
      </c>
      <c r="O115" s="6">
        <v>2</v>
      </c>
      <c r="P115" s="6">
        <v>4</v>
      </c>
      <c r="Q115" s="6">
        <v>5</v>
      </c>
      <c r="R115" s="6">
        <v>1</v>
      </c>
      <c r="S115" s="6">
        <v>0</v>
      </c>
      <c r="T115" s="6">
        <v>0</v>
      </c>
      <c r="U115" s="6">
        <v>1</v>
      </c>
      <c r="V115" s="6">
        <v>0</v>
      </c>
      <c r="W115" s="6">
        <v>2</v>
      </c>
      <c r="X115" s="6">
        <v>3</v>
      </c>
      <c r="Y115" s="6">
        <v>1</v>
      </c>
      <c r="Z115" s="6">
        <v>2</v>
      </c>
      <c r="AA115" s="6">
        <v>0</v>
      </c>
      <c r="AB115" s="6">
        <v>1</v>
      </c>
      <c r="AC115" s="6">
        <v>1</v>
      </c>
      <c r="AD115" s="6">
        <v>0</v>
      </c>
      <c r="AE115" s="6">
        <v>0</v>
      </c>
      <c r="AF115" s="6">
        <v>1</v>
      </c>
      <c r="AG115" s="6">
        <v>0</v>
      </c>
      <c r="AH115" s="6">
        <v>0</v>
      </c>
      <c r="AI115" s="6">
        <v>0</v>
      </c>
      <c r="AJ115" s="6">
        <v>4</v>
      </c>
      <c r="AK115" s="6">
        <v>2</v>
      </c>
      <c r="AL115" s="6">
        <v>5</v>
      </c>
      <c r="AM115" s="6">
        <v>1</v>
      </c>
      <c r="AN115" s="6">
        <v>1</v>
      </c>
      <c r="AO115" s="6">
        <v>0</v>
      </c>
      <c r="AP115" s="6">
        <v>3</v>
      </c>
      <c r="AQ115" s="6">
        <v>1</v>
      </c>
      <c r="AR115" s="5">
        <f t="shared" ref="AR115:AR121" si="44">SUM(E115:AQ115)</f>
        <v>51</v>
      </c>
    </row>
    <row r="116" spans="1:44" x14ac:dyDescent="0.4">
      <c r="A116" s="48" t="s">
        <v>50</v>
      </c>
      <c r="B116" s="46">
        <v>1</v>
      </c>
      <c r="C116" s="24" t="s">
        <v>157</v>
      </c>
      <c r="D116" s="47"/>
      <c r="E116" s="49">
        <v>3</v>
      </c>
      <c r="F116" s="6">
        <v>1</v>
      </c>
      <c r="G116" s="6">
        <v>2</v>
      </c>
      <c r="H116" s="6">
        <v>0</v>
      </c>
      <c r="I116" s="6">
        <v>0</v>
      </c>
      <c r="J116" s="6">
        <v>1</v>
      </c>
      <c r="K116" s="6">
        <v>12</v>
      </c>
      <c r="L116" s="6">
        <v>36</v>
      </c>
      <c r="M116" s="6">
        <v>66</v>
      </c>
      <c r="N116" s="6">
        <v>67</v>
      </c>
      <c r="O116" s="6">
        <v>50</v>
      </c>
      <c r="P116" s="6">
        <v>39</v>
      </c>
      <c r="Q116" s="6">
        <v>44</v>
      </c>
      <c r="R116" s="6">
        <v>11</v>
      </c>
      <c r="S116" s="6">
        <v>13</v>
      </c>
      <c r="T116" s="6">
        <v>1</v>
      </c>
      <c r="U116" s="6">
        <v>13</v>
      </c>
      <c r="V116" s="6">
        <v>1</v>
      </c>
      <c r="W116" s="6">
        <v>44</v>
      </c>
      <c r="X116" s="6">
        <v>10</v>
      </c>
      <c r="Y116" s="6">
        <v>11</v>
      </c>
      <c r="Z116" s="6">
        <v>20</v>
      </c>
      <c r="AA116" s="6">
        <v>1</v>
      </c>
      <c r="AB116" s="6">
        <v>9</v>
      </c>
      <c r="AC116" s="6">
        <v>6</v>
      </c>
      <c r="AD116" s="6">
        <v>0</v>
      </c>
      <c r="AE116" s="6">
        <v>3</v>
      </c>
      <c r="AF116" s="6">
        <v>1</v>
      </c>
      <c r="AG116" s="6">
        <v>1</v>
      </c>
      <c r="AH116" s="6">
        <v>0</v>
      </c>
      <c r="AI116" s="6">
        <v>1</v>
      </c>
      <c r="AJ116" s="6">
        <v>23</v>
      </c>
      <c r="AK116" s="6">
        <v>5</v>
      </c>
      <c r="AL116" s="6">
        <v>34</v>
      </c>
      <c r="AM116" s="6">
        <v>2</v>
      </c>
      <c r="AN116" s="6">
        <v>0</v>
      </c>
      <c r="AO116" s="6">
        <v>5</v>
      </c>
      <c r="AP116" s="6">
        <v>49</v>
      </c>
      <c r="AQ116" s="6">
        <v>78</v>
      </c>
      <c r="AR116" s="5">
        <f t="shared" si="44"/>
        <v>663</v>
      </c>
    </row>
    <row r="117" spans="1:44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1</v>
      </c>
      <c r="G117" s="6">
        <v>4</v>
      </c>
      <c r="H117" s="6">
        <v>2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2</v>
      </c>
      <c r="T117" s="6">
        <v>0</v>
      </c>
      <c r="U117" s="6">
        <v>0</v>
      </c>
      <c r="V117" s="6">
        <v>5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5</v>
      </c>
      <c r="AJ117" s="6">
        <v>15</v>
      </c>
      <c r="AK117" s="6">
        <v>0</v>
      </c>
      <c r="AL117" s="6">
        <v>1</v>
      </c>
      <c r="AM117" s="6">
        <v>7</v>
      </c>
      <c r="AN117" s="6">
        <v>2</v>
      </c>
      <c r="AO117" s="6">
        <v>0</v>
      </c>
      <c r="AP117" s="6">
        <v>1</v>
      </c>
      <c r="AQ117" s="6">
        <v>0</v>
      </c>
      <c r="AR117" s="5">
        <f t="shared" si="44"/>
        <v>45</v>
      </c>
    </row>
    <row r="118" spans="1:44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1</v>
      </c>
      <c r="AO118" s="6">
        <v>0</v>
      </c>
      <c r="AP118" s="6">
        <v>0</v>
      </c>
      <c r="AQ118" s="6">
        <v>0</v>
      </c>
      <c r="AR118" s="5">
        <f t="shared" si="44"/>
        <v>2</v>
      </c>
    </row>
    <row r="119" spans="1:44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1</v>
      </c>
      <c r="AQ119" s="6">
        <v>0</v>
      </c>
      <c r="AR119" s="5">
        <f t="shared" si="44"/>
        <v>2</v>
      </c>
    </row>
    <row r="120" spans="1:44" x14ac:dyDescent="0.4">
      <c r="A120" s="7"/>
      <c r="B120" s="46">
        <v>5</v>
      </c>
      <c r="C120" s="24" t="s">
        <v>161</v>
      </c>
      <c r="D120" s="47"/>
      <c r="E120" s="49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5">
        <f t="shared" si="44"/>
        <v>1</v>
      </c>
    </row>
    <row r="121" spans="1:44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1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5">
        <f t="shared" si="44"/>
        <v>1</v>
      </c>
    </row>
    <row r="122" spans="1:44" x14ac:dyDescent="0.4">
      <c r="A122" s="6" t="s">
        <v>26</v>
      </c>
      <c r="B122" s="64" t="s">
        <v>51</v>
      </c>
      <c r="C122" s="65"/>
      <c r="D122" s="66"/>
      <c r="E122" s="5">
        <f t="shared" ref="E122:AR122" si="45">SUM(E115:E121)</f>
        <v>4</v>
      </c>
      <c r="F122" s="5">
        <f t="shared" si="45"/>
        <v>2</v>
      </c>
      <c r="G122" s="5">
        <f t="shared" si="45"/>
        <v>6</v>
      </c>
      <c r="H122" s="5">
        <f t="shared" si="45"/>
        <v>2</v>
      </c>
      <c r="I122" s="5">
        <f t="shared" si="45"/>
        <v>0</v>
      </c>
      <c r="J122" s="5">
        <f t="shared" si="45"/>
        <v>1</v>
      </c>
      <c r="K122" s="5">
        <f t="shared" si="45"/>
        <v>14</v>
      </c>
      <c r="L122" s="5">
        <f t="shared" si="45"/>
        <v>37</v>
      </c>
      <c r="M122" s="5">
        <f t="shared" si="45"/>
        <v>68</v>
      </c>
      <c r="N122" s="5">
        <f t="shared" si="45"/>
        <v>72</v>
      </c>
      <c r="O122" s="5">
        <f t="shared" si="45"/>
        <v>52</v>
      </c>
      <c r="P122" s="5">
        <f t="shared" si="45"/>
        <v>44</v>
      </c>
      <c r="Q122" s="5">
        <f t="shared" si="45"/>
        <v>49</v>
      </c>
      <c r="R122" s="5">
        <f t="shared" si="45"/>
        <v>12</v>
      </c>
      <c r="S122" s="5">
        <f t="shared" si="45"/>
        <v>16</v>
      </c>
      <c r="T122" s="5">
        <f t="shared" si="45"/>
        <v>1</v>
      </c>
      <c r="U122" s="5">
        <f t="shared" si="45"/>
        <v>14</v>
      </c>
      <c r="V122" s="5">
        <f t="shared" si="45"/>
        <v>6</v>
      </c>
      <c r="W122" s="5">
        <f t="shared" si="45"/>
        <v>46</v>
      </c>
      <c r="X122" s="5">
        <f t="shared" si="45"/>
        <v>13</v>
      </c>
      <c r="Y122" s="5">
        <f t="shared" si="45"/>
        <v>12</v>
      </c>
      <c r="Z122" s="5">
        <f t="shared" si="45"/>
        <v>22</v>
      </c>
      <c r="AA122" s="5">
        <f t="shared" si="45"/>
        <v>1</v>
      </c>
      <c r="AB122" s="5">
        <f t="shared" si="45"/>
        <v>10</v>
      </c>
      <c r="AC122" s="5">
        <f t="shared" si="45"/>
        <v>7</v>
      </c>
      <c r="AD122" s="5">
        <f t="shared" si="45"/>
        <v>0</v>
      </c>
      <c r="AE122" s="5">
        <f t="shared" si="45"/>
        <v>3</v>
      </c>
      <c r="AF122" s="5">
        <f t="shared" si="45"/>
        <v>2</v>
      </c>
      <c r="AG122" s="5">
        <f t="shared" si="45"/>
        <v>1</v>
      </c>
      <c r="AH122" s="5">
        <f t="shared" si="45"/>
        <v>0</v>
      </c>
      <c r="AI122" s="5">
        <f t="shared" si="45"/>
        <v>6</v>
      </c>
      <c r="AJ122" s="5">
        <f t="shared" si="45"/>
        <v>42</v>
      </c>
      <c r="AK122" s="5">
        <f t="shared" si="45"/>
        <v>7</v>
      </c>
      <c r="AL122" s="5">
        <f t="shared" si="45"/>
        <v>41</v>
      </c>
      <c r="AM122" s="5">
        <f t="shared" si="45"/>
        <v>10</v>
      </c>
      <c r="AN122" s="5">
        <f t="shared" si="45"/>
        <v>4</v>
      </c>
      <c r="AO122" s="5">
        <f t="shared" si="45"/>
        <v>5</v>
      </c>
      <c r="AP122" s="5">
        <f t="shared" si="45"/>
        <v>54</v>
      </c>
      <c r="AQ122" s="5">
        <f t="shared" si="45"/>
        <v>79</v>
      </c>
      <c r="AR122" s="5">
        <f t="shared" si="45"/>
        <v>765</v>
      </c>
    </row>
    <row r="123" spans="1:44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spans="1:44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1</v>
      </c>
      <c r="AC124" s="6">
        <v>1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1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1</v>
      </c>
      <c r="AR124" s="5">
        <f t="shared" ref="AR124" si="46">SUM(E124:AQ124)</f>
        <v>4</v>
      </c>
    </row>
    <row r="125" spans="1:44" x14ac:dyDescent="0.4">
      <c r="A125" s="6" t="s">
        <v>26</v>
      </c>
      <c r="B125" s="53" t="s">
        <v>51</v>
      </c>
      <c r="C125" s="54"/>
      <c r="D125" s="55"/>
      <c r="E125" s="5">
        <f t="shared" ref="E125:AR125" si="47">SUM(E124:E124)</f>
        <v>0</v>
      </c>
      <c r="F125" s="5">
        <f t="shared" si="47"/>
        <v>0</v>
      </c>
      <c r="G125" s="5">
        <f t="shared" si="47"/>
        <v>0</v>
      </c>
      <c r="H125" s="5">
        <f t="shared" si="47"/>
        <v>0</v>
      </c>
      <c r="I125" s="5">
        <f t="shared" si="47"/>
        <v>0</v>
      </c>
      <c r="J125" s="5">
        <f t="shared" si="47"/>
        <v>0</v>
      </c>
      <c r="K125" s="5">
        <f t="shared" si="47"/>
        <v>0</v>
      </c>
      <c r="L125" s="5">
        <f t="shared" si="47"/>
        <v>0</v>
      </c>
      <c r="M125" s="5">
        <f t="shared" si="47"/>
        <v>0</v>
      </c>
      <c r="N125" s="5">
        <f t="shared" si="47"/>
        <v>0</v>
      </c>
      <c r="O125" s="5">
        <f t="shared" si="47"/>
        <v>0</v>
      </c>
      <c r="P125" s="5">
        <f t="shared" si="47"/>
        <v>0</v>
      </c>
      <c r="Q125" s="5">
        <f t="shared" si="47"/>
        <v>0</v>
      </c>
      <c r="R125" s="5">
        <f t="shared" si="47"/>
        <v>0</v>
      </c>
      <c r="S125" s="5">
        <f t="shared" si="47"/>
        <v>0</v>
      </c>
      <c r="T125" s="5">
        <f t="shared" si="47"/>
        <v>0</v>
      </c>
      <c r="U125" s="5">
        <f t="shared" si="47"/>
        <v>0</v>
      </c>
      <c r="V125" s="5">
        <f t="shared" si="47"/>
        <v>0</v>
      </c>
      <c r="W125" s="5">
        <f t="shared" si="47"/>
        <v>0</v>
      </c>
      <c r="X125" s="5">
        <f t="shared" si="47"/>
        <v>0</v>
      </c>
      <c r="Y125" s="5">
        <f t="shared" si="47"/>
        <v>0</v>
      </c>
      <c r="Z125" s="5">
        <f t="shared" si="47"/>
        <v>0</v>
      </c>
      <c r="AA125" s="5">
        <f t="shared" si="47"/>
        <v>0</v>
      </c>
      <c r="AB125" s="5">
        <f t="shared" si="47"/>
        <v>1</v>
      </c>
      <c r="AC125" s="5">
        <f t="shared" si="47"/>
        <v>1</v>
      </c>
      <c r="AD125" s="5">
        <f t="shared" si="47"/>
        <v>0</v>
      </c>
      <c r="AE125" s="5">
        <f t="shared" si="47"/>
        <v>0</v>
      </c>
      <c r="AF125" s="5">
        <f t="shared" si="47"/>
        <v>0</v>
      </c>
      <c r="AG125" s="5">
        <f t="shared" si="47"/>
        <v>0</v>
      </c>
      <c r="AH125" s="5">
        <f t="shared" si="47"/>
        <v>0</v>
      </c>
      <c r="AI125" s="5">
        <f t="shared" si="47"/>
        <v>0</v>
      </c>
      <c r="AJ125" s="5">
        <f t="shared" si="47"/>
        <v>0</v>
      </c>
      <c r="AK125" s="5">
        <f t="shared" si="47"/>
        <v>1</v>
      </c>
      <c r="AL125" s="5">
        <f t="shared" si="47"/>
        <v>0</v>
      </c>
      <c r="AM125" s="5">
        <f t="shared" si="47"/>
        <v>0</v>
      </c>
      <c r="AN125" s="5">
        <f t="shared" si="47"/>
        <v>0</v>
      </c>
      <c r="AO125" s="5">
        <f t="shared" si="47"/>
        <v>0</v>
      </c>
      <c r="AP125" s="5">
        <f t="shared" si="47"/>
        <v>0</v>
      </c>
      <c r="AQ125" s="5">
        <f t="shared" si="47"/>
        <v>1</v>
      </c>
      <c r="AR125" s="5">
        <f t="shared" si="47"/>
        <v>4</v>
      </c>
    </row>
    <row r="126" spans="1:44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spans="1:44" x14ac:dyDescent="0.4">
      <c r="A127" s="11" t="s">
        <v>48</v>
      </c>
      <c r="B127" s="17" t="s">
        <v>69</v>
      </c>
      <c r="C127" s="59" t="s">
        <v>70</v>
      </c>
      <c r="D127" s="60"/>
      <c r="E127" s="6">
        <v>0</v>
      </c>
      <c r="F127" s="6">
        <v>1</v>
      </c>
      <c r="G127" s="6">
        <v>0</v>
      </c>
      <c r="H127" s="6">
        <v>1</v>
      </c>
      <c r="I127" s="6">
        <v>0</v>
      </c>
      <c r="J127" s="6">
        <v>0</v>
      </c>
      <c r="K127" s="6">
        <v>2</v>
      </c>
      <c r="L127" s="6">
        <v>0</v>
      </c>
      <c r="M127" s="6">
        <v>1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1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1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1</v>
      </c>
      <c r="AJ127" s="6">
        <v>0</v>
      </c>
      <c r="AK127" s="6">
        <v>0</v>
      </c>
      <c r="AL127" s="6">
        <v>0</v>
      </c>
      <c r="AM127" s="6">
        <v>1</v>
      </c>
      <c r="AN127" s="6">
        <v>0</v>
      </c>
      <c r="AO127" s="6">
        <v>2</v>
      </c>
      <c r="AP127" s="6">
        <v>0</v>
      </c>
      <c r="AQ127" s="6">
        <v>0</v>
      </c>
      <c r="AR127" s="5">
        <f t="shared" ref="AR127:AR133" si="48">SUM(E127:AQ127)</f>
        <v>12</v>
      </c>
    </row>
    <row r="128" spans="1:44" x14ac:dyDescent="0.4">
      <c r="A128" s="11" t="s">
        <v>50</v>
      </c>
      <c r="B128" s="46">
        <v>1</v>
      </c>
      <c r="C128" s="24" t="s">
        <v>163</v>
      </c>
      <c r="D128" s="47"/>
      <c r="E128" s="6">
        <v>1</v>
      </c>
      <c r="F128" s="6">
        <v>1</v>
      </c>
      <c r="G128" s="6">
        <v>0</v>
      </c>
      <c r="H128" s="6">
        <v>5</v>
      </c>
      <c r="I128" s="6">
        <v>0</v>
      </c>
      <c r="J128" s="6">
        <v>2</v>
      </c>
      <c r="K128" s="6">
        <v>1</v>
      </c>
      <c r="L128" s="6">
        <v>1</v>
      </c>
      <c r="M128" s="6">
        <v>1</v>
      </c>
      <c r="N128" s="6">
        <v>0</v>
      </c>
      <c r="O128" s="6">
        <v>3</v>
      </c>
      <c r="P128" s="6">
        <v>0</v>
      </c>
      <c r="Q128" s="6">
        <v>0</v>
      </c>
      <c r="R128" s="6">
        <v>2</v>
      </c>
      <c r="S128" s="6">
        <v>2</v>
      </c>
      <c r="T128" s="6">
        <v>5</v>
      </c>
      <c r="U128" s="6">
        <v>0</v>
      </c>
      <c r="V128" s="6">
        <v>0</v>
      </c>
      <c r="W128" s="6">
        <v>0</v>
      </c>
      <c r="X128" s="6">
        <v>2</v>
      </c>
      <c r="Y128" s="6">
        <v>0</v>
      </c>
      <c r="Z128" s="6">
        <v>2</v>
      </c>
      <c r="AA128" s="6">
        <v>0</v>
      </c>
      <c r="AB128" s="6">
        <v>1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1</v>
      </c>
      <c r="AL128" s="6">
        <v>0</v>
      </c>
      <c r="AM128" s="6">
        <v>0</v>
      </c>
      <c r="AN128" s="6">
        <v>0</v>
      </c>
      <c r="AO128" s="6">
        <v>1</v>
      </c>
      <c r="AP128" s="6">
        <v>0</v>
      </c>
      <c r="AQ128" s="6">
        <v>0</v>
      </c>
      <c r="AR128" s="5">
        <f t="shared" si="48"/>
        <v>32</v>
      </c>
    </row>
    <row r="129" spans="1:44" x14ac:dyDescent="0.4">
      <c r="A129" s="7"/>
      <c r="B129" s="46">
        <v>2</v>
      </c>
      <c r="C129" s="24" t="s">
        <v>164</v>
      </c>
      <c r="D129" s="47"/>
      <c r="E129" s="6">
        <v>0</v>
      </c>
      <c r="F129" s="6">
        <v>0</v>
      </c>
      <c r="G129" s="6">
        <v>4</v>
      </c>
      <c r="H129" s="6">
        <v>0</v>
      </c>
      <c r="I129" s="6">
        <v>0</v>
      </c>
      <c r="J129" s="6">
        <v>1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5">
        <f t="shared" si="48"/>
        <v>6</v>
      </c>
    </row>
    <row r="130" spans="1:44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1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1</v>
      </c>
      <c r="AH130" s="6">
        <v>1</v>
      </c>
      <c r="AI130" s="6">
        <v>0</v>
      </c>
      <c r="AJ130" s="6">
        <v>1</v>
      </c>
      <c r="AK130" s="6">
        <v>0</v>
      </c>
      <c r="AL130" s="6">
        <v>4</v>
      </c>
      <c r="AM130" s="6">
        <v>13</v>
      </c>
      <c r="AN130" s="6">
        <v>0</v>
      </c>
      <c r="AO130" s="6">
        <v>1</v>
      </c>
      <c r="AP130" s="6">
        <v>1</v>
      </c>
      <c r="AQ130" s="6">
        <v>0</v>
      </c>
      <c r="AR130" s="5">
        <f t="shared" si="48"/>
        <v>26</v>
      </c>
    </row>
    <row r="131" spans="1:44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1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1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1</v>
      </c>
      <c r="AN131" s="6">
        <v>0</v>
      </c>
      <c r="AO131" s="6">
        <v>0</v>
      </c>
      <c r="AP131" s="6">
        <v>0</v>
      </c>
      <c r="AQ131" s="6">
        <v>0</v>
      </c>
      <c r="AR131" s="5">
        <f t="shared" si="48"/>
        <v>5</v>
      </c>
    </row>
    <row r="132" spans="1:44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2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5">
        <f t="shared" si="48"/>
        <v>4</v>
      </c>
    </row>
    <row r="133" spans="1:44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1</v>
      </c>
      <c r="G133" s="6">
        <v>0</v>
      </c>
      <c r="H133" s="6">
        <v>2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5">
        <f t="shared" si="48"/>
        <v>4</v>
      </c>
    </row>
    <row r="134" spans="1:44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AR134" si="49">SUM(E127:E133)</f>
        <v>1</v>
      </c>
      <c r="F134" s="5">
        <f t="shared" si="49"/>
        <v>3</v>
      </c>
      <c r="G134" s="5">
        <f t="shared" si="49"/>
        <v>7</v>
      </c>
      <c r="H134" s="5">
        <f t="shared" si="49"/>
        <v>8</v>
      </c>
      <c r="I134" s="5">
        <f t="shared" si="49"/>
        <v>2</v>
      </c>
      <c r="J134" s="5">
        <f t="shared" si="49"/>
        <v>4</v>
      </c>
      <c r="K134" s="5">
        <f t="shared" si="49"/>
        <v>4</v>
      </c>
      <c r="L134" s="5">
        <f t="shared" si="49"/>
        <v>2</v>
      </c>
      <c r="M134" s="5">
        <f t="shared" si="49"/>
        <v>2</v>
      </c>
      <c r="N134" s="5">
        <f t="shared" si="49"/>
        <v>2</v>
      </c>
      <c r="O134" s="5">
        <f t="shared" si="49"/>
        <v>3</v>
      </c>
      <c r="P134" s="5">
        <f t="shared" si="49"/>
        <v>1</v>
      </c>
      <c r="Q134" s="5">
        <f t="shared" si="49"/>
        <v>1</v>
      </c>
      <c r="R134" s="5">
        <f t="shared" si="49"/>
        <v>2</v>
      </c>
      <c r="S134" s="5">
        <f t="shared" si="49"/>
        <v>4</v>
      </c>
      <c r="T134" s="5">
        <f t="shared" si="49"/>
        <v>5</v>
      </c>
      <c r="U134" s="5">
        <f t="shared" si="49"/>
        <v>0</v>
      </c>
      <c r="V134" s="5">
        <f t="shared" si="49"/>
        <v>0</v>
      </c>
      <c r="W134" s="5">
        <f t="shared" si="49"/>
        <v>0</v>
      </c>
      <c r="X134" s="5">
        <f t="shared" si="49"/>
        <v>2</v>
      </c>
      <c r="Y134" s="5">
        <f t="shared" si="49"/>
        <v>0</v>
      </c>
      <c r="Z134" s="5">
        <f t="shared" si="49"/>
        <v>2</v>
      </c>
      <c r="AA134" s="5">
        <f t="shared" si="49"/>
        <v>2</v>
      </c>
      <c r="AB134" s="5">
        <f t="shared" si="49"/>
        <v>1</v>
      </c>
      <c r="AC134" s="5">
        <f t="shared" si="49"/>
        <v>1</v>
      </c>
      <c r="AD134" s="5">
        <f t="shared" si="49"/>
        <v>0</v>
      </c>
      <c r="AE134" s="5">
        <f t="shared" si="49"/>
        <v>0</v>
      </c>
      <c r="AF134" s="5">
        <f t="shared" si="49"/>
        <v>0</v>
      </c>
      <c r="AG134" s="5">
        <f t="shared" si="49"/>
        <v>1</v>
      </c>
      <c r="AH134" s="5">
        <f t="shared" si="49"/>
        <v>2</v>
      </c>
      <c r="AI134" s="5">
        <f t="shared" si="49"/>
        <v>1</v>
      </c>
      <c r="AJ134" s="5">
        <f t="shared" si="49"/>
        <v>1</v>
      </c>
      <c r="AK134" s="5">
        <f t="shared" si="49"/>
        <v>1</v>
      </c>
      <c r="AL134" s="5">
        <f t="shared" si="49"/>
        <v>4</v>
      </c>
      <c r="AM134" s="5">
        <f t="shared" si="49"/>
        <v>15</v>
      </c>
      <c r="AN134" s="5">
        <f t="shared" si="49"/>
        <v>0</v>
      </c>
      <c r="AO134" s="5">
        <f t="shared" si="49"/>
        <v>4</v>
      </c>
      <c r="AP134" s="5">
        <f t="shared" si="49"/>
        <v>1</v>
      </c>
      <c r="AQ134" s="5">
        <f t="shared" si="49"/>
        <v>0</v>
      </c>
      <c r="AR134" s="5">
        <f t="shared" si="49"/>
        <v>89</v>
      </c>
    </row>
    <row r="135" spans="1:44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V135" s="18"/>
      <c r="W135" s="18"/>
      <c r="X135" s="18"/>
      <c r="Y135" s="18"/>
      <c r="Z135" s="18"/>
      <c r="AA135" s="18"/>
      <c r="AB135" s="18"/>
      <c r="AC135" s="18"/>
      <c r="AD135" s="18"/>
      <c r="AR135" s="5"/>
    </row>
    <row r="136" spans="1:44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1</v>
      </c>
      <c r="AN136" s="6">
        <v>1</v>
      </c>
      <c r="AO136" s="6">
        <v>0</v>
      </c>
      <c r="AP136" s="6">
        <v>0</v>
      </c>
      <c r="AQ136" s="6">
        <v>0</v>
      </c>
      <c r="AR136" s="5">
        <f t="shared" ref="AR136:AR141" si="50">SUM(E136:AQ136)</f>
        <v>4</v>
      </c>
    </row>
    <row r="137" spans="1:44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2</v>
      </c>
      <c r="Q137" s="6">
        <v>0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2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5">
        <f t="shared" si="50"/>
        <v>5</v>
      </c>
    </row>
    <row r="138" spans="1:44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2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1</v>
      </c>
      <c r="AE138" s="6">
        <v>0</v>
      </c>
      <c r="AF138" s="6">
        <v>0</v>
      </c>
      <c r="AG138" s="6">
        <v>0</v>
      </c>
      <c r="AH138" s="6">
        <v>0</v>
      </c>
      <c r="AI138" s="6">
        <v>4</v>
      </c>
      <c r="AJ138" s="6">
        <v>0</v>
      </c>
      <c r="AK138" s="6">
        <v>0</v>
      </c>
      <c r="AL138" s="6">
        <v>0</v>
      </c>
      <c r="AM138" s="6">
        <v>1</v>
      </c>
      <c r="AN138" s="6">
        <v>0</v>
      </c>
      <c r="AO138" s="6">
        <v>0</v>
      </c>
      <c r="AP138" s="6">
        <v>0</v>
      </c>
      <c r="AQ138" s="6">
        <v>0</v>
      </c>
      <c r="AR138" s="5">
        <f t="shared" si="50"/>
        <v>10</v>
      </c>
    </row>
    <row r="139" spans="1:44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5">
        <f t="shared" si="50"/>
        <v>1</v>
      </c>
    </row>
    <row r="140" spans="1:44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5">
        <f t="shared" si="50"/>
        <v>1</v>
      </c>
    </row>
    <row r="141" spans="1:44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5">
        <f t="shared" si="50"/>
        <v>0</v>
      </c>
    </row>
    <row r="142" spans="1:44" x14ac:dyDescent="0.4">
      <c r="A142" s="6" t="s">
        <v>26</v>
      </c>
      <c r="B142" s="53" t="s">
        <v>51</v>
      </c>
      <c r="C142" s="54"/>
      <c r="D142" s="55"/>
      <c r="E142" s="5">
        <f t="shared" ref="E142:AR142" si="51">SUM(E136:E141)</f>
        <v>0</v>
      </c>
      <c r="F142" s="5">
        <f t="shared" si="51"/>
        <v>0</v>
      </c>
      <c r="G142" s="5">
        <f t="shared" si="51"/>
        <v>0</v>
      </c>
      <c r="H142" s="5">
        <f t="shared" si="51"/>
        <v>0</v>
      </c>
      <c r="I142" s="5">
        <f t="shared" si="51"/>
        <v>2</v>
      </c>
      <c r="J142" s="5">
        <f t="shared" si="51"/>
        <v>0</v>
      </c>
      <c r="K142" s="5">
        <f t="shared" si="51"/>
        <v>1</v>
      </c>
      <c r="L142" s="5">
        <f t="shared" si="51"/>
        <v>0</v>
      </c>
      <c r="M142" s="5">
        <f t="shared" si="51"/>
        <v>0</v>
      </c>
      <c r="N142" s="5">
        <f t="shared" si="51"/>
        <v>0</v>
      </c>
      <c r="O142" s="5">
        <f t="shared" si="51"/>
        <v>1</v>
      </c>
      <c r="P142" s="5">
        <f t="shared" si="51"/>
        <v>2</v>
      </c>
      <c r="Q142" s="5">
        <f t="shared" si="51"/>
        <v>0</v>
      </c>
      <c r="R142" s="5">
        <f t="shared" si="51"/>
        <v>1</v>
      </c>
      <c r="S142" s="5">
        <f t="shared" si="51"/>
        <v>1</v>
      </c>
      <c r="T142" s="5">
        <f t="shared" si="51"/>
        <v>0</v>
      </c>
      <c r="U142" s="5">
        <f t="shared" si="51"/>
        <v>2</v>
      </c>
      <c r="V142" s="5">
        <f t="shared" si="51"/>
        <v>0</v>
      </c>
      <c r="W142" s="5">
        <f t="shared" si="51"/>
        <v>0</v>
      </c>
      <c r="X142" s="5">
        <f t="shared" si="51"/>
        <v>0</v>
      </c>
      <c r="Y142" s="5">
        <f t="shared" si="51"/>
        <v>0</v>
      </c>
      <c r="Z142" s="5">
        <f t="shared" si="51"/>
        <v>0</v>
      </c>
      <c r="AA142" s="5">
        <f t="shared" si="51"/>
        <v>0</v>
      </c>
      <c r="AB142" s="5">
        <f t="shared" si="51"/>
        <v>0</v>
      </c>
      <c r="AC142" s="5">
        <f t="shared" si="51"/>
        <v>0</v>
      </c>
      <c r="AD142" s="5">
        <f t="shared" si="51"/>
        <v>1</v>
      </c>
      <c r="AE142" s="5">
        <f t="shared" si="51"/>
        <v>0</v>
      </c>
      <c r="AF142" s="5">
        <f t="shared" si="51"/>
        <v>2</v>
      </c>
      <c r="AG142" s="5">
        <f t="shared" si="51"/>
        <v>0</v>
      </c>
      <c r="AH142" s="5">
        <f t="shared" si="51"/>
        <v>0</v>
      </c>
      <c r="AI142" s="5">
        <f t="shared" si="51"/>
        <v>4</v>
      </c>
      <c r="AJ142" s="5">
        <f t="shared" si="51"/>
        <v>0</v>
      </c>
      <c r="AK142" s="5">
        <f t="shared" si="51"/>
        <v>1</v>
      </c>
      <c r="AL142" s="5">
        <f t="shared" si="51"/>
        <v>0</v>
      </c>
      <c r="AM142" s="5">
        <f t="shared" si="51"/>
        <v>2</v>
      </c>
      <c r="AN142" s="5">
        <f t="shared" si="51"/>
        <v>1</v>
      </c>
      <c r="AO142" s="5">
        <f t="shared" si="51"/>
        <v>0</v>
      </c>
      <c r="AP142" s="5">
        <f t="shared" si="51"/>
        <v>0</v>
      </c>
      <c r="AQ142" s="5">
        <f t="shared" si="51"/>
        <v>0</v>
      </c>
      <c r="AR142" s="5">
        <f t="shared" si="51"/>
        <v>21</v>
      </c>
    </row>
    <row r="143" spans="1:44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spans="1:44" x14ac:dyDescent="0.4">
      <c r="A144" s="11" t="s">
        <v>48</v>
      </c>
      <c r="B144" s="17" t="s">
        <v>73</v>
      </c>
      <c r="C144" s="59" t="s">
        <v>74</v>
      </c>
      <c r="D144" s="60"/>
      <c r="E144" s="6">
        <v>3</v>
      </c>
      <c r="F144" s="6">
        <v>4</v>
      </c>
      <c r="G144" s="6">
        <v>0</v>
      </c>
      <c r="H144" s="6">
        <v>4</v>
      </c>
      <c r="I144" s="6">
        <v>5</v>
      </c>
      <c r="J144" s="6">
        <v>0</v>
      </c>
      <c r="K144" s="6">
        <v>0</v>
      </c>
      <c r="L144" s="6">
        <v>1</v>
      </c>
      <c r="M144" s="6">
        <v>1</v>
      </c>
      <c r="N144" s="6">
        <v>1</v>
      </c>
      <c r="O144" s="6">
        <v>1</v>
      </c>
      <c r="P144" s="6">
        <v>3</v>
      </c>
      <c r="Q144" s="6">
        <v>1</v>
      </c>
      <c r="R144" s="6">
        <v>2</v>
      </c>
      <c r="S144" s="6">
        <v>2</v>
      </c>
      <c r="T144" s="6">
        <v>0</v>
      </c>
      <c r="U144" s="6">
        <v>0</v>
      </c>
      <c r="V144" s="6">
        <v>0</v>
      </c>
      <c r="W144" s="6">
        <v>0</v>
      </c>
      <c r="X144" s="6">
        <v>1</v>
      </c>
      <c r="Y144" s="6">
        <v>2</v>
      </c>
      <c r="Z144" s="6">
        <v>1</v>
      </c>
      <c r="AA144" s="6">
        <v>0</v>
      </c>
      <c r="AB144" s="6">
        <v>0</v>
      </c>
      <c r="AC144" s="6">
        <v>1</v>
      </c>
      <c r="AD144" s="6">
        <v>4</v>
      </c>
      <c r="AE144" s="6">
        <v>3</v>
      </c>
      <c r="AF144" s="6">
        <v>0</v>
      </c>
      <c r="AG144" s="6">
        <v>1</v>
      </c>
      <c r="AH144" s="6">
        <v>0</v>
      </c>
      <c r="AI144" s="6">
        <v>2</v>
      </c>
      <c r="AJ144" s="6">
        <v>0</v>
      </c>
      <c r="AK144" s="6">
        <v>0</v>
      </c>
      <c r="AL144" s="6">
        <v>0</v>
      </c>
      <c r="AM144" s="6">
        <v>1</v>
      </c>
      <c r="AN144" s="6">
        <v>0</v>
      </c>
      <c r="AO144" s="6">
        <v>1</v>
      </c>
      <c r="AP144" s="6">
        <v>0</v>
      </c>
      <c r="AQ144" s="6">
        <v>0</v>
      </c>
      <c r="AR144" s="5">
        <f t="shared" ref="AR144:AR150" si="52">SUM(E144:AQ144)</f>
        <v>45</v>
      </c>
    </row>
    <row r="145" spans="1:44" x14ac:dyDescent="0.4">
      <c r="A145" s="11" t="s">
        <v>50</v>
      </c>
      <c r="B145" s="46">
        <v>1</v>
      </c>
      <c r="C145" s="24" t="s">
        <v>174</v>
      </c>
      <c r="D145" s="47"/>
      <c r="E145" s="6">
        <v>5</v>
      </c>
      <c r="F145" s="6">
        <v>2</v>
      </c>
      <c r="G145" s="6">
        <v>2</v>
      </c>
      <c r="H145" s="6">
        <v>0</v>
      </c>
      <c r="I145" s="6">
        <v>0</v>
      </c>
      <c r="J145" s="6">
        <v>1</v>
      </c>
      <c r="K145" s="6">
        <v>2</v>
      </c>
      <c r="L145" s="6">
        <v>1</v>
      </c>
      <c r="M145" s="6">
        <v>0</v>
      </c>
      <c r="N145" s="6">
        <v>1</v>
      </c>
      <c r="O145" s="6">
        <v>3</v>
      </c>
      <c r="P145" s="6">
        <v>2</v>
      </c>
      <c r="Q145" s="6">
        <v>0</v>
      </c>
      <c r="R145" s="6">
        <v>3</v>
      </c>
      <c r="S145" s="6">
        <v>6</v>
      </c>
      <c r="T145" s="6">
        <v>0</v>
      </c>
      <c r="U145" s="6">
        <v>2</v>
      </c>
      <c r="V145" s="6">
        <v>1</v>
      </c>
      <c r="W145" s="6">
        <v>1</v>
      </c>
      <c r="X145" s="6">
        <v>0</v>
      </c>
      <c r="Y145" s="6">
        <v>0</v>
      </c>
      <c r="Z145" s="6">
        <v>1</v>
      </c>
      <c r="AA145" s="6">
        <v>0</v>
      </c>
      <c r="AB145" s="6">
        <v>1</v>
      </c>
      <c r="AC145" s="6">
        <v>0</v>
      </c>
      <c r="AD145" s="6">
        <v>2</v>
      </c>
      <c r="AE145" s="6">
        <v>0</v>
      </c>
      <c r="AF145" s="6">
        <v>0</v>
      </c>
      <c r="AG145" s="6">
        <v>0</v>
      </c>
      <c r="AH145" s="6">
        <v>1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5">
        <f t="shared" si="52"/>
        <v>37</v>
      </c>
    </row>
    <row r="146" spans="1:44" x14ac:dyDescent="0.4">
      <c r="A146" s="7"/>
      <c r="B146" s="46">
        <v>2</v>
      </c>
      <c r="C146" s="24" t="s">
        <v>175</v>
      </c>
      <c r="D146" s="47"/>
      <c r="E146" s="6">
        <v>3</v>
      </c>
      <c r="F146" s="6">
        <v>8</v>
      </c>
      <c r="G146" s="6">
        <v>1</v>
      </c>
      <c r="H146" s="6">
        <v>12</v>
      </c>
      <c r="I146" s="6">
        <v>20</v>
      </c>
      <c r="J146" s="6">
        <v>1</v>
      </c>
      <c r="K146" s="6">
        <v>1</v>
      </c>
      <c r="L146" s="6">
        <v>1</v>
      </c>
      <c r="M146" s="6">
        <v>0</v>
      </c>
      <c r="N146" s="6">
        <v>2</v>
      </c>
      <c r="O146" s="6">
        <v>0</v>
      </c>
      <c r="P146" s="6">
        <v>1</v>
      </c>
      <c r="Q146" s="6">
        <v>1</v>
      </c>
      <c r="R146" s="6">
        <v>5</v>
      </c>
      <c r="S146" s="6">
        <v>2</v>
      </c>
      <c r="T146" s="6">
        <v>0</v>
      </c>
      <c r="U146" s="6">
        <v>2</v>
      </c>
      <c r="V146" s="6">
        <v>1</v>
      </c>
      <c r="W146" s="6">
        <v>9</v>
      </c>
      <c r="X146" s="6">
        <v>6</v>
      </c>
      <c r="Y146" s="6">
        <v>1</v>
      </c>
      <c r="Z146" s="6">
        <v>6</v>
      </c>
      <c r="AA146" s="6">
        <v>1</v>
      </c>
      <c r="AB146" s="6">
        <v>6</v>
      </c>
      <c r="AC146" s="6">
        <v>0</v>
      </c>
      <c r="AD146" s="6">
        <v>4</v>
      </c>
      <c r="AE146" s="6">
        <v>3</v>
      </c>
      <c r="AF146" s="6">
        <v>5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5</v>
      </c>
      <c r="AR146" s="5">
        <f t="shared" si="52"/>
        <v>109</v>
      </c>
    </row>
    <row r="147" spans="1:44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0</v>
      </c>
      <c r="S147" s="6">
        <v>1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5">
        <f t="shared" si="52"/>
        <v>3</v>
      </c>
    </row>
    <row r="148" spans="1:44" x14ac:dyDescent="0.4">
      <c r="A148" s="7"/>
      <c r="B148" s="46">
        <v>4</v>
      </c>
      <c r="C148" s="24" t="s">
        <v>177</v>
      </c>
      <c r="D148" s="47"/>
      <c r="E148" s="6">
        <v>1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1</v>
      </c>
      <c r="Y148" s="6">
        <v>0</v>
      </c>
      <c r="Z148" s="6">
        <v>0</v>
      </c>
      <c r="AA148" s="6">
        <v>0</v>
      </c>
      <c r="AB148" s="6">
        <v>0</v>
      </c>
      <c r="AC148" s="6">
        <v>1</v>
      </c>
      <c r="AD148" s="6">
        <v>10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5">
        <f t="shared" si="52"/>
        <v>14</v>
      </c>
    </row>
    <row r="149" spans="1:44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5">
        <f t="shared" si="52"/>
        <v>2</v>
      </c>
    </row>
    <row r="150" spans="1:44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1</v>
      </c>
      <c r="AD150" s="6">
        <v>0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5">
        <f t="shared" si="52"/>
        <v>3</v>
      </c>
    </row>
    <row r="151" spans="1:44" x14ac:dyDescent="0.4">
      <c r="A151" s="6" t="s">
        <v>26</v>
      </c>
      <c r="B151" s="53" t="s">
        <v>51</v>
      </c>
      <c r="C151" s="54"/>
      <c r="D151" s="55"/>
      <c r="E151" s="5">
        <f t="shared" ref="E151:AR151" si="53">SUM(E144:E150)</f>
        <v>12</v>
      </c>
      <c r="F151" s="5">
        <f t="shared" si="53"/>
        <v>15</v>
      </c>
      <c r="G151" s="5">
        <f t="shared" si="53"/>
        <v>3</v>
      </c>
      <c r="H151" s="5">
        <f t="shared" si="53"/>
        <v>16</v>
      </c>
      <c r="I151" s="5">
        <f t="shared" si="53"/>
        <v>25</v>
      </c>
      <c r="J151" s="5">
        <f t="shared" si="53"/>
        <v>2</v>
      </c>
      <c r="K151" s="5">
        <f t="shared" si="53"/>
        <v>4</v>
      </c>
      <c r="L151" s="5">
        <f t="shared" si="53"/>
        <v>3</v>
      </c>
      <c r="M151" s="5">
        <f t="shared" si="53"/>
        <v>1</v>
      </c>
      <c r="N151" s="5">
        <f t="shared" si="53"/>
        <v>4</v>
      </c>
      <c r="O151" s="5">
        <f t="shared" si="53"/>
        <v>5</v>
      </c>
      <c r="P151" s="5">
        <f t="shared" si="53"/>
        <v>6</v>
      </c>
      <c r="Q151" s="5">
        <f t="shared" si="53"/>
        <v>3</v>
      </c>
      <c r="R151" s="5">
        <f t="shared" si="53"/>
        <v>10</v>
      </c>
      <c r="S151" s="5">
        <f t="shared" si="53"/>
        <v>11</v>
      </c>
      <c r="T151" s="5">
        <f t="shared" si="53"/>
        <v>0</v>
      </c>
      <c r="U151" s="5">
        <f t="shared" si="53"/>
        <v>5</v>
      </c>
      <c r="V151" s="5">
        <f t="shared" si="53"/>
        <v>2</v>
      </c>
      <c r="W151" s="5">
        <f t="shared" si="53"/>
        <v>10</v>
      </c>
      <c r="X151" s="5">
        <f t="shared" si="53"/>
        <v>8</v>
      </c>
      <c r="Y151" s="5">
        <f t="shared" si="53"/>
        <v>3</v>
      </c>
      <c r="Z151" s="5">
        <f t="shared" si="53"/>
        <v>8</v>
      </c>
      <c r="AA151" s="5">
        <f t="shared" si="53"/>
        <v>1</v>
      </c>
      <c r="AB151" s="5">
        <f t="shared" si="53"/>
        <v>7</v>
      </c>
      <c r="AC151" s="5">
        <f t="shared" si="53"/>
        <v>3</v>
      </c>
      <c r="AD151" s="5">
        <f t="shared" si="53"/>
        <v>20</v>
      </c>
      <c r="AE151" s="5">
        <f t="shared" si="53"/>
        <v>7</v>
      </c>
      <c r="AF151" s="5">
        <f t="shared" si="53"/>
        <v>5</v>
      </c>
      <c r="AG151" s="5">
        <f t="shared" si="53"/>
        <v>1</v>
      </c>
      <c r="AH151" s="5">
        <f t="shared" si="53"/>
        <v>4</v>
      </c>
      <c r="AI151" s="5">
        <f t="shared" si="53"/>
        <v>2</v>
      </c>
      <c r="AJ151" s="5">
        <f t="shared" si="53"/>
        <v>0</v>
      </c>
      <c r="AK151" s="5">
        <f t="shared" si="53"/>
        <v>0</v>
      </c>
      <c r="AL151" s="5">
        <f t="shared" si="53"/>
        <v>0</v>
      </c>
      <c r="AM151" s="5">
        <f t="shared" si="53"/>
        <v>1</v>
      </c>
      <c r="AN151" s="5">
        <f t="shared" si="53"/>
        <v>0</v>
      </c>
      <c r="AO151" s="5">
        <f t="shared" si="53"/>
        <v>1</v>
      </c>
      <c r="AP151" s="5">
        <f t="shared" si="53"/>
        <v>0</v>
      </c>
      <c r="AQ151" s="5">
        <f t="shared" si="53"/>
        <v>5</v>
      </c>
      <c r="AR151" s="5">
        <f t="shared" si="53"/>
        <v>213</v>
      </c>
    </row>
    <row r="152" spans="1:44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spans="1:44" x14ac:dyDescent="0.4">
      <c r="A153" s="11" t="s">
        <v>48</v>
      </c>
      <c r="B153" s="17" t="s">
        <v>75</v>
      </c>
      <c r="C153" s="59" t="s">
        <v>76</v>
      </c>
      <c r="D153" s="60"/>
      <c r="E153" s="6">
        <v>0</v>
      </c>
      <c r="F153" s="6">
        <v>0</v>
      </c>
      <c r="G153" s="6">
        <v>1</v>
      </c>
      <c r="H153" s="6">
        <v>1</v>
      </c>
      <c r="I153" s="6">
        <v>1</v>
      </c>
      <c r="J153" s="6">
        <v>2</v>
      </c>
      <c r="K153" s="6">
        <v>0</v>
      </c>
      <c r="L153" s="6">
        <v>1</v>
      </c>
      <c r="M153" s="6">
        <v>0</v>
      </c>
      <c r="N153" s="6">
        <v>0</v>
      </c>
      <c r="O153" s="6">
        <v>2</v>
      </c>
      <c r="P153" s="6">
        <v>1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1</v>
      </c>
      <c r="Y153" s="6">
        <v>0</v>
      </c>
      <c r="Z153" s="6">
        <v>0</v>
      </c>
      <c r="AA153" s="6">
        <v>3</v>
      </c>
      <c r="AB153" s="6">
        <v>0</v>
      </c>
      <c r="AC153" s="6">
        <v>0</v>
      </c>
      <c r="AD153" s="6">
        <v>1</v>
      </c>
      <c r="AE153" s="6">
        <v>2</v>
      </c>
      <c r="AF153" s="6">
        <v>0</v>
      </c>
      <c r="AG153" s="6">
        <v>5</v>
      </c>
      <c r="AH153" s="6">
        <v>1</v>
      </c>
      <c r="AI153" s="6">
        <v>2</v>
      </c>
      <c r="AJ153" s="6">
        <v>2</v>
      </c>
      <c r="AK153" s="6">
        <v>0</v>
      </c>
      <c r="AL153" s="6">
        <v>2</v>
      </c>
      <c r="AM153" s="6">
        <v>6</v>
      </c>
      <c r="AN153" s="6">
        <v>2</v>
      </c>
      <c r="AO153" s="6">
        <v>0</v>
      </c>
      <c r="AP153" s="6">
        <v>3</v>
      </c>
      <c r="AQ153" s="6">
        <v>1</v>
      </c>
      <c r="AR153" s="5">
        <f>SUM(E153:AQ153)</f>
        <v>41</v>
      </c>
    </row>
    <row r="154" spans="1:44" x14ac:dyDescent="0.4">
      <c r="A154" s="11" t="s">
        <v>50</v>
      </c>
      <c r="B154" s="46">
        <v>1</v>
      </c>
      <c r="C154" s="24" t="s">
        <v>180</v>
      </c>
      <c r="D154" s="47"/>
      <c r="E154" s="6">
        <v>0</v>
      </c>
      <c r="F154" s="6">
        <v>0</v>
      </c>
      <c r="G154" s="6">
        <v>0</v>
      </c>
      <c r="H154" s="6">
        <v>0</v>
      </c>
      <c r="I154" s="6">
        <v>2</v>
      </c>
      <c r="J154" s="6">
        <v>0</v>
      </c>
      <c r="K154" s="6">
        <v>0</v>
      </c>
      <c r="L154" s="6">
        <v>0</v>
      </c>
      <c r="M154" s="6">
        <v>1</v>
      </c>
      <c r="N154" s="6">
        <v>1</v>
      </c>
      <c r="O154" s="6">
        <v>1</v>
      </c>
      <c r="P154" s="6">
        <v>0</v>
      </c>
      <c r="Q154" s="6">
        <v>0</v>
      </c>
      <c r="R154" s="6">
        <v>0</v>
      </c>
      <c r="S154" s="6">
        <v>1</v>
      </c>
      <c r="T154" s="6">
        <v>0</v>
      </c>
      <c r="U154" s="6">
        <v>2</v>
      </c>
      <c r="V154" s="6">
        <v>1</v>
      </c>
      <c r="W154" s="6">
        <v>1</v>
      </c>
      <c r="X154" s="6">
        <v>3</v>
      </c>
      <c r="Y154" s="6">
        <v>2</v>
      </c>
      <c r="Z154" s="6">
        <v>0</v>
      </c>
      <c r="AA154" s="6">
        <v>6</v>
      </c>
      <c r="AB154" s="6">
        <v>5</v>
      </c>
      <c r="AC154" s="6">
        <v>1</v>
      </c>
      <c r="AD154" s="6">
        <v>2</v>
      </c>
      <c r="AE154" s="6">
        <v>1</v>
      </c>
      <c r="AF154" s="6">
        <v>4</v>
      </c>
      <c r="AG154" s="6">
        <v>48</v>
      </c>
      <c r="AH154" s="6">
        <v>2</v>
      </c>
      <c r="AI154" s="6">
        <v>8</v>
      </c>
      <c r="AJ154" s="6">
        <v>11</v>
      </c>
      <c r="AK154" s="6">
        <v>6</v>
      </c>
      <c r="AL154" s="6">
        <v>0</v>
      </c>
      <c r="AM154" s="6">
        <v>23</v>
      </c>
      <c r="AN154" s="6">
        <v>8</v>
      </c>
      <c r="AO154" s="6">
        <v>2</v>
      </c>
      <c r="AP154" s="6">
        <v>0</v>
      </c>
      <c r="AQ154" s="6">
        <v>0</v>
      </c>
      <c r="AR154" s="5">
        <f>SUM(E154:AQ154)</f>
        <v>142</v>
      </c>
    </row>
    <row r="155" spans="1:44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1</v>
      </c>
      <c r="G155" s="6">
        <v>1</v>
      </c>
      <c r="H155" s="6">
        <v>3</v>
      </c>
      <c r="I155" s="6">
        <v>2</v>
      </c>
      <c r="J155" s="6">
        <v>0</v>
      </c>
      <c r="K155" s="6">
        <v>0</v>
      </c>
      <c r="L155" s="6">
        <v>1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1</v>
      </c>
      <c r="V155" s="6">
        <v>0</v>
      </c>
      <c r="W155" s="6">
        <v>0</v>
      </c>
      <c r="X155" s="6">
        <v>0</v>
      </c>
      <c r="Y155" s="6">
        <v>1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1</v>
      </c>
      <c r="AH155" s="6">
        <v>0</v>
      </c>
      <c r="AI155" s="6">
        <v>0</v>
      </c>
      <c r="AJ155" s="6">
        <v>0</v>
      </c>
      <c r="AK155" s="6">
        <v>0</v>
      </c>
      <c r="AL155" s="6">
        <v>1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5">
        <f>SUM(E155:AQ155)</f>
        <v>14</v>
      </c>
    </row>
    <row r="156" spans="1:44" x14ac:dyDescent="0.4">
      <c r="A156" s="6" t="s">
        <v>26</v>
      </c>
      <c r="B156" s="53" t="s">
        <v>51</v>
      </c>
      <c r="C156" s="54"/>
      <c r="D156" s="55"/>
      <c r="E156" s="5">
        <f t="shared" ref="E156:AR156" si="54">SUM(E153:E155)</f>
        <v>0</v>
      </c>
      <c r="F156" s="5">
        <f t="shared" si="54"/>
        <v>1</v>
      </c>
      <c r="G156" s="5">
        <f t="shared" si="54"/>
        <v>2</v>
      </c>
      <c r="H156" s="5">
        <f t="shared" si="54"/>
        <v>4</v>
      </c>
      <c r="I156" s="5">
        <f t="shared" si="54"/>
        <v>5</v>
      </c>
      <c r="J156" s="5">
        <f t="shared" si="54"/>
        <v>2</v>
      </c>
      <c r="K156" s="5">
        <f t="shared" si="54"/>
        <v>0</v>
      </c>
      <c r="L156" s="5">
        <f t="shared" si="54"/>
        <v>2</v>
      </c>
      <c r="M156" s="5">
        <f t="shared" si="54"/>
        <v>1</v>
      </c>
      <c r="N156" s="5">
        <f t="shared" si="54"/>
        <v>2</v>
      </c>
      <c r="O156" s="5">
        <f t="shared" si="54"/>
        <v>3</v>
      </c>
      <c r="P156" s="5">
        <f t="shared" si="54"/>
        <v>1</v>
      </c>
      <c r="Q156" s="5">
        <f t="shared" si="54"/>
        <v>1</v>
      </c>
      <c r="R156" s="5">
        <f t="shared" si="54"/>
        <v>0</v>
      </c>
      <c r="S156" s="5">
        <f t="shared" si="54"/>
        <v>2</v>
      </c>
      <c r="T156" s="5">
        <f t="shared" si="54"/>
        <v>0</v>
      </c>
      <c r="U156" s="5">
        <f t="shared" si="54"/>
        <v>3</v>
      </c>
      <c r="V156" s="5">
        <f t="shared" si="54"/>
        <v>1</v>
      </c>
      <c r="W156" s="5">
        <f t="shared" si="54"/>
        <v>1</v>
      </c>
      <c r="X156" s="5">
        <f t="shared" si="54"/>
        <v>4</v>
      </c>
      <c r="Y156" s="5">
        <f t="shared" si="54"/>
        <v>3</v>
      </c>
      <c r="Z156" s="5">
        <f t="shared" si="54"/>
        <v>0</v>
      </c>
      <c r="AA156" s="5">
        <f t="shared" si="54"/>
        <v>9</v>
      </c>
      <c r="AB156" s="5">
        <f t="shared" si="54"/>
        <v>5</v>
      </c>
      <c r="AC156" s="5">
        <f t="shared" si="54"/>
        <v>1</v>
      </c>
      <c r="AD156" s="5">
        <f t="shared" si="54"/>
        <v>3</v>
      </c>
      <c r="AE156" s="5">
        <f t="shared" si="54"/>
        <v>3</v>
      </c>
      <c r="AF156" s="5">
        <f t="shared" si="54"/>
        <v>4</v>
      </c>
      <c r="AG156" s="5">
        <f t="shared" si="54"/>
        <v>54</v>
      </c>
      <c r="AH156" s="5">
        <f t="shared" si="54"/>
        <v>3</v>
      </c>
      <c r="AI156" s="5">
        <f t="shared" si="54"/>
        <v>10</v>
      </c>
      <c r="AJ156" s="5">
        <f t="shared" si="54"/>
        <v>13</v>
      </c>
      <c r="AK156" s="5">
        <f t="shared" si="54"/>
        <v>6</v>
      </c>
      <c r="AL156" s="5">
        <f t="shared" si="54"/>
        <v>3</v>
      </c>
      <c r="AM156" s="5">
        <f t="shared" si="54"/>
        <v>29</v>
      </c>
      <c r="AN156" s="5">
        <f t="shared" si="54"/>
        <v>10</v>
      </c>
      <c r="AO156" s="5">
        <f t="shared" si="54"/>
        <v>2</v>
      </c>
      <c r="AP156" s="5">
        <f t="shared" si="54"/>
        <v>3</v>
      </c>
      <c r="AQ156" s="5">
        <f t="shared" si="54"/>
        <v>1</v>
      </c>
      <c r="AR156" s="5">
        <f t="shared" si="54"/>
        <v>197</v>
      </c>
    </row>
    <row r="157" spans="1:44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spans="1:44" x14ac:dyDescent="0.4">
      <c r="A158" s="11" t="s">
        <v>48</v>
      </c>
      <c r="B158" s="17" t="s">
        <v>77</v>
      </c>
      <c r="C158" s="59" t="s">
        <v>78</v>
      </c>
      <c r="D158" s="60"/>
      <c r="E158" s="6">
        <v>1</v>
      </c>
      <c r="F158" s="6">
        <v>3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5">
        <f>SUM(E158:AQ158)</f>
        <v>5</v>
      </c>
    </row>
    <row r="159" spans="1:44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4</v>
      </c>
      <c r="G159" s="6">
        <v>1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5">
        <f>SUM(E159:AQ159)</f>
        <v>5</v>
      </c>
    </row>
    <row r="160" spans="1:44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1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5">
        <f>SUM(E160:AQ160)</f>
        <v>1</v>
      </c>
    </row>
    <row r="161" spans="1:44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1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5">
        <f>SUM(E161:AQ161)</f>
        <v>1</v>
      </c>
    </row>
    <row r="162" spans="1:44" x14ac:dyDescent="0.4">
      <c r="A162" s="6" t="s">
        <v>26</v>
      </c>
      <c r="B162" s="53" t="s">
        <v>51</v>
      </c>
      <c r="C162" s="54"/>
      <c r="D162" s="55"/>
      <c r="E162" s="5">
        <f t="shared" ref="E162:AR162" si="55">SUM(E158:E161)</f>
        <v>1</v>
      </c>
      <c r="F162" s="5">
        <f t="shared" si="55"/>
        <v>7</v>
      </c>
      <c r="G162" s="5">
        <f t="shared" si="55"/>
        <v>1</v>
      </c>
      <c r="H162" s="5">
        <f t="shared" si="55"/>
        <v>0</v>
      </c>
      <c r="I162" s="5">
        <f t="shared" si="55"/>
        <v>0</v>
      </c>
      <c r="J162" s="5">
        <f t="shared" si="55"/>
        <v>0</v>
      </c>
      <c r="K162" s="5">
        <f t="shared" si="55"/>
        <v>0</v>
      </c>
      <c r="L162" s="5">
        <f t="shared" si="55"/>
        <v>0</v>
      </c>
      <c r="M162" s="5">
        <f t="shared" si="55"/>
        <v>1</v>
      </c>
      <c r="N162" s="5">
        <f t="shared" si="55"/>
        <v>0</v>
      </c>
      <c r="O162" s="5">
        <f t="shared" si="55"/>
        <v>0</v>
      </c>
      <c r="P162" s="5">
        <f t="shared" si="55"/>
        <v>0</v>
      </c>
      <c r="Q162" s="5">
        <f t="shared" si="55"/>
        <v>0</v>
      </c>
      <c r="R162" s="5">
        <f t="shared" si="55"/>
        <v>0</v>
      </c>
      <c r="S162" s="5">
        <f t="shared" si="55"/>
        <v>0</v>
      </c>
      <c r="T162" s="5">
        <f t="shared" si="55"/>
        <v>0</v>
      </c>
      <c r="U162" s="5">
        <f t="shared" si="55"/>
        <v>1</v>
      </c>
      <c r="V162" s="5">
        <f t="shared" si="55"/>
        <v>0</v>
      </c>
      <c r="W162" s="5">
        <f t="shared" si="55"/>
        <v>0</v>
      </c>
      <c r="X162" s="5">
        <f t="shared" si="55"/>
        <v>1</v>
      </c>
      <c r="Y162" s="5">
        <f t="shared" si="55"/>
        <v>0</v>
      </c>
      <c r="Z162" s="5">
        <f t="shared" si="55"/>
        <v>0</v>
      </c>
      <c r="AA162" s="5">
        <f t="shared" si="55"/>
        <v>0</v>
      </c>
      <c r="AB162" s="5">
        <f t="shared" si="55"/>
        <v>0</v>
      </c>
      <c r="AC162" s="5">
        <f t="shared" si="55"/>
        <v>0</v>
      </c>
      <c r="AD162" s="5">
        <f t="shared" si="55"/>
        <v>0</v>
      </c>
      <c r="AE162" s="5">
        <f t="shared" si="55"/>
        <v>0</v>
      </c>
      <c r="AF162" s="5">
        <f t="shared" si="55"/>
        <v>0</v>
      </c>
      <c r="AG162" s="5">
        <f t="shared" si="55"/>
        <v>0</v>
      </c>
      <c r="AH162" s="5">
        <f t="shared" si="55"/>
        <v>0</v>
      </c>
      <c r="AI162" s="5">
        <f t="shared" si="55"/>
        <v>0</v>
      </c>
      <c r="AJ162" s="5">
        <f t="shared" si="55"/>
        <v>0</v>
      </c>
      <c r="AK162" s="5">
        <f t="shared" si="55"/>
        <v>0</v>
      </c>
      <c r="AL162" s="5">
        <f t="shared" si="55"/>
        <v>0</v>
      </c>
      <c r="AM162" s="5">
        <f t="shared" si="55"/>
        <v>0</v>
      </c>
      <c r="AN162" s="5">
        <f t="shared" si="55"/>
        <v>0</v>
      </c>
      <c r="AO162" s="5">
        <f t="shared" si="55"/>
        <v>0</v>
      </c>
      <c r="AP162" s="5">
        <f t="shared" si="55"/>
        <v>0</v>
      </c>
      <c r="AQ162" s="5">
        <f t="shared" si="55"/>
        <v>0</v>
      </c>
      <c r="AR162" s="5">
        <f t="shared" si="55"/>
        <v>12</v>
      </c>
    </row>
    <row r="163" spans="1:44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spans="1:44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0</v>
      </c>
      <c r="G164" s="6">
        <v>0</v>
      </c>
      <c r="H164" s="6">
        <v>1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2</v>
      </c>
      <c r="Q164" s="6">
        <v>0</v>
      </c>
      <c r="R164" s="6">
        <v>4</v>
      </c>
      <c r="S164" s="6">
        <v>1</v>
      </c>
      <c r="T164" s="6">
        <v>0</v>
      </c>
      <c r="U164" s="6">
        <v>0</v>
      </c>
      <c r="V164" s="6">
        <v>1</v>
      </c>
      <c r="W164" s="6">
        <v>0</v>
      </c>
      <c r="X164" s="6">
        <v>0</v>
      </c>
      <c r="Y164" s="6">
        <v>0</v>
      </c>
      <c r="Z164" s="6">
        <v>1</v>
      </c>
      <c r="AA164" s="6">
        <v>2</v>
      </c>
      <c r="AB164" s="6">
        <v>2</v>
      </c>
      <c r="AC164" s="6">
        <v>0</v>
      </c>
      <c r="AD164" s="6">
        <v>5</v>
      </c>
      <c r="AE164" s="6">
        <v>5</v>
      </c>
      <c r="AF164" s="6">
        <v>3</v>
      </c>
      <c r="AG164" s="6">
        <v>0</v>
      </c>
      <c r="AH164" s="6">
        <v>0</v>
      </c>
      <c r="AI164" s="6">
        <v>1</v>
      </c>
      <c r="AJ164" s="6">
        <v>1</v>
      </c>
      <c r="AK164" s="6">
        <v>0</v>
      </c>
      <c r="AL164" s="6">
        <v>2</v>
      </c>
      <c r="AM164" s="6">
        <v>0</v>
      </c>
      <c r="AN164" s="6">
        <v>0</v>
      </c>
      <c r="AO164" s="6">
        <v>0</v>
      </c>
      <c r="AP164" s="6">
        <v>0</v>
      </c>
      <c r="AQ164" s="6">
        <v>1</v>
      </c>
      <c r="AR164" s="5">
        <f t="shared" ref="AR164:AR170" si="56">SUM(E164:AQ164)</f>
        <v>32</v>
      </c>
    </row>
    <row r="165" spans="1:44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1</v>
      </c>
      <c r="G165" s="6">
        <v>2</v>
      </c>
      <c r="H165" s="6">
        <v>0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6</v>
      </c>
      <c r="Q165" s="6">
        <v>0</v>
      </c>
      <c r="R165" s="6">
        <v>1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2</v>
      </c>
      <c r="Z165" s="6">
        <v>0</v>
      </c>
      <c r="AA165" s="6">
        <v>1</v>
      </c>
      <c r="AB165" s="6">
        <v>0</v>
      </c>
      <c r="AC165" s="6">
        <v>0</v>
      </c>
      <c r="AD165" s="6">
        <v>3</v>
      </c>
      <c r="AE165" s="6">
        <v>0</v>
      </c>
      <c r="AF165" s="6">
        <v>2</v>
      </c>
      <c r="AG165" s="6">
        <v>0</v>
      </c>
      <c r="AH165" s="6">
        <v>1</v>
      </c>
      <c r="AI165" s="6">
        <v>0</v>
      </c>
      <c r="AJ165" s="6">
        <v>0</v>
      </c>
      <c r="AK165" s="6">
        <v>1</v>
      </c>
      <c r="AL165" s="6">
        <v>6</v>
      </c>
      <c r="AM165" s="6">
        <v>1</v>
      </c>
      <c r="AN165" s="6">
        <v>0</v>
      </c>
      <c r="AO165" s="6">
        <v>1</v>
      </c>
      <c r="AP165" s="6">
        <v>4</v>
      </c>
      <c r="AQ165" s="6">
        <v>1</v>
      </c>
      <c r="AR165" s="5">
        <f t="shared" si="56"/>
        <v>35</v>
      </c>
    </row>
    <row r="166" spans="1:44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0</v>
      </c>
      <c r="Q166" s="6">
        <v>1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1</v>
      </c>
      <c r="AD166" s="6">
        <v>27</v>
      </c>
      <c r="AE166" s="6">
        <v>20</v>
      </c>
      <c r="AF166" s="6">
        <v>59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5">
        <f t="shared" si="56"/>
        <v>111</v>
      </c>
    </row>
    <row r="167" spans="1:44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1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1</v>
      </c>
      <c r="AB167" s="6">
        <v>0</v>
      </c>
      <c r="AC167" s="6">
        <v>0</v>
      </c>
      <c r="AD167" s="6">
        <v>1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1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5">
        <f t="shared" si="56"/>
        <v>4</v>
      </c>
    </row>
    <row r="168" spans="1:44" x14ac:dyDescent="0.4">
      <c r="A168" s="7"/>
      <c r="B168" s="46">
        <v>4</v>
      </c>
      <c r="C168" s="24" t="s">
        <v>188</v>
      </c>
      <c r="D168" s="47"/>
      <c r="E168" s="6">
        <v>0</v>
      </c>
      <c r="F168" s="6">
        <v>2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1</v>
      </c>
      <c r="N168" s="6">
        <v>0</v>
      </c>
      <c r="O168" s="6">
        <v>0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1</v>
      </c>
      <c r="AC168" s="6">
        <v>1</v>
      </c>
      <c r="AD168" s="6">
        <v>0</v>
      </c>
      <c r="AE168" s="6">
        <v>0</v>
      </c>
      <c r="AF168" s="6">
        <v>1</v>
      </c>
      <c r="AG168" s="6">
        <v>0</v>
      </c>
      <c r="AH168" s="6">
        <v>1</v>
      </c>
      <c r="AI168" s="6">
        <v>0</v>
      </c>
      <c r="AJ168" s="6">
        <v>3</v>
      </c>
      <c r="AK168" s="6">
        <v>0</v>
      </c>
      <c r="AL168" s="6">
        <v>2</v>
      </c>
      <c r="AM168" s="6">
        <v>3</v>
      </c>
      <c r="AN168" s="6">
        <v>0</v>
      </c>
      <c r="AO168" s="6">
        <v>0</v>
      </c>
      <c r="AP168" s="6">
        <v>0</v>
      </c>
      <c r="AQ168" s="6">
        <v>0</v>
      </c>
      <c r="AR168" s="5">
        <f t="shared" si="56"/>
        <v>18</v>
      </c>
    </row>
    <row r="169" spans="1:44" ht="12.75" customHeight="1" x14ac:dyDescent="0.4">
      <c r="A169" s="7"/>
      <c r="B169" s="46">
        <v>5</v>
      </c>
      <c r="C169" s="24" t="s">
        <v>189</v>
      </c>
      <c r="D169" s="47"/>
      <c r="E169" s="6">
        <v>4</v>
      </c>
      <c r="F169" s="6">
        <v>2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3</v>
      </c>
      <c r="M169" s="6">
        <v>11</v>
      </c>
      <c r="N169" s="6">
        <v>1</v>
      </c>
      <c r="O169" s="6">
        <v>0</v>
      </c>
      <c r="P169" s="6">
        <v>4</v>
      </c>
      <c r="Q169" s="6">
        <v>0</v>
      </c>
      <c r="R169" s="6">
        <v>0</v>
      </c>
      <c r="S169" s="6">
        <v>0</v>
      </c>
      <c r="T169" s="6">
        <v>0</v>
      </c>
      <c r="U169" s="6">
        <v>3</v>
      </c>
      <c r="V169" s="6">
        <v>0</v>
      </c>
      <c r="W169" s="6">
        <v>3</v>
      </c>
      <c r="X169" s="6">
        <v>0</v>
      </c>
      <c r="Y169" s="6">
        <v>0</v>
      </c>
      <c r="Z169" s="6">
        <v>1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2</v>
      </c>
      <c r="AG169" s="6">
        <v>0</v>
      </c>
      <c r="AH169" s="6">
        <v>0</v>
      </c>
      <c r="AI169" s="6">
        <v>0</v>
      </c>
      <c r="AJ169" s="6">
        <v>1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1</v>
      </c>
      <c r="AQ169" s="6">
        <v>0</v>
      </c>
      <c r="AR169" s="5">
        <f t="shared" si="56"/>
        <v>37</v>
      </c>
    </row>
    <row r="170" spans="1:44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  <c r="Q170" s="6">
        <v>1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1</v>
      </c>
      <c r="AE170" s="6">
        <v>0</v>
      </c>
      <c r="AF170" s="6">
        <v>0</v>
      </c>
      <c r="AG170" s="6">
        <v>2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5">
        <f t="shared" si="56"/>
        <v>7</v>
      </c>
    </row>
    <row r="171" spans="1:44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AR171" si="57">SUM(E164:E170)</f>
        <v>4</v>
      </c>
      <c r="F171" s="5">
        <f t="shared" si="57"/>
        <v>5</v>
      </c>
      <c r="G171" s="5">
        <f t="shared" si="57"/>
        <v>3</v>
      </c>
      <c r="H171" s="5">
        <f t="shared" si="57"/>
        <v>2</v>
      </c>
      <c r="I171" s="5">
        <f t="shared" si="57"/>
        <v>0</v>
      </c>
      <c r="J171" s="5">
        <f t="shared" si="57"/>
        <v>1</v>
      </c>
      <c r="K171" s="5">
        <f t="shared" si="57"/>
        <v>1</v>
      </c>
      <c r="L171" s="5">
        <f t="shared" si="57"/>
        <v>3</v>
      </c>
      <c r="M171" s="5">
        <f t="shared" si="57"/>
        <v>12</v>
      </c>
      <c r="N171" s="5">
        <f t="shared" si="57"/>
        <v>1</v>
      </c>
      <c r="O171" s="5">
        <f t="shared" si="57"/>
        <v>1</v>
      </c>
      <c r="P171" s="5">
        <f t="shared" si="57"/>
        <v>13</v>
      </c>
      <c r="Q171" s="5">
        <f t="shared" si="57"/>
        <v>3</v>
      </c>
      <c r="R171" s="5">
        <f t="shared" si="57"/>
        <v>5</v>
      </c>
      <c r="S171" s="5">
        <f t="shared" si="57"/>
        <v>2</v>
      </c>
      <c r="T171" s="5">
        <f t="shared" si="57"/>
        <v>1</v>
      </c>
      <c r="U171" s="5">
        <f t="shared" si="57"/>
        <v>4</v>
      </c>
      <c r="V171" s="5">
        <f t="shared" si="57"/>
        <v>1</v>
      </c>
      <c r="W171" s="5">
        <f t="shared" si="57"/>
        <v>3</v>
      </c>
      <c r="X171" s="5">
        <f t="shared" si="57"/>
        <v>0</v>
      </c>
      <c r="Y171" s="5">
        <f t="shared" si="57"/>
        <v>3</v>
      </c>
      <c r="Z171" s="5">
        <f t="shared" si="57"/>
        <v>2</v>
      </c>
      <c r="AA171" s="5">
        <f t="shared" si="57"/>
        <v>4</v>
      </c>
      <c r="AB171" s="5">
        <f t="shared" si="57"/>
        <v>3</v>
      </c>
      <c r="AC171" s="5">
        <f t="shared" si="57"/>
        <v>2</v>
      </c>
      <c r="AD171" s="5">
        <f t="shared" si="57"/>
        <v>37</v>
      </c>
      <c r="AE171" s="5">
        <f t="shared" si="57"/>
        <v>25</v>
      </c>
      <c r="AF171" s="5">
        <f t="shared" si="57"/>
        <v>67</v>
      </c>
      <c r="AG171" s="5">
        <f t="shared" si="57"/>
        <v>2</v>
      </c>
      <c r="AH171" s="5">
        <f t="shared" si="57"/>
        <v>3</v>
      </c>
      <c r="AI171" s="5">
        <f t="shared" si="57"/>
        <v>1</v>
      </c>
      <c r="AJ171" s="5">
        <f t="shared" si="57"/>
        <v>5</v>
      </c>
      <c r="AK171" s="5">
        <f t="shared" si="57"/>
        <v>2</v>
      </c>
      <c r="AL171" s="5">
        <f t="shared" si="57"/>
        <v>11</v>
      </c>
      <c r="AM171" s="5">
        <f t="shared" si="57"/>
        <v>4</v>
      </c>
      <c r="AN171" s="5">
        <f t="shared" si="57"/>
        <v>0</v>
      </c>
      <c r="AO171" s="5">
        <f t="shared" si="57"/>
        <v>1</v>
      </c>
      <c r="AP171" s="5">
        <f t="shared" si="57"/>
        <v>5</v>
      </c>
      <c r="AQ171" s="5">
        <f t="shared" si="57"/>
        <v>2</v>
      </c>
      <c r="AR171" s="5">
        <f t="shared" si="57"/>
        <v>244</v>
      </c>
    </row>
    <row r="172" spans="1:44" x14ac:dyDescent="0.4">
      <c r="A172" s="61"/>
      <c r="B172" s="62"/>
      <c r="C172" s="62"/>
      <c r="D172" s="62"/>
      <c r="E172" s="63"/>
    </row>
    <row r="173" spans="1:44" x14ac:dyDescent="0.4">
      <c r="A173" s="11" t="s">
        <v>48</v>
      </c>
      <c r="B173" s="17" t="s">
        <v>81</v>
      </c>
      <c r="C173" s="59" t="s">
        <v>82</v>
      </c>
      <c r="D173" s="60"/>
      <c r="E173" s="6">
        <v>0</v>
      </c>
      <c r="F173" s="6">
        <v>0</v>
      </c>
      <c r="G173" s="6">
        <v>1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1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2</v>
      </c>
      <c r="AL173" s="6">
        <v>1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5">
        <f>SUM(E173:AQ173)</f>
        <v>6</v>
      </c>
    </row>
    <row r="174" spans="1:44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1</v>
      </c>
      <c r="H174" s="6">
        <v>1</v>
      </c>
      <c r="I174" s="6">
        <v>1</v>
      </c>
      <c r="J174" s="6">
        <v>0</v>
      </c>
      <c r="K174" s="6">
        <v>5</v>
      </c>
      <c r="L174" s="6">
        <v>0</v>
      </c>
      <c r="M174" s="6">
        <v>0</v>
      </c>
      <c r="N174" s="6">
        <v>0</v>
      </c>
      <c r="O174" s="6">
        <v>0</v>
      </c>
      <c r="P174" s="6">
        <v>3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1</v>
      </c>
      <c r="AD174" s="6">
        <v>1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5">
        <f>SUM(E174:AQ174)</f>
        <v>13</v>
      </c>
    </row>
    <row r="175" spans="1:44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1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5">
        <f>SUM(E175:AQ175)</f>
        <v>1</v>
      </c>
    </row>
    <row r="176" spans="1:44" x14ac:dyDescent="0.4">
      <c r="A176" s="6" t="s">
        <v>26</v>
      </c>
      <c r="B176" s="53" t="s">
        <v>51</v>
      </c>
      <c r="C176" s="54"/>
      <c r="D176" s="55"/>
      <c r="E176" s="5">
        <f t="shared" ref="E176:AR176" si="58">SUM(E173:E175)</f>
        <v>0</v>
      </c>
      <c r="F176" s="5">
        <f t="shared" si="58"/>
        <v>0</v>
      </c>
      <c r="G176" s="5">
        <f t="shared" si="58"/>
        <v>2</v>
      </c>
      <c r="H176" s="5">
        <f t="shared" si="58"/>
        <v>2</v>
      </c>
      <c r="I176" s="5">
        <f t="shared" si="58"/>
        <v>1</v>
      </c>
      <c r="J176" s="5">
        <f t="shared" si="58"/>
        <v>0</v>
      </c>
      <c r="K176" s="5">
        <f t="shared" si="58"/>
        <v>5</v>
      </c>
      <c r="L176" s="5">
        <f t="shared" si="58"/>
        <v>0</v>
      </c>
      <c r="M176" s="5">
        <f t="shared" si="58"/>
        <v>0</v>
      </c>
      <c r="N176" s="5">
        <f t="shared" si="58"/>
        <v>0</v>
      </c>
      <c r="O176" s="5">
        <f t="shared" si="58"/>
        <v>0</v>
      </c>
      <c r="P176" s="5">
        <f t="shared" si="58"/>
        <v>3</v>
      </c>
      <c r="Q176" s="5">
        <f t="shared" si="58"/>
        <v>0</v>
      </c>
      <c r="R176" s="5">
        <f t="shared" si="58"/>
        <v>0</v>
      </c>
      <c r="S176" s="5">
        <f t="shared" si="58"/>
        <v>0</v>
      </c>
      <c r="T176" s="5">
        <f t="shared" si="58"/>
        <v>0</v>
      </c>
      <c r="U176" s="5">
        <f t="shared" si="58"/>
        <v>0</v>
      </c>
      <c r="V176" s="5">
        <f t="shared" si="58"/>
        <v>1</v>
      </c>
      <c r="W176" s="5">
        <f t="shared" si="58"/>
        <v>0</v>
      </c>
      <c r="X176" s="5">
        <f t="shared" si="58"/>
        <v>0</v>
      </c>
      <c r="Y176" s="5">
        <f t="shared" si="58"/>
        <v>0</v>
      </c>
      <c r="Z176" s="5">
        <f t="shared" si="58"/>
        <v>0</v>
      </c>
      <c r="AA176" s="5">
        <f t="shared" si="58"/>
        <v>0</v>
      </c>
      <c r="AB176" s="5">
        <f t="shared" si="58"/>
        <v>0</v>
      </c>
      <c r="AC176" s="5">
        <f t="shared" si="58"/>
        <v>1</v>
      </c>
      <c r="AD176" s="5">
        <f t="shared" si="58"/>
        <v>1</v>
      </c>
      <c r="AE176" s="5">
        <f t="shared" si="58"/>
        <v>0</v>
      </c>
      <c r="AF176" s="5">
        <f t="shared" si="58"/>
        <v>0</v>
      </c>
      <c r="AG176" s="5">
        <f t="shared" si="58"/>
        <v>0</v>
      </c>
      <c r="AH176" s="5">
        <f t="shared" si="58"/>
        <v>0</v>
      </c>
      <c r="AI176" s="5">
        <f t="shared" si="58"/>
        <v>1</v>
      </c>
      <c r="AJ176" s="5">
        <f t="shared" si="58"/>
        <v>0</v>
      </c>
      <c r="AK176" s="5">
        <f t="shared" si="58"/>
        <v>2</v>
      </c>
      <c r="AL176" s="5">
        <f t="shared" si="58"/>
        <v>1</v>
      </c>
      <c r="AM176" s="5">
        <f t="shared" si="58"/>
        <v>0</v>
      </c>
      <c r="AN176" s="5">
        <f t="shared" si="58"/>
        <v>0</v>
      </c>
      <c r="AO176" s="5">
        <f t="shared" si="58"/>
        <v>0</v>
      </c>
      <c r="AP176" s="5">
        <f t="shared" si="58"/>
        <v>0</v>
      </c>
      <c r="AQ176" s="5">
        <f t="shared" si="58"/>
        <v>0</v>
      </c>
      <c r="AR176" s="5">
        <f t="shared" si="58"/>
        <v>20</v>
      </c>
    </row>
    <row r="178" spans="1:44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15"/>
      <c r="S178" s="15"/>
      <c r="T178" s="15"/>
      <c r="U178" s="15"/>
      <c r="V178" s="5"/>
      <c r="W178" s="5"/>
      <c r="X178" s="5"/>
      <c r="Y178" s="5"/>
      <c r="Z178" s="5"/>
      <c r="AA178" s="5"/>
      <c r="AB178" s="5"/>
      <c r="AC178" s="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5"/>
    </row>
    <row r="179" spans="1:44" x14ac:dyDescent="0.4">
      <c r="A179" s="16"/>
      <c r="B179" s="19" t="s">
        <v>85</v>
      </c>
      <c r="C179" s="51" t="s">
        <v>86</v>
      </c>
      <c r="D179" s="52"/>
      <c r="E179" s="6">
        <f t="shared" ref="E179:AQ179" si="59">E52+E61+E70+E79+E88+E91+E98+E107+E113+E122+E125+E134+E142+E151+E156+E162+E171+E176</f>
        <v>224</v>
      </c>
      <c r="F179" s="6">
        <f t="shared" si="59"/>
        <v>206</v>
      </c>
      <c r="G179" s="6">
        <f t="shared" si="59"/>
        <v>144</v>
      </c>
      <c r="H179" s="6">
        <f t="shared" si="59"/>
        <v>174</v>
      </c>
      <c r="I179" s="6">
        <f t="shared" si="59"/>
        <v>197</v>
      </c>
      <c r="J179" s="6">
        <f t="shared" si="59"/>
        <v>177</v>
      </c>
      <c r="K179" s="6">
        <f t="shared" si="59"/>
        <v>205</v>
      </c>
      <c r="L179" s="6">
        <f t="shared" si="59"/>
        <v>231</v>
      </c>
      <c r="M179" s="6">
        <f t="shared" si="59"/>
        <v>197</v>
      </c>
      <c r="N179" s="6">
        <f t="shared" si="59"/>
        <v>199</v>
      </c>
      <c r="O179" s="6">
        <f t="shared" si="59"/>
        <v>230</v>
      </c>
      <c r="P179" s="6">
        <f t="shared" si="59"/>
        <v>205</v>
      </c>
      <c r="Q179" s="6">
        <f t="shared" si="59"/>
        <v>228</v>
      </c>
      <c r="R179" s="6">
        <f t="shared" si="59"/>
        <v>218</v>
      </c>
      <c r="S179" s="6">
        <f t="shared" si="59"/>
        <v>191</v>
      </c>
      <c r="T179" s="6">
        <f t="shared" si="59"/>
        <v>238</v>
      </c>
      <c r="U179" s="6">
        <f t="shared" si="59"/>
        <v>190</v>
      </c>
      <c r="V179" s="6">
        <f t="shared" si="59"/>
        <v>256</v>
      </c>
      <c r="W179" s="6">
        <f t="shared" si="59"/>
        <v>213</v>
      </c>
      <c r="X179" s="6">
        <f t="shared" si="59"/>
        <v>220</v>
      </c>
      <c r="Y179" s="6">
        <f t="shared" si="59"/>
        <v>195</v>
      </c>
      <c r="Z179" s="6">
        <f t="shared" si="59"/>
        <v>214</v>
      </c>
      <c r="AA179" s="6">
        <f t="shared" si="59"/>
        <v>198</v>
      </c>
      <c r="AB179" s="6">
        <f t="shared" si="59"/>
        <v>254</v>
      </c>
      <c r="AC179" s="6">
        <f t="shared" si="59"/>
        <v>235</v>
      </c>
      <c r="AD179" s="6">
        <f t="shared" si="59"/>
        <v>252</v>
      </c>
      <c r="AE179" s="6">
        <f t="shared" si="59"/>
        <v>230</v>
      </c>
      <c r="AF179" s="6">
        <f t="shared" si="59"/>
        <v>258</v>
      </c>
      <c r="AG179" s="6">
        <f t="shared" si="59"/>
        <v>218</v>
      </c>
      <c r="AH179" s="6">
        <f t="shared" si="59"/>
        <v>200</v>
      </c>
      <c r="AI179" s="6">
        <f t="shared" si="59"/>
        <v>233</v>
      </c>
      <c r="AJ179" s="6">
        <f t="shared" si="59"/>
        <v>231</v>
      </c>
      <c r="AK179" s="6">
        <f t="shared" si="59"/>
        <v>217</v>
      </c>
      <c r="AL179" s="6">
        <f t="shared" si="59"/>
        <v>249</v>
      </c>
      <c r="AM179" s="6">
        <f t="shared" si="59"/>
        <v>214</v>
      </c>
      <c r="AN179" s="6">
        <f t="shared" si="59"/>
        <v>253</v>
      </c>
      <c r="AO179" s="6">
        <f t="shared" si="59"/>
        <v>189</v>
      </c>
      <c r="AP179" s="6">
        <f t="shared" si="59"/>
        <v>232</v>
      </c>
      <c r="AQ179" s="6">
        <f t="shared" si="59"/>
        <v>196</v>
      </c>
      <c r="AR179" s="5">
        <f>SUM(E179:AQ179)</f>
        <v>8411</v>
      </c>
    </row>
    <row r="180" spans="1:44" x14ac:dyDescent="0.4">
      <c r="A180" s="13"/>
      <c r="B180" s="19" t="s">
        <v>87</v>
      </c>
      <c r="C180" s="51" t="s">
        <v>88</v>
      </c>
      <c r="D180" s="52"/>
      <c r="E180" s="6">
        <v>12</v>
      </c>
      <c r="F180" s="6">
        <v>24</v>
      </c>
      <c r="G180" s="6">
        <v>19</v>
      </c>
      <c r="H180" s="6">
        <v>19</v>
      </c>
      <c r="I180" s="6">
        <v>13</v>
      </c>
      <c r="J180" s="6">
        <v>17</v>
      </c>
      <c r="K180" s="6">
        <v>14</v>
      </c>
      <c r="L180" s="6">
        <v>10</v>
      </c>
      <c r="M180" s="6">
        <v>16</v>
      </c>
      <c r="N180" s="6">
        <v>21</v>
      </c>
      <c r="O180" s="6">
        <v>10</v>
      </c>
      <c r="P180" s="6">
        <v>12</v>
      </c>
      <c r="Q180" s="6">
        <v>12</v>
      </c>
      <c r="R180" s="6">
        <v>16</v>
      </c>
      <c r="S180" s="6">
        <v>41</v>
      </c>
      <c r="T180" s="6">
        <v>22</v>
      </c>
      <c r="U180" s="6">
        <v>11</v>
      </c>
      <c r="V180" s="6">
        <v>1</v>
      </c>
      <c r="W180" s="6">
        <v>9</v>
      </c>
      <c r="X180" s="6">
        <v>16</v>
      </c>
      <c r="Y180" s="6">
        <v>7</v>
      </c>
      <c r="Z180" s="6">
        <v>3</v>
      </c>
      <c r="AA180" s="6">
        <v>18</v>
      </c>
      <c r="AB180" s="6">
        <v>6</v>
      </c>
      <c r="AC180" s="6">
        <v>4</v>
      </c>
      <c r="AD180" s="6">
        <v>22</v>
      </c>
      <c r="AE180" s="6">
        <v>12</v>
      </c>
      <c r="AF180" s="6">
        <v>8</v>
      </c>
      <c r="AG180" s="6">
        <v>10</v>
      </c>
      <c r="AH180" s="6">
        <v>19</v>
      </c>
      <c r="AI180" s="6">
        <v>13</v>
      </c>
      <c r="AJ180" s="6">
        <v>13</v>
      </c>
      <c r="AK180" s="6">
        <v>17</v>
      </c>
      <c r="AL180" s="6">
        <v>8</v>
      </c>
      <c r="AM180" s="6">
        <v>12</v>
      </c>
      <c r="AN180" s="6">
        <v>16</v>
      </c>
      <c r="AO180" s="6">
        <v>16</v>
      </c>
      <c r="AP180" s="6">
        <v>21</v>
      </c>
      <c r="AQ180" s="6">
        <v>6</v>
      </c>
      <c r="AR180" s="5">
        <f>SUM(E180:AQ180)</f>
        <v>546</v>
      </c>
    </row>
    <row r="181" spans="1:44" x14ac:dyDescent="0.4">
      <c r="A181" s="14"/>
      <c r="B181" s="19" t="s">
        <v>89</v>
      </c>
      <c r="C181" s="51" t="s">
        <v>90</v>
      </c>
      <c r="D181" s="52"/>
      <c r="E181" s="5">
        <f>SUM(E179:E180)</f>
        <v>236</v>
      </c>
      <c r="F181" s="5">
        <f t="shared" ref="F181:U181" si="60">SUM(F179:F180)</f>
        <v>230</v>
      </c>
      <c r="G181" s="5">
        <f t="shared" si="60"/>
        <v>163</v>
      </c>
      <c r="H181" s="5">
        <f t="shared" si="60"/>
        <v>193</v>
      </c>
      <c r="I181" s="5">
        <f t="shared" si="60"/>
        <v>210</v>
      </c>
      <c r="J181" s="5">
        <f t="shared" si="60"/>
        <v>194</v>
      </c>
      <c r="K181" s="5">
        <f t="shared" si="60"/>
        <v>219</v>
      </c>
      <c r="L181" s="5">
        <f t="shared" si="60"/>
        <v>241</v>
      </c>
      <c r="M181" s="5">
        <f t="shared" si="60"/>
        <v>213</v>
      </c>
      <c r="N181" s="5">
        <f t="shared" si="60"/>
        <v>220</v>
      </c>
      <c r="O181" s="5">
        <f t="shared" si="60"/>
        <v>240</v>
      </c>
      <c r="P181" s="5">
        <f t="shared" si="60"/>
        <v>217</v>
      </c>
      <c r="Q181" s="5">
        <f t="shared" si="60"/>
        <v>240</v>
      </c>
      <c r="R181" s="5">
        <f t="shared" si="60"/>
        <v>234</v>
      </c>
      <c r="S181" s="5">
        <f t="shared" si="60"/>
        <v>232</v>
      </c>
      <c r="T181" s="5">
        <f t="shared" si="60"/>
        <v>260</v>
      </c>
      <c r="U181" s="5">
        <f t="shared" si="60"/>
        <v>201</v>
      </c>
      <c r="V181" s="5">
        <f t="shared" ref="V181:AQ181" si="61">SUM(V179:V180)</f>
        <v>257</v>
      </c>
      <c r="W181" s="5">
        <f t="shared" si="61"/>
        <v>222</v>
      </c>
      <c r="X181" s="5">
        <f t="shared" si="61"/>
        <v>236</v>
      </c>
      <c r="Y181" s="5">
        <f t="shared" si="61"/>
        <v>202</v>
      </c>
      <c r="Z181" s="5">
        <f t="shared" si="61"/>
        <v>217</v>
      </c>
      <c r="AA181" s="5">
        <f t="shared" si="61"/>
        <v>216</v>
      </c>
      <c r="AB181" s="5">
        <f t="shared" si="61"/>
        <v>260</v>
      </c>
      <c r="AC181" s="5">
        <f t="shared" si="61"/>
        <v>239</v>
      </c>
      <c r="AD181" s="5">
        <f t="shared" si="61"/>
        <v>274</v>
      </c>
      <c r="AE181" s="5">
        <f t="shared" si="61"/>
        <v>242</v>
      </c>
      <c r="AF181" s="5">
        <f t="shared" si="61"/>
        <v>266</v>
      </c>
      <c r="AG181" s="5">
        <f t="shared" ref="AG181:AK181" si="62">SUM(AG179:AG180)</f>
        <v>228</v>
      </c>
      <c r="AH181" s="5">
        <f t="shared" si="62"/>
        <v>219</v>
      </c>
      <c r="AI181" s="5">
        <f t="shared" si="62"/>
        <v>246</v>
      </c>
      <c r="AJ181" s="5">
        <f t="shared" si="62"/>
        <v>244</v>
      </c>
      <c r="AK181" s="5">
        <f t="shared" si="62"/>
        <v>234</v>
      </c>
      <c r="AL181" s="5">
        <f t="shared" si="61"/>
        <v>257</v>
      </c>
      <c r="AM181" s="5">
        <f t="shared" si="61"/>
        <v>226</v>
      </c>
      <c r="AN181" s="5">
        <f t="shared" si="61"/>
        <v>269</v>
      </c>
      <c r="AO181" s="5">
        <f t="shared" si="61"/>
        <v>205</v>
      </c>
      <c r="AP181" s="5">
        <f t="shared" si="61"/>
        <v>253</v>
      </c>
      <c r="AQ181" s="5">
        <f t="shared" si="61"/>
        <v>202</v>
      </c>
      <c r="AR181" s="5">
        <f>SUM(E181:AQ181)</f>
        <v>8957</v>
      </c>
    </row>
  </sheetData>
  <mergeCells count="86"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  <mergeCell ref="B142:D142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36:D136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Y37"/>
    <mergeCell ref="B38:D38"/>
    <mergeCell ref="B39:C41"/>
    <mergeCell ref="A42:D42"/>
    <mergeCell ref="E42:Y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AQ12"/>
    <mergeCell ref="AR12:AR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34:T34 V34:AJ34 AL34:AO34">
    <cfRule type="expression" dxfId="128" priority="125">
      <formula>E34&lt;&gt;#REF!</formula>
    </cfRule>
  </conditionalFormatting>
  <conditionalFormatting sqref="E14:AQ15">
    <cfRule type="containsBlanks" dxfId="127" priority="22">
      <formula>LEN(TRIM(E14))=0</formula>
    </cfRule>
  </conditionalFormatting>
  <conditionalFormatting sqref="E19:AQ20">
    <cfRule type="containsBlanks" dxfId="126" priority="25">
      <formula>LEN(TRIM(E19))=0</formula>
    </cfRule>
  </conditionalFormatting>
  <conditionalFormatting sqref="E22:AQ23 E25:AQ26 E33:AQ33 E35:AQ35 E39:AQ40">
    <cfRule type="containsBlanks" dxfId="125" priority="26">
      <formula>LEN(TRIM(E22))=0</formula>
    </cfRule>
  </conditionalFormatting>
  <conditionalFormatting sqref="E30:AQ30">
    <cfRule type="expression" dxfId="124" priority="27">
      <formula>E30&lt;&gt;E47</formula>
    </cfRule>
    <cfRule type="expression" dxfId="123" priority="28">
      <formula>E30&lt;&gt;E34</formula>
    </cfRule>
  </conditionalFormatting>
  <conditionalFormatting sqref="E34:AQ34">
    <cfRule type="expression" dxfId="122" priority="23">
      <formula>E30&lt;&gt;E34</formula>
    </cfRule>
    <cfRule type="expression" dxfId="121" priority="24">
      <formula>E30=E34</formula>
    </cfRule>
    <cfRule type="expression" dxfId="120" priority="29">
      <formula>E34&lt;&gt;E30</formula>
    </cfRule>
  </conditionalFormatting>
  <conditionalFormatting sqref="E45:AQ51">
    <cfRule type="containsBlanks" dxfId="119" priority="21">
      <formula>LEN(TRIM(E45))=0</formula>
    </cfRule>
  </conditionalFormatting>
  <conditionalFormatting sqref="E54:AQ60">
    <cfRule type="containsBlanks" dxfId="118" priority="20">
      <formula>LEN(TRIM(E54))=0</formula>
    </cfRule>
  </conditionalFormatting>
  <conditionalFormatting sqref="E63:AQ69">
    <cfRule type="containsBlanks" dxfId="117" priority="19">
      <formula>LEN(TRIM(E63))=0</formula>
    </cfRule>
  </conditionalFormatting>
  <conditionalFormatting sqref="E72:AQ78">
    <cfRule type="containsBlanks" dxfId="116" priority="18">
      <formula>LEN(TRIM(E72))=0</formula>
    </cfRule>
  </conditionalFormatting>
  <conditionalFormatting sqref="E81:AQ87">
    <cfRule type="containsBlanks" dxfId="115" priority="17">
      <formula>LEN(TRIM(E81))=0</formula>
    </cfRule>
  </conditionalFormatting>
  <conditionalFormatting sqref="E90:AQ90">
    <cfRule type="containsBlanks" dxfId="114" priority="16">
      <formula>LEN(TRIM(E90))=0</formula>
    </cfRule>
  </conditionalFormatting>
  <conditionalFormatting sqref="E93:AQ97">
    <cfRule type="containsBlanks" dxfId="113" priority="3">
      <formula>LEN(TRIM(E93))=0</formula>
    </cfRule>
  </conditionalFormatting>
  <conditionalFormatting sqref="E100:AQ106">
    <cfRule type="containsBlanks" dxfId="112" priority="15">
      <formula>LEN(TRIM(E100))=0</formula>
    </cfRule>
  </conditionalFormatting>
  <conditionalFormatting sqref="E109:AQ112">
    <cfRule type="containsBlanks" dxfId="111" priority="14">
      <formula>LEN(TRIM(E109))=0</formula>
    </cfRule>
  </conditionalFormatting>
  <conditionalFormatting sqref="E115:AQ121">
    <cfRule type="containsBlanks" dxfId="110" priority="5">
      <formula>LEN(TRIM(E115))=0</formula>
    </cfRule>
  </conditionalFormatting>
  <conditionalFormatting sqref="E124:AQ124">
    <cfRule type="containsBlanks" dxfId="109" priority="13">
      <formula>LEN(TRIM(E124))=0</formula>
    </cfRule>
  </conditionalFormatting>
  <conditionalFormatting sqref="E127:AQ133">
    <cfRule type="containsBlanks" dxfId="108" priority="12">
      <formula>LEN(TRIM(E127))=0</formula>
    </cfRule>
  </conditionalFormatting>
  <conditionalFormatting sqref="E136:AQ141">
    <cfRule type="containsBlanks" dxfId="107" priority="11">
      <formula>LEN(TRIM(E136))=0</formula>
    </cfRule>
  </conditionalFormatting>
  <conditionalFormatting sqref="E144:AQ150">
    <cfRule type="containsBlanks" dxfId="106" priority="10">
      <formula>LEN(TRIM(E144))=0</formula>
    </cfRule>
  </conditionalFormatting>
  <conditionalFormatting sqref="E153:AQ155">
    <cfRule type="containsBlanks" dxfId="105" priority="9">
      <formula>LEN(TRIM(E153))=0</formula>
    </cfRule>
  </conditionalFormatting>
  <conditionalFormatting sqref="E158:AQ161">
    <cfRule type="containsBlanks" dxfId="104" priority="8">
      <formula>LEN(TRIM(E158))=0</formula>
    </cfRule>
  </conditionalFormatting>
  <conditionalFormatting sqref="E164:AQ170">
    <cfRule type="containsBlanks" dxfId="103" priority="7">
      <formula>LEN(TRIM(E164))=0</formula>
    </cfRule>
  </conditionalFormatting>
  <conditionalFormatting sqref="E173:AQ175">
    <cfRule type="containsBlanks" dxfId="102" priority="6">
      <formula>LEN(TRIM(E173))=0</formula>
    </cfRule>
  </conditionalFormatting>
  <conditionalFormatting sqref="E179:AQ180">
    <cfRule type="containsBlanks" dxfId="101" priority="4">
      <formula>LEN(TRIM(E179))=0</formula>
    </cfRule>
  </conditionalFormatting>
  <conditionalFormatting sqref="U34">
    <cfRule type="expression" dxfId="100" priority="2">
      <formula>U34&lt;&gt;U47</formula>
    </cfRule>
  </conditionalFormatting>
  <conditionalFormatting sqref="AK34">
    <cfRule type="expression" dxfId="99" priority="1">
      <formula>AK34&lt;&gt;AK47</formula>
    </cfRule>
  </conditionalFormatting>
  <conditionalFormatting sqref="AP34:AQ34">
    <cfRule type="expression" dxfId="98" priority="30">
      <formula>AP34&lt;&gt;AP47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W181"/>
  <sheetViews>
    <sheetView topLeftCell="D13" zoomScaleNormal="100" workbookViewId="0">
      <pane ySplit="1" topLeftCell="A174" activePane="bottomLeft" state="frozen"/>
      <selection activeCell="A13" sqref="A13"/>
      <selection pane="bottomLeft" activeCell="W180" sqref="W180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104</v>
      </c>
      <c r="D2" s="43" t="s">
        <v>193</v>
      </c>
    </row>
    <row r="3" spans="1:23" x14ac:dyDescent="0.4">
      <c r="C3" s="43" t="s">
        <v>105</v>
      </c>
      <c r="D3" s="43" t="s">
        <v>106</v>
      </c>
    </row>
    <row r="4" spans="1:23" x14ac:dyDescent="0.4">
      <c r="C4" s="43" t="s">
        <v>107</v>
      </c>
      <c r="D4" s="43" t="s">
        <v>108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109</v>
      </c>
      <c r="D9" s="43" t="s">
        <v>202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3"/>
    </row>
    <row r="12" spans="1:23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2" t="s">
        <v>103</v>
      </c>
    </row>
    <row r="13" spans="1:23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93"/>
    </row>
    <row r="14" spans="1:23" x14ac:dyDescent="0.4">
      <c r="A14" s="7"/>
      <c r="B14" s="80" t="s">
        <v>22</v>
      </c>
      <c r="C14" s="68"/>
      <c r="D14" s="6" t="s">
        <v>23</v>
      </c>
      <c r="E14" s="6">
        <v>124</v>
      </c>
      <c r="F14" s="6">
        <v>130</v>
      </c>
      <c r="G14" s="6">
        <v>115</v>
      </c>
      <c r="H14" s="6">
        <v>131</v>
      </c>
      <c r="I14" s="6">
        <v>128</v>
      </c>
      <c r="J14" s="6">
        <v>128</v>
      </c>
      <c r="K14" s="6">
        <v>73</v>
      </c>
      <c r="L14" s="6">
        <v>128</v>
      </c>
      <c r="M14" s="6">
        <v>117</v>
      </c>
      <c r="N14" s="6">
        <v>117</v>
      </c>
      <c r="O14" s="6">
        <v>93</v>
      </c>
      <c r="P14" s="6">
        <v>139</v>
      </c>
      <c r="Q14" s="6">
        <v>152</v>
      </c>
      <c r="R14" s="6">
        <v>142</v>
      </c>
      <c r="S14" s="6">
        <v>132</v>
      </c>
      <c r="T14" s="6">
        <v>122</v>
      </c>
      <c r="U14" s="6">
        <v>115</v>
      </c>
      <c r="V14" s="6">
        <v>117</v>
      </c>
      <c r="W14" s="5">
        <f>SUM(E14:V14)</f>
        <v>2203</v>
      </c>
    </row>
    <row r="15" spans="1:23" x14ac:dyDescent="0.4">
      <c r="A15" s="7"/>
      <c r="B15" s="81"/>
      <c r="C15" s="74"/>
      <c r="D15" s="6" t="s">
        <v>24</v>
      </c>
      <c r="E15" s="6">
        <v>141</v>
      </c>
      <c r="F15" s="6">
        <v>140</v>
      </c>
      <c r="G15" s="6">
        <v>124</v>
      </c>
      <c r="H15" s="6">
        <v>131</v>
      </c>
      <c r="I15" s="6">
        <v>131</v>
      </c>
      <c r="J15" s="6">
        <v>141</v>
      </c>
      <c r="K15" s="6">
        <v>85</v>
      </c>
      <c r="L15" s="6">
        <v>136</v>
      </c>
      <c r="M15" s="6">
        <v>113</v>
      </c>
      <c r="N15" s="6">
        <v>133</v>
      </c>
      <c r="O15" s="6">
        <v>83</v>
      </c>
      <c r="P15" s="6">
        <v>148</v>
      </c>
      <c r="Q15" s="6">
        <v>136</v>
      </c>
      <c r="R15" s="6">
        <v>134</v>
      </c>
      <c r="S15" s="6">
        <v>139</v>
      </c>
      <c r="T15" s="6">
        <v>136</v>
      </c>
      <c r="U15" s="6">
        <v>122</v>
      </c>
      <c r="V15" s="6">
        <v>125</v>
      </c>
      <c r="W15" s="5">
        <f>SUM(E15:V15)</f>
        <v>2298</v>
      </c>
    </row>
    <row r="16" spans="1:23" x14ac:dyDescent="0.4">
      <c r="A16" s="8"/>
      <c r="B16" s="79"/>
      <c r="C16" s="75"/>
      <c r="D16" s="5" t="s">
        <v>25</v>
      </c>
      <c r="E16" s="5">
        <f t="shared" ref="E16:V16" si="0">SUM(E14:E15)</f>
        <v>265</v>
      </c>
      <c r="F16" s="5">
        <f t="shared" si="0"/>
        <v>270</v>
      </c>
      <c r="G16" s="5">
        <f t="shared" si="0"/>
        <v>239</v>
      </c>
      <c r="H16" s="5">
        <f t="shared" si="0"/>
        <v>262</v>
      </c>
      <c r="I16" s="5">
        <f t="shared" si="0"/>
        <v>259</v>
      </c>
      <c r="J16" s="5">
        <f t="shared" si="0"/>
        <v>269</v>
      </c>
      <c r="K16" s="5">
        <f t="shared" si="0"/>
        <v>158</v>
      </c>
      <c r="L16" s="5">
        <f t="shared" ref="L16:Q16" si="1">SUM(L14:L15)</f>
        <v>264</v>
      </c>
      <c r="M16" s="5">
        <f t="shared" si="1"/>
        <v>230</v>
      </c>
      <c r="N16" s="5">
        <f t="shared" si="1"/>
        <v>250</v>
      </c>
      <c r="O16" s="5">
        <f t="shared" si="1"/>
        <v>176</v>
      </c>
      <c r="P16" s="5">
        <f t="shared" si="1"/>
        <v>287</v>
      </c>
      <c r="Q16" s="5">
        <f t="shared" si="1"/>
        <v>288</v>
      </c>
      <c r="R16" s="5">
        <f t="shared" si="0"/>
        <v>276</v>
      </c>
      <c r="S16" s="5">
        <f t="shared" si="0"/>
        <v>271</v>
      </c>
      <c r="T16" s="5">
        <f t="shared" si="0"/>
        <v>258</v>
      </c>
      <c r="U16" s="5">
        <f t="shared" si="0"/>
        <v>237</v>
      </c>
      <c r="V16" s="5">
        <f t="shared" si="0"/>
        <v>242</v>
      </c>
      <c r="W16" s="5">
        <f>SUM(E16:V16)</f>
        <v>4501</v>
      </c>
    </row>
    <row r="17" spans="1:23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10"/>
      <c r="U17" s="10"/>
      <c r="V17" s="10"/>
      <c r="W17" s="28"/>
    </row>
    <row r="18" spans="1:23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10"/>
      <c r="U18" s="10"/>
      <c r="V18" s="10"/>
      <c r="W18" s="28"/>
    </row>
    <row r="19" spans="1:23" x14ac:dyDescent="0.4">
      <c r="A19" s="11"/>
      <c r="B19" s="82" t="s">
        <v>28</v>
      </c>
      <c r="C19" s="83" t="s">
        <v>29</v>
      </c>
      <c r="D19" s="6" t="s">
        <v>23</v>
      </c>
      <c r="E19" s="6">
        <v>106</v>
      </c>
      <c r="F19" s="6">
        <v>108</v>
      </c>
      <c r="G19" s="6">
        <v>96</v>
      </c>
      <c r="H19" s="6">
        <v>104</v>
      </c>
      <c r="I19" s="6">
        <v>100</v>
      </c>
      <c r="J19" s="6">
        <v>106</v>
      </c>
      <c r="K19" s="6">
        <v>52</v>
      </c>
      <c r="L19" s="6">
        <v>112</v>
      </c>
      <c r="M19" s="6">
        <v>92</v>
      </c>
      <c r="N19" s="6">
        <v>96</v>
      </c>
      <c r="O19" s="6">
        <v>72</v>
      </c>
      <c r="P19" s="6">
        <v>108</v>
      </c>
      <c r="Q19" s="6">
        <v>117</v>
      </c>
      <c r="R19" s="6">
        <v>108</v>
      </c>
      <c r="S19" s="6">
        <v>109</v>
      </c>
      <c r="T19" s="6">
        <v>104</v>
      </c>
      <c r="U19" s="6">
        <v>100</v>
      </c>
      <c r="V19" s="6">
        <v>82</v>
      </c>
      <c r="W19" s="5">
        <f t="shared" ref="W19:W30" si="2">SUM(E19:V19)</f>
        <v>1772</v>
      </c>
    </row>
    <row r="20" spans="1:23" x14ac:dyDescent="0.4">
      <c r="A20" s="12"/>
      <c r="B20" s="74"/>
      <c r="C20" s="84"/>
      <c r="D20" s="6" t="s">
        <v>24</v>
      </c>
      <c r="E20" s="6">
        <v>119</v>
      </c>
      <c r="F20" s="6">
        <v>120</v>
      </c>
      <c r="G20" s="6">
        <v>108</v>
      </c>
      <c r="H20" s="6">
        <v>108</v>
      </c>
      <c r="I20" s="6">
        <v>106</v>
      </c>
      <c r="J20" s="6">
        <v>119</v>
      </c>
      <c r="K20" s="6">
        <v>70</v>
      </c>
      <c r="L20" s="6">
        <v>115</v>
      </c>
      <c r="M20" s="6">
        <v>101</v>
      </c>
      <c r="N20" s="6">
        <v>121</v>
      </c>
      <c r="O20" s="6">
        <v>63</v>
      </c>
      <c r="P20" s="6">
        <v>130</v>
      </c>
      <c r="Q20" s="6">
        <v>111</v>
      </c>
      <c r="R20" s="6">
        <v>119</v>
      </c>
      <c r="S20" s="6">
        <v>118</v>
      </c>
      <c r="T20" s="6">
        <v>117</v>
      </c>
      <c r="U20" s="6">
        <v>103</v>
      </c>
      <c r="V20" s="6">
        <v>93</v>
      </c>
      <c r="W20" s="5">
        <f t="shared" si="2"/>
        <v>1941</v>
      </c>
    </row>
    <row r="21" spans="1:23" x14ac:dyDescent="0.4">
      <c r="A21" s="13"/>
      <c r="B21" s="75"/>
      <c r="C21" s="85"/>
      <c r="D21" s="5" t="s">
        <v>25</v>
      </c>
      <c r="E21" s="5">
        <f t="shared" ref="E21:V21" si="3">SUM(E19:E20)</f>
        <v>225</v>
      </c>
      <c r="F21" s="5">
        <f t="shared" si="3"/>
        <v>228</v>
      </c>
      <c r="G21" s="5">
        <f t="shared" si="3"/>
        <v>204</v>
      </c>
      <c r="H21" s="5">
        <f t="shared" si="3"/>
        <v>212</v>
      </c>
      <c r="I21" s="5">
        <f t="shared" si="3"/>
        <v>206</v>
      </c>
      <c r="J21" s="5">
        <f t="shared" si="3"/>
        <v>225</v>
      </c>
      <c r="K21" s="5">
        <f t="shared" si="3"/>
        <v>122</v>
      </c>
      <c r="L21" s="5">
        <f t="shared" ref="L21:Q21" si="4">SUM(L19:L20)</f>
        <v>227</v>
      </c>
      <c r="M21" s="5">
        <f t="shared" si="4"/>
        <v>193</v>
      </c>
      <c r="N21" s="5">
        <f t="shared" si="4"/>
        <v>217</v>
      </c>
      <c r="O21" s="5">
        <f t="shared" si="4"/>
        <v>135</v>
      </c>
      <c r="P21" s="5">
        <f t="shared" si="4"/>
        <v>238</v>
      </c>
      <c r="Q21" s="5">
        <f t="shared" si="4"/>
        <v>228</v>
      </c>
      <c r="R21" s="5">
        <f t="shared" si="3"/>
        <v>227</v>
      </c>
      <c r="S21" s="5">
        <f t="shared" si="3"/>
        <v>227</v>
      </c>
      <c r="T21" s="5">
        <f t="shared" si="3"/>
        <v>221</v>
      </c>
      <c r="U21" s="5">
        <f t="shared" si="3"/>
        <v>203</v>
      </c>
      <c r="V21" s="5">
        <f t="shared" si="3"/>
        <v>175</v>
      </c>
      <c r="W21" s="5">
        <f t="shared" si="2"/>
        <v>3713</v>
      </c>
    </row>
    <row r="22" spans="1:23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1</v>
      </c>
      <c r="J22" s="6">
        <v>0</v>
      </c>
      <c r="K22" s="6">
        <v>1</v>
      </c>
      <c r="L22" s="6">
        <v>1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1</v>
      </c>
      <c r="V22" s="6">
        <v>0</v>
      </c>
      <c r="W22" s="5">
        <f t="shared" si="2"/>
        <v>7</v>
      </c>
    </row>
    <row r="23" spans="1:23" x14ac:dyDescent="0.4">
      <c r="A23" s="12"/>
      <c r="B23" s="74"/>
      <c r="C23" s="84"/>
      <c r="D23" s="6" t="s">
        <v>24</v>
      </c>
      <c r="E23" s="6">
        <v>0</v>
      </c>
      <c r="F23" s="6">
        <v>1</v>
      </c>
      <c r="G23" s="6">
        <v>0</v>
      </c>
      <c r="H23" s="6">
        <v>1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>
        <v>1</v>
      </c>
      <c r="Q23" s="6">
        <v>0</v>
      </c>
      <c r="R23" s="6">
        <v>1</v>
      </c>
      <c r="S23" s="6">
        <v>0</v>
      </c>
      <c r="T23" s="6">
        <v>1</v>
      </c>
      <c r="U23" s="6">
        <v>2</v>
      </c>
      <c r="V23" s="6">
        <v>0</v>
      </c>
      <c r="W23" s="5">
        <f t="shared" si="2"/>
        <v>10</v>
      </c>
    </row>
    <row r="24" spans="1:23" x14ac:dyDescent="0.4">
      <c r="A24" s="13"/>
      <c r="B24" s="75"/>
      <c r="C24" s="85"/>
      <c r="D24" s="5" t="s">
        <v>25</v>
      </c>
      <c r="E24" s="5">
        <f t="shared" ref="E24:V24" si="5">SUM(E22:E23)</f>
        <v>0</v>
      </c>
      <c r="F24" s="5">
        <f t="shared" si="5"/>
        <v>1</v>
      </c>
      <c r="G24" s="5">
        <f t="shared" si="5"/>
        <v>1</v>
      </c>
      <c r="H24" s="5">
        <f t="shared" si="5"/>
        <v>1</v>
      </c>
      <c r="I24" s="5">
        <f t="shared" si="5"/>
        <v>1</v>
      </c>
      <c r="J24" s="5">
        <f t="shared" si="5"/>
        <v>1</v>
      </c>
      <c r="K24" s="5">
        <f t="shared" si="5"/>
        <v>1</v>
      </c>
      <c r="L24" s="5">
        <f t="shared" ref="L24:Q24" si="6">SUM(L22:L23)</f>
        <v>1</v>
      </c>
      <c r="M24" s="5">
        <f t="shared" si="6"/>
        <v>0</v>
      </c>
      <c r="N24" s="5">
        <f t="shared" si="6"/>
        <v>2</v>
      </c>
      <c r="O24" s="5">
        <f t="shared" si="6"/>
        <v>1</v>
      </c>
      <c r="P24" s="5">
        <f t="shared" si="6"/>
        <v>1</v>
      </c>
      <c r="Q24" s="5">
        <f t="shared" si="6"/>
        <v>0</v>
      </c>
      <c r="R24" s="5">
        <f t="shared" si="5"/>
        <v>1</v>
      </c>
      <c r="S24" s="5">
        <f t="shared" si="5"/>
        <v>1</v>
      </c>
      <c r="T24" s="5">
        <f t="shared" si="5"/>
        <v>1</v>
      </c>
      <c r="U24" s="5">
        <f t="shared" si="5"/>
        <v>3</v>
      </c>
      <c r="V24" s="5">
        <f t="shared" si="5"/>
        <v>0</v>
      </c>
      <c r="W24" s="5">
        <f t="shared" si="2"/>
        <v>17</v>
      </c>
    </row>
    <row r="25" spans="1:23" x14ac:dyDescent="0.4">
      <c r="A25" s="12"/>
      <c r="B25" s="82" t="s">
        <v>32</v>
      </c>
      <c r="C25" s="83" t="s">
        <v>33</v>
      </c>
      <c r="D25" s="6" t="s">
        <v>23</v>
      </c>
      <c r="E25" s="6">
        <v>1</v>
      </c>
      <c r="F25" s="6">
        <v>1</v>
      </c>
      <c r="G25" s="6">
        <v>1</v>
      </c>
      <c r="H25" s="6">
        <v>1</v>
      </c>
      <c r="I25" s="6">
        <v>0</v>
      </c>
      <c r="J25" s="6">
        <v>2</v>
      </c>
      <c r="K25" s="6">
        <v>4</v>
      </c>
      <c r="L25" s="6">
        <v>0</v>
      </c>
      <c r="M25" s="6">
        <v>0</v>
      </c>
      <c r="N25" s="6">
        <v>1</v>
      </c>
      <c r="O25" s="6">
        <v>2</v>
      </c>
      <c r="P25" s="6">
        <v>4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7</v>
      </c>
      <c r="W25" s="5">
        <f t="shared" si="2"/>
        <v>25</v>
      </c>
    </row>
    <row r="26" spans="1:23" x14ac:dyDescent="0.4">
      <c r="A26" s="12"/>
      <c r="B26" s="74"/>
      <c r="C26" s="84"/>
      <c r="D26" s="6" t="s">
        <v>24</v>
      </c>
      <c r="E26" s="6">
        <v>2</v>
      </c>
      <c r="F26" s="6">
        <v>2</v>
      </c>
      <c r="G26" s="6">
        <v>1</v>
      </c>
      <c r="H26" s="6">
        <v>1</v>
      </c>
      <c r="I26" s="6">
        <v>1</v>
      </c>
      <c r="J26" s="6">
        <v>1</v>
      </c>
      <c r="K26" s="6">
        <v>3</v>
      </c>
      <c r="L26" s="6">
        <v>0</v>
      </c>
      <c r="M26" s="6">
        <v>0</v>
      </c>
      <c r="N26" s="6">
        <v>1</v>
      </c>
      <c r="O26" s="6">
        <v>2</v>
      </c>
      <c r="P26" s="6">
        <v>7</v>
      </c>
      <c r="Q26" s="6">
        <v>1</v>
      </c>
      <c r="R26" s="6">
        <v>0</v>
      </c>
      <c r="S26" s="6">
        <v>1</v>
      </c>
      <c r="T26" s="6">
        <v>2</v>
      </c>
      <c r="U26" s="6">
        <v>3</v>
      </c>
      <c r="V26" s="6">
        <v>6</v>
      </c>
      <c r="W26" s="5">
        <f t="shared" si="2"/>
        <v>34</v>
      </c>
    </row>
    <row r="27" spans="1:23" x14ac:dyDescent="0.4">
      <c r="A27" s="13"/>
      <c r="B27" s="75"/>
      <c r="C27" s="85"/>
      <c r="D27" s="5" t="s">
        <v>25</v>
      </c>
      <c r="E27" s="5">
        <f t="shared" ref="E27:V27" si="7">SUM(E25:E26)</f>
        <v>3</v>
      </c>
      <c r="F27" s="5">
        <f t="shared" si="7"/>
        <v>3</v>
      </c>
      <c r="G27" s="5">
        <f t="shared" si="7"/>
        <v>2</v>
      </c>
      <c r="H27" s="5">
        <f t="shared" si="7"/>
        <v>2</v>
      </c>
      <c r="I27" s="5">
        <f t="shared" si="7"/>
        <v>1</v>
      </c>
      <c r="J27" s="5">
        <f t="shared" si="7"/>
        <v>3</v>
      </c>
      <c r="K27" s="5">
        <f t="shared" si="7"/>
        <v>7</v>
      </c>
      <c r="L27" s="5">
        <f t="shared" ref="L27:Q27" si="8">SUM(L25:L26)</f>
        <v>0</v>
      </c>
      <c r="M27" s="5">
        <f t="shared" si="8"/>
        <v>0</v>
      </c>
      <c r="N27" s="5">
        <f t="shared" si="8"/>
        <v>2</v>
      </c>
      <c r="O27" s="5">
        <f t="shared" si="8"/>
        <v>4</v>
      </c>
      <c r="P27" s="5">
        <f t="shared" si="8"/>
        <v>11</v>
      </c>
      <c r="Q27" s="5">
        <f t="shared" si="8"/>
        <v>1</v>
      </c>
      <c r="R27" s="5">
        <f t="shared" si="7"/>
        <v>0</v>
      </c>
      <c r="S27" s="5">
        <f t="shared" si="7"/>
        <v>1</v>
      </c>
      <c r="T27" s="5">
        <f t="shared" si="7"/>
        <v>2</v>
      </c>
      <c r="U27" s="5">
        <f t="shared" si="7"/>
        <v>4</v>
      </c>
      <c r="V27" s="5">
        <f t="shared" si="7"/>
        <v>13</v>
      </c>
      <c r="W27" s="5">
        <f t="shared" si="2"/>
        <v>59</v>
      </c>
    </row>
    <row r="28" spans="1:23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107</v>
      </c>
      <c r="F28" s="5">
        <f t="shared" ref="F28:V29" si="9">SUM(F19,F22,F25)</f>
        <v>109</v>
      </c>
      <c r="G28" s="5">
        <f t="shared" si="9"/>
        <v>98</v>
      </c>
      <c r="H28" s="5">
        <f t="shared" si="9"/>
        <v>105</v>
      </c>
      <c r="I28" s="5">
        <f t="shared" si="9"/>
        <v>101</v>
      </c>
      <c r="J28" s="5">
        <f t="shared" si="9"/>
        <v>108</v>
      </c>
      <c r="K28" s="5">
        <f t="shared" si="9"/>
        <v>57</v>
      </c>
      <c r="L28" s="5">
        <f t="shared" ref="L28:Q28" si="10">SUM(L19,L22,L25)</f>
        <v>113</v>
      </c>
      <c r="M28" s="5">
        <f t="shared" si="10"/>
        <v>92</v>
      </c>
      <c r="N28" s="5">
        <f t="shared" si="10"/>
        <v>97</v>
      </c>
      <c r="O28" s="5">
        <f t="shared" si="10"/>
        <v>75</v>
      </c>
      <c r="P28" s="5">
        <f t="shared" si="10"/>
        <v>112</v>
      </c>
      <c r="Q28" s="5">
        <f t="shared" si="10"/>
        <v>117</v>
      </c>
      <c r="R28" s="5">
        <f t="shared" si="9"/>
        <v>108</v>
      </c>
      <c r="S28" s="5">
        <f t="shared" si="9"/>
        <v>110</v>
      </c>
      <c r="T28" s="5">
        <f t="shared" si="9"/>
        <v>104</v>
      </c>
      <c r="U28" s="5">
        <f t="shared" si="9"/>
        <v>102</v>
      </c>
      <c r="V28" s="5">
        <f t="shared" si="9"/>
        <v>89</v>
      </c>
      <c r="W28" s="5">
        <f t="shared" si="2"/>
        <v>1804</v>
      </c>
    </row>
    <row r="29" spans="1:23" x14ac:dyDescent="0.4">
      <c r="A29" s="13"/>
      <c r="B29" s="74"/>
      <c r="C29" s="84"/>
      <c r="D29" s="5" t="s">
        <v>24</v>
      </c>
      <c r="E29" s="5">
        <f>SUM(E20,E23,E26)</f>
        <v>121</v>
      </c>
      <c r="F29" s="5">
        <f t="shared" si="9"/>
        <v>123</v>
      </c>
      <c r="G29" s="5">
        <f t="shared" si="9"/>
        <v>109</v>
      </c>
      <c r="H29" s="5">
        <f t="shared" si="9"/>
        <v>110</v>
      </c>
      <c r="I29" s="5">
        <f t="shared" si="9"/>
        <v>107</v>
      </c>
      <c r="J29" s="5">
        <f t="shared" si="9"/>
        <v>121</v>
      </c>
      <c r="K29" s="5">
        <f t="shared" si="9"/>
        <v>73</v>
      </c>
      <c r="L29" s="5">
        <f t="shared" ref="L29:Q29" si="11">SUM(L20,L23,L26)</f>
        <v>115</v>
      </c>
      <c r="M29" s="5">
        <f t="shared" si="11"/>
        <v>101</v>
      </c>
      <c r="N29" s="5">
        <f t="shared" si="11"/>
        <v>124</v>
      </c>
      <c r="O29" s="5">
        <f t="shared" si="11"/>
        <v>65</v>
      </c>
      <c r="P29" s="5">
        <f t="shared" si="11"/>
        <v>138</v>
      </c>
      <c r="Q29" s="5">
        <f t="shared" si="11"/>
        <v>112</v>
      </c>
      <c r="R29" s="5">
        <f t="shared" si="9"/>
        <v>120</v>
      </c>
      <c r="S29" s="5">
        <f t="shared" si="9"/>
        <v>119</v>
      </c>
      <c r="T29" s="5">
        <f t="shared" si="9"/>
        <v>120</v>
      </c>
      <c r="U29" s="5">
        <f t="shared" si="9"/>
        <v>108</v>
      </c>
      <c r="V29" s="5">
        <f t="shared" si="9"/>
        <v>99</v>
      </c>
      <c r="W29" s="5">
        <f t="shared" si="2"/>
        <v>1985</v>
      </c>
    </row>
    <row r="30" spans="1:23" x14ac:dyDescent="0.4">
      <c r="A30" s="13"/>
      <c r="B30" s="75"/>
      <c r="C30" s="85"/>
      <c r="D30" s="5" t="s">
        <v>25</v>
      </c>
      <c r="E30" s="5">
        <f t="shared" ref="E30" si="12">SUM(E28:E29)</f>
        <v>228</v>
      </c>
      <c r="F30" s="5">
        <f t="shared" ref="F30:V30" si="13">SUM(F28:F29)</f>
        <v>232</v>
      </c>
      <c r="G30" s="5">
        <f t="shared" si="13"/>
        <v>207</v>
      </c>
      <c r="H30" s="5">
        <f t="shared" si="13"/>
        <v>215</v>
      </c>
      <c r="I30" s="5">
        <f t="shared" si="13"/>
        <v>208</v>
      </c>
      <c r="J30" s="5">
        <f t="shared" si="13"/>
        <v>229</v>
      </c>
      <c r="K30" s="5">
        <f t="shared" si="13"/>
        <v>130</v>
      </c>
      <c r="L30" s="5">
        <f t="shared" ref="L30:Q30" si="14">SUM(L28:L29)</f>
        <v>228</v>
      </c>
      <c r="M30" s="5">
        <f t="shared" si="14"/>
        <v>193</v>
      </c>
      <c r="N30" s="5">
        <f t="shared" si="14"/>
        <v>221</v>
      </c>
      <c r="O30" s="5">
        <f t="shared" si="14"/>
        <v>140</v>
      </c>
      <c r="P30" s="5">
        <f t="shared" si="14"/>
        <v>250</v>
      </c>
      <c r="Q30" s="5">
        <f t="shared" si="14"/>
        <v>229</v>
      </c>
      <c r="R30" s="5">
        <f t="shared" si="13"/>
        <v>228</v>
      </c>
      <c r="S30" s="5">
        <f t="shared" si="13"/>
        <v>229</v>
      </c>
      <c r="T30" s="5">
        <f t="shared" si="13"/>
        <v>224</v>
      </c>
      <c r="U30" s="5">
        <f t="shared" si="13"/>
        <v>210</v>
      </c>
      <c r="V30" s="5">
        <f t="shared" si="13"/>
        <v>188</v>
      </c>
      <c r="W30" s="5">
        <f t="shared" si="2"/>
        <v>3789</v>
      </c>
    </row>
    <row r="31" spans="1:23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10"/>
      <c r="U31" s="10"/>
      <c r="V31" s="10"/>
      <c r="W31" s="28"/>
    </row>
    <row r="32" spans="1:23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15"/>
      <c r="U32" s="15"/>
      <c r="V32" s="15"/>
      <c r="W32" s="28"/>
    </row>
    <row r="33" spans="1:23" x14ac:dyDescent="0.4">
      <c r="A33" s="6">
        <v>1</v>
      </c>
      <c r="B33" s="77" t="s">
        <v>38</v>
      </c>
      <c r="C33" s="69"/>
      <c r="D33" s="60"/>
      <c r="E33" s="6">
        <v>271</v>
      </c>
      <c r="F33" s="6">
        <v>270</v>
      </c>
      <c r="G33" s="6">
        <v>242</v>
      </c>
      <c r="H33" s="6">
        <v>268</v>
      </c>
      <c r="I33" s="6">
        <v>264</v>
      </c>
      <c r="J33" s="6">
        <v>275</v>
      </c>
      <c r="K33" s="6">
        <v>162</v>
      </c>
      <c r="L33" s="6">
        <v>269</v>
      </c>
      <c r="M33" s="6">
        <v>236</v>
      </c>
      <c r="N33" s="6">
        <v>255</v>
      </c>
      <c r="O33" s="6">
        <v>180</v>
      </c>
      <c r="P33" s="6">
        <v>300</v>
      </c>
      <c r="Q33" s="6">
        <v>294</v>
      </c>
      <c r="R33" s="6">
        <v>282</v>
      </c>
      <c r="S33" s="6">
        <v>277</v>
      </c>
      <c r="T33" s="6">
        <v>271</v>
      </c>
      <c r="U33" s="6">
        <v>242</v>
      </c>
      <c r="V33" s="6">
        <v>247</v>
      </c>
      <c r="W33" s="5">
        <f>SUM(E33:V33)</f>
        <v>4605</v>
      </c>
    </row>
    <row r="34" spans="1:23" x14ac:dyDescent="0.4">
      <c r="A34" s="6">
        <v>2</v>
      </c>
      <c r="B34" s="77" t="s">
        <v>39</v>
      </c>
      <c r="C34" s="69"/>
      <c r="D34" s="60"/>
      <c r="E34" s="5">
        <v>228</v>
      </c>
      <c r="F34" s="5">
        <v>232</v>
      </c>
      <c r="G34" s="5">
        <v>207</v>
      </c>
      <c r="H34" s="5">
        <v>215</v>
      </c>
      <c r="I34" s="5">
        <v>208</v>
      </c>
      <c r="J34" s="5">
        <v>229</v>
      </c>
      <c r="K34" s="5">
        <v>130</v>
      </c>
      <c r="L34" s="5">
        <v>228</v>
      </c>
      <c r="M34" s="5">
        <v>193</v>
      </c>
      <c r="N34" s="5">
        <v>221</v>
      </c>
      <c r="O34" s="5">
        <v>140</v>
      </c>
      <c r="P34" s="5">
        <v>250</v>
      </c>
      <c r="Q34" s="5">
        <v>229</v>
      </c>
      <c r="R34" s="5">
        <v>228</v>
      </c>
      <c r="S34" s="5">
        <v>229</v>
      </c>
      <c r="T34" s="5">
        <v>224</v>
      </c>
      <c r="U34" s="5">
        <v>210</v>
      </c>
      <c r="V34" s="5">
        <v>188</v>
      </c>
      <c r="W34" s="5">
        <f>SUM(E34:V34)</f>
        <v>3789</v>
      </c>
    </row>
    <row r="35" spans="1:23" x14ac:dyDescent="0.4">
      <c r="A35" s="6">
        <v>3</v>
      </c>
      <c r="B35" s="77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1</v>
      </c>
      <c r="R35" s="6">
        <v>0</v>
      </c>
      <c r="S35" s="6">
        <v>0</v>
      </c>
      <c r="T35" s="6">
        <v>2</v>
      </c>
      <c r="U35" s="6">
        <v>4</v>
      </c>
      <c r="V35" s="6">
        <v>0</v>
      </c>
      <c r="W35" s="5">
        <f>SUM(E35:V35)</f>
        <v>8</v>
      </c>
    </row>
    <row r="36" spans="1:23" x14ac:dyDescent="0.4">
      <c r="A36" s="6">
        <v>4</v>
      </c>
      <c r="B36" s="77" t="s">
        <v>41</v>
      </c>
      <c r="C36" s="69"/>
      <c r="D36" s="60"/>
      <c r="E36" s="5">
        <f t="shared" ref="E36:V36" si="15">E33-(E34+E35)</f>
        <v>43</v>
      </c>
      <c r="F36" s="5">
        <f t="shared" si="15"/>
        <v>38</v>
      </c>
      <c r="G36" s="5">
        <f t="shared" si="15"/>
        <v>35</v>
      </c>
      <c r="H36" s="5">
        <f t="shared" si="15"/>
        <v>53</v>
      </c>
      <c r="I36" s="5">
        <f t="shared" si="15"/>
        <v>56</v>
      </c>
      <c r="J36" s="5">
        <f t="shared" si="15"/>
        <v>46</v>
      </c>
      <c r="K36" s="5">
        <f t="shared" si="15"/>
        <v>32</v>
      </c>
      <c r="L36" s="5">
        <f t="shared" ref="L36:Q36" si="16">L33-(L34+L35)</f>
        <v>41</v>
      </c>
      <c r="M36" s="5">
        <f t="shared" si="16"/>
        <v>43</v>
      </c>
      <c r="N36" s="5">
        <f t="shared" si="16"/>
        <v>34</v>
      </c>
      <c r="O36" s="5">
        <f t="shared" si="16"/>
        <v>39</v>
      </c>
      <c r="P36" s="5">
        <f t="shared" si="16"/>
        <v>50</v>
      </c>
      <c r="Q36" s="5">
        <f t="shared" si="16"/>
        <v>64</v>
      </c>
      <c r="R36" s="5">
        <f t="shared" si="15"/>
        <v>54</v>
      </c>
      <c r="S36" s="5">
        <f t="shared" si="15"/>
        <v>48</v>
      </c>
      <c r="T36" s="5">
        <f t="shared" si="15"/>
        <v>45</v>
      </c>
      <c r="U36" s="5">
        <f t="shared" si="15"/>
        <v>28</v>
      </c>
      <c r="V36" s="5">
        <f t="shared" si="15"/>
        <v>59</v>
      </c>
      <c r="W36" s="5">
        <f>SUM(E36:V36)</f>
        <v>808</v>
      </c>
    </row>
    <row r="37" spans="1:23" x14ac:dyDescent="0.4">
      <c r="A37" s="61"/>
      <c r="B37" s="69"/>
      <c r="C37" s="69"/>
      <c r="D37" s="69"/>
      <c r="E37" s="61"/>
      <c r="F37" s="88"/>
      <c r="G37" s="88"/>
      <c r="H37" s="88"/>
      <c r="I37" s="89"/>
      <c r="J37" s="6"/>
      <c r="K37" s="6"/>
      <c r="L37" s="6"/>
      <c r="M37" s="6"/>
      <c r="N37" s="10"/>
      <c r="O37" s="26"/>
      <c r="P37" s="26"/>
      <c r="Q37" s="26"/>
      <c r="R37" s="6"/>
      <c r="S37" s="6"/>
      <c r="T37" s="10"/>
      <c r="U37" s="26"/>
      <c r="V37" s="26"/>
      <c r="W37" s="28"/>
    </row>
    <row r="38" spans="1:23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15"/>
      <c r="U38" s="15"/>
      <c r="V38" s="15"/>
      <c r="W38" s="28"/>
    </row>
    <row r="39" spans="1:23" x14ac:dyDescent="0.4">
      <c r="A39" s="11"/>
      <c r="B39" s="72" t="s">
        <v>44</v>
      </c>
      <c r="C39" s="6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1</v>
      </c>
      <c r="P39" s="6"/>
      <c r="Q39" s="6"/>
      <c r="R39" s="6"/>
      <c r="S39" s="6"/>
      <c r="T39" s="6"/>
      <c r="U39" s="6"/>
      <c r="V39" s="6"/>
      <c r="W39" s="5">
        <f>SUM(E39:V39)</f>
        <v>1</v>
      </c>
    </row>
    <row r="40" spans="1:23" x14ac:dyDescent="0.4">
      <c r="A40" s="12"/>
      <c r="B40" s="73"/>
      <c r="C40" s="74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</v>
      </c>
      <c r="W40" s="5">
        <f>SUM(E40:V40)</f>
        <v>1</v>
      </c>
    </row>
    <row r="41" spans="1:23" x14ac:dyDescent="0.4">
      <c r="A41" s="14"/>
      <c r="B41" s="71"/>
      <c r="C41" s="75"/>
      <c r="D41" s="5" t="s">
        <v>25</v>
      </c>
      <c r="E41" s="5">
        <f t="shared" ref="E41:V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ref="L41:Q41" si="18">SUM(L39:L40)</f>
        <v>0</v>
      </c>
      <c r="M41" s="5">
        <f t="shared" si="18"/>
        <v>0</v>
      </c>
      <c r="N41" s="5">
        <f t="shared" si="18"/>
        <v>0</v>
      </c>
      <c r="O41" s="5">
        <f t="shared" si="18"/>
        <v>1</v>
      </c>
      <c r="P41" s="5">
        <f t="shared" si="18"/>
        <v>0</v>
      </c>
      <c r="Q41" s="5">
        <f t="shared" si="18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1</v>
      </c>
      <c r="W41" s="5">
        <f>SUM(E41:V41)</f>
        <v>2</v>
      </c>
    </row>
    <row r="42" spans="1:23" x14ac:dyDescent="0.4">
      <c r="A42" s="70"/>
      <c r="B42" s="71"/>
      <c r="C42" s="71"/>
      <c r="D42" s="75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6"/>
      <c r="P42" s="10"/>
      <c r="Q42" s="6"/>
      <c r="R42" s="6"/>
      <c r="S42" s="6"/>
      <c r="T42" s="10"/>
      <c r="U42" s="6"/>
      <c r="V42" s="10"/>
      <c r="W42" s="5"/>
    </row>
    <row r="43" spans="1:23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15"/>
      <c r="U43" s="5"/>
      <c r="V43" s="15"/>
      <c r="W43" s="5"/>
    </row>
    <row r="44" spans="1:23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10"/>
      <c r="U44" s="6"/>
      <c r="V44" s="10"/>
      <c r="W44" s="5"/>
    </row>
    <row r="45" spans="1:23" x14ac:dyDescent="0.4">
      <c r="A45" s="11" t="s">
        <v>48</v>
      </c>
      <c r="B45" s="17" t="s">
        <v>28</v>
      </c>
      <c r="C45" s="59" t="s">
        <v>49</v>
      </c>
      <c r="D45" s="60"/>
      <c r="E45" s="6">
        <v>18</v>
      </c>
      <c r="F45" s="6">
        <v>10</v>
      </c>
      <c r="G45" s="6">
        <v>7</v>
      </c>
      <c r="H45" s="6">
        <v>5</v>
      </c>
      <c r="I45" s="6">
        <v>9</v>
      </c>
      <c r="J45" s="6">
        <v>6</v>
      </c>
      <c r="K45" s="6">
        <v>5</v>
      </c>
      <c r="L45" s="6">
        <v>8</v>
      </c>
      <c r="M45" s="6">
        <v>16</v>
      </c>
      <c r="N45" s="6">
        <v>13</v>
      </c>
      <c r="O45" s="6">
        <v>6</v>
      </c>
      <c r="P45" s="6">
        <v>12</v>
      </c>
      <c r="Q45" s="6">
        <v>15</v>
      </c>
      <c r="R45" s="6">
        <v>7</v>
      </c>
      <c r="S45" s="6">
        <v>9</v>
      </c>
      <c r="T45" s="6">
        <v>10</v>
      </c>
      <c r="U45" s="6">
        <v>10</v>
      </c>
      <c r="V45" s="6">
        <v>3</v>
      </c>
      <c r="W45" s="5">
        <f t="shared" ref="W45:W51" si="19">SUM(E45:V45)</f>
        <v>169</v>
      </c>
    </row>
    <row r="46" spans="1:23" x14ac:dyDescent="0.4">
      <c r="A46" s="11" t="s">
        <v>50</v>
      </c>
      <c r="B46" s="46">
        <v>1</v>
      </c>
      <c r="C46" s="24" t="s">
        <v>114</v>
      </c>
      <c r="D46" s="47"/>
      <c r="E46" s="6">
        <v>28</v>
      </c>
      <c r="F46" s="6">
        <v>43</v>
      </c>
      <c r="G46" s="6">
        <v>32</v>
      </c>
      <c r="H46" s="6">
        <v>24</v>
      </c>
      <c r="I46" s="6">
        <v>22</v>
      </c>
      <c r="J46" s="6">
        <v>11</v>
      </c>
      <c r="K46" s="6">
        <v>10</v>
      </c>
      <c r="L46" s="6">
        <v>27</v>
      </c>
      <c r="M46" s="6">
        <v>25</v>
      </c>
      <c r="N46" s="6">
        <v>31</v>
      </c>
      <c r="O46" s="6">
        <v>30</v>
      </c>
      <c r="P46" s="6">
        <v>35</v>
      </c>
      <c r="Q46" s="6">
        <v>62</v>
      </c>
      <c r="R46" s="6">
        <v>22</v>
      </c>
      <c r="S46" s="6">
        <v>31</v>
      </c>
      <c r="T46" s="6">
        <v>15</v>
      </c>
      <c r="U46" s="6">
        <v>16</v>
      </c>
      <c r="V46" s="6">
        <v>9</v>
      </c>
      <c r="W46" s="5">
        <f t="shared" si="19"/>
        <v>473</v>
      </c>
    </row>
    <row r="47" spans="1:23" x14ac:dyDescent="0.4">
      <c r="A47" s="7"/>
      <c r="B47" s="46">
        <v>2</v>
      </c>
      <c r="C47" s="24" t="s">
        <v>115</v>
      </c>
      <c r="D47" s="47"/>
      <c r="E47" s="6">
        <v>5</v>
      </c>
      <c r="F47" s="6">
        <v>0</v>
      </c>
      <c r="G47" s="6">
        <v>4</v>
      </c>
      <c r="H47" s="6">
        <v>13</v>
      </c>
      <c r="I47" s="6">
        <v>0</v>
      </c>
      <c r="J47" s="6">
        <v>1</v>
      </c>
      <c r="K47" s="6">
        <v>2</v>
      </c>
      <c r="L47" s="6">
        <v>2</v>
      </c>
      <c r="M47" s="6">
        <v>1</v>
      </c>
      <c r="N47" s="6">
        <v>1</v>
      </c>
      <c r="O47" s="6">
        <v>2</v>
      </c>
      <c r="P47" s="6">
        <v>1</v>
      </c>
      <c r="Q47" s="6">
        <v>4</v>
      </c>
      <c r="R47" s="6">
        <v>0</v>
      </c>
      <c r="S47" s="6">
        <v>5</v>
      </c>
      <c r="T47" s="6">
        <v>1</v>
      </c>
      <c r="U47" s="6">
        <v>1</v>
      </c>
      <c r="V47" s="6">
        <v>0</v>
      </c>
      <c r="W47" s="5">
        <f t="shared" si="19"/>
        <v>43</v>
      </c>
    </row>
    <row r="48" spans="1:23" x14ac:dyDescent="0.4">
      <c r="A48" s="7"/>
      <c r="B48" s="46">
        <v>3</v>
      </c>
      <c r="C48" s="24" t="s">
        <v>116</v>
      </c>
      <c r="D48" s="47"/>
      <c r="E48" s="6">
        <v>1</v>
      </c>
      <c r="F48" s="6">
        <v>1</v>
      </c>
      <c r="G48" s="6">
        <v>2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3</v>
      </c>
      <c r="O48" s="6">
        <v>0</v>
      </c>
      <c r="P48" s="6">
        <v>2</v>
      </c>
      <c r="Q48" s="6">
        <v>1</v>
      </c>
      <c r="R48" s="6">
        <v>0</v>
      </c>
      <c r="S48" s="6">
        <v>0</v>
      </c>
      <c r="T48" s="6">
        <v>1</v>
      </c>
      <c r="U48" s="6">
        <v>1</v>
      </c>
      <c r="V48" s="6">
        <v>0</v>
      </c>
      <c r="W48" s="5">
        <f t="shared" si="19"/>
        <v>13</v>
      </c>
    </row>
    <row r="49" spans="1:23" x14ac:dyDescent="0.4">
      <c r="A49" s="7"/>
      <c r="B49" s="46">
        <v>4</v>
      </c>
      <c r="C49" s="24" t="s">
        <v>117</v>
      </c>
      <c r="D49" s="47"/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5">
        <f t="shared" si="19"/>
        <v>1</v>
      </c>
    </row>
    <row r="50" spans="1:23" x14ac:dyDescent="0.4">
      <c r="A50" s="7"/>
      <c r="B50" s="46">
        <v>5</v>
      </c>
      <c r="C50" s="24" t="s">
        <v>118</v>
      </c>
      <c r="D50" s="47"/>
      <c r="E50" s="6">
        <v>0</v>
      </c>
      <c r="F50" s="6">
        <v>1</v>
      </c>
      <c r="G50" s="6">
        <v>0</v>
      </c>
      <c r="H50" s="6">
        <v>1</v>
      </c>
      <c r="I50" s="6">
        <v>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6">
        <v>2</v>
      </c>
      <c r="U50" s="6">
        <v>0</v>
      </c>
      <c r="V50" s="6">
        <v>0</v>
      </c>
      <c r="W50" s="5">
        <f t="shared" si="19"/>
        <v>7</v>
      </c>
    </row>
    <row r="51" spans="1:23" x14ac:dyDescent="0.4">
      <c r="A51" s="7"/>
      <c r="B51" s="46">
        <v>6</v>
      </c>
      <c r="C51" s="24" t="s">
        <v>119</v>
      </c>
      <c r="D51" s="47"/>
      <c r="E51" s="6">
        <v>0</v>
      </c>
      <c r="F51" s="6">
        <v>1</v>
      </c>
      <c r="G51" s="6">
        <v>0</v>
      </c>
      <c r="H51" s="6">
        <v>0</v>
      </c>
      <c r="I51" s="6">
        <v>2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2</v>
      </c>
      <c r="Q51" s="6">
        <v>4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5">
        <f t="shared" si="19"/>
        <v>11</v>
      </c>
    </row>
    <row r="52" spans="1:23" x14ac:dyDescent="0.4">
      <c r="A52" s="6" t="s">
        <v>26</v>
      </c>
      <c r="B52" s="53" t="s">
        <v>51</v>
      </c>
      <c r="C52" s="69"/>
      <c r="D52" s="60"/>
      <c r="E52" s="5">
        <f t="shared" ref="E52:W52" si="20">SUM(E45:E51)</f>
        <v>53</v>
      </c>
      <c r="F52" s="5">
        <f t="shared" si="20"/>
        <v>56</v>
      </c>
      <c r="G52" s="5">
        <f t="shared" si="20"/>
        <v>45</v>
      </c>
      <c r="H52" s="5">
        <f t="shared" si="20"/>
        <v>44</v>
      </c>
      <c r="I52" s="5">
        <f t="shared" si="20"/>
        <v>35</v>
      </c>
      <c r="J52" s="5">
        <f t="shared" si="20"/>
        <v>18</v>
      </c>
      <c r="K52" s="5">
        <f t="shared" si="20"/>
        <v>18</v>
      </c>
      <c r="L52" s="5">
        <f t="shared" si="20"/>
        <v>37</v>
      </c>
      <c r="M52" s="5">
        <f t="shared" si="20"/>
        <v>42</v>
      </c>
      <c r="N52" s="5">
        <f t="shared" si="20"/>
        <v>48</v>
      </c>
      <c r="O52" s="5">
        <f t="shared" si="20"/>
        <v>38</v>
      </c>
      <c r="P52" s="5">
        <f t="shared" si="20"/>
        <v>53</v>
      </c>
      <c r="Q52" s="5">
        <f t="shared" si="20"/>
        <v>86</v>
      </c>
      <c r="R52" s="5">
        <f t="shared" si="20"/>
        <v>29</v>
      </c>
      <c r="S52" s="5">
        <f t="shared" si="20"/>
        <v>45</v>
      </c>
      <c r="T52" s="5">
        <f t="shared" si="20"/>
        <v>30</v>
      </c>
      <c r="U52" s="5">
        <f t="shared" si="20"/>
        <v>28</v>
      </c>
      <c r="V52" s="5">
        <f t="shared" si="20"/>
        <v>12</v>
      </c>
      <c r="W52" s="5">
        <f t="shared" si="20"/>
        <v>717</v>
      </c>
    </row>
    <row r="53" spans="1:23" x14ac:dyDescent="0.4">
      <c r="A53" s="70"/>
      <c r="B53" s="71"/>
      <c r="C53" s="71"/>
      <c r="D53" s="71"/>
      <c r="E53" s="71"/>
      <c r="W53" s="5"/>
    </row>
    <row r="54" spans="1:23" x14ac:dyDescent="0.4">
      <c r="A54" s="11" t="s">
        <v>48</v>
      </c>
      <c r="B54" s="17" t="s">
        <v>30</v>
      </c>
      <c r="C54" s="59" t="s">
        <v>52</v>
      </c>
      <c r="D54" s="60"/>
      <c r="E54" s="6">
        <v>11</v>
      </c>
      <c r="F54" s="6">
        <v>5</v>
      </c>
      <c r="G54" s="6">
        <v>6</v>
      </c>
      <c r="H54" s="6">
        <v>13</v>
      </c>
      <c r="I54" s="6">
        <v>5</v>
      </c>
      <c r="J54" s="6">
        <v>11</v>
      </c>
      <c r="K54" s="6">
        <v>8</v>
      </c>
      <c r="L54" s="6">
        <v>3</v>
      </c>
      <c r="M54" s="6">
        <v>4</v>
      </c>
      <c r="N54" s="6">
        <v>5</v>
      </c>
      <c r="O54" s="6">
        <v>0</v>
      </c>
      <c r="P54" s="6">
        <v>12</v>
      </c>
      <c r="Q54" s="6">
        <v>7</v>
      </c>
      <c r="R54" s="6">
        <v>11</v>
      </c>
      <c r="S54" s="6">
        <v>16</v>
      </c>
      <c r="T54" s="6">
        <v>10</v>
      </c>
      <c r="U54" s="6">
        <v>5</v>
      </c>
      <c r="V54" s="6">
        <v>4</v>
      </c>
      <c r="W54" s="5">
        <f t="shared" ref="W54:W60" si="21">SUM(E54:V54)</f>
        <v>136</v>
      </c>
    </row>
    <row r="55" spans="1:23" x14ac:dyDescent="0.4">
      <c r="A55" s="11" t="s">
        <v>50</v>
      </c>
      <c r="B55" s="46">
        <v>1</v>
      </c>
      <c r="C55" s="24" t="s">
        <v>120</v>
      </c>
      <c r="D55" s="47"/>
      <c r="E55" s="6">
        <v>12</v>
      </c>
      <c r="F55" s="6">
        <v>3</v>
      </c>
      <c r="G55" s="6">
        <v>1</v>
      </c>
      <c r="H55" s="6">
        <v>9</v>
      </c>
      <c r="I55" s="6">
        <v>7</v>
      </c>
      <c r="J55" s="6">
        <v>1</v>
      </c>
      <c r="K55" s="6">
        <v>3</v>
      </c>
      <c r="L55" s="6">
        <v>3</v>
      </c>
      <c r="M55" s="6">
        <v>4</v>
      </c>
      <c r="N55" s="6">
        <v>4</v>
      </c>
      <c r="O55" s="6">
        <v>0</v>
      </c>
      <c r="P55" s="6">
        <v>5</v>
      </c>
      <c r="Q55" s="6">
        <v>1</v>
      </c>
      <c r="R55" s="6">
        <v>5</v>
      </c>
      <c r="S55" s="6">
        <v>0</v>
      </c>
      <c r="T55" s="6">
        <v>4</v>
      </c>
      <c r="U55" s="6">
        <v>1</v>
      </c>
      <c r="V55" s="6">
        <v>3</v>
      </c>
      <c r="W55" s="5">
        <f t="shared" si="21"/>
        <v>66</v>
      </c>
    </row>
    <row r="56" spans="1:23" x14ac:dyDescent="0.4">
      <c r="A56" s="7"/>
      <c r="B56" s="46">
        <v>2</v>
      </c>
      <c r="C56" s="24" t="s">
        <v>121</v>
      </c>
      <c r="D56" s="47"/>
      <c r="E56" s="6">
        <v>2</v>
      </c>
      <c r="F56" s="6">
        <v>2</v>
      </c>
      <c r="G56" s="6">
        <v>0</v>
      </c>
      <c r="H56" s="6">
        <v>10</v>
      </c>
      <c r="I56" s="6">
        <v>2</v>
      </c>
      <c r="J56" s="6">
        <v>1</v>
      </c>
      <c r="K56" s="6">
        <v>3</v>
      </c>
      <c r="L56" s="6">
        <v>0</v>
      </c>
      <c r="M56" s="6">
        <v>2</v>
      </c>
      <c r="N56" s="6">
        <v>1</v>
      </c>
      <c r="O56" s="6">
        <v>1</v>
      </c>
      <c r="P56" s="6">
        <v>2</v>
      </c>
      <c r="Q56" s="6">
        <v>1</v>
      </c>
      <c r="R56" s="6">
        <v>0</v>
      </c>
      <c r="S56" s="6">
        <v>3</v>
      </c>
      <c r="T56" s="6">
        <v>7</v>
      </c>
      <c r="U56" s="6">
        <v>2</v>
      </c>
      <c r="V56" s="6">
        <v>1</v>
      </c>
      <c r="W56" s="5">
        <f t="shared" si="21"/>
        <v>40</v>
      </c>
    </row>
    <row r="57" spans="1:23" x14ac:dyDescent="0.4">
      <c r="A57" s="7"/>
      <c r="B57" s="46">
        <v>3</v>
      </c>
      <c r="C57" s="24" t="s">
        <v>122</v>
      </c>
      <c r="D57" s="47"/>
      <c r="E57" s="6">
        <v>15</v>
      </c>
      <c r="F57" s="6">
        <v>4</v>
      </c>
      <c r="G57" s="6">
        <v>3</v>
      </c>
      <c r="H57" s="6">
        <v>2</v>
      </c>
      <c r="I57" s="6">
        <v>2</v>
      </c>
      <c r="J57" s="6">
        <v>2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>
        <v>0</v>
      </c>
      <c r="Q57" s="6">
        <v>0</v>
      </c>
      <c r="R57" s="6">
        <v>2</v>
      </c>
      <c r="S57" s="6">
        <v>3</v>
      </c>
      <c r="T57" s="6">
        <v>2</v>
      </c>
      <c r="U57" s="6">
        <v>1</v>
      </c>
      <c r="V57" s="6">
        <v>0</v>
      </c>
      <c r="W57" s="5">
        <f t="shared" si="21"/>
        <v>38</v>
      </c>
    </row>
    <row r="58" spans="1:23" x14ac:dyDescent="0.4">
      <c r="A58" s="7"/>
      <c r="B58" s="46">
        <v>4</v>
      </c>
      <c r="C58" s="24" t="s">
        <v>123</v>
      </c>
      <c r="D58" s="47"/>
      <c r="E58" s="6">
        <v>4</v>
      </c>
      <c r="F58" s="6">
        <v>2</v>
      </c>
      <c r="G58" s="6">
        <v>7</v>
      </c>
      <c r="H58" s="6">
        <v>5</v>
      </c>
      <c r="I58" s="6">
        <v>8</v>
      </c>
      <c r="J58" s="6">
        <v>1</v>
      </c>
      <c r="K58" s="6">
        <v>2</v>
      </c>
      <c r="L58" s="6">
        <v>0</v>
      </c>
      <c r="M58" s="6">
        <v>8</v>
      </c>
      <c r="N58" s="6">
        <v>0</v>
      </c>
      <c r="O58" s="6">
        <v>1</v>
      </c>
      <c r="P58" s="6">
        <v>2</v>
      </c>
      <c r="Q58" s="6">
        <v>0</v>
      </c>
      <c r="R58" s="6">
        <v>3</v>
      </c>
      <c r="S58" s="6">
        <v>3</v>
      </c>
      <c r="T58" s="6">
        <v>0</v>
      </c>
      <c r="U58" s="6">
        <v>2</v>
      </c>
      <c r="V58" s="6">
        <v>2</v>
      </c>
      <c r="W58" s="5">
        <f t="shared" si="21"/>
        <v>50</v>
      </c>
    </row>
    <row r="59" spans="1:23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3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2</v>
      </c>
      <c r="W59" s="5">
        <f t="shared" si="21"/>
        <v>6</v>
      </c>
    </row>
    <row r="60" spans="1:23" ht="13.15" customHeight="1" x14ac:dyDescent="0.4">
      <c r="A60" s="7"/>
      <c r="B60" s="46">
        <v>6</v>
      </c>
      <c r="C60" s="24" t="s">
        <v>125</v>
      </c>
      <c r="D60" s="47"/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1</v>
      </c>
      <c r="K60" s="6">
        <v>11</v>
      </c>
      <c r="L60" s="6">
        <v>0</v>
      </c>
      <c r="M60" s="6">
        <v>1</v>
      </c>
      <c r="N60" s="6">
        <v>1</v>
      </c>
      <c r="O60" s="6">
        <v>1</v>
      </c>
      <c r="P60" s="6">
        <v>10</v>
      </c>
      <c r="Q60" s="6">
        <v>3</v>
      </c>
      <c r="R60" s="6">
        <v>1</v>
      </c>
      <c r="S60" s="6">
        <v>3</v>
      </c>
      <c r="T60" s="6">
        <v>3</v>
      </c>
      <c r="U60" s="6">
        <v>9</v>
      </c>
      <c r="V60" s="6">
        <v>2</v>
      </c>
      <c r="W60" s="5">
        <f t="shared" si="21"/>
        <v>47</v>
      </c>
    </row>
    <row r="61" spans="1:23" x14ac:dyDescent="0.4">
      <c r="A61" s="6" t="s">
        <v>26</v>
      </c>
      <c r="B61" s="53" t="s">
        <v>51</v>
      </c>
      <c r="C61" s="69"/>
      <c r="D61" s="60"/>
      <c r="E61" s="5">
        <f t="shared" ref="E61:W61" si="22">SUM(E54:E60)</f>
        <v>45</v>
      </c>
      <c r="F61" s="5">
        <f t="shared" si="22"/>
        <v>16</v>
      </c>
      <c r="G61" s="5">
        <f t="shared" si="22"/>
        <v>17</v>
      </c>
      <c r="H61" s="5">
        <f t="shared" si="22"/>
        <v>39</v>
      </c>
      <c r="I61" s="5">
        <f t="shared" si="22"/>
        <v>24</v>
      </c>
      <c r="J61" s="5">
        <f t="shared" si="22"/>
        <v>17</v>
      </c>
      <c r="K61" s="5">
        <f t="shared" si="22"/>
        <v>27</v>
      </c>
      <c r="L61" s="5">
        <f t="shared" si="22"/>
        <v>6</v>
      </c>
      <c r="M61" s="5">
        <f t="shared" si="22"/>
        <v>19</v>
      </c>
      <c r="N61" s="5">
        <f t="shared" si="22"/>
        <v>13</v>
      </c>
      <c r="O61" s="5">
        <f t="shared" si="22"/>
        <v>3</v>
      </c>
      <c r="P61" s="5">
        <f t="shared" si="22"/>
        <v>34</v>
      </c>
      <c r="Q61" s="5">
        <f t="shared" si="22"/>
        <v>12</v>
      </c>
      <c r="R61" s="5">
        <f t="shared" si="22"/>
        <v>22</v>
      </c>
      <c r="S61" s="5">
        <f t="shared" si="22"/>
        <v>28</v>
      </c>
      <c r="T61" s="5">
        <f t="shared" si="22"/>
        <v>27</v>
      </c>
      <c r="U61" s="5">
        <f t="shared" si="22"/>
        <v>20</v>
      </c>
      <c r="V61" s="5">
        <f t="shared" si="22"/>
        <v>14</v>
      </c>
      <c r="W61" s="5">
        <f t="shared" si="22"/>
        <v>383</v>
      </c>
    </row>
    <row r="62" spans="1:23" x14ac:dyDescent="0.4">
      <c r="A62" s="70"/>
      <c r="B62" s="71"/>
      <c r="C62" s="71"/>
      <c r="D62" s="71"/>
      <c r="E62" s="71"/>
    </row>
    <row r="63" spans="1:23" x14ac:dyDescent="0.4">
      <c r="A63" s="11" t="s">
        <v>48</v>
      </c>
      <c r="B63" s="17" t="s">
        <v>32</v>
      </c>
      <c r="C63" s="59" t="s">
        <v>53</v>
      </c>
      <c r="D63" s="60"/>
      <c r="E63" s="6">
        <v>11</v>
      </c>
      <c r="F63" s="6">
        <v>10</v>
      </c>
      <c r="G63" s="6">
        <v>4</v>
      </c>
      <c r="H63" s="6">
        <v>5</v>
      </c>
      <c r="I63" s="6">
        <v>4</v>
      </c>
      <c r="J63" s="6">
        <v>9</v>
      </c>
      <c r="K63" s="6">
        <v>8</v>
      </c>
      <c r="L63" s="6">
        <v>3</v>
      </c>
      <c r="M63" s="6">
        <v>7</v>
      </c>
      <c r="N63" s="6">
        <v>8</v>
      </c>
      <c r="O63" s="6">
        <v>3</v>
      </c>
      <c r="P63" s="6">
        <v>5</v>
      </c>
      <c r="Q63" s="6">
        <v>2</v>
      </c>
      <c r="R63" s="6">
        <v>9</v>
      </c>
      <c r="S63" s="6">
        <v>8</v>
      </c>
      <c r="T63" s="6">
        <v>5</v>
      </c>
      <c r="U63" s="6">
        <v>4</v>
      </c>
      <c r="V63" s="6">
        <v>7</v>
      </c>
      <c r="W63" s="5">
        <f t="shared" ref="W63:W69" si="23">SUM(E63:V63)</f>
        <v>112</v>
      </c>
    </row>
    <row r="64" spans="1:23" x14ac:dyDescent="0.4">
      <c r="A64" s="11" t="s">
        <v>50</v>
      </c>
      <c r="B64" s="46">
        <v>1</v>
      </c>
      <c r="C64" s="24" t="s">
        <v>126</v>
      </c>
      <c r="D64" s="47"/>
      <c r="E64" s="6">
        <v>20</v>
      </c>
      <c r="F64" s="6">
        <v>22</v>
      </c>
      <c r="G64" s="6">
        <v>14</v>
      </c>
      <c r="H64" s="6">
        <v>34</v>
      </c>
      <c r="I64" s="6">
        <v>38</v>
      </c>
      <c r="J64" s="6">
        <v>24</v>
      </c>
      <c r="K64" s="6">
        <v>12</v>
      </c>
      <c r="L64" s="6">
        <v>11</v>
      </c>
      <c r="M64" s="6">
        <v>11</v>
      </c>
      <c r="N64" s="6">
        <v>25</v>
      </c>
      <c r="O64" s="6">
        <v>2</v>
      </c>
      <c r="P64" s="6">
        <v>25</v>
      </c>
      <c r="Q64" s="6">
        <v>29</v>
      </c>
      <c r="R64" s="6">
        <v>15</v>
      </c>
      <c r="S64" s="6">
        <v>13</v>
      </c>
      <c r="T64" s="6">
        <v>11</v>
      </c>
      <c r="U64" s="6">
        <v>11</v>
      </c>
      <c r="V64" s="6">
        <v>11</v>
      </c>
      <c r="W64" s="5">
        <f t="shared" si="23"/>
        <v>328</v>
      </c>
    </row>
    <row r="65" spans="1:23" x14ac:dyDescent="0.4">
      <c r="A65" s="7"/>
      <c r="B65" s="46">
        <v>2</v>
      </c>
      <c r="C65" s="24" t="s">
        <v>127</v>
      </c>
      <c r="D65" s="47"/>
      <c r="E65" s="6">
        <v>0</v>
      </c>
      <c r="F65" s="6">
        <v>1</v>
      </c>
      <c r="G65" s="6">
        <v>1</v>
      </c>
      <c r="H65" s="6">
        <v>1</v>
      </c>
      <c r="I65" s="6">
        <v>0</v>
      </c>
      <c r="J65" s="6">
        <v>1</v>
      </c>
      <c r="K65" s="6">
        <v>1</v>
      </c>
      <c r="L65" s="6">
        <v>2</v>
      </c>
      <c r="M65" s="6">
        <v>1</v>
      </c>
      <c r="N65" s="6">
        <v>2</v>
      </c>
      <c r="O65" s="6">
        <v>0</v>
      </c>
      <c r="P65" s="6">
        <v>1</v>
      </c>
      <c r="Q65" s="6">
        <v>2</v>
      </c>
      <c r="R65" s="6">
        <v>2</v>
      </c>
      <c r="S65" s="6">
        <v>1</v>
      </c>
      <c r="T65" s="6">
        <v>1</v>
      </c>
      <c r="U65" s="6">
        <v>2</v>
      </c>
      <c r="V65" s="6">
        <v>1</v>
      </c>
      <c r="W65" s="5">
        <f t="shared" si="23"/>
        <v>20</v>
      </c>
    </row>
    <row r="66" spans="1:23" x14ac:dyDescent="0.4">
      <c r="A66" s="7"/>
      <c r="B66" s="46">
        <v>3</v>
      </c>
      <c r="C66" s="24" t="s">
        <v>128</v>
      </c>
      <c r="D66" s="47"/>
      <c r="E66" s="6">
        <v>0</v>
      </c>
      <c r="F66" s="6">
        <v>1</v>
      </c>
      <c r="G66" s="6">
        <v>1</v>
      </c>
      <c r="H66" s="6">
        <v>0</v>
      </c>
      <c r="I66" s="6">
        <v>1</v>
      </c>
      <c r="J66" s="6">
        <v>2</v>
      </c>
      <c r="K66" s="6">
        <v>0</v>
      </c>
      <c r="L66" s="6">
        <v>1</v>
      </c>
      <c r="M66" s="6">
        <v>1</v>
      </c>
      <c r="N66" s="6">
        <v>1</v>
      </c>
      <c r="O66" s="6">
        <v>2</v>
      </c>
      <c r="P66" s="6">
        <v>1</v>
      </c>
      <c r="Q66" s="6">
        <v>1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5">
        <f t="shared" si="23"/>
        <v>12</v>
      </c>
    </row>
    <row r="67" spans="1:23" x14ac:dyDescent="0.4">
      <c r="A67" s="7"/>
      <c r="B67" s="46">
        <v>4</v>
      </c>
      <c r="C67" s="24" t="s">
        <v>129</v>
      </c>
      <c r="D67" s="47"/>
      <c r="E67" s="6">
        <v>1</v>
      </c>
      <c r="F67" s="6">
        <v>2</v>
      </c>
      <c r="G67" s="6">
        <v>1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1</v>
      </c>
      <c r="O67" s="6">
        <v>1</v>
      </c>
      <c r="P67" s="6">
        <v>1</v>
      </c>
      <c r="Q67" s="6">
        <v>1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5">
        <f t="shared" si="23"/>
        <v>10</v>
      </c>
    </row>
    <row r="68" spans="1:23" ht="13.15" customHeight="1" x14ac:dyDescent="0.4">
      <c r="A68" s="7"/>
      <c r="B68" s="46">
        <v>5</v>
      </c>
      <c r="C68" s="24" t="s">
        <v>130</v>
      </c>
      <c r="D68" s="47"/>
      <c r="E68" s="6">
        <v>3</v>
      </c>
      <c r="F68" s="6">
        <v>4</v>
      </c>
      <c r="G68" s="6">
        <v>2</v>
      </c>
      <c r="H68" s="6">
        <v>2</v>
      </c>
      <c r="I68" s="6">
        <v>2</v>
      </c>
      <c r="J68" s="6">
        <v>36</v>
      </c>
      <c r="K68" s="6">
        <v>0</v>
      </c>
      <c r="L68" s="6">
        <v>1</v>
      </c>
      <c r="M68" s="6">
        <v>3</v>
      </c>
      <c r="N68" s="6">
        <v>1</v>
      </c>
      <c r="O68" s="6">
        <v>1</v>
      </c>
      <c r="P68" s="6">
        <v>1</v>
      </c>
      <c r="Q68" s="6">
        <v>2</v>
      </c>
      <c r="R68" s="6">
        <v>13</v>
      </c>
      <c r="S68" s="6">
        <v>2</v>
      </c>
      <c r="T68" s="6">
        <v>0</v>
      </c>
      <c r="U68" s="6">
        <v>0</v>
      </c>
      <c r="V68" s="6">
        <v>1</v>
      </c>
      <c r="W68" s="5">
        <f t="shared" si="23"/>
        <v>74</v>
      </c>
    </row>
    <row r="69" spans="1:23" x14ac:dyDescent="0.4">
      <c r="A69" s="7"/>
      <c r="B69" s="46">
        <v>6</v>
      </c>
      <c r="C69" s="24" t="s">
        <v>131</v>
      </c>
      <c r="D69" s="47"/>
      <c r="E69" s="6">
        <v>0</v>
      </c>
      <c r="F69" s="6">
        <v>0</v>
      </c>
      <c r="G69" s="6">
        <v>0</v>
      </c>
      <c r="H69" s="6">
        <v>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1</v>
      </c>
      <c r="U69" s="6">
        <v>0</v>
      </c>
      <c r="V69" s="6">
        <v>1</v>
      </c>
      <c r="W69" s="5">
        <f t="shared" si="23"/>
        <v>3</v>
      </c>
    </row>
    <row r="70" spans="1:23" x14ac:dyDescent="0.4">
      <c r="A70" s="6" t="s">
        <v>26</v>
      </c>
      <c r="B70" s="53" t="s">
        <v>51</v>
      </c>
      <c r="C70" s="69"/>
      <c r="D70" s="60"/>
      <c r="E70" s="5">
        <f t="shared" ref="E70:W70" si="24">SUM(E63:E69)</f>
        <v>35</v>
      </c>
      <c r="F70" s="5">
        <f t="shared" si="24"/>
        <v>40</v>
      </c>
      <c r="G70" s="5">
        <f t="shared" si="24"/>
        <v>23</v>
      </c>
      <c r="H70" s="5">
        <f t="shared" si="24"/>
        <v>43</v>
      </c>
      <c r="I70" s="5">
        <f t="shared" si="24"/>
        <v>45</v>
      </c>
      <c r="J70" s="5">
        <f t="shared" si="24"/>
        <v>73</v>
      </c>
      <c r="K70" s="5">
        <f t="shared" si="24"/>
        <v>21</v>
      </c>
      <c r="L70" s="5">
        <f t="shared" si="24"/>
        <v>18</v>
      </c>
      <c r="M70" s="5">
        <f t="shared" si="24"/>
        <v>23</v>
      </c>
      <c r="N70" s="5">
        <f t="shared" si="24"/>
        <v>38</v>
      </c>
      <c r="O70" s="5">
        <f t="shared" si="24"/>
        <v>9</v>
      </c>
      <c r="P70" s="5">
        <f t="shared" si="24"/>
        <v>34</v>
      </c>
      <c r="Q70" s="5">
        <f t="shared" si="24"/>
        <v>37</v>
      </c>
      <c r="R70" s="5">
        <f t="shared" si="24"/>
        <v>39</v>
      </c>
      <c r="S70" s="5">
        <f t="shared" si="24"/>
        <v>25</v>
      </c>
      <c r="T70" s="5">
        <f t="shared" si="24"/>
        <v>18</v>
      </c>
      <c r="U70" s="5">
        <f t="shared" si="24"/>
        <v>17</v>
      </c>
      <c r="V70" s="5">
        <f t="shared" si="24"/>
        <v>21</v>
      </c>
      <c r="W70" s="5">
        <f t="shared" si="24"/>
        <v>559</v>
      </c>
    </row>
    <row r="71" spans="1:23" x14ac:dyDescent="0.4">
      <c r="A71" s="70"/>
      <c r="B71" s="71"/>
      <c r="C71" s="71"/>
      <c r="D71" s="71"/>
      <c r="E71" s="71"/>
    </row>
    <row r="72" spans="1:23" x14ac:dyDescent="0.4">
      <c r="A72" s="11" t="s">
        <v>48</v>
      </c>
      <c r="B72" s="17" t="s">
        <v>34</v>
      </c>
      <c r="C72" s="59" t="s">
        <v>54</v>
      </c>
      <c r="D72" s="60"/>
      <c r="E72" s="6">
        <v>3</v>
      </c>
      <c r="F72" s="6">
        <v>3</v>
      </c>
      <c r="G72" s="6">
        <v>2</v>
      </c>
      <c r="H72" s="6">
        <v>2</v>
      </c>
      <c r="I72" s="6">
        <v>0</v>
      </c>
      <c r="J72" s="6">
        <v>9</v>
      </c>
      <c r="K72" s="6">
        <v>6</v>
      </c>
      <c r="L72" s="6">
        <v>15</v>
      </c>
      <c r="M72" s="6">
        <v>6</v>
      </c>
      <c r="N72" s="6">
        <v>5</v>
      </c>
      <c r="O72" s="6">
        <v>4</v>
      </c>
      <c r="P72" s="6">
        <v>4</v>
      </c>
      <c r="Q72" s="6">
        <v>5</v>
      </c>
      <c r="R72" s="6">
        <v>6</v>
      </c>
      <c r="S72" s="6">
        <v>5</v>
      </c>
      <c r="T72" s="6">
        <v>2</v>
      </c>
      <c r="U72" s="6">
        <v>11</v>
      </c>
      <c r="V72" s="6">
        <v>9</v>
      </c>
      <c r="W72" s="5">
        <f t="shared" ref="W72:W78" si="25">SUM(E72:V72)</f>
        <v>97</v>
      </c>
    </row>
    <row r="73" spans="1:23" x14ac:dyDescent="0.4">
      <c r="A73" s="11" t="s">
        <v>50</v>
      </c>
      <c r="B73" s="46">
        <v>1</v>
      </c>
      <c r="C73" s="24" t="s">
        <v>132</v>
      </c>
      <c r="D73" s="47"/>
      <c r="E73" s="6">
        <v>13</v>
      </c>
      <c r="F73" s="6">
        <v>27</v>
      </c>
      <c r="G73" s="6">
        <v>13</v>
      </c>
      <c r="H73" s="6">
        <v>15</v>
      </c>
      <c r="I73" s="6">
        <v>26</v>
      </c>
      <c r="J73" s="6">
        <v>26</v>
      </c>
      <c r="K73" s="6">
        <v>27</v>
      </c>
      <c r="L73" s="6">
        <v>104</v>
      </c>
      <c r="M73" s="6">
        <v>28</v>
      </c>
      <c r="N73" s="6">
        <v>43</v>
      </c>
      <c r="O73" s="6">
        <v>47</v>
      </c>
      <c r="P73" s="6">
        <v>16</v>
      </c>
      <c r="Q73" s="6">
        <v>39</v>
      </c>
      <c r="R73" s="6">
        <v>19</v>
      </c>
      <c r="S73" s="6">
        <v>18</v>
      </c>
      <c r="T73" s="6">
        <v>41</v>
      </c>
      <c r="U73" s="6">
        <v>43</v>
      </c>
      <c r="V73" s="6">
        <v>87</v>
      </c>
      <c r="W73" s="5">
        <f t="shared" si="25"/>
        <v>632</v>
      </c>
    </row>
    <row r="74" spans="1:23" x14ac:dyDescent="0.4">
      <c r="A74" s="7"/>
      <c r="B74" s="46">
        <v>2</v>
      </c>
      <c r="C74" s="24" t="s">
        <v>133</v>
      </c>
      <c r="D74" s="47"/>
      <c r="E74" s="6">
        <v>0</v>
      </c>
      <c r="F74" s="6">
        <v>0</v>
      </c>
      <c r="G74" s="6">
        <v>10</v>
      </c>
      <c r="H74" s="6">
        <v>2</v>
      </c>
      <c r="I74" s="6">
        <v>5</v>
      </c>
      <c r="J74" s="6">
        <v>7</v>
      </c>
      <c r="K74" s="6">
        <v>0</v>
      </c>
      <c r="L74" s="6">
        <v>0</v>
      </c>
      <c r="M74" s="6">
        <v>2</v>
      </c>
      <c r="N74" s="6">
        <v>5</v>
      </c>
      <c r="O74" s="6">
        <v>2</v>
      </c>
      <c r="P74" s="6">
        <v>2</v>
      </c>
      <c r="Q74" s="6">
        <v>7</v>
      </c>
      <c r="R74" s="6">
        <v>37</v>
      </c>
      <c r="S74" s="6">
        <v>55</v>
      </c>
      <c r="T74" s="6">
        <v>45</v>
      </c>
      <c r="U74" s="6">
        <v>21</v>
      </c>
      <c r="V74" s="6">
        <v>9</v>
      </c>
      <c r="W74" s="5">
        <f t="shared" si="25"/>
        <v>209</v>
      </c>
    </row>
    <row r="75" spans="1:23" x14ac:dyDescent="0.4">
      <c r="A75" s="7"/>
      <c r="B75" s="46">
        <v>3</v>
      </c>
      <c r="C75" s="24" t="s">
        <v>134</v>
      </c>
      <c r="D75" s="47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1</v>
      </c>
      <c r="P75" s="6">
        <v>1</v>
      </c>
      <c r="Q75" s="6">
        <v>0</v>
      </c>
      <c r="R75" s="6">
        <v>0</v>
      </c>
      <c r="S75" s="6">
        <v>1</v>
      </c>
      <c r="T75" s="6">
        <v>0</v>
      </c>
      <c r="U75" s="6">
        <v>0</v>
      </c>
      <c r="V75" s="6">
        <v>2</v>
      </c>
      <c r="W75" s="5">
        <f t="shared" si="25"/>
        <v>7</v>
      </c>
    </row>
    <row r="76" spans="1:23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0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1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5">
        <f t="shared" si="25"/>
        <v>4</v>
      </c>
    </row>
    <row r="77" spans="1:23" x14ac:dyDescent="0.4">
      <c r="A77" s="7"/>
      <c r="B77" s="46">
        <v>5</v>
      </c>
      <c r="C77" s="24" t="s">
        <v>136</v>
      </c>
      <c r="D77" s="47"/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2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5">
        <f t="shared" si="25"/>
        <v>4</v>
      </c>
    </row>
    <row r="78" spans="1:23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5">
        <f t="shared" si="25"/>
        <v>0</v>
      </c>
    </row>
    <row r="79" spans="1:23" x14ac:dyDescent="0.4">
      <c r="A79" s="6" t="s">
        <v>26</v>
      </c>
      <c r="B79" s="53" t="s">
        <v>51</v>
      </c>
      <c r="C79" s="69"/>
      <c r="D79" s="60"/>
      <c r="E79" s="5">
        <f t="shared" ref="E79:W79" si="26">SUM(E72:E78)</f>
        <v>17</v>
      </c>
      <c r="F79" s="5">
        <f t="shared" si="26"/>
        <v>30</v>
      </c>
      <c r="G79" s="5">
        <f t="shared" si="26"/>
        <v>26</v>
      </c>
      <c r="H79" s="5">
        <f t="shared" si="26"/>
        <v>20</v>
      </c>
      <c r="I79" s="5">
        <f t="shared" si="26"/>
        <v>31</v>
      </c>
      <c r="J79" s="5">
        <f t="shared" si="26"/>
        <v>42</v>
      </c>
      <c r="K79" s="5">
        <f t="shared" si="26"/>
        <v>33</v>
      </c>
      <c r="L79" s="5">
        <f t="shared" si="26"/>
        <v>120</v>
      </c>
      <c r="M79" s="5">
        <f t="shared" si="26"/>
        <v>37</v>
      </c>
      <c r="N79" s="5">
        <f t="shared" si="26"/>
        <v>53</v>
      </c>
      <c r="O79" s="5">
        <f t="shared" si="26"/>
        <v>55</v>
      </c>
      <c r="P79" s="5">
        <f t="shared" si="26"/>
        <v>26</v>
      </c>
      <c r="Q79" s="5">
        <f t="shared" si="26"/>
        <v>51</v>
      </c>
      <c r="R79" s="5">
        <f t="shared" si="26"/>
        <v>62</v>
      </c>
      <c r="S79" s="5">
        <f t="shared" si="26"/>
        <v>79</v>
      </c>
      <c r="T79" s="5">
        <f t="shared" si="26"/>
        <v>88</v>
      </c>
      <c r="U79" s="5">
        <f t="shared" si="26"/>
        <v>76</v>
      </c>
      <c r="V79" s="5">
        <f t="shared" si="26"/>
        <v>107</v>
      </c>
      <c r="W79" s="5">
        <f t="shared" si="26"/>
        <v>953</v>
      </c>
    </row>
    <row r="80" spans="1:23" x14ac:dyDescent="0.4">
      <c r="A80" s="70"/>
      <c r="B80" s="71"/>
      <c r="C80" s="71"/>
      <c r="D80" s="71"/>
      <c r="E80" s="71"/>
    </row>
    <row r="81" spans="1:23" x14ac:dyDescent="0.4">
      <c r="A81" s="11" t="s">
        <v>48</v>
      </c>
      <c r="B81" s="17" t="s">
        <v>55</v>
      </c>
      <c r="C81" s="59" t="s">
        <v>56</v>
      </c>
      <c r="D81" s="60"/>
      <c r="E81" s="6">
        <v>6</v>
      </c>
      <c r="F81" s="6">
        <v>4</v>
      </c>
      <c r="G81" s="6">
        <v>3</v>
      </c>
      <c r="H81" s="6">
        <v>0</v>
      </c>
      <c r="I81" s="6">
        <v>3</v>
      </c>
      <c r="J81" s="6">
        <v>5</v>
      </c>
      <c r="K81" s="6">
        <v>2</v>
      </c>
      <c r="L81" s="6">
        <v>0</v>
      </c>
      <c r="M81" s="6">
        <v>0</v>
      </c>
      <c r="N81" s="6">
        <v>0</v>
      </c>
      <c r="O81" s="6">
        <v>0</v>
      </c>
      <c r="P81" s="6">
        <v>1</v>
      </c>
      <c r="Q81" s="6">
        <v>2</v>
      </c>
      <c r="R81" s="6">
        <v>12</v>
      </c>
      <c r="S81" s="6">
        <v>3</v>
      </c>
      <c r="T81" s="6">
        <v>2</v>
      </c>
      <c r="U81" s="6">
        <v>1</v>
      </c>
      <c r="V81" s="6">
        <v>0</v>
      </c>
      <c r="W81" s="5">
        <f t="shared" ref="W81:W87" si="27">SUM(E81:V81)</f>
        <v>44</v>
      </c>
    </row>
    <row r="82" spans="1:23" x14ac:dyDescent="0.4">
      <c r="A82" s="11" t="s">
        <v>50</v>
      </c>
      <c r="B82" s="46">
        <v>1</v>
      </c>
      <c r="C82" s="24" t="s">
        <v>138</v>
      </c>
      <c r="D82" s="47"/>
      <c r="E82" s="6">
        <v>0</v>
      </c>
      <c r="F82" s="6">
        <v>4</v>
      </c>
      <c r="G82" s="6">
        <v>1</v>
      </c>
      <c r="H82" s="6">
        <v>2</v>
      </c>
      <c r="I82" s="6">
        <v>0</v>
      </c>
      <c r="J82" s="6">
        <v>0</v>
      </c>
      <c r="K82" s="6">
        <v>3</v>
      </c>
      <c r="L82" s="6">
        <v>0</v>
      </c>
      <c r="M82" s="6">
        <v>0</v>
      </c>
      <c r="N82" s="6">
        <v>3</v>
      </c>
      <c r="O82" s="6">
        <v>0</v>
      </c>
      <c r="P82" s="6">
        <v>0</v>
      </c>
      <c r="Q82" s="6">
        <v>3</v>
      </c>
      <c r="R82" s="6">
        <v>21</v>
      </c>
      <c r="S82" s="6">
        <v>4</v>
      </c>
      <c r="T82" s="6">
        <v>1</v>
      </c>
      <c r="U82" s="6">
        <v>4</v>
      </c>
      <c r="V82" s="6">
        <v>1</v>
      </c>
      <c r="W82" s="5">
        <f t="shared" si="27"/>
        <v>47</v>
      </c>
    </row>
    <row r="83" spans="1:23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6">
        <v>1</v>
      </c>
      <c r="U83" s="6">
        <v>0</v>
      </c>
      <c r="V83" s="6">
        <v>0</v>
      </c>
      <c r="W83" s="5">
        <f t="shared" si="27"/>
        <v>3</v>
      </c>
    </row>
    <row r="84" spans="1:23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2</v>
      </c>
      <c r="U84" s="6">
        <v>0</v>
      </c>
      <c r="V84" s="6">
        <v>1</v>
      </c>
      <c r="W84" s="5">
        <f t="shared" si="27"/>
        <v>5</v>
      </c>
    </row>
    <row r="85" spans="1:23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4</v>
      </c>
      <c r="V85" s="6">
        <v>0</v>
      </c>
      <c r="W85" s="5">
        <f t="shared" si="27"/>
        <v>5</v>
      </c>
    </row>
    <row r="86" spans="1:23" x14ac:dyDescent="0.4">
      <c r="A86" s="7"/>
      <c r="B86" s="46">
        <v>5</v>
      </c>
      <c r="C86" s="24" t="s">
        <v>142</v>
      </c>
      <c r="D86" s="47"/>
      <c r="E86" s="6">
        <v>2</v>
      </c>
      <c r="F86" s="6">
        <v>5</v>
      </c>
      <c r="G86" s="6">
        <v>3</v>
      </c>
      <c r="H86" s="6">
        <v>0</v>
      </c>
      <c r="I86" s="6">
        <v>1</v>
      </c>
      <c r="J86" s="6">
        <v>1</v>
      </c>
      <c r="K86" s="6">
        <v>0</v>
      </c>
      <c r="L86" s="6">
        <v>0</v>
      </c>
      <c r="M86" s="6">
        <v>4</v>
      </c>
      <c r="N86" s="6">
        <v>0</v>
      </c>
      <c r="O86" s="6">
        <v>0</v>
      </c>
      <c r="P86" s="6">
        <v>0</v>
      </c>
      <c r="Q86" s="6">
        <v>6</v>
      </c>
      <c r="R86" s="6">
        <v>0</v>
      </c>
      <c r="S86" s="6">
        <v>1</v>
      </c>
      <c r="T86" s="6">
        <v>0</v>
      </c>
      <c r="U86" s="6">
        <v>1</v>
      </c>
      <c r="V86" s="6">
        <v>4</v>
      </c>
      <c r="W86" s="5">
        <f t="shared" si="27"/>
        <v>28</v>
      </c>
    </row>
    <row r="87" spans="1:23" x14ac:dyDescent="0.4">
      <c r="A87" s="7"/>
      <c r="B87" s="46">
        <v>6</v>
      </c>
      <c r="C87" s="24" t="s">
        <v>143</v>
      </c>
      <c r="D87" s="47"/>
      <c r="E87" s="6">
        <v>16</v>
      </c>
      <c r="F87" s="6">
        <v>18</v>
      </c>
      <c r="G87" s="6">
        <v>17</v>
      </c>
      <c r="H87" s="6">
        <v>6</v>
      </c>
      <c r="I87" s="6">
        <v>3</v>
      </c>
      <c r="J87" s="6">
        <v>25</v>
      </c>
      <c r="K87" s="6">
        <v>2</v>
      </c>
      <c r="L87" s="6">
        <v>0</v>
      </c>
      <c r="M87" s="6">
        <v>6</v>
      </c>
      <c r="N87" s="6">
        <v>10</v>
      </c>
      <c r="O87" s="6">
        <v>12</v>
      </c>
      <c r="P87" s="6">
        <v>23</v>
      </c>
      <c r="Q87" s="6">
        <v>7</v>
      </c>
      <c r="R87" s="6">
        <v>16</v>
      </c>
      <c r="S87" s="6">
        <v>6</v>
      </c>
      <c r="T87" s="6">
        <v>11</v>
      </c>
      <c r="U87" s="6">
        <v>16</v>
      </c>
      <c r="V87" s="6">
        <v>2</v>
      </c>
      <c r="W87" s="5">
        <f t="shared" si="27"/>
        <v>196</v>
      </c>
    </row>
    <row r="88" spans="1:23" x14ac:dyDescent="0.4">
      <c r="A88" s="6" t="s">
        <v>26</v>
      </c>
      <c r="B88" s="53" t="s">
        <v>51</v>
      </c>
      <c r="C88" s="69"/>
      <c r="D88" s="60"/>
      <c r="E88" s="5">
        <f t="shared" ref="E88:W88" si="28">SUM(E81:E87)</f>
        <v>24</v>
      </c>
      <c r="F88" s="5">
        <f t="shared" si="28"/>
        <v>32</v>
      </c>
      <c r="G88" s="5">
        <f t="shared" si="28"/>
        <v>24</v>
      </c>
      <c r="H88" s="5">
        <f t="shared" si="28"/>
        <v>8</v>
      </c>
      <c r="I88" s="5">
        <f t="shared" si="28"/>
        <v>7</v>
      </c>
      <c r="J88" s="5">
        <f t="shared" si="28"/>
        <v>31</v>
      </c>
      <c r="K88" s="5">
        <f t="shared" si="28"/>
        <v>7</v>
      </c>
      <c r="L88" s="5">
        <f t="shared" si="28"/>
        <v>1</v>
      </c>
      <c r="M88" s="5">
        <f t="shared" si="28"/>
        <v>10</v>
      </c>
      <c r="N88" s="5">
        <f t="shared" si="28"/>
        <v>14</v>
      </c>
      <c r="O88" s="5">
        <f t="shared" si="28"/>
        <v>12</v>
      </c>
      <c r="P88" s="5">
        <f t="shared" si="28"/>
        <v>25</v>
      </c>
      <c r="Q88" s="5">
        <f t="shared" si="28"/>
        <v>19</v>
      </c>
      <c r="R88" s="5">
        <f t="shared" si="28"/>
        <v>49</v>
      </c>
      <c r="S88" s="5">
        <f t="shared" si="28"/>
        <v>14</v>
      </c>
      <c r="T88" s="5">
        <f t="shared" si="28"/>
        <v>17</v>
      </c>
      <c r="U88" s="5">
        <f t="shared" si="28"/>
        <v>26</v>
      </c>
      <c r="V88" s="5">
        <f t="shared" si="28"/>
        <v>8</v>
      </c>
      <c r="W88" s="5">
        <f t="shared" si="28"/>
        <v>328</v>
      </c>
    </row>
    <row r="89" spans="1:23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x14ac:dyDescent="0.4">
      <c r="A90" s="11" t="s">
        <v>48</v>
      </c>
      <c r="B90" s="17" t="s">
        <v>57</v>
      </c>
      <c r="C90" s="59" t="s">
        <v>58</v>
      </c>
      <c r="D90" s="60"/>
      <c r="E90" s="6">
        <v>2</v>
      </c>
      <c r="F90" s="6">
        <v>1</v>
      </c>
      <c r="G90" s="6">
        <v>0</v>
      </c>
      <c r="H90" s="6">
        <v>0</v>
      </c>
      <c r="I90" s="6">
        <v>1</v>
      </c>
      <c r="J90" s="6">
        <v>3</v>
      </c>
      <c r="K90" s="6">
        <v>1</v>
      </c>
      <c r="L90" s="6">
        <v>0</v>
      </c>
      <c r="M90" s="6">
        <v>0</v>
      </c>
      <c r="N90" s="6">
        <v>0</v>
      </c>
      <c r="O90" s="6">
        <v>2</v>
      </c>
      <c r="P90" s="6">
        <v>2</v>
      </c>
      <c r="Q90" s="6">
        <v>0</v>
      </c>
      <c r="R90" s="6">
        <v>0</v>
      </c>
      <c r="S90" s="6">
        <v>0</v>
      </c>
      <c r="T90" s="6">
        <v>1</v>
      </c>
      <c r="U90" s="6">
        <v>2</v>
      </c>
      <c r="V90" s="6">
        <v>0</v>
      </c>
      <c r="W90" s="5">
        <f>SUM(E90:V90)</f>
        <v>15</v>
      </c>
    </row>
    <row r="91" spans="1:23" ht="13.15" customHeight="1" x14ac:dyDescent="0.4">
      <c r="A91" s="6" t="s">
        <v>26</v>
      </c>
      <c r="B91" s="53" t="s">
        <v>51</v>
      </c>
      <c r="C91" s="54"/>
      <c r="D91" s="55"/>
      <c r="E91" s="5">
        <f t="shared" ref="E91:W91" si="29">SUM(E90:E90)</f>
        <v>2</v>
      </c>
      <c r="F91" s="5">
        <f t="shared" si="29"/>
        <v>1</v>
      </c>
      <c r="G91" s="5">
        <f t="shared" si="29"/>
        <v>0</v>
      </c>
      <c r="H91" s="5">
        <f t="shared" si="29"/>
        <v>0</v>
      </c>
      <c r="I91" s="5">
        <f t="shared" si="29"/>
        <v>1</v>
      </c>
      <c r="J91" s="5">
        <f t="shared" si="29"/>
        <v>3</v>
      </c>
      <c r="K91" s="5">
        <f t="shared" si="29"/>
        <v>1</v>
      </c>
      <c r="L91" s="5">
        <f t="shared" si="29"/>
        <v>0</v>
      </c>
      <c r="M91" s="5">
        <f t="shared" si="29"/>
        <v>0</v>
      </c>
      <c r="N91" s="5">
        <f t="shared" si="29"/>
        <v>0</v>
      </c>
      <c r="O91" s="5">
        <f t="shared" si="29"/>
        <v>2</v>
      </c>
      <c r="P91" s="5">
        <f t="shared" si="29"/>
        <v>2</v>
      </c>
      <c r="Q91" s="5">
        <f t="shared" si="29"/>
        <v>0</v>
      </c>
      <c r="R91" s="5">
        <f t="shared" si="29"/>
        <v>0</v>
      </c>
      <c r="S91" s="5">
        <f t="shared" si="29"/>
        <v>0</v>
      </c>
      <c r="T91" s="5">
        <f t="shared" si="29"/>
        <v>1</v>
      </c>
      <c r="U91" s="5">
        <f t="shared" si="29"/>
        <v>2</v>
      </c>
      <c r="V91" s="5">
        <f t="shared" si="29"/>
        <v>0</v>
      </c>
      <c r="W91" s="5">
        <f t="shared" si="29"/>
        <v>15</v>
      </c>
    </row>
    <row r="92" spans="1:23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5"/>
    </row>
    <row r="93" spans="1:23" x14ac:dyDescent="0.4">
      <c r="A93" s="11" t="s">
        <v>48</v>
      </c>
      <c r="B93" s="17" t="s">
        <v>59</v>
      </c>
      <c r="C93" s="59" t="s">
        <v>60</v>
      </c>
      <c r="D93" s="60"/>
      <c r="E93" s="6">
        <v>1</v>
      </c>
      <c r="F93" s="6">
        <v>2</v>
      </c>
      <c r="G93" s="6">
        <v>0</v>
      </c>
      <c r="H93" s="6">
        <v>1</v>
      </c>
      <c r="I93" s="6">
        <v>4</v>
      </c>
      <c r="J93" s="6">
        <v>2</v>
      </c>
      <c r="K93" s="6">
        <v>0</v>
      </c>
      <c r="L93" s="6">
        <v>0</v>
      </c>
      <c r="M93" s="6">
        <v>1</v>
      </c>
      <c r="N93" s="6">
        <v>2</v>
      </c>
      <c r="O93" s="6">
        <v>0</v>
      </c>
      <c r="P93" s="6">
        <v>1</v>
      </c>
      <c r="Q93" s="6">
        <v>0</v>
      </c>
      <c r="R93" s="6">
        <v>0</v>
      </c>
      <c r="S93" s="6">
        <v>3</v>
      </c>
      <c r="T93" s="6">
        <v>0</v>
      </c>
      <c r="U93" s="6">
        <v>0</v>
      </c>
      <c r="V93" s="6">
        <v>0</v>
      </c>
      <c r="W93" s="5">
        <f>SUM(E93:V93)</f>
        <v>17</v>
      </c>
    </row>
    <row r="94" spans="1:23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5">
        <f>SUM(E94:V94)</f>
        <v>2</v>
      </c>
    </row>
    <row r="95" spans="1:23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1</v>
      </c>
      <c r="W95" s="5">
        <f>SUM(E95:V95)</f>
        <v>2</v>
      </c>
    </row>
    <row r="96" spans="1:23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5">
        <f>SUM(E96:V96)</f>
        <v>2</v>
      </c>
    </row>
    <row r="97" spans="1:23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5">
        <f>SUM(E97:V97)</f>
        <v>1</v>
      </c>
    </row>
    <row r="98" spans="1:23" x14ac:dyDescent="0.4">
      <c r="A98" s="6" t="s">
        <v>26</v>
      </c>
      <c r="B98" s="53" t="s">
        <v>51</v>
      </c>
      <c r="C98" s="54"/>
      <c r="D98" s="55"/>
      <c r="E98" s="5">
        <f t="shared" ref="E98:W98" si="30">SUM(E93:E97)</f>
        <v>1</v>
      </c>
      <c r="F98" s="5">
        <f t="shared" si="30"/>
        <v>3</v>
      </c>
      <c r="G98" s="5">
        <f t="shared" si="30"/>
        <v>0</v>
      </c>
      <c r="H98" s="5">
        <f t="shared" si="30"/>
        <v>1</v>
      </c>
      <c r="I98" s="5">
        <f t="shared" si="30"/>
        <v>5</v>
      </c>
      <c r="J98" s="5">
        <f t="shared" si="30"/>
        <v>2</v>
      </c>
      <c r="K98" s="5">
        <f t="shared" si="30"/>
        <v>0</v>
      </c>
      <c r="L98" s="5">
        <f t="shared" si="30"/>
        <v>0</v>
      </c>
      <c r="M98" s="5">
        <f t="shared" si="30"/>
        <v>1</v>
      </c>
      <c r="N98" s="5">
        <f t="shared" si="30"/>
        <v>3</v>
      </c>
      <c r="O98" s="5">
        <f t="shared" si="30"/>
        <v>0</v>
      </c>
      <c r="P98" s="5">
        <f t="shared" si="30"/>
        <v>1</v>
      </c>
      <c r="Q98" s="5">
        <f t="shared" si="30"/>
        <v>0</v>
      </c>
      <c r="R98" s="5">
        <f t="shared" si="30"/>
        <v>0</v>
      </c>
      <c r="S98" s="5">
        <f t="shared" si="30"/>
        <v>3</v>
      </c>
      <c r="T98" s="5">
        <f t="shared" si="30"/>
        <v>1</v>
      </c>
      <c r="U98" s="5">
        <f t="shared" si="30"/>
        <v>1</v>
      </c>
      <c r="V98" s="5">
        <f t="shared" si="30"/>
        <v>2</v>
      </c>
      <c r="W98" s="5">
        <f t="shared" si="30"/>
        <v>24</v>
      </c>
    </row>
    <row r="99" spans="1:23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spans="1:23" x14ac:dyDescent="0.4">
      <c r="A100" s="11" t="s">
        <v>48</v>
      </c>
      <c r="B100" s="17" t="s">
        <v>61</v>
      </c>
      <c r="C100" s="59" t="s">
        <v>62</v>
      </c>
      <c r="D100" s="60"/>
      <c r="E100" s="6">
        <v>4</v>
      </c>
      <c r="F100" s="6">
        <v>1</v>
      </c>
      <c r="G100" s="6">
        <v>0</v>
      </c>
      <c r="H100" s="6">
        <v>1</v>
      </c>
      <c r="I100" s="6">
        <v>0</v>
      </c>
      <c r="J100" s="6">
        <v>0</v>
      </c>
      <c r="K100" s="6">
        <v>0</v>
      </c>
      <c r="L100" s="6">
        <v>1</v>
      </c>
      <c r="M100" s="6">
        <v>2</v>
      </c>
      <c r="N100" s="6">
        <v>2</v>
      </c>
      <c r="O100" s="6">
        <v>1</v>
      </c>
      <c r="P100" s="6">
        <v>0</v>
      </c>
      <c r="Q100" s="6">
        <v>2</v>
      </c>
      <c r="R100" s="6">
        <v>1</v>
      </c>
      <c r="S100" s="6">
        <v>0</v>
      </c>
      <c r="T100" s="6">
        <v>1</v>
      </c>
      <c r="U100" s="6">
        <v>0</v>
      </c>
      <c r="V100" s="6">
        <v>1</v>
      </c>
      <c r="W100" s="5">
        <f t="shared" ref="W100:W106" si="31">SUM(E100:V100)</f>
        <v>17</v>
      </c>
    </row>
    <row r="101" spans="1:23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5</v>
      </c>
      <c r="F101" s="6">
        <v>3</v>
      </c>
      <c r="G101" s="6">
        <v>2</v>
      </c>
      <c r="H101" s="6">
        <v>0</v>
      </c>
      <c r="I101" s="6">
        <v>0</v>
      </c>
      <c r="J101" s="6">
        <v>1</v>
      </c>
      <c r="K101" s="6">
        <v>2</v>
      </c>
      <c r="L101" s="6">
        <v>0</v>
      </c>
      <c r="M101" s="6">
        <v>7</v>
      </c>
      <c r="N101" s="6">
        <v>13</v>
      </c>
      <c r="O101" s="6">
        <v>3</v>
      </c>
      <c r="P101" s="6">
        <v>3</v>
      </c>
      <c r="Q101" s="6">
        <v>0</v>
      </c>
      <c r="R101" s="6">
        <v>0</v>
      </c>
      <c r="S101" s="6">
        <v>1</v>
      </c>
      <c r="T101" s="6">
        <v>1</v>
      </c>
      <c r="U101" s="6">
        <v>1</v>
      </c>
      <c r="V101" s="6">
        <v>6</v>
      </c>
      <c r="W101" s="5">
        <f t="shared" si="31"/>
        <v>48</v>
      </c>
    </row>
    <row r="102" spans="1:23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0</v>
      </c>
      <c r="S102" s="6">
        <v>1</v>
      </c>
      <c r="T102" s="6">
        <v>0</v>
      </c>
      <c r="U102" s="6">
        <v>0</v>
      </c>
      <c r="V102" s="6">
        <v>0</v>
      </c>
      <c r="W102" s="5">
        <f t="shared" si="31"/>
        <v>3</v>
      </c>
    </row>
    <row r="103" spans="1:23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2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1</v>
      </c>
      <c r="W103" s="5">
        <f t="shared" si="31"/>
        <v>3</v>
      </c>
    </row>
    <row r="104" spans="1:23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5">
        <f t="shared" si="31"/>
        <v>0</v>
      </c>
    </row>
    <row r="105" spans="1:23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5">
        <f t="shared" si="31"/>
        <v>1</v>
      </c>
    </row>
    <row r="106" spans="1:23" x14ac:dyDescent="0.4">
      <c r="A106" s="7"/>
      <c r="B106" s="46">
        <v>6</v>
      </c>
      <c r="C106" s="24" t="s">
        <v>153</v>
      </c>
      <c r="D106" s="47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5">
        <f t="shared" si="31"/>
        <v>1</v>
      </c>
    </row>
    <row r="107" spans="1:23" x14ac:dyDescent="0.4">
      <c r="A107" s="6" t="s">
        <v>26</v>
      </c>
      <c r="B107" s="53" t="s">
        <v>51</v>
      </c>
      <c r="C107" s="54"/>
      <c r="D107" s="55"/>
      <c r="E107" s="5">
        <f t="shared" ref="E107:W107" si="32">SUM(E100:E106)</f>
        <v>10</v>
      </c>
      <c r="F107" s="5">
        <f t="shared" si="32"/>
        <v>4</v>
      </c>
      <c r="G107" s="5">
        <f t="shared" si="32"/>
        <v>2</v>
      </c>
      <c r="H107" s="5">
        <f t="shared" si="32"/>
        <v>1</v>
      </c>
      <c r="I107" s="5">
        <f t="shared" si="32"/>
        <v>0</v>
      </c>
      <c r="J107" s="5">
        <f t="shared" si="32"/>
        <v>2</v>
      </c>
      <c r="K107" s="5">
        <f t="shared" si="32"/>
        <v>2</v>
      </c>
      <c r="L107" s="5">
        <f t="shared" si="32"/>
        <v>2</v>
      </c>
      <c r="M107" s="5">
        <f t="shared" si="32"/>
        <v>9</v>
      </c>
      <c r="N107" s="5">
        <f t="shared" si="32"/>
        <v>15</v>
      </c>
      <c r="O107" s="5">
        <f t="shared" si="32"/>
        <v>5</v>
      </c>
      <c r="P107" s="5">
        <f t="shared" si="32"/>
        <v>5</v>
      </c>
      <c r="Q107" s="5">
        <f t="shared" si="32"/>
        <v>2</v>
      </c>
      <c r="R107" s="5">
        <f t="shared" si="32"/>
        <v>1</v>
      </c>
      <c r="S107" s="5">
        <f t="shared" si="32"/>
        <v>2</v>
      </c>
      <c r="T107" s="5">
        <f t="shared" si="32"/>
        <v>2</v>
      </c>
      <c r="U107" s="5">
        <f t="shared" si="32"/>
        <v>1</v>
      </c>
      <c r="V107" s="5">
        <f t="shared" si="32"/>
        <v>8</v>
      </c>
      <c r="W107" s="5">
        <f t="shared" si="32"/>
        <v>73</v>
      </c>
    </row>
    <row r="108" spans="1:23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spans="1:23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/>
      <c r="U109" s="6"/>
      <c r="V109" s="6"/>
      <c r="W109" s="5">
        <f>SUM(E109:V109)</f>
        <v>1</v>
      </c>
    </row>
    <row r="110" spans="1:23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/>
      <c r="U110" s="6"/>
      <c r="V110" s="6"/>
      <c r="W110" s="5">
        <f>SUM(E110:V110)</f>
        <v>1</v>
      </c>
    </row>
    <row r="111" spans="1:23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/>
      <c r="V111" s="6"/>
      <c r="W111" s="5">
        <f>SUM(E111:V111)</f>
        <v>0</v>
      </c>
    </row>
    <row r="112" spans="1:23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6"/>
      <c r="W112" s="5">
        <f>SUM(E112:V112)</f>
        <v>0</v>
      </c>
    </row>
    <row r="113" spans="1:23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W113" si="33">SUM(E109:E112)</f>
        <v>0</v>
      </c>
      <c r="F113" s="5">
        <f t="shared" si="33"/>
        <v>1</v>
      </c>
      <c r="G113" s="5">
        <f t="shared" si="33"/>
        <v>0</v>
      </c>
      <c r="H113" s="5">
        <f t="shared" si="33"/>
        <v>0</v>
      </c>
      <c r="I113" s="5">
        <f t="shared" si="33"/>
        <v>0</v>
      </c>
      <c r="J113" s="5">
        <f t="shared" si="33"/>
        <v>0</v>
      </c>
      <c r="K113" s="5">
        <f t="shared" si="33"/>
        <v>0</v>
      </c>
      <c r="L113" s="5">
        <f t="shared" si="33"/>
        <v>0</v>
      </c>
      <c r="M113" s="5">
        <f t="shared" si="33"/>
        <v>0</v>
      </c>
      <c r="N113" s="5">
        <f t="shared" si="33"/>
        <v>0</v>
      </c>
      <c r="O113" s="5">
        <f t="shared" si="33"/>
        <v>0</v>
      </c>
      <c r="P113" s="5">
        <f t="shared" si="33"/>
        <v>0</v>
      </c>
      <c r="Q113" s="5">
        <f t="shared" si="33"/>
        <v>1</v>
      </c>
      <c r="R113" s="5">
        <f t="shared" si="33"/>
        <v>0</v>
      </c>
      <c r="S113" s="5">
        <f t="shared" si="33"/>
        <v>0</v>
      </c>
      <c r="T113" s="5">
        <f t="shared" si="33"/>
        <v>0</v>
      </c>
      <c r="U113" s="5">
        <f t="shared" si="33"/>
        <v>0</v>
      </c>
      <c r="V113" s="5">
        <f t="shared" si="33"/>
        <v>0</v>
      </c>
      <c r="W113" s="5">
        <f t="shared" si="33"/>
        <v>2</v>
      </c>
    </row>
    <row r="114" spans="1:23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5"/>
    </row>
    <row r="115" spans="1:23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5">
        <f t="shared" ref="W115:W121" si="34">SUM(E115:V115)</f>
        <v>3</v>
      </c>
    </row>
    <row r="116" spans="1:23" x14ac:dyDescent="0.4">
      <c r="A116" s="48" t="s">
        <v>50</v>
      </c>
      <c r="B116" s="46">
        <v>1</v>
      </c>
      <c r="C116" s="24" t="s">
        <v>157</v>
      </c>
      <c r="D116" s="47"/>
      <c r="E116" s="49">
        <v>0</v>
      </c>
      <c r="F116" s="6">
        <v>0</v>
      </c>
      <c r="G116" s="6">
        <v>0</v>
      </c>
      <c r="H116" s="6">
        <v>5</v>
      </c>
      <c r="I116" s="6">
        <v>1</v>
      </c>
      <c r="J116" s="6">
        <v>3</v>
      </c>
      <c r="K116" s="6">
        <v>3</v>
      </c>
      <c r="L116" s="6">
        <v>4</v>
      </c>
      <c r="M116" s="6">
        <v>12</v>
      </c>
      <c r="N116" s="6">
        <v>9</v>
      </c>
      <c r="O116" s="6">
        <v>0</v>
      </c>
      <c r="P116" s="6">
        <v>8</v>
      </c>
      <c r="Q116" s="6">
        <v>0</v>
      </c>
      <c r="R116" s="6">
        <v>2</v>
      </c>
      <c r="S116" s="6">
        <v>0</v>
      </c>
      <c r="T116" s="6">
        <v>2</v>
      </c>
      <c r="U116" s="6">
        <v>0</v>
      </c>
      <c r="V116" s="6">
        <v>1</v>
      </c>
      <c r="W116" s="5">
        <f t="shared" si="34"/>
        <v>50</v>
      </c>
    </row>
    <row r="117" spans="1:23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1</v>
      </c>
      <c r="G117" s="6">
        <v>0</v>
      </c>
      <c r="H117" s="6">
        <v>4</v>
      </c>
      <c r="I117" s="6">
        <v>0</v>
      </c>
      <c r="J117" s="6">
        <v>3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6</v>
      </c>
      <c r="V117" s="6">
        <v>0</v>
      </c>
      <c r="W117" s="5">
        <f t="shared" si="34"/>
        <v>14</v>
      </c>
    </row>
    <row r="118" spans="1:23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5">
        <f t="shared" si="34"/>
        <v>0</v>
      </c>
    </row>
    <row r="119" spans="1:23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2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5">
        <f t="shared" si="34"/>
        <v>3</v>
      </c>
    </row>
    <row r="120" spans="1:23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5">
        <f t="shared" si="34"/>
        <v>0</v>
      </c>
    </row>
    <row r="121" spans="1:23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5">
        <f t="shared" si="34"/>
        <v>0</v>
      </c>
    </row>
    <row r="122" spans="1:23" x14ac:dyDescent="0.4">
      <c r="A122" s="6" t="s">
        <v>26</v>
      </c>
      <c r="B122" s="64" t="s">
        <v>51</v>
      </c>
      <c r="C122" s="65"/>
      <c r="D122" s="66"/>
      <c r="E122" s="5">
        <f t="shared" ref="E122:W122" si="35">SUM(E115:E121)</f>
        <v>0</v>
      </c>
      <c r="F122" s="5">
        <f t="shared" si="35"/>
        <v>1</v>
      </c>
      <c r="G122" s="5">
        <f t="shared" si="35"/>
        <v>1</v>
      </c>
      <c r="H122" s="5">
        <f t="shared" si="35"/>
        <v>9</v>
      </c>
      <c r="I122" s="5">
        <f t="shared" si="35"/>
        <v>1</v>
      </c>
      <c r="J122" s="5">
        <f t="shared" si="35"/>
        <v>6</v>
      </c>
      <c r="K122" s="5">
        <f t="shared" si="35"/>
        <v>3</v>
      </c>
      <c r="L122" s="5">
        <f t="shared" si="35"/>
        <v>4</v>
      </c>
      <c r="M122" s="5">
        <f t="shared" si="35"/>
        <v>13</v>
      </c>
      <c r="N122" s="5">
        <f t="shared" si="35"/>
        <v>10</v>
      </c>
      <c r="O122" s="5">
        <f t="shared" si="35"/>
        <v>0</v>
      </c>
      <c r="P122" s="5">
        <f t="shared" si="35"/>
        <v>11</v>
      </c>
      <c r="Q122" s="5">
        <f t="shared" si="35"/>
        <v>0</v>
      </c>
      <c r="R122" s="5">
        <f t="shared" si="35"/>
        <v>2</v>
      </c>
      <c r="S122" s="5">
        <f t="shared" si="35"/>
        <v>0</v>
      </c>
      <c r="T122" s="5">
        <f t="shared" si="35"/>
        <v>2</v>
      </c>
      <c r="U122" s="5">
        <f t="shared" si="35"/>
        <v>6</v>
      </c>
      <c r="V122" s="5">
        <f t="shared" si="35"/>
        <v>1</v>
      </c>
      <c r="W122" s="5">
        <f t="shared" si="35"/>
        <v>70</v>
      </c>
    </row>
    <row r="123" spans="1:23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spans="1:23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1</v>
      </c>
      <c r="Q124" s="6">
        <v>0</v>
      </c>
      <c r="R124" s="6">
        <v>0</v>
      </c>
      <c r="S124" s="6">
        <v>0</v>
      </c>
      <c r="T124" s="6"/>
      <c r="U124" s="6"/>
      <c r="V124" s="6"/>
      <c r="W124" s="5">
        <f>SUM(E124:V124)</f>
        <v>3</v>
      </c>
    </row>
    <row r="125" spans="1:23" x14ac:dyDescent="0.4">
      <c r="A125" s="6" t="s">
        <v>26</v>
      </c>
      <c r="B125" s="53" t="s">
        <v>51</v>
      </c>
      <c r="C125" s="54"/>
      <c r="D125" s="55"/>
      <c r="E125" s="5">
        <f t="shared" ref="E125:W125" si="36">SUM(E124:E124)</f>
        <v>0</v>
      </c>
      <c r="F125" s="5">
        <f t="shared" si="36"/>
        <v>0</v>
      </c>
      <c r="G125" s="5">
        <f t="shared" si="36"/>
        <v>0</v>
      </c>
      <c r="H125" s="5">
        <f t="shared" si="36"/>
        <v>0</v>
      </c>
      <c r="I125" s="5">
        <f t="shared" si="36"/>
        <v>0</v>
      </c>
      <c r="J125" s="5">
        <f t="shared" si="36"/>
        <v>1</v>
      </c>
      <c r="K125" s="5">
        <f t="shared" si="36"/>
        <v>0</v>
      </c>
      <c r="L125" s="5">
        <f t="shared" si="36"/>
        <v>0</v>
      </c>
      <c r="M125" s="5">
        <f t="shared" si="36"/>
        <v>0</v>
      </c>
      <c r="N125" s="5">
        <f t="shared" si="36"/>
        <v>1</v>
      </c>
      <c r="O125" s="5">
        <f t="shared" si="36"/>
        <v>0</v>
      </c>
      <c r="P125" s="5">
        <f t="shared" si="36"/>
        <v>1</v>
      </c>
      <c r="Q125" s="5">
        <f t="shared" si="36"/>
        <v>0</v>
      </c>
      <c r="R125" s="5">
        <f t="shared" si="36"/>
        <v>0</v>
      </c>
      <c r="S125" s="5">
        <f t="shared" si="36"/>
        <v>0</v>
      </c>
      <c r="T125" s="5">
        <f t="shared" si="36"/>
        <v>0</v>
      </c>
      <c r="U125" s="5">
        <f t="shared" si="36"/>
        <v>0</v>
      </c>
      <c r="V125" s="5">
        <f t="shared" si="36"/>
        <v>0</v>
      </c>
      <c r="W125" s="5">
        <f t="shared" si="36"/>
        <v>3</v>
      </c>
    </row>
    <row r="126" spans="1:23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x14ac:dyDescent="0.4">
      <c r="A127" s="11" t="s">
        <v>48</v>
      </c>
      <c r="B127" s="17" t="s">
        <v>69</v>
      </c>
      <c r="C127" s="59" t="s">
        <v>70</v>
      </c>
      <c r="D127" s="60"/>
      <c r="E127" s="6">
        <v>0</v>
      </c>
      <c r="F127" s="6">
        <v>1</v>
      </c>
      <c r="G127" s="6">
        <v>1</v>
      </c>
      <c r="H127" s="6">
        <v>0</v>
      </c>
      <c r="I127" s="6">
        <v>0</v>
      </c>
      <c r="J127" s="6">
        <v>3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1</v>
      </c>
      <c r="Q127" s="6">
        <v>0</v>
      </c>
      <c r="R127" s="6">
        <v>0</v>
      </c>
      <c r="S127" s="6">
        <v>3</v>
      </c>
      <c r="T127" s="6">
        <v>1</v>
      </c>
      <c r="U127" s="6">
        <v>0</v>
      </c>
      <c r="V127" s="6">
        <v>3</v>
      </c>
      <c r="W127" s="5">
        <f t="shared" ref="W127:W133" si="37">SUM(E127:V127)</f>
        <v>14</v>
      </c>
    </row>
    <row r="128" spans="1:23" x14ac:dyDescent="0.4">
      <c r="A128" s="11" t="s">
        <v>50</v>
      </c>
      <c r="B128" s="46">
        <v>1</v>
      </c>
      <c r="C128" s="24" t="s">
        <v>163</v>
      </c>
      <c r="D128" s="47"/>
      <c r="E128" s="6">
        <v>0</v>
      </c>
      <c r="F128" s="6">
        <v>0</v>
      </c>
      <c r="G128" s="6">
        <v>0</v>
      </c>
      <c r="H128" s="6">
        <v>1</v>
      </c>
      <c r="I128" s="6">
        <v>1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1</v>
      </c>
      <c r="Q128" s="6">
        <v>2</v>
      </c>
      <c r="R128" s="6">
        <v>0</v>
      </c>
      <c r="S128" s="6">
        <v>1</v>
      </c>
      <c r="T128" s="6">
        <v>2</v>
      </c>
      <c r="U128" s="6">
        <v>3</v>
      </c>
      <c r="V128" s="6">
        <v>0</v>
      </c>
      <c r="W128" s="5">
        <f t="shared" si="37"/>
        <v>12</v>
      </c>
    </row>
    <row r="129" spans="1:23" x14ac:dyDescent="0.4">
      <c r="A129" s="7"/>
      <c r="B129" s="46">
        <v>2</v>
      </c>
      <c r="C129" s="24" t="s">
        <v>164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1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5">
        <f t="shared" si="37"/>
        <v>2</v>
      </c>
    </row>
    <row r="130" spans="1:23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5">
        <f t="shared" si="37"/>
        <v>2</v>
      </c>
    </row>
    <row r="131" spans="1:23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5">
        <f t="shared" si="37"/>
        <v>1</v>
      </c>
    </row>
    <row r="132" spans="1:23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5">
        <f t="shared" si="37"/>
        <v>1</v>
      </c>
    </row>
    <row r="133" spans="1:23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5">
        <f t="shared" si="37"/>
        <v>0</v>
      </c>
    </row>
    <row r="134" spans="1:23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W134" si="38">SUM(E127:E133)</f>
        <v>0</v>
      </c>
      <c r="F134" s="5">
        <f t="shared" si="38"/>
        <v>2</v>
      </c>
      <c r="G134" s="5">
        <f t="shared" si="38"/>
        <v>1</v>
      </c>
      <c r="H134" s="5">
        <f t="shared" si="38"/>
        <v>2</v>
      </c>
      <c r="I134" s="5">
        <f t="shared" si="38"/>
        <v>2</v>
      </c>
      <c r="J134" s="5">
        <f t="shared" si="38"/>
        <v>3</v>
      </c>
      <c r="K134" s="5">
        <f t="shared" si="38"/>
        <v>0</v>
      </c>
      <c r="L134" s="5">
        <f t="shared" si="38"/>
        <v>0</v>
      </c>
      <c r="M134" s="5">
        <f t="shared" si="38"/>
        <v>3</v>
      </c>
      <c r="N134" s="5">
        <f t="shared" si="38"/>
        <v>1</v>
      </c>
      <c r="O134" s="5">
        <f t="shared" si="38"/>
        <v>0</v>
      </c>
      <c r="P134" s="5">
        <f t="shared" si="38"/>
        <v>3</v>
      </c>
      <c r="Q134" s="5">
        <f t="shared" si="38"/>
        <v>2</v>
      </c>
      <c r="R134" s="5">
        <f t="shared" si="38"/>
        <v>0</v>
      </c>
      <c r="S134" s="5">
        <f t="shared" si="38"/>
        <v>4</v>
      </c>
      <c r="T134" s="5">
        <f t="shared" si="38"/>
        <v>3</v>
      </c>
      <c r="U134" s="5">
        <f t="shared" si="38"/>
        <v>3</v>
      </c>
      <c r="V134" s="5">
        <f t="shared" si="38"/>
        <v>3</v>
      </c>
      <c r="W134" s="5">
        <f t="shared" si="38"/>
        <v>32</v>
      </c>
    </row>
    <row r="135" spans="1:23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R135" s="18"/>
      <c r="S135" s="18"/>
      <c r="T135" s="18"/>
      <c r="W135" s="5"/>
    </row>
    <row r="136" spans="1:23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/>
      <c r="V136" s="6"/>
      <c r="W136" s="5">
        <f t="shared" ref="W136:W141" si="39">SUM(E136:V136)</f>
        <v>1</v>
      </c>
    </row>
    <row r="137" spans="1:23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/>
      <c r="U137" s="6"/>
      <c r="V137" s="6"/>
      <c r="W137" s="5">
        <f t="shared" si="39"/>
        <v>1</v>
      </c>
    </row>
    <row r="138" spans="1:23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/>
      <c r="V138" s="6"/>
      <c r="W138" s="5">
        <f t="shared" si="39"/>
        <v>0</v>
      </c>
    </row>
    <row r="139" spans="1:23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/>
      <c r="V139" s="6"/>
      <c r="W139" s="5">
        <f t="shared" si="39"/>
        <v>0</v>
      </c>
    </row>
    <row r="140" spans="1:23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2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1</v>
      </c>
      <c r="Q140" s="6">
        <v>0</v>
      </c>
      <c r="R140" s="6">
        <v>0</v>
      </c>
      <c r="S140" s="6">
        <v>0</v>
      </c>
      <c r="T140" s="6"/>
      <c r="U140" s="6"/>
      <c r="V140" s="6"/>
      <c r="W140" s="5">
        <f t="shared" si="39"/>
        <v>3</v>
      </c>
    </row>
    <row r="141" spans="1:23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1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6"/>
      <c r="W141" s="5">
        <f t="shared" si="39"/>
        <v>1</v>
      </c>
    </row>
    <row r="142" spans="1:23" x14ac:dyDescent="0.4">
      <c r="A142" s="6" t="s">
        <v>26</v>
      </c>
      <c r="B142" s="53" t="s">
        <v>51</v>
      </c>
      <c r="C142" s="54"/>
      <c r="D142" s="55"/>
      <c r="E142" s="5">
        <f t="shared" ref="E142:W142" si="40">SUM(E136:E141)</f>
        <v>0</v>
      </c>
      <c r="F142" s="5">
        <f t="shared" si="40"/>
        <v>3</v>
      </c>
      <c r="G142" s="5">
        <f t="shared" si="40"/>
        <v>0</v>
      </c>
      <c r="H142" s="5">
        <f t="shared" si="40"/>
        <v>0</v>
      </c>
      <c r="I142" s="5">
        <f t="shared" si="40"/>
        <v>0</v>
      </c>
      <c r="J142" s="5">
        <f t="shared" si="40"/>
        <v>1</v>
      </c>
      <c r="K142" s="5">
        <f t="shared" si="40"/>
        <v>1</v>
      </c>
      <c r="L142" s="5">
        <f t="shared" si="40"/>
        <v>0</v>
      </c>
      <c r="M142" s="5">
        <f t="shared" si="40"/>
        <v>0</v>
      </c>
      <c r="N142" s="5">
        <f t="shared" si="40"/>
        <v>0</v>
      </c>
      <c r="O142" s="5">
        <f t="shared" si="40"/>
        <v>0</v>
      </c>
      <c r="P142" s="5">
        <f t="shared" si="40"/>
        <v>1</v>
      </c>
      <c r="Q142" s="5">
        <f t="shared" si="40"/>
        <v>0</v>
      </c>
      <c r="R142" s="5">
        <f t="shared" si="40"/>
        <v>0</v>
      </c>
      <c r="S142" s="5">
        <f t="shared" si="40"/>
        <v>0</v>
      </c>
      <c r="T142" s="5">
        <f t="shared" si="40"/>
        <v>0</v>
      </c>
      <c r="U142" s="5">
        <f t="shared" si="40"/>
        <v>0</v>
      </c>
      <c r="V142" s="5">
        <f t="shared" si="40"/>
        <v>0</v>
      </c>
      <c r="W142" s="5">
        <f t="shared" si="40"/>
        <v>6</v>
      </c>
    </row>
    <row r="143" spans="1:23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spans="1:23" x14ac:dyDescent="0.4">
      <c r="A144" s="11" t="s">
        <v>48</v>
      </c>
      <c r="B144" s="17" t="s">
        <v>73</v>
      </c>
      <c r="C144" s="59" t="s">
        <v>74</v>
      </c>
      <c r="D144" s="60"/>
      <c r="E144" s="6">
        <v>1</v>
      </c>
      <c r="F144" s="6">
        <v>1</v>
      </c>
      <c r="G144" s="6">
        <v>2</v>
      </c>
      <c r="H144" s="6">
        <v>0</v>
      </c>
      <c r="I144" s="6">
        <v>0</v>
      </c>
      <c r="J144" s="6">
        <v>0</v>
      </c>
      <c r="K144" s="6">
        <v>1</v>
      </c>
      <c r="L144" s="6">
        <v>3</v>
      </c>
      <c r="M144" s="6">
        <v>1</v>
      </c>
      <c r="N144" s="6">
        <v>2</v>
      </c>
      <c r="O144" s="6">
        <v>1</v>
      </c>
      <c r="P144" s="6">
        <v>1</v>
      </c>
      <c r="Q144" s="6">
        <v>0</v>
      </c>
      <c r="R144" s="6">
        <v>0</v>
      </c>
      <c r="S144" s="6">
        <v>0</v>
      </c>
      <c r="T144" s="6">
        <v>1</v>
      </c>
      <c r="U144" s="6">
        <v>0</v>
      </c>
      <c r="V144" s="6">
        <v>0</v>
      </c>
      <c r="W144" s="5">
        <f t="shared" ref="W144:W150" si="41">SUM(E144:V144)</f>
        <v>14</v>
      </c>
    </row>
    <row r="145" spans="1:23" x14ac:dyDescent="0.4">
      <c r="A145" s="11" t="s">
        <v>50</v>
      </c>
      <c r="B145" s="46">
        <v>1</v>
      </c>
      <c r="C145" s="24" t="s">
        <v>174</v>
      </c>
      <c r="D145" s="47"/>
      <c r="E145" s="6">
        <v>1</v>
      </c>
      <c r="F145" s="6">
        <v>1</v>
      </c>
      <c r="G145" s="6">
        <v>0</v>
      </c>
      <c r="H145" s="6">
        <v>1</v>
      </c>
      <c r="I145" s="6">
        <v>1</v>
      </c>
      <c r="J145" s="6">
        <v>0</v>
      </c>
      <c r="K145" s="6">
        <v>0</v>
      </c>
      <c r="L145" s="6">
        <v>0</v>
      </c>
      <c r="M145" s="6">
        <v>2</v>
      </c>
      <c r="N145" s="6">
        <v>0</v>
      </c>
      <c r="O145" s="6">
        <v>0</v>
      </c>
      <c r="P145" s="6">
        <v>1</v>
      </c>
      <c r="Q145" s="6">
        <v>0</v>
      </c>
      <c r="R145" s="6">
        <v>1</v>
      </c>
      <c r="S145" s="6">
        <v>0</v>
      </c>
      <c r="T145" s="6">
        <v>0</v>
      </c>
      <c r="U145" s="6">
        <v>1</v>
      </c>
      <c r="V145" s="6">
        <v>0</v>
      </c>
      <c r="W145" s="5">
        <f t="shared" si="41"/>
        <v>9</v>
      </c>
    </row>
    <row r="146" spans="1:23" x14ac:dyDescent="0.4">
      <c r="A146" s="7"/>
      <c r="B146" s="46">
        <v>2</v>
      </c>
      <c r="C146" s="24" t="s">
        <v>175</v>
      </c>
      <c r="D146" s="47"/>
      <c r="E146" s="6">
        <v>4</v>
      </c>
      <c r="F146" s="6">
        <v>3</v>
      </c>
      <c r="G146" s="6">
        <v>13</v>
      </c>
      <c r="H146" s="6">
        <v>3</v>
      </c>
      <c r="I146" s="6">
        <v>1</v>
      </c>
      <c r="J146" s="6">
        <v>3</v>
      </c>
      <c r="K146" s="6">
        <v>1</v>
      </c>
      <c r="L146" s="6">
        <v>3</v>
      </c>
      <c r="M146" s="6">
        <v>2</v>
      </c>
      <c r="N146" s="6">
        <v>2</v>
      </c>
      <c r="O146" s="6">
        <v>2</v>
      </c>
      <c r="P146" s="6">
        <v>15</v>
      </c>
      <c r="Q146" s="6">
        <v>0</v>
      </c>
      <c r="R146" s="6">
        <v>1</v>
      </c>
      <c r="S146" s="6">
        <v>0</v>
      </c>
      <c r="T146" s="6">
        <v>0</v>
      </c>
      <c r="U146" s="6">
        <v>0</v>
      </c>
      <c r="V146" s="6">
        <v>0</v>
      </c>
      <c r="W146" s="5">
        <f t="shared" si="41"/>
        <v>53</v>
      </c>
    </row>
    <row r="147" spans="1:23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1</v>
      </c>
      <c r="U147" s="6">
        <v>0</v>
      </c>
      <c r="V147" s="6">
        <v>0</v>
      </c>
      <c r="W147" s="5">
        <f t="shared" si="41"/>
        <v>2</v>
      </c>
    </row>
    <row r="148" spans="1:23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5">
        <f t="shared" si="41"/>
        <v>1</v>
      </c>
    </row>
    <row r="149" spans="1:23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  <c r="U149" s="6">
        <v>0</v>
      </c>
      <c r="V149" s="6">
        <v>0</v>
      </c>
      <c r="W149" s="5">
        <f t="shared" si="41"/>
        <v>1</v>
      </c>
    </row>
    <row r="150" spans="1:23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6">
        <v>0</v>
      </c>
      <c r="S150" s="6">
        <v>0</v>
      </c>
      <c r="T150" s="6">
        <v>1</v>
      </c>
      <c r="U150" s="6">
        <v>0</v>
      </c>
      <c r="V150" s="6">
        <v>1</v>
      </c>
      <c r="W150" s="5">
        <f t="shared" si="41"/>
        <v>4</v>
      </c>
    </row>
    <row r="151" spans="1:23" x14ac:dyDescent="0.4">
      <c r="A151" s="6" t="s">
        <v>26</v>
      </c>
      <c r="B151" s="53" t="s">
        <v>51</v>
      </c>
      <c r="C151" s="54"/>
      <c r="D151" s="55"/>
      <c r="E151" s="5">
        <f t="shared" ref="E151:W151" si="42">SUM(E144:E150)</f>
        <v>6</v>
      </c>
      <c r="F151" s="5">
        <f t="shared" si="42"/>
        <v>6</v>
      </c>
      <c r="G151" s="5">
        <f t="shared" si="42"/>
        <v>15</v>
      </c>
      <c r="H151" s="5">
        <f t="shared" si="42"/>
        <v>4</v>
      </c>
      <c r="I151" s="5">
        <f t="shared" si="42"/>
        <v>2</v>
      </c>
      <c r="J151" s="5">
        <f t="shared" si="42"/>
        <v>4</v>
      </c>
      <c r="K151" s="5">
        <f t="shared" si="42"/>
        <v>2</v>
      </c>
      <c r="L151" s="5">
        <f t="shared" si="42"/>
        <v>6</v>
      </c>
      <c r="M151" s="5">
        <f t="shared" si="42"/>
        <v>5</v>
      </c>
      <c r="N151" s="5">
        <f t="shared" si="42"/>
        <v>5</v>
      </c>
      <c r="O151" s="5">
        <f t="shared" si="42"/>
        <v>3</v>
      </c>
      <c r="P151" s="5">
        <f t="shared" si="42"/>
        <v>18</v>
      </c>
      <c r="Q151" s="5">
        <f t="shared" si="42"/>
        <v>0</v>
      </c>
      <c r="R151" s="5">
        <f t="shared" si="42"/>
        <v>3</v>
      </c>
      <c r="S151" s="5">
        <f t="shared" si="42"/>
        <v>0</v>
      </c>
      <c r="T151" s="5">
        <f t="shared" si="42"/>
        <v>3</v>
      </c>
      <c r="U151" s="5">
        <f t="shared" si="42"/>
        <v>1</v>
      </c>
      <c r="V151" s="5">
        <f t="shared" si="42"/>
        <v>1</v>
      </c>
      <c r="W151" s="5">
        <f t="shared" si="42"/>
        <v>84</v>
      </c>
    </row>
    <row r="152" spans="1:23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3" x14ac:dyDescent="0.4">
      <c r="A153" s="11" t="s">
        <v>48</v>
      </c>
      <c r="B153" s="17" t="s">
        <v>75</v>
      </c>
      <c r="C153" s="59" t="s">
        <v>76</v>
      </c>
      <c r="D153" s="60"/>
      <c r="E153" s="6">
        <v>1</v>
      </c>
      <c r="F153" s="6">
        <v>1</v>
      </c>
      <c r="G153" s="6">
        <v>0</v>
      </c>
      <c r="H153" s="6">
        <v>0</v>
      </c>
      <c r="I153" s="6">
        <v>2</v>
      </c>
      <c r="J153" s="6">
        <v>0</v>
      </c>
      <c r="K153" s="6">
        <v>0</v>
      </c>
      <c r="L153" s="6">
        <v>0</v>
      </c>
      <c r="M153" s="6">
        <v>1</v>
      </c>
      <c r="N153" s="6">
        <v>3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5">
        <f>SUM(E153:V153)</f>
        <v>8</v>
      </c>
    </row>
    <row r="154" spans="1:23" x14ac:dyDescent="0.4">
      <c r="A154" s="11" t="s">
        <v>50</v>
      </c>
      <c r="B154" s="46">
        <v>1</v>
      </c>
      <c r="C154" s="24" t="s">
        <v>180</v>
      </c>
      <c r="D154" s="47"/>
      <c r="E154" s="6">
        <v>0</v>
      </c>
      <c r="F154" s="6">
        <v>1</v>
      </c>
      <c r="G154" s="6">
        <v>5</v>
      </c>
      <c r="H154" s="6">
        <v>1</v>
      </c>
      <c r="I154" s="6">
        <v>0</v>
      </c>
      <c r="J154" s="6">
        <v>0</v>
      </c>
      <c r="K154" s="6">
        <v>1</v>
      </c>
      <c r="L154" s="6">
        <v>0</v>
      </c>
      <c r="M154" s="6">
        <v>5</v>
      </c>
      <c r="N154" s="6">
        <v>1</v>
      </c>
      <c r="O154" s="6">
        <v>0</v>
      </c>
      <c r="P154" s="6">
        <v>1</v>
      </c>
      <c r="Q154" s="6">
        <v>0</v>
      </c>
      <c r="R154" s="6">
        <v>1</v>
      </c>
      <c r="S154" s="6">
        <v>1</v>
      </c>
      <c r="T154" s="6">
        <v>1</v>
      </c>
      <c r="U154" s="6">
        <v>0</v>
      </c>
      <c r="V154" s="6">
        <v>0</v>
      </c>
      <c r="W154" s="5">
        <f>SUM(E154:V154)</f>
        <v>18</v>
      </c>
    </row>
    <row r="155" spans="1:23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>
        <v>1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5">
        <f>SUM(E155:V155)</f>
        <v>5</v>
      </c>
    </row>
    <row r="156" spans="1:23" x14ac:dyDescent="0.4">
      <c r="A156" s="6" t="s">
        <v>26</v>
      </c>
      <c r="B156" s="53" t="s">
        <v>51</v>
      </c>
      <c r="C156" s="54"/>
      <c r="D156" s="55"/>
      <c r="E156" s="5">
        <f t="shared" ref="E156:W156" si="43">SUM(E153:E155)</f>
        <v>1</v>
      </c>
      <c r="F156" s="5">
        <f t="shared" si="43"/>
        <v>3</v>
      </c>
      <c r="G156" s="5">
        <f t="shared" si="43"/>
        <v>5</v>
      </c>
      <c r="H156" s="5">
        <f t="shared" si="43"/>
        <v>1</v>
      </c>
      <c r="I156" s="5">
        <f t="shared" si="43"/>
        <v>2</v>
      </c>
      <c r="J156" s="5">
        <f t="shared" si="43"/>
        <v>0</v>
      </c>
      <c r="K156" s="5">
        <f t="shared" si="43"/>
        <v>1</v>
      </c>
      <c r="L156" s="5">
        <f t="shared" si="43"/>
        <v>0</v>
      </c>
      <c r="M156" s="5">
        <f t="shared" si="43"/>
        <v>6</v>
      </c>
      <c r="N156" s="5">
        <f t="shared" si="43"/>
        <v>6</v>
      </c>
      <c r="O156" s="5">
        <f t="shared" si="43"/>
        <v>0</v>
      </c>
      <c r="P156" s="5">
        <f t="shared" si="43"/>
        <v>2</v>
      </c>
      <c r="Q156" s="5">
        <f t="shared" si="43"/>
        <v>0</v>
      </c>
      <c r="R156" s="5">
        <f t="shared" si="43"/>
        <v>1</v>
      </c>
      <c r="S156" s="5">
        <f t="shared" si="43"/>
        <v>2</v>
      </c>
      <c r="T156" s="5">
        <f t="shared" si="43"/>
        <v>1</v>
      </c>
      <c r="U156" s="5">
        <f t="shared" si="43"/>
        <v>0</v>
      </c>
      <c r="V156" s="5">
        <f t="shared" si="43"/>
        <v>0</v>
      </c>
      <c r="W156" s="5">
        <f t="shared" si="43"/>
        <v>31</v>
      </c>
    </row>
    <row r="157" spans="1:23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spans="1:23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2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6"/>
      <c r="W158" s="5">
        <f>SUM(E158:V158)</f>
        <v>2</v>
      </c>
    </row>
    <row r="159" spans="1:23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</v>
      </c>
      <c r="S159" s="6">
        <v>0</v>
      </c>
      <c r="T159" s="6"/>
      <c r="U159" s="6"/>
      <c r="V159" s="6"/>
      <c r="W159" s="5">
        <f>SUM(E159:V159)</f>
        <v>1</v>
      </c>
    </row>
    <row r="160" spans="1:23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/>
      <c r="V160" s="6"/>
      <c r="W160" s="5">
        <f>SUM(E160:V160)</f>
        <v>0</v>
      </c>
    </row>
    <row r="161" spans="1:23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1</v>
      </c>
      <c r="T161" s="6"/>
      <c r="U161" s="6"/>
      <c r="V161" s="6"/>
      <c r="W161" s="5">
        <f>SUM(E161:V161)</f>
        <v>1</v>
      </c>
    </row>
    <row r="162" spans="1:23" x14ac:dyDescent="0.4">
      <c r="A162" s="6" t="s">
        <v>26</v>
      </c>
      <c r="B162" s="53" t="s">
        <v>51</v>
      </c>
      <c r="C162" s="54"/>
      <c r="D162" s="55"/>
      <c r="E162" s="5">
        <f t="shared" ref="E162:W162" si="44">SUM(E158:E161)</f>
        <v>0</v>
      </c>
      <c r="F162" s="5">
        <f t="shared" si="44"/>
        <v>0</v>
      </c>
      <c r="G162" s="5">
        <f t="shared" si="44"/>
        <v>0</v>
      </c>
      <c r="H162" s="5">
        <f t="shared" si="44"/>
        <v>0</v>
      </c>
      <c r="I162" s="5">
        <f t="shared" si="44"/>
        <v>0</v>
      </c>
      <c r="J162" s="5">
        <f t="shared" si="44"/>
        <v>2</v>
      </c>
      <c r="K162" s="5">
        <f t="shared" si="44"/>
        <v>0</v>
      </c>
      <c r="L162" s="5">
        <f t="shared" si="44"/>
        <v>0</v>
      </c>
      <c r="M162" s="5">
        <f t="shared" si="44"/>
        <v>0</v>
      </c>
      <c r="N162" s="5">
        <f t="shared" si="44"/>
        <v>0</v>
      </c>
      <c r="O162" s="5">
        <f t="shared" si="44"/>
        <v>0</v>
      </c>
      <c r="P162" s="5">
        <f t="shared" si="44"/>
        <v>0</v>
      </c>
      <c r="Q162" s="5">
        <f t="shared" si="44"/>
        <v>0</v>
      </c>
      <c r="R162" s="5">
        <f t="shared" si="44"/>
        <v>1</v>
      </c>
      <c r="S162" s="5">
        <f t="shared" si="44"/>
        <v>1</v>
      </c>
      <c r="T162" s="5">
        <f t="shared" si="44"/>
        <v>0</v>
      </c>
      <c r="U162" s="5">
        <f t="shared" si="44"/>
        <v>0</v>
      </c>
      <c r="V162" s="5">
        <f t="shared" si="44"/>
        <v>0</v>
      </c>
      <c r="W162" s="5">
        <f t="shared" si="44"/>
        <v>4</v>
      </c>
    </row>
    <row r="163" spans="1:23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spans="1:23" x14ac:dyDescent="0.4">
      <c r="A164" s="11" t="s">
        <v>48</v>
      </c>
      <c r="B164" s="17" t="s">
        <v>79</v>
      </c>
      <c r="C164" s="59" t="s">
        <v>80</v>
      </c>
      <c r="D164" s="60"/>
      <c r="E164" s="6">
        <v>5</v>
      </c>
      <c r="F164" s="6">
        <v>2</v>
      </c>
      <c r="G164" s="6">
        <v>9</v>
      </c>
      <c r="H164" s="6">
        <v>6</v>
      </c>
      <c r="I164" s="6">
        <v>10</v>
      </c>
      <c r="J164" s="6">
        <v>7</v>
      </c>
      <c r="K164" s="6">
        <v>1</v>
      </c>
      <c r="L164" s="6">
        <v>0</v>
      </c>
      <c r="M164" s="6">
        <v>2</v>
      </c>
      <c r="N164" s="6">
        <v>2</v>
      </c>
      <c r="O164" s="6">
        <v>1</v>
      </c>
      <c r="P164" s="6">
        <v>1</v>
      </c>
      <c r="Q164" s="6">
        <v>3</v>
      </c>
      <c r="R164" s="6">
        <v>1</v>
      </c>
      <c r="S164" s="6">
        <v>1</v>
      </c>
      <c r="T164" s="6">
        <v>0</v>
      </c>
      <c r="U164" s="6">
        <v>3</v>
      </c>
      <c r="V164" s="6">
        <v>0</v>
      </c>
      <c r="W164" s="5">
        <f t="shared" ref="W164:W170" si="45">SUM(E164:V164)</f>
        <v>54</v>
      </c>
    </row>
    <row r="165" spans="1:23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0</v>
      </c>
      <c r="G165" s="6">
        <v>2</v>
      </c>
      <c r="H165" s="6">
        <v>4</v>
      </c>
      <c r="I165" s="6">
        <v>2</v>
      </c>
      <c r="J165" s="6">
        <v>1</v>
      </c>
      <c r="K165" s="6">
        <v>0</v>
      </c>
      <c r="L165" s="6">
        <v>3</v>
      </c>
      <c r="M165" s="6">
        <v>0</v>
      </c>
      <c r="N165" s="6">
        <v>1</v>
      </c>
      <c r="O165" s="6">
        <v>0</v>
      </c>
      <c r="P165" s="6">
        <v>0</v>
      </c>
      <c r="Q165" s="6">
        <v>2</v>
      </c>
      <c r="R165" s="6">
        <v>0</v>
      </c>
      <c r="S165" s="6">
        <v>1</v>
      </c>
      <c r="T165" s="6">
        <v>1</v>
      </c>
      <c r="U165" s="6">
        <v>1</v>
      </c>
      <c r="V165" s="6">
        <v>0</v>
      </c>
      <c r="W165" s="5">
        <f t="shared" si="45"/>
        <v>18</v>
      </c>
    </row>
    <row r="166" spans="1:23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5">
        <f t="shared" si="45"/>
        <v>3</v>
      </c>
    </row>
    <row r="167" spans="1:23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1</v>
      </c>
      <c r="I167" s="6">
        <v>0</v>
      </c>
      <c r="J167" s="6">
        <v>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1</v>
      </c>
      <c r="S167" s="6">
        <v>0</v>
      </c>
      <c r="T167" s="6">
        <v>0</v>
      </c>
      <c r="U167" s="6">
        <v>0</v>
      </c>
      <c r="V167" s="6">
        <v>0</v>
      </c>
      <c r="W167" s="5">
        <f t="shared" si="45"/>
        <v>4</v>
      </c>
    </row>
    <row r="168" spans="1:23" x14ac:dyDescent="0.4">
      <c r="A168" s="7"/>
      <c r="B168" s="46">
        <v>4</v>
      </c>
      <c r="C168" s="24" t="s">
        <v>188</v>
      </c>
      <c r="D168" s="47"/>
      <c r="E168" s="6">
        <v>1</v>
      </c>
      <c r="F168" s="6">
        <v>0</v>
      </c>
      <c r="G168" s="6">
        <v>0</v>
      </c>
      <c r="H168" s="6">
        <v>0</v>
      </c>
      <c r="I168" s="6">
        <v>3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5">
        <f t="shared" si="45"/>
        <v>4</v>
      </c>
    </row>
    <row r="169" spans="1:23" ht="12.75" customHeight="1" x14ac:dyDescent="0.4">
      <c r="A169" s="7"/>
      <c r="B169" s="46">
        <v>5</v>
      </c>
      <c r="C169" s="24" t="s">
        <v>189</v>
      </c>
      <c r="D169" s="47"/>
      <c r="E169" s="6">
        <v>7</v>
      </c>
      <c r="F169" s="6">
        <v>16</v>
      </c>
      <c r="G169" s="6">
        <v>26</v>
      </c>
      <c r="H169" s="6">
        <v>13</v>
      </c>
      <c r="I169" s="6">
        <v>12</v>
      </c>
      <c r="J169" s="6">
        <v>3</v>
      </c>
      <c r="K169" s="6">
        <v>0</v>
      </c>
      <c r="L169" s="6">
        <v>3</v>
      </c>
      <c r="M169" s="6">
        <v>0</v>
      </c>
      <c r="N169" s="6">
        <v>1</v>
      </c>
      <c r="O169" s="6">
        <v>0</v>
      </c>
      <c r="P169" s="6">
        <v>3</v>
      </c>
      <c r="Q169" s="6">
        <v>1</v>
      </c>
      <c r="R169" s="6">
        <v>0</v>
      </c>
      <c r="S169" s="6">
        <v>6</v>
      </c>
      <c r="T169" s="6">
        <v>1</v>
      </c>
      <c r="U169" s="6">
        <v>9</v>
      </c>
      <c r="V169" s="6">
        <v>4</v>
      </c>
      <c r="W169" s="5">
        <f t="shared" si="45"/>
        <v>105</v>
      </c>
    </row>
    <row r="170" spans="1:23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1</v>
      </c>
      <c r="H170" s="6">
        <v>1</v>
      </c>
      <c r="I170" s="6">
        <v>2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1</v>
      </c>
      <c r="U170" s="6">
        <v>0</v>
      </c>
      <c r="V170" s="6">
        <v>0</v>
      </c>
      <c r="W170" s="5">
        <f t="shared" si="45"/>
        <v>5</v>
      </c>
    </row>
    <row r="171" spans="1:23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W171" si="46">SUM(E164:E170)</f>
        <v>13</v>
      </c>
      <c r="F171" s="5">
        <f t="shared" si="46"/>
        <v>18</v>
      </c>
      <c r="G171" s="5">
        <f t="shared" si="46"/>
        <v>38</v>
      </c>
      <c r="H171" s="5">
        <f t="shared" si="46"/>
        <v>25</v>
      </c>
      <c r="I171" s="5">
        <f t="shared" si="46"/>
        <v>29</v>
      </c>
      <c r="J171" s="5">
        <f t="shared" si="46"/>
        <v>12</v>
      </c>
      <c r="K171" s="5">
        <f t="shared" si="46"/>
        <v>1</v>
      </c>
      <c r="L171" s="5">
        <f t="shared" si="46"/>
        <v>7</v>
      </c>
      <c r="M171" s="5">
        <f t="shared" si="46"/>
        <v>2</v>
      </c>
      <c r="N171" s="5">
        <f t="shared" si="46"/>
        <v>4</v>
      </c>
      <c r="O171" s="5">
        <f t="shared" si="46"/>
        <v>1</v>
      </c>
      <c r="P171" s="5">
        <f t="shared" si="46"/>
        <v>5</v>
      </c>
      <c r="Q171" s="5">
        <f t="shared" si="46"/>
        <v>7</v>
      </c>
      <c r="R171" s="5">
        <f t="shared" si="46"/>
        <v>2</v>
      </c>
      <c r="S171" s="5">
        <f t="shared" si="46"/>
        <v>9</v>
      </c>
      <c r="T171" s="5">
        <f t="shared" si="46"/>
        <v>3</v>
      </c>
      <c r="U171" s="5">
        <f t="shared" si="46"/>
        <v>13</v>
      </c>
      <c r="V171" s="5">
        <f t="shared" si="46"/>
        <v>4</v>
      </c>
      <c r="W171" s="5">
        <f t="shared" si="46"/>
        <v>193</v>
      </c>
    </row>
    <row r="172" spans="1:23" x14ac:dyDescent="0.4">
      <c r="A172" s="61"/>
      <c r="B172" s="62"/>
      <c r="C172" s="62"/>
      <c r="D172" s="62"/>
      <c r="E172" s="63"/>
    </row>
    <row r="173" spans="1:23" x14ac:dyDescent="0.4">
      <c r="A173" s="11" t="s">
        <v>48</v>
      </c>
      <c r="B173" s="17" t="s">
        <v>81</v>
      </c>
      <c r="C173" s="59" t="s">
        <v>82</v>
      </c>
      <c r="D173" s="60"/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/>
      <c r="U173" s="6"/>
      <c r="V173" s="6"/>
      <c r="W173" s="5">
        <f>SUM(E173:V173)</f>
        <v>2</v>
      </c>
    </row>
    <row r="174" spans="1:23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3</v>
      </c>
      <c r="N174" s="6">
        <v>0</v>
      </c>
      <c r="O174" s="6">
        <v>4</v>
      </c>
      <c r="P174" s="6">
        <v>0</v>
      </c>
      <c r="Q174" s="6">
        <v>2</v>
      </c>
      <c r="R174" s="6">
        <v>0</v>
      </c>
      <c r="S174" s="6">
        <v>1</v>
      </c>
      <c r="T174" s="6"/>
      <c r="U174" s="6"/>
      <c r="V174" s="6"/>
      <c r="W174" s="5">
        <f>SUM(E174:V174)</f>
        <v>11</v>
      </c>
    </row>
    <row r="175" spans="1:23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/>
      <c r="U175" s="6"/>
      <c r="V175" s="6"/>
      <c r="W175" s="5">
        <f>SUM(E175:V175)</f>
        <v>1</v>
      </c>
    </row>
    <row r="176" spans="1:23" x14ac:dyDescent="0.4">
      <c r="A176" s="6" t="s">
        <v>26</v>
      </c>
      <c r="B176" s="53" t="s">
        <v>51</v>
      </c>
      <c r="C176" s="54"/>
      <c r="D176" s="55"/>
      <c r="E176" s="5">
        <f t="shared" ref="E176:W176" si="47">SUM(E173:E175)</f>
        <v>1</v>
      </c>
      <c r="F176" s="5">
        <f t="shared" si="47"/>
        <v>1</v>
      </c>
      <c r="G176" s="5">
        <f t="shared" si="47"/>
        <v>2</v>
      </c>
      <c r="H176" s="5">
        <f t="shared" si="47"/>
        <v>0</v>
      </c>
      <c r="I176" s="5">
        <f t="shared" si="47"/>
        <v>0</v>
      </c>
      <c r="J176" s="5">
        <f t="shared" si="47"/>
        <v>0</v>
      </c>
      <c r="K176" s="5">
        <f t="shared" si="47"/>
        <v>0</v>
      </c>
      <c r="L176" s="5">
        <f t="shared" si="47"/>
        <v>0</v>
      </c>
      <c r="M176" s="5">
        <f t="shared" si="47"/>
        <v>3</v>
      </c>
      <c r="N176" s="5">
        <f t="shared" si="47"/>
        <v>0</v>
      </c>
      <c r="O176" s="5">
        <f t="shared" si="47"/>
        <v>4</v>
      </c>
      <c r="P176" s="5">
        <f t="shared" si="47"/>
        <v>0</v>
      </c>
      <c r="Q176" s="5">
        <f t="shared" si="47"/>
        <v>2</v>
      </c>
      <c r="R176" s="5">
        <f t="shared" si="47"/>
        <v>0</v>
      </c>
      <c r="S176" s="5">
        <f t="shared" si="47"/>
        <v>1</v>
      </c>
      <c r="T176" s="5">
        <f t="shared" si="47"/>
        <v>0</v>
      </c>
      <c r="U176" s="5">
        <f t="shared" si="47"/>
        <v>0</v>
      </c>
      <c r="V176" s="5">
        <f t="shared" si="47"/>
        <v>0</v>
      </c>
      <c r="W176" s="5">
        <f t="shared" si="47"/>
        <v>14</v>
      </c>
    </row>
    <row r="178" spans="1:23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5"/>
      <c r="S178" s="5"/>
      <c r="T178" s="15"/>
      <c r="U178" s="15"/>
      <c r="V178" s="15"/>
      <c r="W178" s="5"/>
    </row>
    <row r="179" spans="1:23" x14ac:dyDescent="0.4">
      <c r="A179" s="16"/>
      <c r="B179" s="19" t="s">
        <v>85</v>
      </c>
      <c r="C179" s="51" t="s">
        <v>86</v>
      </c>
      <c r="D179" s="52"/>
      <c r="E179" s="6">
        <f t="shared" ref="E179:V179" si="48">E52+E61+E70+E79+E88+E91+E98+E107+E113+E122+E125+E134+E142+E151+E156+E162+E171+E176</f>
        <v>208</v>
      </c>
      <c r="F179" s="6">
        <f t="shared" si="48"/>
        <v>217</v>
      </c>
      <c r="G179" s="6">
        <f t="shared" si="48"/>
        <v>199</v>
      </c>
      <c r="H179" s="6">
        <f t="shared" si="48"/>
        <v>197</v>
      </c>
      <c r="I179" s="6">
        <f t="shared" si="48"/>
        <v>184</v>
      </c>
      <c r="J179" s="6">
        <f t="shared" si="48"/>
        <v>217</v>
      </c>
      <c r="K179" s="6">
        <f t="shared" si="48"/>
        <v>117</v>
      </c>
      <c r="L179" s="6">
        <f t="shared" si="48"/>
        <v>201</v>
      </c>
      <c r="M179" s="6">
        <f t="shared" si="48"/>
        <v>173</v>
      </c>
      <c r="N179" s="6">
        <f t="shared" si="48"/>
        <v>211</v>
      </c>
      <c r="O179" s="6">
        <f t="shared" si="48"/>
        <v>132</v>
      </c>
      <c r="P179" s="6">
        <f t="shared" si="48"/>
        <v>221</v>
      </c>
      <c r="Q179" s="6">
        <f t="shared" si="48"/>
        <v>219</v>
      </c>
      <c r="R179" s="6">
        <f t="shared" si="48"/>
        <v>211</v>
      </c>
      <c r="S179" s="6">
        <f t="shared" si="48"/>
        <v>213</v>
      </c>
      <c r="T179" s="6">
        <f t="shared" si="48"/>
        <v>196</v>
      </c>
      <c r="U179" s="6">
        <f t="shared" si="48"/>
        <v>194</v>
      </c>
      <c r="V179" s="6">
        <f t="shared" si="48"/>
        <v>181</v>
      </c>
      <c r="W179" s="5">
        <f>SUM(E179:V179)</f>
        <v>3491</v>
      </c>
    </row>
    <row r="180" spans="1:23" x14ac:dyDescent="0.4">
      <c r="A180" s="13"/>
      <c r="B180" s="19" t="s">
        <v>87</v>
      </c>
      <c r="C180" s="51" t="s">
        <v>88</v>
      </c>
      <c r="D180" s="52"/>
      <c r="E180" s="6">
        <v>20</v>
      </c>
      <c r="F180" s="6">
        <v>15</v>
      </c>
      <c r="G180" s="6">
        <v>8</v>
      </c>
      <c r="H180" s="6">
        <v>18</v>
      </c>
      <c r="I180" s="6">
        <v>24</v>
      </c>
      <c r="J180" s="6">
        <v>12</v>
      </c>
      <c r="K180" s="6">
        <v>13</v>
      </c>
      <c r="L180" s="6">
        <v>27</v>
      </c>
      <c r="M180" s="6">
        <v>20</v>
      </c>
      <c r="N180" s="6">
        <v>10</v>
      </c>
      <c r="O180" s="6">
        <v>8</v>
      </c>
      <c r="P180" s="6">
        <v>29</v>
      </c>
      <c r="Q180" s="6">
        <v>10</v>
      </c>
      <c r="R180" s="6">
        <v>17</v>
      </c>
      <c r="S180" s="6">
        <v>16</v>
      </c>
      <c r="T180" s="6">
        <v>28</v>
      </c>
      <c r="U180" s="6">
        <v>16</v>
      </c>
      <c r="V180" s="6">
        <v>7</v>
      </c>
      <c r="W180" s="5">
        <f>SUM(E180:V180)</f>
        <v>298</v>
      </c>
    </row>
    <row r="181" spans="1:23" x14ac:dyDescent="0.4">
      <c r="A181" s="14"/>
      <c r="B181" s="19" t="s">
        <v>89</v>
      </c>
      <c r="C181" s="51" t="s">
        <v>90</v>
      </c>
      <c r="D181" s="52"/>
      <c r="E181" s="5">
        <f>SUM(E179:E180)</f>
        <v>228</v>
      </c>
      <c r="F181" s="5">
        <f t="shared" ref="F181:V181" si="49">SUM(F179:F180)</f>
        <v>232</v>
      </c>
      <c r="G181" s="5">
        <f t="shared" si="49"/>
        <v>207</v>
      </c>
      <c r="H181" s="5">
        <f t="shared" si="49"/>
        <v>215</v>
      </c>
      <c r="I181" s="5">
        <f t="shared" si="49"/>
        <v>208</v>
      </c>
      <c r="J181" s="5">
        <f t="shared" si="49"/>
        <v>229</v>
      </c>
      <c r="K181" s="5">
        <f t="shared" si="49"/>
        <v>130</v>
      </c>
      <c r="L181" s="5">
        <f t="shared" ref="L181:Q181" si="50">SUM(L179:L180)</f>
        <v>228</v>
      </c>
      <c r="M181" s="5">
        <f t="shared" si="50"/>
        <v>193</v>
      </c>
      <c r="N181" s="5">
        <f t="shared" si="50"/>
        <v>221</v>
      </c>
      <c r="O181" s="5">
        <f t="shared" si="50"/>
        <v>140</v>
      </c>
      <c r="P181" s="5">
        <f t="shared" si="50"/>
        <v>250</v>
      </c>
      <c r="Q181" s="5">
        <f t="shared" si="50"/>
        <v>229</v>
      </c>
      <c r="R181" s="5">
        <f t="shared" si="49"/>
        <v>228</v>
      </c>
      <c r="S181" s="5">
        <f t="shared" si="49"/>
        <v>229</v>
      </c>
      <c r="T181" s="5">
        <f t="shared" si="49"/>
        <v>224</v>
      </c>
      <c r="U181" s="5">
        <f t="shared" si="49"/>
        <v>210</v>
      </c>
      <c r="V181" s="5">
        <f t="shared" si="49"/>
        <v>188</v>
      </c>
      <c r="W181" s="5">
        <f>SUM(E181:V181)</f>
        <v>3789</v>
      </c>
    </row>
  </sheetData>
  <mergeCells count="86"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  <mergeCell ref="B142:D142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36:D136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I37"/>
    <mergeCell ref="B38:D38"/>
    <mergeCell ref="B39:C41"/>
    <mergeCell ref="A42:D42"/>
    <mergeCell ref="E42:I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V12"/>
    <mergeCell ref="W12:W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V15">
    <cfRule type="containsBlanks" dxfId="97" priority="20">
      <formula>LEN(TRIM(E14))=0</formula>
    </cfRule>
  </conditionalFormatting>
  <conditionalFormatting sqref="E19:V20">
    <cfRule type="containsBlanks" dxfId="96" priority="23">
      <formula>LEN(TRIM(E19))=0</formula>
    </cfRule>
  </conditionalFormatting>
  <conditionalFormatting sqref="E22:V23 E25:V26 E33:V33 E35:V35 E39:V40">
    <cfRule type="containsBlanks" dxfId="95" priority="24">
      <formula>LEN(TRIM(E22))=0</formula>
    </cfRule>
  </conditionalFormatting>
  <conditionalFormatting sqref="E30:V30">
    <cfRule type="expression" dxfId="94" priority="25">
      <formula>E30&lt;&gt;E47</formula>
    </cfRule>
    <cfRule type="expression" dxfId="93" priority="26">
      <formula>E30&lt;&gt;E34</formula>
    </cfRule>
  </conditionalFormatting>
  <conditionalFormatting sqref="E34:V34">
    <cfRule type="expression" dxfId="92" priority="121">
      <formula>E30&lt;&gt;E34</formula>
    </cfRule>
    <cfRule type="expression" dxfId="91" priority="122">
      <formula>E30=E34</formula>
    </cfRule>
    <cfRule type="expression" dxfId="90" priority="123">
      <formula>E34&lt;&gt;E30</formula>
    </cfRule>
    <cfRule type="expression" dxfId="89" priority="124">
      <formula>E34&lt;&gt;#REF!</formula>
    </cfRule>
  </conditionalFormatting>
  <conditionalFormatting sqref="E45:V51">
    <cfRule type="containsBlanks" dxfId="88" priority="19">
      <formula>LEN(TRIM(E45))=0</formula>
    </cfRule>
  </conditionalFormatting>
  <conditionalFormatting sqref="E54:V60">
    <cfRule type="containsBlanks" dxfId="87" priority="18">
      <formula>LEN(TRIM(E54))=0</formula>
    </cfRule>
  </conditionalFormatting>
  <conditionalFormatting sqref="E63:V69">
    <cfRule type="containsBlanks" dxfId="86" priority="17">
      <formula>LEN(TRIM(E63))=0</formula>
    </cfRule>
  </conditionalFormatting>
  <conditionalFormatting sqref="E72:V78">
    <cfRule type="containsBlanks" dxfId="85" priority="16">
      <formula>LEN(TRIM(E72))=0</formula>
    </cfRule>
  </conditionalFormatting>
  <conditionalFormatting sqref="E81:V87">
    <cfRule type="containsBlanks" dxfId="84" priority="15">
      <formula>LEN(TRIM(E81))=0</formula>
    </cfRule>
  </conditionalFormatting>
  <conditionalFormatting sqref="E90:V90">
    <cfRule type="containsBlanks" dxfId="83" priority="14">
      <formula>LEN(TRIM(E90))=0</formula>
    </cfRule>
  </conditionalFormatting>
  <conditionalFormatting sqref="E93:V97">
    <cfRule type="containsBlanks" dxfId="82" priority="1">
      <formula>LEN(TRIM(E93))=0</formula>
    </cfRule>
  </conditionalFormatting>
  <conditionalFormatting sqref="E100:V106">
    <cfRule type="containsBlanks" dxfId="81" priority="13">
      <formula>LEN(TRIM(E100))=0</formula>
    </cfRule>
  </conditionalFormatting>
  <conditionalFormatting sqref="E109:V112">
    <cfRule type="containsBlanks" dxfId="80" priority="12">
      <formula>LEN(TRIM(E109))=0</formula>
    </cfRule>
  </conditionalFormatting>
  <conditionalFormatting sqref="E115:V121">
    <cfRule type="containsBlanks" dxfId="79" priority="3">
      <formula>LEN(TRIM(E115))=0</formula>
    </cfRule>
  </conditionalFormatting>
  <conditionalFormatting sqref="E124:V124">
    <cfRule type="containsBlanks" dxfId="78" priority="11">
      <formula>LEN(TRIM(E124))=0</formula>
    </cfRule>
  </conditionalFormatting>
  <conditionalFormatting sqref="E127:V133">
    <cfRule type="containsBlanks" dxfId="77" priority="10">
      <formula>LEN(TRIM(E127))=0</formula>
    </cfRule>
  </conditionalFormatting>
  <conditionalFormatting sqref="E136:V141">
    <cfRule type="containsBlanks" dxfId="76" priority="9">
      <formula>LEN(TRIM(E136))=0</formula>
    </cfRule>
  </conditionalFormatting>
  <conditionalFormatting sqref="E144:V150">
    <cfRule type="containsBlanks" dxfId="75" priority="8">
      <formula>LEN(TRIM(E144))=0</formula>
    </cfRule>
  </conditionalFormatting>
  <conditionalFormatting sqref="E153:V155">
    <cfRule type="containsBlanks" dxfId="74" priority="7">
      <formula>LEN(TRIM(E153))=0</formula>
    </cfRule>
  </conditionalFormatting>
  <conditionalFormatting sqref="E158:V161">
    <cfRule type="containsBlanks" dxfId="73" priority="6">
      <formula>LEN(TRIM(E158))=0</formula>
    </cfRule>
  </conditionalFormatting>
  <conditionalFormatting sqref="E164:V170">
    <cfRule type="containsBlanks" dxfId="72" priority="5">
      <formula>LEN(TRIM(E164))=0</formula>
    </cfRule>
  </conditionalFormatting>
  <conditionalFormatting sqref="E173:V175">
    <cfRule type="containsBlanks" dxfId="71" priority="4">
      <formula>LEN(TRIM(E173))=0</formula>
    </cfRule>
  </conditionalFormatting>
  <conditionalFormatting sqref="E179:V180">
    <cfRule type="containsBlanks" dxfId="70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BE181"/>
  <sheetViews>
    <sheetView topLeftCell="A13" zoomScaleNormal="100" workbookViewId="0">
      <pane ySplit="1" topLeftCell="A174" activePane="bottomLeft" state="frozen"/>
      <selection activeCell="A13" sqref="A13"/>
      <selection pane="bottomLeft" activeCell="E179" sqref="E179"/>
    </sheetView>
  </sheetViews>
  <sheetFormatPr defaultRowHeight="13.15" x14ac:dyDescent="0.4"/>
  <cols>
    <col min="3" max="3" width="67.140625" bestFit="1" customWidth="1"/>
    <col min="4" max="4" width="5.85546875" bestFit="1" customWidth="1"/>
    <col min="17" max="17" width="9.140625" customWidth="1"/>
    <col min="57" max="57" width="13.28515625" customWidth="1"/>
  </cols>
  <sheetData>
    <row r="2" spans="1:57" x14ac:dyDescent="0.4">
      <c r="C2" s="43" t="s">
        <v>104</v>
      </c>
      <c r="D2" s="43" t="s">
        <v>193</v>
      </c>
    </row>
    <row r="3" spans="1:57" x14ac:dyDescent="0.4">
      <c r="C3" s="43" t="s">
        <v>105</v>
      </c>
      <c r="D3" s="43" t="s">
        <v>106</v>
      </c>
    </row>
    <row r="4" spans="1:57" x14ac:dyDescent="0.4">
      <c r="C4" s="43" t="s">
        <v>107</v>
      </c>
      <c r="D4" s="43" t="s">
        <v>108</v>
      </c>
    </row>
    <row r="5" spans="1:57" x14ac:dyDescent="0.4">
      <c r="C5" s="43"/>
      <c r="D5" s="43"/>
    </row>
    <row r="6" spans="1:57" x14ac:dyDescent="0.4">
      <c r="C6" s="43"/>
      <c r="D6" s="43"/>
    </row>
    <row r="7" spans="1:57" x14ac:dyDescent="0.4">
      <c r="C7" s="43"/>
      <c r="D7" s="43"/>
    </row>
    <row r="8" spans="1:57" x14ac:dyDescent="0.4">
      <c r="C8" s="43"/>
      <c r="D8" s="43"/>
    </row>
    <row r="9" spans="1:57" x14ac:dyDescent="0.4">
      <c r="C9" s="43" t="s">
        <v>109</v>
      </c>
      <c r="D9" s="43" t="s">
        <v>203</v>
      </c>
    </row>
    <row r="11" spans="1:57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1"/>
      <c r="R11" s="1"/>
      <c r="S11" s="1"/>
      <c r="T11" s="1"/>
      <c r="U11" s="1"/>
      <c r="V11" s="1"/>
      <c r="W11" s="1"/>
      <c r="X11" s="1"/>
      <c r="Y11" s="3"/>
      <c r="AB11" s="1"/>
      <c r="AC11" s="1"/>
      <c r="AD11" s="1"/>
      <c r="AE11" s="1"/>
      <c r="AF11" s="1"/>
      <c r="AG11" s="1"/>
      <c r="AH11" s="1"/>
      <c r="AI11" s="1"/>
      <c r="AJ11" s="3"/>
      <c r="AM11" s="1"/>
      <c r="AN11" s="1"/>
      <c r="AO11" s="1"/>
      <c r="AP11" s="1"/>
      <c r="AQ11" s="1"/>
      <c r="AR11" s="1"/>
      <c r="AS11" s="1"/>
      <c r="AT11" s="1"/>
      <c r="AU11" s="3"/>
      <c r="AX11" s="1"/>
      <c r="AY11" s="1"/>
      <c r="AZ11" s="1"/>
      <c r="BA11" s="3"/>
    </row>
    <row r="12" spans="1:57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2" t="s">
        <v>103</v>
      </c>
    </row>
    <row r="13" spans="1:57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197</v>
      </c>
      <c r="AN13" s="5" t="s">
        <v>198</v>
      </c>
      <c r="AO13" s="5" t="s">
        <v>199</v>
      </c>
      <c r="AP13" s="5" t="s">
        <v>200</v>
      </c>
      <c r="AQ13" s="5" t="s">
        <v>201</v>
      </c>
      <c r="AR13" s="5" t="s">
        <v>204</v>
      </c>
      <c r="AS13" s="5" t="s">
        <v>205</v>
      </c>
      <c r="AT13" s="5" t="s">
        <v>206</v>
      </c>
      <c r="AU13" s="5" t="s">
        <v>207</v>
      </c>
      <c r="AV13" s="5" t="s">
        <v>208</v>
      </c>
      <c r="AW13" s="5" t="s">
        <v>209</v>
      </c>
      <c r="AX13" s="5" t="s">
        <v>210</v>
      </c>
      <c r="AY13" s="5" t="s">
        <v>211</v>
      </c>
      <c r="AZ13" s="5" t="s">
        <v>212</v>
      </c>
      <c r="BA13" s="5" t="s">
        <v>213</v>
      </c>
      <c r="BB13" s="5" t="s">
        <v>214</v>
      </c>
      <c r="BC13" s="5" t="s">
        <v>215</v>
      </c>
      <c r="BD13" s="5" t="s">
        <v>216</v>
      </c>
      <c r="BE13" s="93"/>
    </row>
    <row r="14" spans="1:57" ht="13.5" x14ac:dyDescent="0.4">
      <c r="A14" s="7"/>
      <c r="B14" s="80" t="s">
        <v>22</v>
      </c>
      <c r="C14" s="68"/>
      <c r="D14" s="6" t="s">
        <v>23</v>
      </c>
      <c r="E14" s="50">
        <v>138</v>
      </c>
      <c r="F14" s="50">
        <v>139</v>
      </c>
      <c r="G14" s="50">
        <v>141</v>
      </c>
      <c r="H14" s="50">
        <v>142</v>
      </c>
      <c r="I14" s="50">
        <v>141</v>
      </c>
      <c r="J14" s="50">
        <v>101</v>
      </c>
      <c r="K14" s="50">
        <v>124</v>
      </c>
      <c r="L14" s="50">
        <v>133</v>
      </c>
      <c r="M14" s="50">
        <v>108</v>
      </c>
      <c r="N14" s="50">
        <v>93</v>
      </c>
      <c r="O14" s="50">
        <v>138</v>
      </c>
      <c r="P14" s="50">
        <v>122</v>
      </c>
      <c r="Q14" s="50">
        <v>138</v>
      </c>
      <c r="R14" s="50">
        <v>144</v>
      </c>
      <c r="S14" s="50">
        <v>140</v>
      </c>
      <c r="T14" s="50">
        <v>125</v>
      </c>
      <c r="U14" s="50">
        <v>124</v>
      </c>
      <c r="V14" s="50">
        <v>128</v>
      </c>
      <c r="W14" s="50">
        <v>112</v>
      </c>
      <c r="X14" s="50">
        <v>95</v>
      </c>
      <c r="Y14" s="50">
        <v>140</v>
      </c>
      <c r="Z14" s="50">
        <v>128</v>
      </c>
      <c r="AA14" s="50">
        <v>139</v>
      </c>
      <c r="AB14" s="50">
        <v>146</v>
      </c>
      <c r="AC14" s="50">
        <v>149</v>
      </c>
      <c r="AD14" s="50">
        <v>140</v>
      </c>
      <c r="AE14" s="50">
        <v>107</v>
      </c>
      <c r="AF14" s="50">
        <v>142</v>
      </c>
      <c r="AG14" s="50">
        <v>142</v>
      </c>
      <c r="AH14" s="50">
        <v>141</v>
      </c>
      <c r="AI14" s="6">
        <v>133</v>
      </c>
      <c r="AJ14" s="6">
        <v>135</v>
      </c>
      <c r="AK14" s="6">
        <v>132</v>
      </c>
      <c r="AL14" s="6">
        <v>146</v>
      </c>
      <c r="AM14" s="6">
        <v>127</v>
      </c>
      <c r="AN14" s="6">
        <v>148</v>
      </c>
      <c r="AO14" s="6">
        <v>143</v>
      </c>
      <c r="AP14" s="6">
        <v>131</v>
      </c>
      <c r="AQ14" s="6">
        <v>98</v>
      </c>
      <c r="AR14" s="6">
        <v>143</v>
      </c>
      <c r="AS14" s="6">
        <v>135</v>
      </c>
      <c r="AT14" s="6">
        <v>136</v>
      </c>
      <c r="AU14" s="6">
        <v>137</v>
      </c>
      <c r="AV14" s="6">
        <v>139</v>
      </c>
      <c r="AW14" s="6">
        <v>123</v>
      </c>
      <c r="AX14" s="6">
        <v>125</v>
      </c>
      <c r="AY14" s="6">
        <v>91</v>
      </c>
      <c r="AZ14" s="6">
        <v>137</v>
      </c>
      <c r="BA14" s="6">
        <v>121</v>
      </c>
      <c r="BB14" s="6">
        <v>125</v>
      </c>
      <c r="BC14" s="6">
        <v>121</v>
      </c>
      <c r="BD14" s="6">
        <v>116</v>
      </c>
      <c r="BE14" s="5">
        <f>SUM(E14:BD14)</f>
        <v>6742</v>
      </c>
    </row>
    <row r="15" spans="1:57" ht="13.5" x14ac:dyDescent="0.4">
      <c r="A15" s="7"/>
      <c r="B15" s="81"/>
      <c r="C15" s="74"/>
      <c r="D15" s="6" t="s">
        <v>24</v>
      </c>
      <c r="E15" s="50">
        <v>128</v>
      </c>
      <c r="F15" s="50">
        <v>132</v>
      </c>
      <c r="G15" s="50">
        <v>148</v>
      </c>
      <c r="H15" s="50">
        <v>139</v>
      </c>
      <c r="I15" s="50">
        <v>142</v>
      </c>
      <c r="J15" s="50">
        <v>125</v>
      </c>
      <c r="K15" s="50">
        <v>155</v>
      </c>
      <c r="L15" s="50">
        <v>131</v>
      </c>
      <c r="M15" s="50">
        <v>107</v>
      </c>
      <c r="N15" s="50">
        <v>94</v>
      </c>
      <c r="O15" s="50">
        <v>156</v>
      </c>
      <c r="P15" s="50">
        <v>129</v>
      </c>
      <c r="Q15" s="50">
        <v>148</v>
      </c>
      <c r="R15" s="50">
        <v>139</v>
      </c>
      <c r="S15" s="50">
        <v>136</v>
      </c>
      <c r="T15" s="50">
        <v>132</v>
      </c>
      <c r="U15" s="50">
        <v>139</v>
      </c>
      <c r="V15" s="50">
        <v>141</v>
      </c>
      <c r="W15" s="50">
        <v>123</v>
      </c>
      <c r="X15" s="50">
        <v>100</v>
      </c>
      <c r="Y15" s="50">
        <v>142</v>
      </c>
      <c r="Z15" s="50">
        <v>146</v>
      </c>
      <c r="AA15" s="50">
        <v>146</v>
      </c>
      <c r="AB15" s="50">
        <v>154</v>
      </c>
      <c r="AC15" s="50">
        <v>150</v>
      </c>
      <c r="AD15" s="50">
        <v>157</v>
      </c>
      <c r="AE15" s="50">
        <v>105</v>
      </c>
      <c r="AF15" s="50">
        <v>153</v>
      </c>
      <c r="AG15" s="50">
        <v>145</v>
      </c>
      <c r="AH15" s="50">
        <v>147</v>
      </c>
      <c r="AI15" s="6">
        <v>140</v>
      </c>
      <c r="AJ15" s="6">
        <v>155</v>
      </c>
      <c r="AK15" s="6">
        <v>124</v>
      </c>
      <c r="AL15" s="6">
        <v>150</v>
      </c>
      <c r="AM15" s="6">
        <v>142</v>
      </c>
      <c r="AN15" s="6">
        <v>148</v>
      </c>
      <c r="AO15" s="6">
        <v>154</v>
      </c>
      <c r="AP15" s="6">
        <v>135</v>
      </c>
      <c r="AQ15" s="6">
        <v>120</v>
      </c>
      <c r="AR15" s="6">
        <v>147</v>
      </c>
      <c r="AS15" s="6">
        <v>149</v>
      </c>
      <c r="AT15" s="6">
        <v>134</v>
      </c>
      <c r="AU15" s="6">
        <v>133</v>
      </c>
      <c r="AV15" s="6">
        <v>133</v>
      </c>
      <c r="AW15" s="6">
        <v>129</v>
      </c>
      <c r="AX15" s="6">
        <v>137</v>
      </c>
      <c r="AY15" s="6">
        <v>102</v>
      </c>
      <c r="AZ15" s="6">
        <v>147</v>
      </c>
      <c r="BA15" s="6">
        <v>126</v>
      </c>
      <c r="BB15" s="6">
        <v>126</v>
      </c>
      <c r="BC15" s="6">
        <v>134</v>
      </c>
      <c r="BD15" s="6">
        <v>104</v>
      </c>
      <c r="BE15" s="5">
        <f>SUM(E15:BD15)</f>
        <v>7058</v>
      </c>
    </row>
    <row r="16" spans="1:57" x14ac:dyDescent="0.4">
      <c r="A16" s="8"/>
      <c r="B16" s="79"/>
      <c r="C16" s="75"/>
      <c r="D16" s="5" t="s">
        <v>25</v>
      </c>
      <c r="E16" s="5">
        <f t="shared" ref="E16:BD16" si="0">SUM(E14:E15)</f>
        <v>266</v>
      </c>
      <c r="F16" s="5">
        <f t="shared" ref="F16:P16" si="1">SUM(F14:F15)</f>
        <v>271</v>
      </c>
      <c r="G16" s="5">
        <f t="shared" si="1"/>
        <v>289</v>
      </c>
      <c r="H16" s="5">
        <f t="shared" si="1"/>
        <v>281</v>
      </c>
      <c r="I16" s="5">
        <f t="shared" si="1"/>
        <v>283</v>
      </c>
      <c r="J16" s="5">
        <f t="shared" si="1"/>
        <v>226</v>
      </c>
      <c r="K16" s="5">
        <f t="shared" si="1"/>
        <v>279</v>
      </c>
      <c r="L16" s="5">
        <f t="shared" si="1"/>
        <v>264</v>
      </c>
      <c r="M16" s="5">
        <f t="shared" si="1"/>
        <v>215</v>
      </c>
      <c r="N16" s="5">
        <f t="shared" si="1"/>
        <v>187</v>
      </c>
      <c r="O16" s="5">
        <f t="shared" si="1"/>
        <v>294</v>
      </c>
      <c r="P16" s="5">
        <f t="shared" si="1"/>
        <v>251</v>
      </c>
      <c r="Q16" s="5">
        <f t="shared" si="0"/>
        <v>286</v>
      </c>
      <c r="R16" s="5">
        <f t="shared" si="0"/>
        <v>283</v>
      </c>
      <c r="S16" s="5">
        <f t="shared" si="0"/>
        <v>276</v>
      </c>
      <c r="T16" s="5">
        <f t="shared" si="0"/>
        <v>257</v>
      </c>
      <c r="U16" s="5">
        <f t="shared" si="0"/>
        <v>263</v>
      </c>
      <c r="V16" s="5">
        <f t="shared" si="0"/>
        <v>269</v>
      </c>
      <c r="W16" s="5">
        <f t="shared" si="0"/>
        <v>235</v>
      </c>
      <c r="X16" s="5">
        <f t="shared" si="0"/>
        <v>195</v>
      </c>
      <c r="Y16" s="5">
        <f t="shared" si="0"/>
        <v>282</v>
      </c>
      <c r="Z16" s="5">
        <f t="shared" si="0"/>
        <v>274</v>
      </c>
      <c r="AA16" s="5">
        <f t="shared" si="0"/>
        <v>285</v>
      </c>
      <c r="AB16" s="5">
        <f t="shared" ref="AB16:AL16" si="2">SUM(AB14:AB15)</f>
        <v>300</v>
      </c>
      <c r="AC16" s="5">
        <f t="shared" si="2"/>
        <v>299</v>
      </c>
      <c r="AD16" s="5">
        <f t="shared" si="2"/>
        <v>297</v>
      </c>
      <c r="AE16" s="5">
        <f t="shared" si="2"/>
        <v>212</v>
      </c>
      <c r="AF16" s="5">
        <f t="shared" si="2"/>
        <v>295</v>
      </c>
      <c r="AG16" s="5">
        <f t="shared" si="2"/>
        <v>287</v>
      </c>
      <c r="AH16" s="5">
        <f t="shared" si="2"/>
        <v>288</v>
      </c>
      <c r="AI16" s="5">
        <f t="shared" si="2"/>
        <v>273</v>
      </c>
      <c r="AJ16" s="5">
        <f t="shared" si="2"/>
        <v>290</v>
      </c>
      <c r="AK16" s="5">
        <f t="shared" si="2"/>
        <v>256</v>
      </c>
      <c r="AL16" s="5">
        <f t="shared" si="2"/>
        <v>296</v>
      </c>
      <c r="AM16" s="5">
        <f t="shared" si="0"/>
        <v>269</v>
      </c>
      <c r="AN16" s="5">
        <f t="shared" si="0"/>
        <v>296</v>
      </c>
      <c r="AO16" s="5">
        <f t="shared" si="0"/>
        <v>297</v>
      </c>
      <c r="AP16" s="5">
        <f t="shared" si="0"/>
        <v>266</v>
      </c>
      <c r="AQ16" s="5">
        <f t="shared" si="0"/>
        <v>218</v>
      </c>
      <c r="AR16" s="5">
        <f t="shared" ref="AR16:AW16" si="3">SUM(AR14:AR15)</f>
        <v>290</v>
      </c>
      <c r="AS16" s="5">
        <f t="shared" si="3"/>
        <v>284</v>
      </c>
      <c r="AT16" s="5">
        <f t="shared" si="3"/>
        <v>270</v>
      </c>
      <c r="AU16" s="5">
        <f t="shared" si="3"/>
        <v>270</v>
      </c>
      <c r="AV16" s="5">
        <f t="shared" si="3"/>
        <v>272</v>
      </c>
      <c r="AW16" s="5">
        <f t="shared" si="3"/>
        <v>252</v>
      </c>
      <c r="AX16" s="5">
        <f t="shared" si="0"/>
        <v>262</v>
      </c>
      <c r="AY16" s="5">
        <f t="shared" si="0"/>
        <v>193</v>
      </c>
      <c r="AZ16" s="5">
        <f t="shared" si="0"/>
        <v>284</v>
      </c>
      <c r="BA16" s="5">
        <f t="shared" si="0"/>
        <v>247</v>
      </c>
      <c r="BB16" s="5">
        <f t="shared" si="0"/>
        <v>251</v>
      </c>
      <c r="BC16" s="5">
        <f t="shared" si="0"/>
        <v>255</v>
      </c>
      <c r="BD16" s="5">
        <f t="shared" si="0"/>
        <v>220</v>
      </c>
      <c r="BE16" s="5">
        <f>SUM(E16:BD16)</f>
        <v>13800</v>
      </c>
    </row>
    <row r="17" spans="1:57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6"/>
      <c r="R17" s="6"/>
      <c r="S17" s="6"/>
      <c r="T17" s="6"/>
      <c r="U17" s="6"/>
      <c r="V17" s="6"/>
      <c r="W17" s="6"/>
      <c r="X17" s="6"/>
      <c r="Y17" s="10"/>
      <c r="Z17" s="10"/>
      <c r="AA17" s="10"/>
      <c r="AB17" s="6"/>
      <c r="AC17" s="6"/>
      <c r="AD17" s="6"/>
      <c r="AE17" s="6"/>
      <c r="AF17" s="6"/>
      <c r="AG17" s="6"/>
      <c r="AH17" s="6"/>
      <c r="AI17" s="6"/>
      <c r="AJ17" s="10"/>
      <c r="AK17" s="10"/>
      <c r="AL17" s="10"/>
      <c r="AM17" s="6"/>
      <c r="AN17" s="6"/>
      <c r="AO17" s="6"/>
      <c r="AP17" s="6"/>
      <c r="AQ17" s="6"/>
      <c r="AR17" s="6"/>
      <c r="AS17" s="6"/>
      <c r="AT17" s="6"/>
      <c r="AU17" s="10"/>
      <c r="AV17" s="10"/>
      <c r="AW17" s="10"/>
      <c r="AX17" s="6"/>
      <c r="AY17" s="6"/>
      <c r="AZ17" s="6"/>
      <c r="BA17" s="10"/>
      <c r="BB17" s="10"/>
      <c r="BC17" s="10"/>
      <c r="BD17" s="10"/>
      <c r="BE17" s="28"/>
    </row>
    <row r="18" spans="1:57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6"/>
      <c r="R18" s="6"/>
      <c r="S18" s="6"/>
      <c r="T18" s="6"/>
      <c r="U18" s="6"/>
      <c r="V18" s="6"/>
      <c r="W18" s="6"/>
      <c r="X18" s="6"/>
      <c r="Y18" s="10"/>
      <c r="Z18" s="10"/>
      <c r="AA18" s="10"/>
      <c r="AB18" s="6"/>
      <c r="AC18" s="6"/>
      <c r="AD18" s="6"/>
      <c r="AE18" s="6"/>
      <c r="AF18" s="6"/>
      <c r="AG18" s="6"/>
      <c r="AH18" s="6"/>
      <c r="AI18" s="6"/>
      <c r="AJ18" s="10"/>
      <c r="AK18" s="10"/>
      <c r="AL18" s="10"/>
      <c r="AM18" s="6"/>
      <c r="AN18" s="6"/>
      <c r="AO18" s="6"/>
      <c r="AP18" s="6"/>
      <c r="AQ18" s="6"/>
      <c r="AR18" s="6"/>
      <c r="AS18" s="6"/>
      <c r="AT18" s="6"/>
      <c r="AU18" s="10"/>
      <c r="AV18" s="10"/>
      <c r="AW18" s="10"/>
      <c r="AX18" s="6"/>
      <c r="AY18" s="6"/>
      <c r="AZ18" s="6"/>
      <c r="BA18" s="10"/>
      <c r="BB18" s="10"/>
      <c r="BC18" s="10"/>
      <c r="BD18" s="10"/>
      <c r="BE18" s="28"/>
    </row>
    <row r="19" spans="1:57" x14ac:dyDescent="0.4">
      <c r="A19" s="11"/>
      <c r="B19" s="82" t="s">
        <v>28</v>
      </c>
      <c r="C19" s="83" t="s">
        <v>29</v>
      </c>
      <c r="D19" s="6" t="s">
        <v>23</v>
      </c>
      <c r="E19" s="6">
        <v>98</v>
      </c>
      <c r="F19" s="6">
        <v>98</v>
      </c>
      <c r="G19" s="6">
        <v>96</v>
      </c>
      <c r="H19" s="6">
        <v>100</v>
      </c>
      <c r="I19" s="6">
        <v>100</v>
      </c>
      <c r="J19" s="6">
        <v>70</v>
      </c>
      <c r="K19" s="6">
        <v>81</v>
      </c>
      <c r="L19" s="6">
        <v>85</v>
      </c>
      <c r="M19" s="6">
        <v>75</v>
      </c>
      <c r="N19" s="6">
        <v>71</v>
      </c>
      <c r="O19" s="6">
        <v>77</v>
      </c>
      <c r="P19" s="6">
        <v>74</v>
      </c>
      <c r="Q19" s="6">
        <v>94</v>
      </c>
      <c r="R19" s="6">
        <v>97</v>
      </c>
      <c r="S19" s="6">
        <v>83</v>
      </c>
      <c r="T19" s="6">
        <v>91</v>
      </c>
      <c r="U19" s="6">
        <v>72</v>
      </c>
      <c r="V19" s="6">
        <v>92</v>
      </c>
      <c r="W19" s="6">
        <v>68</v>
      </c>
      <c r="X19" s="6">
        <v>78</v>
      </c>
      <c r="Y19" s="6">
        <v>104</v>
      </c>
      <c r="Z19" s="6">
        <v>99</v>
      </c>
      <c r="AA19" s="6">
        <v>129</v>
      </c>
      <c r="AB19" s="6">
        <v>116</v>
      </c>
      <c r="AC19" s="6">
        <v>114</v>
      </c>
      <c r="AD19" s="6">
        <v>110</v>
      </c>
      <c r="AE19" s="6">
        <v>90</v>
      </c>
      <c r="AF19" s="6">
        <v>118</v>
      </c>
      <c r="AG19" s="6">
        <v>102</v>
      </c>
      <c r="AH19" s="6">
        <v>120</v>
      </c>
      <c r="AI19" s="6">
        <v>105</v>
      </c>
      <c r="AJ19" s="6">
        <v>100</v>
      </c>
      <c r="AK19" s="6">
        <v>97</v>
      </c>
      <c r="AL19" s="6">
        <v>96</v>
      </c>
      <c r="AM19" s="6">
        <v>90</v>
      </c>
      <c r="AN19" s="6">
        <v>101</v>
      </c>
      <c r="AO19" s="6">
        <v>97</v>
      </c>
      <c r="AP19" s="6">
        <v>96</v>
      </c>
      <c r="AQ19" s="6">
        <v>67</v>
      </c>
      <c r="AR19" s="6">
        <v>97</v>
      </c>
      <c r="AS19" s="6">
        <v>95</v>
      </c>
      <c r="AT19" s="6">
        <v>100</v>
      </c>
      <c r="AU19" s="6">
        <v>103</v>
      </c>
      <c r="AV19" s="6">
        <v>110</v>
      </c>
      <c r="AW19" s="6">
        <v>104</v>
      </c>
      <c r="AX19" s="6">
        <v>83</v>
      </c>
      <c r="AY19" s="6">
        <v>65</v>
      </c>
      <c r="AZ19" s="6">
        <v>103</v>
      </c>
      <c r="BA19" s="6">
        <v>94</v>
      </c>
      <c r="BB19" s="6">
        <v>92</v>
      </c>
      <c r="BC19" s="6">
        <v>94</v>
      </c>
      <c r="BD19" s="6">
        <v>77</v>
      </c>
      <c r="BE19" s="5">
        <f t="shared" ref="BE19:BE30" si="4">SUM(E19:BD19)</f>
        <v>4868</v>
      </c>
    </row>
    <row r="20" spans="1:57" x14ac:dyDescent="0.4">
      <c r="A20" s="12"/>
      <c r="B20" s="74"/>
      <c r="C20" s="84"/>
      <c r="D20" s="6" t="s">
        <v>24</v>
      </c>
      <c r="E20" s="6">
        <v>100</v>
      </c>
      <c r="F20" s="6">
        <v>97</v>
      </c>
      <c r="G20" s="6">
        <v>117</v>
      </c>
      <c r="H20" s="6">
        <v>112</v>
      </c>
      <c r="I20" s="6">
        <v>118</v>
      </c>
      <c r="J20" s="6">
        <v>97</v>
      </c>
      <c r="K20" s="6">
        <v>115</v>
      </c>
      <c r="L20" s="6">
        <v>106</v>
      </c>
      <c r="M20" s="6">
        <v>84</v>
      </c>
      <c r="N20" s="6">
        <v>76</v>
      </c>
      <c r="O20" s="6">
        <v>98</v>
      </c>
      <c r="P20" s="6">
        <v>92</v>
      </c>
      <c r="Q20" s="6">
        <v>117</v>
      </c>
      <c r="R20" s="6">
        <v>108</v>
      </c>
      <c r="S20" s="6">
        <v>107</v>
      </c>
      <c r="T20" s="6">
        <v>106</v>
      </c>
      <c r="U20" s="6">
        <v>100</v>
      </c>
      <c r="V20" s="6">
        <v>110</v>
      </c>
      <c r="W20" s="6">
        <v>90</v>
      </c>
      <c r="X20" s="6">
        <v>88</v>
      </c>
      <c r="Y20" s="6">
        <v>113</v>
      </c>
      <c r="Z20" s="6">
        <v>119</v>
      </c>
      <c r="AA20" s="6">
        <v>137</v>
      </c>
      <c r="AB20" s="6">
        <v>127</v>
      </c>
      <c r="AC20" s="6">
        <v>151</v>
      </c>
      <c r="AD20" s="6">
        <v>152</v>
      </c>
      <c r="AE20" s="6">
        <v>97</v>
      </c>
      <c r="AF20" s="6">
        <v>118</v>
      </c>
      <c r="AG20" s="6">
        <v>121</v>
      </c>
      <c r="AH20" s="6">
        <v>127</v>
      </c>
      <c r="AI20" s="6">
        <v>114</v>
      </c>
      <c r="AJ20" s="6">
        <v>120</v>
      </c>
      <c r="AK20" s="6">
        <v>104</v>
      </c>
      <c r="AL20" s="6">
        <v>117</v>
      </c>
      <c r="AM20" s="6">
        <v>105</v>
      </c>
      <c r="AN20" s="6">
        <v>118</v>
      </c>
      <c r="AO20" s="6">
        <v>118</v>
      </c>
      <c r="AP20" s="6">
        <v>104</v>
      </c>
      <c r="AQ20" s="6">
        <v>94</v>
      </c>
      <c r="AR20" s="6">
        <v>114</v>
      </c>
      <c r="AS20" s="6">
        <v>122</v>
      </c>
      <c r="AT20" s="6">
        <v>104</v>
      </c>
      <c r="AU20" s="6">
        <v>101</v>
      </c>
      <c r="AV20" s="6">
        <v>110</v>
      </c>
      <c r="AW20" s="6">
        <v>106</v>
      </c>
      <c r="AX20" s="6">
        <v>116</v>
      </c>
      <c r="AY20" s="6">
        <v>84</v>
      </c>
      <c r="AZ20" s="6">
        <v>114</v>
      </c>
      <c r="BA20" s="6">
        <v>97</v>
      </c>
      <c r="BB20" s="6">
        <v>83</v>
      </c>
      <c r="BC20" s="6">
        <v>102</v>
      </c>
      <c r="BD20" s="6">
        <v>83</v>
      </c>
      <c r="BE20" s="5">
        <f t="shared" si="4"/>
        <v>5630</v>
      </c>
    </row>
    <row r="21" spans="1:57" x14ac:dyDescent="0.4">
      <c r="A21" s="13"/>
      <c r="B21" s="75"/>
      <c r="C21" s="85"/>
      <c r="D21" s="5" t="s">
        <v>25</v>
      </c>
      <c r="E21" s="5">
        <f t="shared" ref="E21:BD21" si="5">SUM(E19:E20)</f>
        <v>198</v>
      </c>
      <c r="F21" s="5">
        <f t="shared" ref="F21:P21" si="6">SUM(F19:F20)</f>
        <v>195</v>
      </c>
      <c r="G21" s="5">
        <f t="shared" si="6"/>
        <v>213</v>
      </c>
      <c r="H21" s="5">
        <f t="shared" si="6"/>
        <v>212</v>
      </c>
      <c r="I21" s="5">
        <f t="shared" si="6"/>
        <v>218</v>
      </c>
      <c r="J21" s="5">
        <f t="shared" si="6"/>
        <v>167</v>
      </c>
      <c r="K21" s="5">
        <f t="shared" si="6"/>
        <v>196</v>
      </c>
      <c r="L21" s="5">
        <f t="shared" si="6"/>
        <v>191</v>
      </c>
      <c r="M21" s="5">
        <f t="shared" si="6"/>
        <v>159</v>
      </c>
      <c r="N21" s="5">
        <f t="shared" si="6"/>
        <v>147</v>
      </c>
      <c r="O21" s="5">
        <f t="shared" si="6"/>
        <v>175</v>
      </c>
      <c r="P21" s="5">
        <f t="shared" si="6"/>
        <v>166</v>
      </c>
      <c r="Q21" s="5">
        <f t="shared" si="5"/>
        <v>211</v>
      </c>
      <c r="R21" s="5">
        <f t="shared" si="5"/>
        <v>205</v>
      </c>
      <c r="S21" s="5">
        <f t="shared" si="5"/>
        <v>190</v>
      </c>
      <c r="T21" s="5">
        <f t="shared" si="5"/>
        <v>197</v>
      </c>
      <c r="U21" s="5">
        <f t="shared" si="5"/>
        <v>172</v>
      </c>
      <c r="V21" s="5">
        <f t="shared" si="5"/>
        <v>202</v>
      </c>
      <c r="W21" s="5">
        <f t="shared" si="5"/>
        <v>158</v>
      </c>
      <c r="X21" s="5">
        <f t="shared" si="5"/>
        <v>166</v>
      </c>
      <c r="Y21" s="5">
        <f t="shared" si="5"/>
        <v>217</v>
      </c>
      <c r="Z21" s="5">
        <f t="shared" si="5"/>
        <v>218</v>
      </c>
      <c r="AA21" s="5">
        <f t="shared" si="5"/>
        <v>266</v>
      </c>
      <c r="AB21" s="5">
        <f t="shared" ref="AB21:AL21" si="7">SUM(AB19:AB20)</f>
        <v>243</v>
      </c>
      <c r="AC21" s="5">
        <f t="shared" si="7"/>
        <v>265</v>
      </c>
      <c r="AD21" s="5">
        <f t="shared" si="7"/>
        <v>262</v>
      </c>
      <c r="AE21" s="5">
        <f t="shared" si="7"/>
        <v>187</v>
      </c>
      <c r="AF21" s="5">
        <f t="shared" si="7"/>
        <v>236</v>
      </c>
      <c r="AG21" s="5">
        <f t="shared" si="7"/>
        <v>223</v>
      </c>
      <c r="AH21" s="5">
        <f t="shared" si="7"/>
        <v>247</v>
      </c>
      <c r="AI21" s="5">
        <f t="shared" si="7"/>
        <v>219</v>
      </c>
      <c r="AJ21" s="5">
        <f t="shared" si="7"/>
        <v>220</v>
      </c>
      <c r="AK21" s="5">
        <f t="shared" si="7"/>
        <v>201</v>
      </c>
      <c r="AL21" s="5">
        <f t="shared" si="7"/>
        <v>213</v>
      </c>
      <c r="AM21" s="5">
        <f t="shared" si="5"/>
        <v>195</v>
      </c>
      <c r="AN21" s="5">
        <f t="shared" si="5"/>
        <v>219</v>
      </c>
      <c r="AO21" s="5">
        <f t="shared" si="5"/>
        <v>215</v>
      </c>
      <c r="AP21" s="5">
        <f t="shared" si="5"/>
        <v>200</v>
      </c>
      <c r="AQ21" s="5">
        <f t="shared" si="5"/>
        <v>161</v>
      </c>
      <c r="AR21" s="5">
        <f t="shared" ref="AR21:AW21" si="8">SUM(AR19:AR20)</f>
        <v>211</v>
      </c>
      <c r="AS21" s="5">
        <f t="shared" si="8"/>
        <v>217</v>
      </c>
      <c r="AT21" s="5">
        <f t="shared" si="8"/>
        <v>204</v>
      </c>
      <c r="AU21" s="5">
        <f t="shared" si="8"/>
        <v>204</v>
      </c>
      <c r="AV21" s="5">
        <f t="shared" si="8"/>
        <v>220</v>
      </c>
      <c r="AW21" s="5">
        <f t="shared" si="8"/>
        <v>210</v>
      </c>
      <c r="AX21" s="5">
        <f t="shared" si="5"/>
        <v>199</v>
      </c>
      <c r="AY21" s="5">
        <f t="shared" si="5"/>
        <v>149</v>
      </c>
      <c r="AZ21" s="5">
        <f t="shared" si="5"/>
        <v>217</v>
      </c>
      <c r="BA21" s="5">
        <f t="shared" si="5"/>
        <v>191</v>
      </c>
      <c r="BB21" s="5">
        <f t="shared" si="5"/>
        <v>175</v>
      </c>
      <c r="BC21" s="5">
        <f t="shared" si="5"/>
        <v>196</v>
      </c>
      <c r="BD21" s="5">
        <f t="shared" si="5"/>
        <v>160</v>
      </c>
      <c r="BE21" s="5">
        <f t="shared" si="4"/>
        <v>10498</v>
      </c>
    </row>
    <row r="22" spans="1:57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1</v>
      </c>
      <c r="L22" s="6">
        <v>2</v>
      </c>
      <c r="M22" s="6">
        <v>0</v>
      </c>
      <c r="N22" s="6">
        <v>2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1</v>
      </c>
      <c r="U22" s="6">
        <v>1</v>
      </c>
      <c r="V22" s="6">
        <v>0</v>
      </c>
      <c r="W22" s="6">
        <v>1</v>
      </c>
      <c r="X22" s="6">
        <v>1</v>
      </c>
      <c r="Y22" s="6">
        <v>0</v>
      </c>
      <c r="Z22" s="6">
        <v>0</v>
      </c>
      <c r="AA22" s="6">
        <v>1</v>
      </c>
      <c r="AB22" s="6">
        <v>2</v>
      </c>
      <c r="AC22" s="6">
        <v>1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0</v>
      </c>
      <c r="AM22" s="6">
        <v>1</v>
      </c>
      <c r="AN22" s="6">
        <v>0</v>
      </c>
      <c r="AO22" s="6">
        <v>0</v>
      </c>
      <c r="AP22" s="6">
        <v>1</v>
      </c>
      <c r="AQ22" s="6">
        <v>0</v>
      </c>
      <c r="AR22" s="6">
        <v>0</v>
      </c>
      <c r="AS22" s="6">
        <v>1</v>
      </c>
      <c r="AT22" s="6">
        <v>1</v>
      </c>
      <c r="AU22" s="6">
        <v>1</v>
      </c>
      <c r="AV22" s="6">
        <v>0</v>
      </c>
      <c r="AW22" s="6">
        <v>1</v>
      </c>
      <c r="AX22" s="6">
        <v>0</v>
      </c>
      <c r="AY22" s="6">
        <v>1</v>
      </c>
      <c r="AZ22" s="6">
        <v>1</v>
      </c>
      <c r="BA22" s="6">
        <v>2</v>
      </c>
      <c r="BB22" s="6">
        <v>0</v>
      </c>
      <c r="BC22" s="6">
        <v>1</v>
      </c>
      <c r="BD22" s="6">
        <v>0</v>
      </c>
      <c r="BE22" s="5">
        <f t="shared" si="4"/>
        <v>29</v>
      </c>
    </row>
    <row r="23" spans="1:57" x14ac:dyDescent="0.4">
      <c r="A23" s="12"/>
      <c r="B23" s="74"/>
      <c r="C23" s="84"/>
      <c r="D23" s="6" t="s">
        <v>24</v>
      </c>
      <c r="E23" s="6">
        <v>0</v>
      </c>
      <c r="F23" s="6">
        <v>0</v>
      </c>
      <c r="G23" s="6">
        <v>0</v>
      </c>
      <c r="H23" s="6">
        <v>1</v>
      </c>
      <c r="I23" s="6">
        <v>1</v>
      </c>
      <c r="J23" s="6">
        <v>1</v>
      </c>
      <c r="K23" s="6">
        <v>0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1</v>
      </c>
      <c r="W23" s="6">
        <v>2</v>
      </c>
      <c r="X23" s="6">
        <v>0</v>
      </c>
      <c r="Y23" s="6">
        <v>1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1</v>
      </c>
      <c r="AI23" s="6">
        <v>0</v>
      </c>
      <c r="AJ23" s="6">
        <v>1</v>
      </c>
      <c r="AK23" s="6">
        <v>2</v>
      </c>
      <c r="AL23" s="6">
        <v>0</v>
      </c>
      <c r="AM23" s="6">
        <v>0</v>
      </c>
      <c r="AN23" s="6">
        <v>0</v>
      </c>
      <c r="AO23" s="6">
        <v>1</v>
      </c>
      <c r="AP23" s="6">
        <v>0</v>
      </c>
      <c r="AQ23" s="6">
        <v>0</v>
      </c>
      <c r="AR23" s="6">
        <v>1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5">
        <f t="shared" si="4"/>
        <v>17</v>
      </c>
    </row>
    <row r="24" spans="1:57" x14ac:dyDescent="0.4">
      <c r="A24" s="13"/>
      <c r="B24" s="75"/>
      <c r="C24" s="85"/>
      <c r="D24" s="5" t="s">
        <v>25</v>
      </c>
      <c r="E24" s="5">
        <f t="shared" ref="E24:BD24" si="9">SUM(E22:E23)</f>
        <v>0</v>
      </c>
      <c r="F24" s="5">
        <f t="shared" ref="F24:P24" si="10">SUM(F22:F23)</f>
        <v>1</v>
      </c>
      <c r="G24" s="5">
        <f t="shared" si="10"/>
        <v>1</v>
      </c>
      <c r="H24" s="5">
        <f t="shared" si="10"/>
        <v>1</v>
      </c>
      <c r="I24" s="5">
        <f t="shared" si="10"/>
        <v>1</v>
      </c>
      <c r="J24" s="5">
        <f t="shared" si="10"/>
        <v>1</v>
      </c>
      <c r="K24" s="5">
        <f t="shared" si="10"/>
        <v>1</v>
      </c>
      <c r="L24" s="5">
        <f t="shared" si="10"/>
        <v>2</v>
      </c>
      <c r="M24" s="5">
        <f t="shared" si="10"/>
        <v>1</v>
      </c>
      <c r="N24" s="5">
        <f t="shared" si="10"/>
        <v>3</v>
      </c>
      <c r="O24" s="5">
        <f t="shared" si="10"/>
        <v>0</v>
      </c>
      <c r="P24" s="5">
        <f t="shared" si="10"/>
        <v>0</v>
      </c>
      <c r="Q24" s="5">
        <f t="shared" si="9"/>
        <v>1</v>
      </c>
      <c r="R24" s="5">
        <f t="shared" si="9"/>
        <v>1</v>
      </c>
      <c r="S24" s="5">
        <f t="shared" si="9"/>
        <v>0</v>
      </c>
      <c r="T24" s="5">
        <f t="shared" si="9"/>
        <v>1</v>
      </c>
      <c r="U24" s="5">
        <f t="shared" si="9"/>
        <v>1</v>
      </c>
      <c r="V24" s="5">
        <f t="shared" si="9"/>
        <v>1</v>
      </c>
      <c r="W24" s="5">
        <f t="shared" si="9"/>
        <v>3</v>
      </c>
      <c r="X24" s="5">
        <f t="shared" si="9"/>
        <v>1</v>
      </c>
      <c r="Y24" s="5">
        <f t="shared" si="9"/>
        <v>1</v>
      </c>
      <c r="Z24" s="5">
        <f t="shared" si="9"/>
        <v>0</v>
      </c>
      <c r="AA24" s="5">
        <f t="shared" si="9"/>
        <v>1</v>
      </c>
      <c r="AB24" s="5">
        <f t="shared" ref="AB24:AL24" si="11">SUM(AB22:AB23)</f>
        <v>2</v>
      </c>
      <c r="AC24" s="5">
        <f t="shared" si="11"/>
        <v>1</v>
      </c>
      <c r="AD24" s="5">
        <f t="shared" si="11"/>
        <v>1</v>
      </c>
      <c r="AE24" s="5">
        <f t="shared" si="11"/>
        <v>1</v>
      </c>
      <c r="AF24" s="5">
        <f t="shared" si="11"/>
        <v>0</v>
      </c>
      <c r="AG24" s="5">
        <f t="shared" si="11"/>
        <v>0</v>
      </c>
      <c r="AH24" s="5">
        <f t="shared" si="11"/>
        <v>1</v>
      </c>
      <c r="AI24" s="5">
        <f t="shared" si="11"/>
        <v>1</v>
      </c>
      <c r="AJ24" s="5">
        <f t="shared" si="11"/>
        <v>1</v>
      </c>
      <c r="AK24" s="5">
        <f t="shared" si="11"/>
        <v>2</v>
      </c>
      <c r="AL24" s="5">
        <f t="shared" si="11"/>
        <v>0</v>
      </c>
      <c r="AM24" s="5">
        <f t="shared" si="9"/>
        <v>1</v>
      </c>
      <c r="AN24" s="5">
        <f t="shared" si="9"/>
        <v>0</v>
      </c>
      <c r="AO24" s="5">
        <f t="shared" si="9"/>
        <v>1</v>
      </c>
      <c r="AP24" s="5">
        <f t="shared" si="9"/>
        <v>1</v>
      </c>
      <c r="AQ24" s="5">
        <f t="shared" si="9"/>
        <v>0</v>
      </c>
      <c r="AR24" s="5">
        <f t="shared" ref="AR24:AW24" si="12">SUM(AR22:AR23)</f>
        <v>1</v>
      </c>
      <c r="AS24" s="5">
        <f t="shared" si="12"/>
        <v>1</v>
      </c>
      <c r="AT24" s="5">
        <f t="shared" si="12"/>
        <v>1</v>
      </c>
      <c r="AU24" s="5">
        <f t="shared" si="12"/>
        <v>1</v>
      </c>
      <c r="AV24" s="5">
        <f t="shared" si="12"/>
        <v>0</v>
      </c>
      <c r="AW24" s="5">
        <f t="shared" si="12"/>
        <v>1</v>
      </c>
      <c r="AX24" s="5">
        <f t="shared" si="9"/>
        <v>0</v>
      </c>
      <c r="AY24" s="5">
        <f t="shared" si="9"/>
        <v>1</v>
      </c>
      <c r="AZ24" s="5">
        <f t="shared" si="9"/>
        <v>1</v>
      </c>
      <c r="BA24" s="5">
        <f t="shared" si="9"/>
        <v>2</v>
      </c>
      <c r="BB24" s="5">
        <f t="shared" si="9"/>
        <v>0</v>
      </c>
      <c r="BC24" s="5">
        <f t="shared" si="9"/>
        <v>1</v>
      </c>
      <c r="BD24" s="5">
        <f t="shared" si="9"/>
        <v>0</v>
      </c>
      <c r="BE24" s="5">
        <f t="shared" si="4"/>
        <v>46</v>
      </c>
    </row>
    <row r="25" spans="1:57" x14ac:dyDescent="0.4">
      <c r="A25" s="12"/>
      <c r="B25" s="82" t="s">
        <v>32</v>
      </c>
      <c r="C25" s="83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4</v>
      </c>
      <c r="Q25" s="6">
        <v>7</v>
      </c>
      <c r="R25" s="6">
        <v>2</v>
      </c>
      <c r="S25" s="6">
        <v>1</v>
      </c>
      <c r="T25" s="6">
        <v>0</v>
      </c>
      <c r="U25" s="6">
        <v>2</v>
      </c>
      <c r="V25" s="6">
        <v>1</v>
      </c>
      <c r="W25" s="6">
        <v>3</v>
      </c>
      <c r="X25" s="6">
        <v>2</v>
      </c>
      <c r="Y25" s="6">
        <v>1</v>
      </c>
      <c r="Z25" s="6">
        <v>2</v>
      </c>
      <c r="AA25" s="6">
        <v>0</v>
      </c>
      <c r="AB25" s="6">
        <v>3</v>
      </c>
      <c r="AC25" s="6">
        <v>1</v>
      </c>
      <c r="AD25" s="6">
        <v>7</v>
      </c>
      <c r="AE25" s="6">
        <v>2</v>
      </c>
      <c r="AF25" s="6">
        <v>0</v>
      </c>
      <c r="AG25" s="6">
        <v>0</v>
      </c>
      <c r="AH25" s="6">
        <v>1</v>
      </c>
      <c r="AI25" s="6">
        <v>1</v>
      </c>
      <c r="AJ25" s="6">
        <v>3</v>
      </c>
      <c r="AK25" s="6">
        <v>0</v>
      </c>
      <c r="AL25" s="6">
        <v>2</v>
      </c>
      <c r="AM25" s="6">
        <v>0</v>
      </c>
      <c r="AN25" s="6">
        <v>0</v>
      </c>
      <c r="AO25" s="6">
        <v>2</v>
      </c>
      <c r="AP25" s="6">
        <v>1</v>
      </c>
      <c r="AQ25" s="6">
        <v>1</v>
      </c>
      <c r="AR25" s="6">
        <v>2</v>
      </c>
      <c r="AS25" s="6">
        <v>0</v>
      </c>
      <c r="AT25" s="6">
        <v>0</v>
      </c>
      <c r="AU25" s="6">
        <v>0</v>
      </c>
      <c r="AV25" s="6">
        <v>1</v>
      </c>
      <c r="AW25" s="6">
        <v>0</v>
      </c>
      <c r="AX25" s="6">
        <v>1</v>
      </c>
      <c r="AY25" s="6">
        <v>1</v>
      </c>
      <c r="AZ25" s="6">
        <v>0</v>
      </c>
      <c r="BA25" s="6">
        <v>1</v>
      </c>
      <c r="BB25" s="6">
        <v>0</v>
      </c>
      <c r="BC25" s="6">
        <v>1</v>
      </c>
      <c r="BD25" s="6">
        <v>1</v>
      </c>
      <c r="BE25" s="5">
        <f t="shared" si="4"/>
        <v>60</v>
      </c>
    </row>
    <row r="26" spans="1:57" x14ac:dyDescent="0.4">
      <c r="A26" s="12"/>
      <c r="B26" s="74"/>
      <c r="C26" s="84"/>
      <c r="D26" s="6" t="s">
        <v>24</v>
      </c>
      <c r="E26" s="6">
        <v>2</v>
      </c>
      <c r="F26" s="6">
        <v>0</v>
      </c>
      <c r="G26" s="6">
        <v>2</v>
      </c>
      <c r="H26" s="6">
        <v>0</v>
      </c>
      <c r="I26" s="6">
        <v>0</v>
      </c>
      <c r="J26" s="6">
        <v>2</v>
      </c>
      <c r="K26" s="6">
        <v>2</v>
      </c>
      <c r="L26" s="6">
        <v>0</v>
      </c>
      <c r="M26" s="6">
        <v>0</v>
      </c>
      <c r="N26" s="6">
        <v>2</v>
      </c>
      <c r="O26" s="6">
        <v>2</v>
      </c>
      <c r="P26" s="6">
        <v>3</v>
      </c>
      <c r="Q26" s="6">
        <v>3</v>
      </c>
      <c r="R26" s="6">
        <v>2</v>
      </c>
      <c r="S26" s="6">
        <v>1</v>
      </c>
      <c r="T26" s="6">
        <v>0</v>
      </c>
      <c r="U26" s="6">
        <v>0</v>
      </c>
      <c r="V26" s="6">
        <v>2</v>
      </c>
      <c r="W26" s="6">
        <v>1</v>
      </c>
      <c r="X26" s="6">
        <v>4</v>
      </c>
      <c r="Y26" s="6">
        <v>2</v>
      </c>
      <c r="Z26" s="6">
        <v>0</v>
      </c>
      <c r="AA26" s="6">
        <v>1</v>
      </c>
      <c r="AB26" s="6">
        <v>2</v>
      </c>
      <c r="AC26" s="6">
        <v>2</v>
      </c>
      <c r="AD26" s="6">
        <v>6</v>
      </c>
      <c r="AE26" s="6">
        <v>0</v>
      </c>
      <c r="AF26" s="6">
        <v>0</v>
      </c>
      <c r="AG26" s="6">
        <v>0</v>
      </c>
      <c r="AH26" s="6">
        <v>4</v>
      </c>
      <c r="AI26" s="6">
        <v>7</v>
      </c>
      <c r="AJ26" s="6">
        <v>1</v>
      </c>
      <c r="AK26" s="6">
        <v>1</v>
      </c>
      <c r="AL26" s="6">
        <v>3</v>
      </c>
      <c r="AM26" s="6">
        <v>0</v>
      </c>
      <c r="AN26" s="6">
        <v>0</v>
      </c>
      <c r="AO26" s="6">
        <v>4</v>
      </c>
      <c r="AP26" s="6">
        <v>0</v>
      </c>
      <c r="AQ26" s="6">
        <v>1</v>
      </c>
      <c r="AR26" s="6">
        <v>5</v>
      </c>
      <c r="AS26" s="6">
        <v>1</v>
      </c>
      <c r="AT26" s="6">
        <v>0</v>
      </c>
      <c r="AU26" s="6">
        <v>0</v>
      </c>
      <c r="AV26" s="6">
        <v>4</v>
      </c>
      <c r="AW26" s="6">
        <v>0</v>
      </c>
      <c r="AX26" s="6">
        <v>1</v>
      </c>
      <c r="AY26" s="6">
        <v>0</v>
      </c>
      <c r="AZ26" s="6">
        <v>0</v>
      </c>
      <c r="BA26" s="6">
        <v>1</v>
      </c>
      <c r="BB26" s="6">
        <v>0</v>
      </c>
      <c r="BC26" s="6">
        <v>2</v>
      </c>
      <c r="BD26" s="6">
        <v>1</v>
      </c>
      <c r="BE26" s="5">
        <f t="shared" si="4"/>
        <v>77</v>
      </c>
    </row>
    <row r="27" spans="1:57" x14ac:dyDescent="0.4">
      <c r="A27" s="13"/>
      <c r="B27" s="75"/>
      <c r="C27" s="85"/>
      <c r="D27" s="5" t="s">
        <v>25</v>
      </c>
      <c r="E27" s="5">
        <f t="shared" ref="E27:BD27" si="13">SUM(E25:E26)</f>
        <v>3</v>
      </c>
      <c r="F27" s="5">
        <f t="shared" ref="F27:P27" si="14">SUM(F25:F26)</f>
        <v>0</v>
      </c>
      <c r="G27" s="5">
        <f t="shared" si="14"/>
        <v>2</v>
      </c>
      <c r="H27" s="5">
        <f t="shared" si="14"/>
        <v>0</v>
      </c>
      <c r="I27" s="5">
        <f t="shared" si="14"/>
        <v>0</v>
      </c>
      <c r="J27" s="5">
        <f t="shared" si="14"/>
        <v>3</v>
      </c>
      <c r="K27" s="5">
        <f t="shared" si="14"/>
        <v>3</v>
      </c>
      <c r="L27" s="5">
        <f t="shared" si="14"/>
        <v>0</v>
      </c>
      <c r="M27" s="5">
        <f t="shared" si="14"/>
        <v>0</v>
      </c>
      <c r="N27" s="5">
        <f t="shared" si="14"/>
        <v>2</v>
      </c>
      <c r="O27" s="5">
        <f t="shared" si="14"/>
        <v>2</v>
      </c>
      <c r="P27" s="5">
        <f t="shared" si="14"/>
        <v>7</v>
      </c>
      <c r="Q27" s="5">
        <f t="shared" si="13"/>
        <v>10</v>
      </c>
      <c r="R27" s="5">
        <f t="shared" si="13"/>
        <v>4</v>
      </c>
      <c r="S27" s="5">
        <f t="shared" si="13"/>
        <v>2</v>
      </c>
      <c r="T27" s="5">
        <f t="shared" si="13"/>
        <v>0</v>
      </c>
      <c r="U27" s="5">
        <f t="shared" si="13"/>
        <v>2</v>
      </c>
      <c r="V27" s="5">
        <f t="shared" si="13"/>
        <v>3</v>
      </c>
      <c r="W27" s="5">
        <f t="shared" si="13"/>
        <v>4</v>
      </c>
      <c r="X27" s="5">
        <f t="shared" si="13"/>
        <v>6</v>
      </c>
      <c r="Y27" s="5">
        <f t="shared" si="13"/>
        <v>3</v>
      </c>
      <c r="Z27" s="5">
        <f t="shared" si="13"/>
        <v>2</v>
      </c>
      <c r="AA27" s="5">
        <f t="shared" si="13"/>
        <v>1</v>
      </c>
      <c r="AB27" s="5">
        <f t="shared" ref="AB27:AL27" si="15">SUM(AB25:AB26)</f>
        <v>5</v>
      </c>
      <c r="AC27" s="5">
        <f t="shared" si="15"/>
        <v>3</v>
      </c>
      <c r="AD27" s="5">
        <f t="shared" si="15"/>
        <v>13</v>
      </c>
      <c r="AE27" s="5">
        <f t="shared" si="15"/>
        <v>2</v>
      </c>
      <c r="AF27" s="5">
        <f t="shared" si="15"/>
        <v>0</v>
      </c>
      <c r="AG27" s="5">
        <f t="shared" si="15"/>
        <v>0</v>
      </c>
      <c r="AH27" s="5">
        <f t="shared" si="15"/>
        <v>5</v>
      </c>
      <c r="AI27" s="5">
        <f t="shared" si="15"/>
        <v>8</v>
      </c>
      <c r="AJ27" s="5">
        <f t="shared" si="15"/>
        <v>4</v>
      </c>
      <c r="AK27" s="5">
        <f t="shared" si="15"/>
        <v>1</v>
      </c>
      <c r="AL27" s="5">
        <f t="shared" si="15"/>
        <v>5</v>
      </c>
      <c r="AM27" s="5">
        <f t="shared" si="13"/>
        <v>0</v>
      </c>
      <c r="AN27" s="5">
        <f t="shared" si="13"/>
        <v>0</v>
      </c>
      <c r="AO27" s="5">
        <f t="shared" si="13"/>
        <v>6</v>
      </c>
      <c r="AP27" s="5">
        <f t="shared" si="13"/>
        <v>1</v>
      </c>
      <c r="AQ27" s="5">
        <f t="shared" si="13"/>
        <v>2</v>
      </c>
      <c r="AR27" s="5">
        <f t="shared" ref="AR27:AW27" si="16">SUM(AR25:AR26)</f>
        <v>7</v>
      </c>
      <c r="AS27" s="5">
        <f t="shared" si="16"/>
        <v>1</v>
      </c>
      <c r="AT27" s="5">
        <f t="shared" si="16"/>
        <v>0</v>
      </c>
      <c r="AU27" s="5">
        <f t="shared" si="16"/>
        <v>0</v>
      </c>
      <c r="AV27" s="5">
        <f t="shared" si="16"/>
        <v>5</v>
      </c>
      <c r="AW27" s="5">
        <f t="shared" si="16"/>
        <v>0</v>
      </c>
      <c r="AX27" s="5">
        <f t="shared" si="13"/>
        <v>2</v>
      </c>
      <c r="AY27" s="5">
        <f t="shared" si="13"/>
        <v>1</v>
      </c>
      <c r="AZ27" s="5">
        <f t="shared" si="13"/>
        <v>0</v>
      </c>
      <c r="BA27" s="5">
        <f t="shared" si="13"/>
        <v>2</v>
      </c>
      <c r="BB27" s="5">
        <f t="shared" si="13"/>
        <v>0</v>
      </c>
      <c r="BC27" s="5">
        <f t="shared" si="13"/>
        <v>3</v>
      </c>
      <c r="BD27" s="5">
        <f t="shared" si="13"/>
        <v>2</v>
      </c>
      <c r="BE27" s="5">
        <f t="shared" si="4"/>
        <v>137</v>
      </c>
    </row>
    <row r="28" spans="1:57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99</v>
      </c>
      <c r="F28" s="5">
        <f t="shared" ref="F28:P28" si="17">SUM(F19,F22,F25)</f>
        <v>99</v>
      </c>
      <c r="G28" s="5">
        <f t="shared" si="17"/>
        <v>97</v>
      </c>
      <c r="H28" s="5">
        <f t="shared" si="17"/>
        <v>100</v>
      </c>
      <c r="I28" s="5">
        <f t="shared" si="17"/>
        <v>100</v>
      </c>
      <c r="J28" s="5">
        <f t="shared" si="17"/>
        <v>71</v>
      </c>
      <c r="K28" s="5">
        <f t="shared" si="17"/>
        <v>83</v>
      </c>
      <c r="L28" s="5">
        <f t="shared" si="17"/>
        <v>87</v>
      </c>
      <c r="M28" s="5">
        <f t="shared" si="17"/>
        <v>75</v>
      </c>
      <c r="N28" s="5">
        <f t="shared" si="17"/>
        <v>73</v>
      </c>
      <c r="O28" s="5">
        <f t="shared" si="17"/>
        <v>77</v>
      </c>
      <c r="P28" s="5">
        <f t="shared" si="17"/>
        <v>78</v>
      </c>
      <c r="Q28" s="5">
        <f t="shared" ref="Q28:AA28" si="18">SUM(Q19,Q22,Q25)</f>
        <v>102</v>
      </c>
      <c r="R28" s="5">
        <f t="shared" si="18"/>
        <v>99</v>
      </c>
      <c r="S28" s="5">
        <f t="shared" si="18"/>
        <v>84</v>
      </c>
      <c r="T28" s="5">
        <f t="shared" si="18"/>
        <v>92</v>
      </c>
      <c r="U28" s="5">
        <f t="shared" si="18"/>
        <v>75</v>
      </c>
      <c r="V28" s="5">
        <f t="shared" si="18"/>
        <v>93</v>
      </c>
      <c r="W28" s="5">
        <f t="shared" si="18"/>
        <v>72</v>
      </c>
      <c r="X28" s="5">
        <f t="shared" si="18"/>
        <v>81</v>
      </c>
      <c r="Y28" s="5">
        <f t="shared" si="18"/>
        <v>105</v>
      </c>
      <c r="Z28" s="5">
        <f t="shared" si="18"/>
        <v>101</v>
      </c>
      <c r="AA28" s="5">
        <f t="shared" si="18"/>
        <v>130</v>
      </c>
      <c r="AB28" s="5">
        <f t="shared" ref="AB28:AL28" si="19">SUM(AB19,AB22,AB25)</f>
        <v>121</v>
      </c>
      <c r="AC28" s="5">
        <f t="shared" si="19"/>
        <v>116</v>
      </c>
      <c r="AD28" s="5">
        <f t="shared" si="19"/>
        <v>118</v>
      </c>
      <c r="AE28" s="5">
        <f t="shared" si="19"/>
        <v>92</v>
      </c>
      <c r="AF28" s="5">
        <f t="shared" si="19"/>
        <v>118</v>
      </c>
      <c r="AG28" s="5">
        <f t="shared" si="19"/>
        <v>102</v>
      </c>
      <c r="AH28" s="5">
        <f t="shared" si="19"/>
        <v>121</v>
      </c>
      <c r="AI28" s="5">
        <f t="shared" si="19"/>
        <v>107</v>
      </c>
      <c r="AJ28" s="5">
        <f t="shared" si="19"/>
        <v>103</v>
      </c>
      <c r="AK28" s="5">
        <f t="shared" si="19"/>
        <v>97</v>
      </c>
      <c r="AL28" s="5">
        <f t="shared" si="19"/>
        <v>98</v>
      </c>
      <c r="AM28" s="5">
        <f t="shared" ref="AM28:BD29" si="20">SUM(AM19,AM22,AM25)</f>
        <v>91</v>
      </c>
      <c r="AN28" s="5">
        <f t="shared" si="20"/>
        <v>101</v>
      </c>
      <c r="AO28" s="5">
        <f t="shared" si="20"/>
        <v>99</v>
      </c>
      <c r="AP28" s="5">
        <f t="shared" si="20"/>
        <v>98</v>
      </c>
      <c r="AQ28" s="5">
        <f t="shared" si="20"/>
        <v>68</v>
      </c>
      <c r="AR28" s="5">
        <f t="shared" ref="AR28:AW28" si="21">SUM(AR19,AR22,AR25)</f>
        <v>99</v>
      </c>
      <c r="AS28" s="5">
        <f t="shared" si="21"/>
        <v>96</v>
      </c>
      <c r="AT28" s="5">
        <f t="shared" si="21"/>
        <v>101</v>
      </c>
      <c r="AU28" s="5">
        <f t="shared" si="21"/>
        <v>104</v>
      </c>
      <c r="AV28" s="5">
        <f t="shared" si="21"/>
        <v>111</v>
      </c>
      <c r="AW28" s="5">
        <f t="shared" si="21"/>
        <v>105</v>
      </c>
      <c r="AX28" s="5">
        <f t="shared" si="20"/>
        <v>84</v>
      </c>
      <c r="AY28" s="5">
        <f t="shared" si="20"/>
        <v>67</v>
      </c>
      <c r="AZ28" s="5">
        <f t="shared" si="20"/>
        <v>104</v>
      </c>
      <c r="BA28" s="5">
        <f t="shared" si="20"/>
        <v>97</v>
      </c>
      <c r="BB28" s="5">
        <f t="shared" si="20"/>
        <v>92</v>
      </c>
      <c r="BC28" s="5">
        <f t="shared" si="20"/>
        <v>96</v>
      </c>
      <c r="BD28" s="5">
        <f t="shared" si="20"/>
        <v>78</v>
      </c>
      <c r="BE28" s="5">
        <f t="shared" si="4"/>
        <v>4957</v>
      </c>
    </row>
    <row r="29" spans="1:57" x14ac:dyDescent="0.4">
      <c r="A29" s="13"/>
      <c r="B29" s="74"/>
      <c r="C29" s="84"/>
      <c r="D29" s="5" t="s">
        <v>24</v>
      </c>
      <c r="E29" s="5">
        <f>SUM(E20,E23,E26)</f>
        <v>102</v>
      </c>
      <c r="F29" s="5">
        <f t="shared" ref="F29:P29" si="22">SUM(F20,F23,F26)</f>
        <v>97</v>
      </c>
      <c r="G29" s="5">
        <f t="shared" si="22"/>
        <v>119</v>
      </c>
      <c r="H29" s="5">
        <f t="shared" si="22"/>
        <v>113</v>
      </c>
      <c r="I29" s="5">
        <f t="shared" si="22"/>
        <v>119</v>
      </c>
      <c r="J29" s="5">
        <f t="shared" si="22"/>
        <v>100</v>
      </c>
      <c r="K29" s="5">
        <f t="shared" si="22"/>
        <v>117</v>
      </c>
      <c r="L29" s="5">
        <f t="shared" si="22"/>
        <v>106</v>
      </c>
      <c r="M29" s="5">
        <f t="shared" si="22"/>
        <v>85</v>
      </c>
      <c r="N29" s="5">
        <f t="shared" si="22"/>
        <v>79</v>
      </c>
      <c r="O29" s="5">
        <f t="shared" si="22"/>
        <v>100</v>
      </c>
      <c r="P29" s="5">
        <f t="shared" si="22"/>
        <v>95</v>
      </c>
      <c r="Q29" s="5">
        <f t="shared" ref="Q29:AA29" si="23">SUM(Q20,Q23,Q26)</f>
        <v>120</v>
      </c>
      <c r="R29" s="5">
        <f t="shared" si="23"/>
        <v>111</v>
      </c>
      <c r="S29" s="5">
        <f t="shared" si="23"/>
        <v>108</v>
      </c>
      <c r="T29" s="5">
        <f t="shared" si="23"/>
        <v>106</v>
      </c>
      <c r="U29" s="5">
        <f t="shared" si="23"/>
        <v>100</v>
      </c>
      <c r="V29" s="5">
        <f t="shared" si="23"/>
        <v>113</v>
      </c>
      <c r="W29" s="5">
        <f t="shared" si="23"/>
        <v>93</v>
      </c>
      <c r="X29" s="5">
        <f t="shared" si="23"/>
        <v>92</v>
      </c>
      <c r="Y29" s="5">
        <f t="shared" si="23"/>
        <v>116</v>
      </c>
      <c r="Z29" s="5">
        <f t="shared" si="23"/>
        <v>119</v>
      </c>
      <c r="AA29" s="5">
        <f t="shared" si="23"/>
        <v>138</v>
      </c>
      <c r="AB29" s="5">
        <f t="shared" ref="AB29:AL29" si="24">SUM(AB20,AB23,AB26)</f>
        <v>129</v>
      </c>
      <c r="AC29" s="5">
        <f t="shared" si="24"/>
        <v>153</v>
      </c>
      <c r="AD29" s="5">
        <f t="shared" si="24"/>
        <v>158</v>
      </c>
      <c r="AE29" s="5">
        <f t="shared" si="24"/>
        <v>98</v>
      </c>
      <c r="AF29" s="5">
        <f t="shared" si="24"/>
        <v>118</v>
      </c>
      <c r="AG29" s="5">
        <f t="shared" si="24"/>
        <v>121</v>
      </c>
      <c r="AH29" s="5">
        <f t="shared" si="24"/>
        <v>132</v>
      </c>
      <c r="AI29" s="5">
        <f t="shared" si="24"/>
        <v>121</v>
      </c>
      <c r="AJ29" s="5">
        <f t="shared" si="24"/>
        <v>122</v>
      </c>
      <c r="AK29" s="5">
        <f t="shared" si="24"/>
        <v>107</v>
      </c>
      <c r="AL29" s="5">
        <f t="shared" si="24"/>
        <v>120</v>
      </c>
      <c r="AM29" s="5">
        <f t="shared" si="20"/>
        <v>105</v>
      </c>
      <c r="AN29" s="5">
        <f t="shared" si="20"/>
        <v>118</v>
      </c>
      <c r="AO29" s="5">
        <f t="shared" si="20"/>
        <v>123</v>
      </c>
      <c r="AP29" s="5">
        <f t="shared" si="20"/>
        <v>104</v>
      </c>
      <c r="AQ29" s="5">
        <f t="shared" si="20"/>
        <v>95</v>
      </c>
      <c r="AR29" s="5">
        <f t="shared" ref="AR29:AW29" si="25">SUM(AR20,AR23,AR26)</f>
        <v>120</v>
      </c>
      <c r="AS29" s="5">
        <f t="shared" si="25"/>
        <v>123</v>
      </c>
      <c r="AT29" s="5">
        <f t="shared" si="25"/>
        <v>104</v>
      </c>
      <c r="AU29" s="5">
        <f t="shared" si="25"/>
        <v>101</v>
      </c>
      <c r="AV29" s="5">
        <f t="shared" si="25"/>
        <v>114</v>
      </c>
      <c r="AW29" s="5">
        <f t="shared" si="25"/>
        <v>106</v>
      </c>
      <c r="AX29" s="5">
        <f t="shared" si="20"/>
        <v>117</v>
      </c>
      <c r="AY29" s="5">
        <f t="shared" si="20"/>
        <v>84</v>
      </c>
      <c r="AZ29" s="5">
        <f t="shared" si="20"/>
        <v>114</v>
      </c>
      <c r="BA29" s="5">
        <f t="shared" si="20"/>
        <v>98</v>
      </c>
      <c r="BB29" s="5">
        <f t="shared" si="20"/>
        <v>83</v>
      </c>
      <c r="BC29" s="5">
        <f t="shared" si="20"/>
        <v>104</v>
      </c>
      <c r="BD29" s="5">
        <f t="shared" si="20"/>
        <v>84</v>
      </c>
      <c r="BE29" s="5">
        <f t="shared" si="4"/>
        <v>5724</v>
      </c>
    </row>
    <row r="30" spans="1:57" x14ac:dyDescent="0.4">
      <c r="A30" s="13"/>
      <c r="B30" s="75"/>
      <c r="C30" s="85"/>
      <c r="D30" s="5" t="s">
        <v>25</v>
      </c>
      <c r="E30" s="5">
        <f t="shared" ref="E30:AL30" si="26">SUM(E28:E29)</f>
        <v>201</v>
      </c>
      <c r="F30" s="5">
        <f t="shared" si="26"/>
        <v>196</v>
      </c>
      <c r="G30" s="5">
        <f t="shared" si="26"/>
        <v>216</v>
      </c>
      <c r="H30" s="5">
        <f t="shared" si="26"/>
        <v>213</v>
      </c>
      <c r="I30" s="5">
        <f t="shared" si="26"/>
        <v>219</v>
      </c>
      <c r="J30" s="5">
        <f t="shared" si="26"/>
        <v>171</v>
      </c>
      <c r="K30" s="5">
        <f t="shared" si="26"/>
        <v>200</v>
      </c>
      <c r="L30" s="5">
        <f t="shared" si="26"/>
        <v>193</v>
      </c>
      <c r="M30" s="5">
        <f t="shared" si="26"/>
        <v>160</v>
      </c>
      <c r="N30" s="5">
        <f t="shared" si="26"/>
        <v>152</v>
      </c>
      <c r="O30" s="5">
        <f t="shared" si="26"/>
        <v>177</v>
      </c>
      <c r="P30" s="5">
        <f t="shared" si="26"/>
        <v>173</v>
      </c>
      <c r="Q30" s="5">
        <f t="shared" ref="Q30:AA30" si="27">SUM(Q28:Q29)</f>
        <v>222</v>
      </c>
      <c r="R30" s="5">
        <f t="shared" si="27"/>
        <v>210</v>
      </c>
      <c r="S30" s="5">
        <f t="shared" si="27"/>
        <v>192</v>
      </c>
      <c r="T30" s="5">
        <f t="shared" si="27"/>
        <v>198</v>
      </c>
      <c r="U30" s="5">
        <f t="shared" si="27"/>
        <v>175</v>
      </c>
      <c r="V30" s="5">
        <f t="shared" si="27"/>
        <v>206</v>
      </c>
      <c r="W30" s="5">
        <f t="shared" si="27"/>
        <v>165</v>
      </c>
      <c r="X30" s="5">
        <f t="shared" si="27"/>
        <v>173</v>
      </c>
      <c r="Y30" s="5">
        <f t="shared" si="27"/>
        <v>221</v>
      </c>
      <c r="Z30" s="5">
        <f t="shared" si="27"/>
        <v>220</v>
      </c>
      <c r="AA30" s="5">
        <f t="shared" si="27"/>
        <v>268</v>
      </c>
      <c r="AB30" s="5">
        <f t="shared" si="26"/>
        <v>250</v>
      </c>
      <c r="AC30" s="5">
        <f t="shared" si="26"/>
        <v>269</v>
      </c>
      <c r="AD30" s="5">
        <f t="shared" si="26"/>
        <v>276</v>
      </c>
      <c r="AE30" s="5">
        <f t="shared" si="26"/>
        <v>190</v>
      </c>
      <c r="AF30" s="5">
        <f t="shared" si="26"/>
        <v>236</v>
      </c>
      <c r="AG30" s="5">
        <f t="shared" si="26"/>
        <v>223</v>
      </c>
      <c r="AH30" s="5">
        <f t="shared" si="26"/>
        <v>253</v>
      </c>
      <c r="AI30" s="5">
        <f t="shared" si="26"/>
        <v>228</v>
      </c>
      <c r="AJ30" s="5">
        <f t="shared" si="26"/>
        <v>225</v>
      </c>
      <c r="AK30" s="5">
        <f t="shared" si="26"/>
        <v>204</v>
      </c>
      <c r="AL30" s="5">
        <f t="shared" si="26"/>
        <v>218</v>
      </c>
      <c r="AM30" s="5">
        <f t="shared" ref="AM30:BD30" si="28">SUM(AM28:AM29)</f>
        <v>196</v>
      </c>
      <c r="AN30" s="5">
        <f t="shared" si="28"/>
        <v>219</v>
      </c>
      <c r="AO30" s="5">
        <f t="shared" si="28"/>
        <v>222</v>
      </c>
      <c r="AP30" s="5">
        <f t="shared" si="28"/>
        <v>202</v>
      </c>
      <c r="AQ30" s="5">
        <f t="shared" si="28"/>
        <v>163</v>
      </c>
      <c r="AR30" s="5">
        <f t="shared" ref="AR30:AW30" si="29">SUM(AR28:AR29)</f>
        <v>219</v>
      </c>
      <c r="AS30" s="5">
        <f t="shared" si="29"/>
        <v>219</v>
      </c>
      <c r="AT30" s="5">
        <f t="shared" si="29"/>
        <v>205</v>
      </c>
      <c r="AU30" s="5">
        <f t="shared" si="29"/>
        <v>205</v>
      </c>
      <c r="AV30" s="5">
        <f t="shared" si="29"/>
        <v>225</v>
      </c>
      <c r="AW30" s="5">
        <f t="shared" si="29"/>
        <v>211</v>
      </c>
      <c r="AX30" s="5">
        <f t="shared" si="28"/>
        <v>201</v>
      </c>
      <c r="AY30" s="5">
        <f t="shared" si="28"/>
        <v>151</v>
      </c>
      <c r="AZ30" s="5">
        <f t="shared" si="28"/>
        <v>218</v>
      </c>
      <c r="BA30" s="5">
        <f t="shared" si="28"/>
        <v>195</v>
      </c>
      <c r="BB30" s="5">
        <f t="shared" si="28"/>
        <v>175</v>
      </c>
      <c r="BC30" s="5">
        <f t="shared" si="28"/>
        <v>200</v>
      </c>
      <c r="BD30" s="5">
        <f t="shared" si="28"/>
        <v>162</v>
      </c>
      <c r="BE30" s="5">
        <f t="shared" si="4"/>
        <v>10681</v>
      </c>
    </row>
    <row r="31" spans="1:57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6"/>
      <c r="R31" s="6"/>
      <c r="S31" s="6"/>
      <c r="T31" s="6"/>
      <c r="U31" s="6"/>
      <c r="V31" s="6"/>
      <c r="W31" s="6"/>
      <c r="X31" s="6"/>
      <c r="Y31" s="10"/>
      <c r="Z31" s="10"/>
      <c r="AA31" s="10"/>
      <c r="AB31" s="6"/>
      <c r="AC31" s="6"/>
      <c r="AD31" s="6"/>
      <c r="AE31" s="6"/>
      <c r="AF31" s="6"/>
      <c r="AG31" s="6"/>
      <c r="AH31" s="6"/>
      <c r="AI31" s="6"/>
      <c r="AJ31" s="10"/>
      <c r="AK31" s="10"/>
      <c r="AL31" s="10"/>
      <c r="AM31" s="6"/>
      <c r="AN31" s="6"/>
      <c r="AO31" s="6"/>
      <c r="AP31" s="6"/>
      <c r="AQ31" s="6"/>
      <c r="AR31" s="6"/>
      <c r="AS31" s="6"/>
      <c r="AT31" s="6"/>
      <c r="AU31" s="10"/>
      <c r="AV31" s="10"/>
      <c r="AW31" s="10"/>
      <c r="AX31" s="6"/>
      <c r="AY31" s="6"/>
      <c r="AZ31" s="6"/>
      <c r="BA31" s="10"/>
      <c r="BB31" s="10"/>
      <c r="BC31" s="10"/>
      <c r="BD31" s="10"/>
      <c r="BE31" s="28"/>
    </row>
    <row r="32" spans="1:57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5"/>
      <c r="R32" s="5"/>
      <c r="S32" s="5"/>
      <c r="T32" s="5"/>
      <c r="U32" s="5"/>
      <c r="V32" s="5"/>
      <c r="W32" s="5"/>
      <c r="X32" s="5"/>
      <c r="Y32" s="15"/>
      <c r="Z32" s="15"/>
      <c r="AA32" s="15"/>
      <c r="AB32" s="5"/>
      <c r="AC32" s="5"/>
      <c r="AD32" s="5"/>
      <c r="AE32" s="5"/>
      <c r="AF32" s="5"/>
      <c r="AG32" s="5"/>
      <c r="AH32" s="5"/>
      <c r="AI32" s="5"/>
      <c r="AJ32" s="15"/>
      <c r="AK32" s="15"/>
      <c r="AL32" s="15"/>
      <c r="AM32" s="5"/>
      <c r="AN32" s="5"/>
      <c r="AO32" s="5"/>
      <c r="AP32" s="5"/>
      <c r="AQ32" s="5"/>
      <c r="AR32" s="5"/>
      <c r="AS32" s="5"/>
      <c r="AT32" s="5"/>
      <c r="AU32" s="15"/>
      <c r="AV32" s="15"/>
      <c r="AW32" s="15"/>
      <c r="AX32" s="5"/>
      <c r="AY32" s="5"/>
      <c r="AZ32" s="5"/>
      <c r="BA32" s="15"/>
      <c r="BB32" s="15"/>
      <c r="BC32" s="15"/>
      <c r="BD32" s="15"/>
      <c r="BE32" s="28"/>
    </row>
    <row r="33" spans="1:57" x14ac:dyDescent="0.4">
      <c r="A33" s="6">
        <v>1</v>
      </c>
      <c r="B33" s="77" t="s">
        <v>38</v>
      </c>
      <c r="C33" s="69"/>
      <c r="D33" s="60"/>
      <c r="E33" s="6">
        <v>272</v>
      </c>
      <c r="F33" s="6">
        <v>277</v>
      </c>
      <c r="G33" s="6">
        <v>295</v>
      </c>
      <c r="H33" s="6">
        <v>287</v>
      </c>
      <c r="I33" s="6">
        <v>289</v>
      </c>
      <c r="J33" s="6">
        <v>231</v>
      </c>
      <c r="K33" s="6">
        <v>280</v>
      </c>
      <c r="L33" s="6">
        <v>270</v>
      </c>
      <c r="M33" s="6">
        <v>220</v>
      </c>
      <c r="N33" s="6">
        <v>192</v>
      </c>
      <c r="O33" s="6">
        <v>294</v>
      </c>
      <c r="P33" s="6">
        <v>252</v>
      </c>
      <c r="Q33" s="6">
        <v>292</v>
      </c>
      <c r="R33" s="6">
        <v>289</v>
      </c>
      <c r="S33" s="6">
        <v>282</v>
      </c>
      <c r="T33" s="6">
        <v>262</v>
      </c>
      <c r="U33" s="6">
        <v>269</v>
      </c>
      <c r="V33" s="6">
        <v>275</v>
      </c>
      <c r="W33" s="6">
        <v>240</v>
      </c>
      <c r="X33" s="6">
        <v>199</v>
      </c>
      <c r="Y33" s="6">
        <v>290</v>
      </c>
      <c r="Z33" s="6">
        <v>280</v>
      </c>
      <c r="AA33" s="6">
        <v>291</v>
      </c>
      <c r="AB33" s="6">
        <v>306</v>
      </c>
      <c r="AC33" s="6">
        <v>305</v>
      </c>
      <c r="AD33" s="6">
        <v>303</v>
      </c>
      <c r="AE33" s="6">
        <v>217</v>
      </c>
      <c r="AF33" s="6">
        <v>301</v>
      </c>
      <c r="AG33" s="6">
        <v>273</v>
      </c>
      <c r="AH33" s="6">
        <v>270</v>
      </c>
      <c r="AI33" s="6">
        <v>279</v>
      </c>
      <c r="AJ33" s="6">
        <v>296</v>
      </c>
      <c r="AK33" s="6">
        <v>262</v>
      </c>
      <c r="AL33" s="6">
        <v>292</v>
      </c>
      <c r="AM33" s="6">
        <v>275</v>
      </c>
      <c r="AN33" s="6">
        <v>302</v>
      </c>
      <c r="AO33" s="6">
        <v>306</v>
      </c>
      <c r="AP33" s="6">
        <v>272</v>
      </c>
      <c r="AQ33" s="6">
        <v>223</v>
      </c>
      <c r="AR33" s="6">
        <v>296</v>
      </c>
      <c r="AS33" s="6">
        <v>225</v>
      </c>
      <c r="AT33" s="6">
        <v>276</v>
      </c>
      <c r="AU33" s="6">
        <v>276</v>
      </c>
      <c r="AV33" s="6">
        <v>278</v>
      </c>
      <c r="AW33" s="6">
        <v>255</v>
      </c>
      <c r="AX33" s="6">
        <v>266</v>
      </c>
      <c r="AY33" s="6">
        <v>197</v>
      </c>
      <c r="AZ33" s="6">
        <v>290</v>
      </c>
      <c r="BA33" s="6">
        <v>252</v>
      </c>
      <c r="BB33" s="6">
        <v>257</v>
      </c>
      <c r="BC33" s="6">
        <v>261</v>
      </c>
      <c r="BD33" s="6">
        <v>225</v>
      </c>
      <c r="BE33" s="5">
        <f>SUM(E33:BD33)</f>
        <v>13964</v>
      </c>
    </row>
    <row r="34" spans="1:57" x14ac:dyDescent="0.4">
      <c r="A34" s="6">
        <v>2</v>
      </c>
      <c r="B34" s="77" t="s">
        <v>39</v>
      </c>
      <c r="C34" s="69"/>
      <c r="D34" s="60"/>
      <c r="E34" s="5">
        <v>201</v>
      </c>
      <c r="F34" s="5">
        <v>196</v>
      </c>
      <c r="G34" s="5">
        <v>216</v>
      </c>
      <c r="H34" s="5">
        <v>213</v>
      </c>
      <c r="I34" s="5">
        <v>219</v>
      </c>
      <c r="J34" s="5">
        <v>171</v>
      </c>
      <c r="K34" s="5">
        <v>200</v>
      </c>
      <c r="L34" s="5">
        <v>193</v>
      </c>
      <c r="M34" s="5">
        <v>160</v>
      </c>
      <c r="N34" s="5">
        <v>152</v>
      </c>
      <c r="O34" s="5">
        <v>177</v>
      </c>
      <c r="P34" s="5">
        <v>173</v>
      </c>
      <c r="Q34" s="5">
        <v>222</v>
      </c>
      <c r="R34" s="5">
        <v>210</v>
      </c>
      <c r="S34" s="5">
        <v>192</v>
      </c>
      <c r="T34" s="5">
        <v>198</v>
      </c>
      <c r="U34" s="5">
        <v>175</v>
      </c>
      <c r="V34" s="5">
        <v>206</v>
      </c>
      <c r="W34" s="5">
        <v>165</v>
      </c>
      <c r="X34" s="5">
        <v>173</v>
      </c>
      <c r="Y34" s="5">
        <v>221</v>
      </c>
      <c r="Z34" s="5">
        <v>220</v>
      </c>
      <c r="AA34" s="5">
        <v>268</v>
      </c>
      <c r="AB34" s="5">
        <v>250</v>
      </c>
      <c r="AC34" s="5">
        <v>269</v>
      </c>
      <c r="AD34" s="5">
        <v>276</v>
      </c>
      <c r="AE34" s="5">
        <v>190</v>
      </c>
      <c r="AF34" s="5">
        <v>236</v>
      </c>
      <c r="AG34" s="5">
        <v>223</v>
      </c>
      <c r="AH34" s="5">
        <v>253</v>
      </c>
      <c r="AI34" s="5">
        <v>228</v>
      </c>
      <c r="AJ34" s="5">
        <v>225</v>
      </c>
      <c r="AK34" s="5">
        <v>204</v>
      </c>
      <c r="AL34" s="5">
        <v>218</v>
      </c>
      <c r="AM34" s="5">
        <v>196</v>
      </c>
      <c r="AN34" s="5">
        <v>219</v>
      </c>
      <c r="AO34" s="5">
        <v>222</v>
      </c>
      <c r="AP34" s="5">
        <v>202</v>
      </c>
      <c r="AQ34" s="5">
        <v>163</v>
      </c>
      <c r="AR34" s="5">
        <v>219</v>
      </c>
      <c r="AS34" s="5">
        <v>219</v>
      </c>
      <c r="AT34" s="5">
        <v>205</v>
      </c>
      <c r="AU34" s="5">
        <v>205</v>
      </c>
      <c r="AV34" s="5">
        <v>225</v>
      </c>
      <c r="AW34" s="5">
        <v>211</v>
      </c>
      <c r="AX34" s="5">
        <v>201</v>
      </c>
      <c r="AY34" s="5">
        <v>151</v>
      </c>
      <c r="AZ34" s="5">
        <v>218</v>
      </c>
      <c r="BA34" s="5">
        <v>195</v>
      </c>
      <c r="BB34" s="5">
        <v>175</v>
      </c>
      <c r="BC34" s="5">
        <v>200</v>
      </c>
      <c r="BD34" s="5">
        <v>162</v>
      </c>
      <c r="BE34" s="5">
        <f>SUM(E34:BD34)</f>
        <v>10681</v>
      </c>
    </row>
    <row r="35" spans="1:57" x14ac:dyDescent="0.4">
      <c r="A35" s="6">
        <v>3</v>
      </c>
      <c r="B35" s="77" t="s">
        <v>40</v>
      </c>
      <c r="C35" s="69"/>
      <c r="D35" s="60"/>
      <c r="E35" s="6">
        <v>0</v>
      </c>
      <c r="F35" s="6">
        <v>0</v>
      </c>
      <c r="G35" s="6">
        <v>0</v>
      </c>
      <c r="H35" s="6">
        <v>0</v>
      </c>
      <c r="I35" s="6">
        <v>1</v>
      </c>
      <c r="J35" s="6">
        <v>1</v>
      </c>
      <c r="K35" s="6">
        <v>1</v>
      </c>
      <c r="L35" s="6">
        <v>2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0</v>
      </c>
      <c r="X35" s="6">
        <v>0</v>
      </c>
      <c r="Y35" s="6">
        <v>1</v>
      </c>
      <c r="Z35" s="6">
        <v>0</v>
      </c>
      <c r="AA35" s="6">
        <v>0</v>
      </c>
      <c r="AB35" s="6">
        <v>3</v>
      </c>
      <c r="AC35" s="6">
        <v>0</v>
      </c>
      <c r="AD35" s="6">
        <v>0</v>
      </c>
      <c r="AE35" s="6">
        <v>3</v>
      </c>
      <c r="AF35" s="6">
        <v>0</v>
      </c>
      <c r="AG35" s="6">
        <v>0</v>
      </c>
      <c r="AH35" s="6">
        <v>0</v>
      </c>
      <c r="AI35" s="6">
        <v>1</v>
      </c>
      <c r="AJ35" s="6">
        <v>0</v>
      </c>
      <c r="AK35" s="6">
        <v>0</v>
      </c>
      <c r="AL35" s="6">
        <v>0</v>
      </c>
      <c r="AM35" s="6">
        <v>0</v>
      </c>
      <c r="AN35" s="6">
        <v>1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1</v>
      </c>
      <c r="AX35" s="6">
        <v>0</v>
      </c>
      <c r="AY35" s="6">
        <v>0</v>
      </c>
      <c r="AZ35" s="6">
        <v>0</v>
      </c>
      <c r="BA35" s="6">
        <v>0</v>
      </c>
      <c r="BB35" s="6">
        <v>1</v>
      </c>
      <c r="BC35" s="6">
        <v>0</v>
      </c>
      <c r="BD35" s="6">
        <v>2</v>
      </c>
      <c r="BE35" s="5">
        <f>SUM(E35:BD35)</f>
        <v>19</v>
      </c>
    </row>
    <row r="36" spans="1:57" x14ac:dyDescent="0.4">
      <c r="A36" s="6">
        <v>4</v>
      </c>
      <c r="B36" s="77" t="s">
        <v>41</v>
      </c>
      <c r="C36" s="69"/>
      <c r="D36" s="60"/>
      <c r="E36" s="5">
        <f t="shared" ref="E36:BD36" si="30">E33-(E34+E35)</f>
        <v>71</v>
      </c>
      <c r="F36" s="5">
        <f t="shared" ref="F36:P36" si="31">F33-(F34+F35)</f>
        <v>81</v>
      </c>
      <c r="G36" s="5">
        <f t="shared" si="31"/>
        <v>79</v>
      </c>
      <c r="H36" s="5">
        <f t="shared" si="31"/>
        <v>74</v>
      </c>
      <c r="I36" s="5">
        <f t="shared" si="31"/>
        <v>69</v>
      </c>
      <c r="J36" s="5">
        <f t="shared" si="31"/>
        <v>59</v>
      </c>
      <c r="K36" s="5">
        <f t="shared" si="31"/>
        <v>79</v>
      </c>
      <c r="L36" s="5">
        <f t="shared" si="31"/>
        <v>75</v>
      </c>
      <c r="M36" s="5">
        <f t="shared" si="31"/>
        <v>60</v>
      </c>
      <c r="N36" s="5">
        <f t="shared" si="31"/>
        <v>40</v>
      </c>
      <c r="O36" s="5">
        <f t="shared" si="31"/>
        <v>117</v>
      </c>
      <c r="P36" s="5">
        <f t="shared" si="31"/>
        <v>79</v>
      </c>
      <c r="Q36" s="5">
        <f t="shared" si="30"/>
        <v>70</v>
      </c>
      <c r="R36" s="5">
        <f t="shared" si="30"/>
        <v>79</v>
      </c>
      <c r="S36" s="5">
        <f t="shared" si="30"/>
        <v>90</v>
      </c>
      <c r="T36" s="5">
        <f t="shared" si="30"/>
        <v>64</v>
      </c>
      <c r="U36" s="5">
        <f t="shared" si="30"/>
        <v>94</v>
      </c>
      <c r="V36" s="5">
        <f t="shared" si="30"/>
        <v>68</v>
      </c>
      <c r="W36" s="5">
        <f t="shared" si="30"/>
        <v>75</v>
      </c>
      <c r="X36" s="5">
        <f t="shared" si="30"/>
        <v>26</v>
      </c>
      <c r="Y36" s="5">
        <f t="shared" si="30"/>
        <v>68</v>
      </c>
      <c r="Z36" s="5">
        <f t="shared" si="30"/>
        <v>60</v>
      </c>
      <c r="AA36" s="5">
        <f t="shared" si="30"/>
        <v>23</v>
      </c>
      <c r="AB36" s="5">
        <f t="shared" ref="AB36:AL36" si="32">AB33-(AB34+AB35)</f>
        <v>53</v>
      </c>
      <c r="AC36" s="5">
        <f t="shared" si="32"/>
        <v>36</v>
      </c>
      <c r="AD36" s="5">
        <f t="shared" si="32"/>
        <v>27</v>
      </c>
      <c r="AE36" s="5">
        <f t="shared" si="32"/>
        <v>24</v>
      </c>
      <c r="AF36" s="5">
        <f t="shared" si="32"/>
        <v>65</v>
      </c>
      <c r="AG36" s="5">
        <f t="shared" si="32"/>
        <v>50</v>
      </c>
      <c r="AH36" s="5">
        <f t="shared" si="32"/>
        <v>17</v>
      </c>
      <c r="AI36" s="5">
        <f t="shared" si="32"/>
        <v>50</v>
      </c>
      <c r="AJ36" s="5">
        <f t="shared" si="32"/>
        <v>71</v>
      </c>
      <c r="AK36" s="5">
        <f t="shared" si="32"/>
        <v>58</v>
      </c>
      <c r="AL36" s="5">
        <f t="shared" si="32"/>
        <v>74</v>
      </c>
      <c r="AM36" s="5">
        <f t="shared" si="30"/>
        <v>79</v>
      </c>
      <c r="AN36" s="5">
        <f t="shared" si="30"/>
        <v>82</v>
      </c>
      <c r="AO36" s="5">
        <f t="shared" si="30"/>
        <v>84</v>
      </c>
      <c r="AP36" s="5">
        <f t="shared" si="30"/>
        <v>70</v>
      </c>
      <c r="AQ36" s="5">
        <f t="shared" si="30"/>
        <v>60</v>
      </c>
      <c r="AR36" s="5">
        <f t="shared" ref="AR36:AW36" si="33">AR33-(AR34+AR35)</f>
        <v>77</v>
      </c>
      <c r="AS36" s="5">
        <f t="shared" si="33"/>
        <v>6</v>
      </c>
      <c r="AT36" s="5">
        <f t="shared" si="33"/>
        <v>71</v>
      </c>
      <c r="AU36" s="5">
        <f t="shared" si="33"/>
        <v>71</v>
      </c>
      <c r="AV36" s="5">
        <f t="shared" si="33"/>
        <v>53</v>
      </c>
      <c r="AW36" s="5">
        <f t="shared" si="33"/>
        <v>43</v>
      </c>
      <c r="AX36" s="5">
        <f t="shared" si="30"/>
        <v>65</v>
      </c>
      <c r="AY36" s="5">
        <f t="shared" si="30"/>
        <v>46</v>
      </c>
      <c r="AZ36" s="5">
        <f t="shared" si="30"/>
        <v>72</v>
      </c>
      <c r="BA36" s="5">
        <f t="shared" si="30"/>
        <v>57</v>
      </c>
      <c r="BB36" s="5">
        <f t="shared" si="30"/>
        <v>81</v>
      </c>
      <c r="BC36" s="5">
        <f t="shared" si="30"/>
        <v>61</v>
      </c>
      <c r="BD36" s="5">
        <f t="shared" si="30"/>
        <v>61</v>
      </c>
      <c r="BE36" s="5">
        <f>SUM(E36:BD36)</f>
        <v>3264</v>
      </c>
    </row>
    <row r="37" spans="1:57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88"/>
      <c r="AN37" s="88"/>
      <c r="AO37" s="88"/>
      <c r="AP37" s="89"/>
      <c r="AQ37" s="6"/>
      <c r="AR37" s="6"/>
      <c r="AS37" s="6"/>
      <c r="AT37" s="6"/>
      <c r="AU37" s="10"/>
      <c r="AV37" s="26"/>
      <c r="AW37" s="26"/>
      <c r="AX37" s="6"/>
      <c r="AY37" s="6"/>
      <c r="AZ37" s="6"/>
      <c r="BA37" s="10"/>
      <c r="BB37" s="26"/>
      <c r="BC37" s="26"/>
      <c r="BD37" s="26"/>
      <c r="BE37" s="28"/>
    </row>
    <row r="38" spans="1:57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5"/>
      <c r="R38" s="5"/>
      <c r="S38" s="5"/>
      <c r="T38" s="5"/>
      <c r="U38" s="5"/>
      <c r="V38" s="5"/>
      <c r="W38" s="5"/>
      <c r="X38" s="5"/>
      <c r="Y38" s="15"/>
      <c r="Z38" s="15"/>
      <c r="AA38" s="15"/>
      <c r="AB38" s="5"/>
      <c r="AC38" s="5"/>
      <c r="AD38" s="5"/>
      <c r="AE38" s="5"/>
      <c r="AF38" s="5"/>
      <c r="AG38" s="5"/>
      <c r="AH38" s="5"/>
      <c r="AI38" s="5"/>
      <c r="AJ38" s="15"/>
      <c r="AK38" s="15"/>
      <c r="AL38" s="15"/>
      <c r="AM38" s="5"/>
      <c r="AN38" s="5"/>
      <c r="AO38" s="5"/>
      <c r="AP38" s="5"/>
      <c r="AQ38" s="5"/>
      <c r="AR38" s="5"/>
      <c r="AS38" s="5"/>
      <c r="AT38" s="5"/>
      <c r="AU38" s="15"/>
      <c r="AV38" s="15"/>
      <c r="AW38" s="15"/>
      <c r="AX38" s="5"/>
      <c r="AY38" s="5"/>
      <c r="AZ38" s="5"/>
      <c r="BA38" s="15"/>
      <c r="BB38" s="15"/>
      <c r="BC38" s="15"/>
      <c r="BD38" s="15"/>
      <c r="BE38" s="28"/>
    </row>
    <row r="39" spans="1:57" x14ac:dyDescent="0.4">
      <c r="A39" s="11"/>
      <c r="B39" s="72" t="s">
        <v>44</v>
      </c>
      <c r="C39" s="68"/>
      <c r="D39" s="6" t="s">
        <v>23</v>
      </c>
      <c r="E39" s="6">
        <v>0</v>
      </c>
      <c r="F39" s="6">
        <v>0</v>
      </c>
      <c r="G39" s="6">
        <v>1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1</v>
      </c>
      <c r="AC39" s="6">
        <v>1</v>
      </c>
      <c r="AD39" s="6">
        <v>2</v>
      </c>
      <c r="AE39" s="6">
        <v>1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1</v>
      </c>
      <c r="AL39" s="6">
        <v>0</v>
      </c>
      <c r="AM39" s="6">
        <v>0</v>
      </c>
      <c r="AN39" s="6">
        <v>3</v>
      </c>
      <c r="AO39" s="6">
        <v>0</v>
      </c>
      <c r="AP39" s="6">
        <v>0</v>
      </c>
      <c r="AQ39" s="6">
        <v>2</v>
      </c>
      <c r="AR39" s="6">
        <v>1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1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5">
        <f>SUM(E39:BD39)</f>
        <v>17</v>
      </c>
    </row>
    <row r="40" spans="1:57" x14ac:dyDescent="0.4">
      <c r="A40" s="12"/>
      <c r="B40" s="73"/>
      <c r="C40" s="74"/>
      <c r="D40" s="6" t="s">
        <v>24</v>
      </c>
      <c r="E40" s="6">
        <v>0</v>
      </c>
      <c r="F40" s="6">
        <v>1</v>
      </c>
      <c r="G40" s="6">
        <v>4</v>
      </c>
      <c r="H40" s="6">
        <v>1</v>
      </c>
      <c r="I40" s="6">
        <v>1</v>
      </c>
      <c r="J40" s="6">
        <v>0</v>
      </c>
      <c r="K40" s="6">
        <v>1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5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4</v>
      </c>
      <c r="AC40" s="6">
        <v>5</v>
      </c>
      <c r="AD40" s="6">
        <v>5</v>
      </c>
      <c r="AE40" s="6">
        <v>2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4</v>
      </c>
      <c r="AL40" s="6">
        <v>0</v>
      </c>
      <c r="AM40" s="6">
        <v>0</v>
      </c>
      <c r="AN40" s="6">
        <v>5</v>
      </c>
      <c r="AO40" s="6">
        <v>0</v>
      </c>
      <c r="AP40" s="6">
        <v>1</v>
      </c>
      <c r="AQ40" s="6">
        <v>1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5">
        <f>SUM(E40:BD40)</f>
        <v>42</v>
      </c>
    </row>
    <row r="41" spans="1:57" x14ac:dyDescent="0.4">
      <c r="A41" s="14"/>
      <c r="B41" s="71"/>
      <c r="C41" s="75"/>
      <c r="D41" s="5" t="s">
        <v>25</v>
      </c>
      <c r="E41" s="5">
        <f t="shared" ref="E41:BD41" si="34">SUM(E39:E40)</f>
        <v>0</v>
      </c>
      <c r="F41" s="5">
        <f t="shared" ref="F41:P41" si="35">SUM(F39:F40)</f>
        <v>1</v>
      </c>
      <c r="G41" s="5">
        <f t="shared" si="35"/>
        <v>5</v>
      </c>
      <c r="H41" s="5">
        <f t="shared" si="35"/>
        <v>2</v>
      </c>
      <c r="I41" s="5">
        <f t="shared" si="35"/>
        <v>1</v>
      </c>
      <c r="J41" s="5">
        <f t="shared" si="35"/>
        <v>0</v>
      </c>
      <c r="K41" s="5">
        <f t="shared" si="35"/>
        <v>1</v>
      </c>
      <c r="L41" s="5">
        <f t="shared" si="35"/>
        <v>0</v>
      </c>
      <c r="M41" s="5">
        <f t="shared" si="35"/>
        <v>0</v>
      </c>
      <c r="N41" s="5">
        <f t="shared" si="35"/>
        <v>2</v>
      </c>
      <c r="O41" s="5">
        <f t="shared" si="35"/>
        <v>0</v>
      </c>
      <c r="P41" s="5">
        <f t="shared" si="35"/>
        <v>0</v>
      </c>
      <c r="Q41" s="5">
        <f t="shared" si="34"/>
        <v>0</v>
      </c>
      <c r="R41" s="5">
        <f t="shared" si="34"/>
        <v>0</v>
      </c>
      <c r="S41" s="5">
        <f t="shared" si="34"/>
        <v>6</v>
      </c>
      <c r="T41" s="5">
        <f t="shared" si="34"/>
        <v>0</v>
      </c>
      <c r="U41" s="5">
        <f t="shared" si="34"/>
        <v>0</v>
      </c>
      <c r="V41" s="5">
        <f t="shared" si="34"/>
        <v>0</v>
      </c>
      <c r="W41" s="5">
        <f t="shared" si="34"/>
        <v>0</v>
      </c>
      <c r="X41" s="5">
        <f t="shared" si="34"/>
        <v>0</v>
      </c>
      <c r="Y41" s="5">
        <f t="shared" si="34"/>
        <v>0</v>
      </c>
      <c r="Z41" s="5">
        <f t="shared" si="34"/>
        <v>0</v>
      </c>
      <c r="AA41" s="5">
        <f t="shared" si="34"/>
        <v>0</v>
      </c>
      <c r="AB41" s="5">
        <f t="shared" ref="AB41:AL41" si="36">SUM(AB39:AB40)</f>
        <v>5</v>
      </c>
      <c r="AC41" s="5">
        <f t="shared" si="36"/>
        <v>6</v>
      </c>
      <c r="AD41" s="5">
        <f t="shared" si="36"/>
        <v>7</v>
      </c>
      <c r="AE41" s="5">
        <f t="shared" si="36"/>
        <v>3</v>
      </c>
      <c r="AF41" s="5">
        <f t="shared" si="36"/>
        <v>0</v>
      </c>
      <c r="AG41" s="5">
        <f t="shared" si="36"/>
        <v>0</v>
      </c>
      <c r="AH41" s="5">
        <f t="shared" si="36"/>
        <v>0</v>
      </c>
      <c r="AI41" s="5">
        <f t="shared" si="36"/>
        <v>0</v>
      </c>
      <c r="AJ41" s="5">
        <f t="shared" si="36"/>
        <v>0</v>
      </c>
      <c r="AK41" s="5">
        <f t="shared" si="36"/>
        <v>5</v>
      </c>
      <c r="AL41" s="5">
        <f t="shared" si="36"/>
        <v>0</v>
      </c>
      <c r="AM41" s="5">
        <f t="shared" si="34"/>
        <v>0</v>
      </c>
      <c r="AN41" s="5">
        <f t="shared" si="34"/>
        <v>8</v>
      </c>
      <c r="AO41" s="5">
        <f t="shared" si="34"/>
        <v>0</v>
      </c>
      <c r="AP41" s="5">
        <f t="shared" si="34"/>
        <v>1</v>
      </c>
      <c r="AQ41" s="5">
        <f t="shared" si="34"/>
        <v>3</v>
      </c>
      <c r="AR41" s="5">
        <f t="shared" ref="AR41:AW41" si="37">SUM(AR39:AR40)</f>
        <v>1</v>
      </c>
      <c r="AS41" s="5">
        <f t="shared" si="37"/>
        <v>0</v>
      </c>
      <c r="AT41" s="5">
        <f t="shared" si="37"/>
        <v>0</v>
      </c>
      <c r="AU41" s="5">
        <f t="shared" si="37"/>
        <v>0</v>
      </c>
      <c r="AV41" s="5">
        <f t="shared" si="37"/>
        <v>0</v>
      </c>
      <c r="AW41" s="5">
        <f t="shared" si="37"/>
        <v>0</v>
      </c>
      <c r="AX41" s="5">
        <f t="shared" si="34"/>
        <v>2</v>
      </c>
      <c r="AY41" s="5">
        <f t="shared" si="34"/>
        <v>0</v>
      </c>
      <c r="AZ41" s="5">
        <f t="shared" si="34"/>
        <v>0</v>
      </c>
      <c r="BA41" s="5">
        <f t="shared" si="34"/>
        <v>0</v>
      </c>
      <c r="BB41" s="5">
        <f t="shared" si="34"/>
        <v>0</v>
      </c>
      <c r="BC41" s="5">
        <f t="shared" si="34"/>
        <v>0</v>
      </c>
      <c r="BD41" s="5">
        <f t="shared" si="34"/>
        <v>0</v>
      </c>
      <c r="BE41" s="5">
        <f>SUM(E41:BD41)</f>
        <v>59</v>
      </c>
    </row>
    <row r="42" spans="1:57" x14ac:dyDescent="0.4">
      <c r="A42" s="70"/>
      <c r="B42" s="71"/>
      <c r="C42" s="71"/>
      <c r="D42" s="75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9"/>
      <c r="AN42" s="69"/>
      <c r="AO42" s="69"/>
      <c r="AP42" s="60"/>
      <c r="AQ42" s="6"/>
      <c r="AR42" s="6"/>
      <c r="AS42" s="6"/>
      <c r="AT42" s="6"/>
      <c r="AU42" s="10"/>
      <c r="AV42" s="6"/>
      <c r="AW42" s="10"/>
      <c r="AX42" s="6"/>
      <c r="AY42" s="6"/>
      <c r="AZ42" s="6"/>
      <c r="BA42" s="10"/>
      <c r="BB42" s="6"/>
      <c r="BC42" s="10"/>
      <c r="BD42" s="6"/>
      <c r="BE42" s="5"/>
    </row>
    <row r="43" spans="1:57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15"/>
      <c r="Z43" s="5"/>
      <c r="AA43" s="15"/>
      <c r="AB43" s="5"/>
      <c r="AC43" s="5"/>
      <c r="AD43" s="5"/>
      <c r="AE43" s="5"/>
      <c r="AF43" s="5"/>
      <c r="AG43" s="5"/>
      <c r="AH43" s="5"/>
      <c r="AI43" s="5"/>
      <c r="AJ43" s="15"/>
      <c r="AK43" s="5"/>
      <c r="AL43" s="15"/>
      <c r="AM43" s="5"/>
      <c r="AN43" s="5"/>
      <c r="AO43" s="5"/>
      <c r="AP43" s="5"/>
      <c r="AQ43" s="5"/>
      <c r="AR43" s="5"/>
      <c r="AS43" s="5"/>
      <c r="AT43" s="5"/>
      <c r="AU43" s="15"/>
      <c r="AV43" s="5"/>
      <c r="AW43" s="15"/>
      <c r="AX43" s="5"/>
      <c r="AY43" s="5"/>
      <c r="AZ43" s="5"/>
      <c r="BA43" s="15"/>
      <c r="BB43" s="5"/>
      <c r="BC43" s="15"/>
      <c r="BD43" s="5"/>
      <c r="BE43" s="5"/>
    </row>
    <row r="44" spans="1:57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10"/>
      <c r="Z44" s="6"/>
      <c r="AA44" s="10"/>
      <c r="AB44" s="6"/>
      <c r="AC44" s="6"/>
      <c r="AD44" s="6"/>
      <c r="AE44" s="6"/>
      <c r="AF44" s="6"/>
      <c r="AG44" s="6"/>
      <c r="AH44" s="6"/>
      <c r="AI44" s="6"/>
      <c r="AJ44" s="10"/>
      <c r="AK44" s="6"/>
      <c r="AL44" s="10"/>
      <c r="AM44" s="6"/>
      <c r="AN44" s="6"/>
      <c r="AO44" s="6"/>
      <c r="AP44" s="6"/>
      <c r="AQ44" s="6"/>
      <c r="AR44" s="6"/>
      <c r="AS44" s="6"/>
      <c r="AT44" s="6"/>
      <c r="AU44" s="10"/>
      <c r="AV44" s="6"/>
      <c r="AW44" s="10"/>
      <c r="AX44" s="6"/>
      <c r="AY44" s="6"/>
      <c r="AZ44" s="6"/>
      <c r="BA44" s="10"/>
      <c r="BB44" s="6"/>
      <c r="BC44" s="10"/>
      <c r="BD44" s="6"/>
      <c r="BE44" s="5"/>
    </row>
    <row r="45" spans="1:57" x14ac:dyDescent="0.4">
      <c r="A45" s="11" t="s">
        <v>48</v>
      </c>
      <c r="B45" s="17" t="s">
        <v>28</v>
      </c>
      <c r="C45" s="59" t="s">
        <v>49</v>
      </c>
      <c r="D45" s="60"/>
      <c r="E45" s="6">
        <v>3</v>
      </c>
      <c r="F45" s="6">
        <v>2</v>
      </c>
      <c r="G45" s="6">
        <v>5</v>
      </c>
      <c r="H45" s="6">
        <v>3</v>
      </c>
      <c r="I45" s="6">
        <v>2</v>
      </c>
      <c r="J45" s="6">
        <v>3</v>
      </c>
      <c r="K45" s="6">
        <v>9</v>
      </c>
      <c r="L45" s="6">
        <v>5</v>
      </c>
      <c r="M45" s="6">
        <v>2</v>
      </c>
      <c r="N45" s="6">
        <v>2</v>
      </c>
      <c r="O45" s="6">
        <v>3</v>
      </c>
      <c r="P45" s="6">
        <v>5</v>
      </c>
      <c r="Q45" s="6">
        <v>3</v>
      </c>
      <c r="R45" s="6">
        <v>6</v>
      </c>
      <c r="S45" s="6">
        <v>1</v>
      </c>
      <c r="T45" s="6">
        <v>3</v>
      </c>
      <c r="U45" s="6">
        <v>7</v>
      </c>
      <c r="V45" s="6">
        <v>9</v>
      </c>
      <c r="W45" s="6">
        <v>4</v>
      </c>
      <c r="X45" s="6">
        <v>10</v>
      </c>
      <c r="Y45" s="6">
        <v>13</v>
      </c>
      <c r="Z45" s="6">
        <v>11</v>
      </c>
      <c r="AA45" s="6">
        <v>3</v>
      </c>
      <c r="AB45" s="6">
        <v>12</v>
      </c>
      <c r="AC45" s="6">
        <v>9</v>
      </c>
      <c r="AD45" s="6">
        <v>0</v>
      </c>
      <c r="AE45" s="6">
        <v>4</v>
      </c>
      <c r="AF45" s="6">
        <v>6</v>
      </c>
      <c r="AG45" s="6">
        <v>15</v>
      </c>
      <c r="AH45" s="6">
        <v>6</v>
      </c>
      <c r="AI45" s="6">
        <v>12</v>
      </c>
      <c r="AJ45" s="6">
        <v>4</v>
      </c>
      <c r="AK45" s="6">
        <v>9</v>
      </c>
      <c r="AL45" s="6">
        <v>5</v>
      </c>
      <c r="AM45" s="6">
        <v>4</v>
      </c>
      <c r="AN45" s="6">
        <v>3</v>
      </c>
      <c r="AO45" s="6">
        <v>6</v>
      </c>
      <c r="AP45" s="6">
        <v>3</v>
      </c>
      <c r="AQ45" s="6">
        <v>3</v>
      </c>
      <c r="AR45" s="6">
        <v>11</v>
      </c>
      <c r="AS45" s="6">
        <v>11</v>
      </c>
      <c r="AT45" s="6">
        <v>9</v>
      </c>
      <c r="AU45" s="6">
        <v>8</v>
      </c>
      <c r="AV45" s="6">
        <v>18</v>
      </c>
      <c r="AW45" s="6">
        <v>18</v>
      </c>
      <c r="AX45" s="6">
        <v>10</v>
      </c>
      <c r="AY45" s="6">
        <v>9</v>
      </c>
      <c r="AZ45" s="6">
        <v>14</v>
      </c>
      <c r="BA45" s="6">
        <v>9</v>
      </c>
      <c r="BB45" s="6">
        <v>8</v>
      </c>
      <c r="BC45" s="6">
        <v>7</v>
      </c>
      <c r="BD45" s="6">
        <v>6</v>
      </c>
      <c r="BE45" s="5">
        <f t="shared" ref="BE45:BE51" si="38">SUM(E45:BD45)</f>
        <v>353</v>
      </c>
    </row>
    <row r="46" spans="1:57" x14ac:dyDescent="0.4">
      <c r="A46" s="11" t="s">
        <v>50</v>
      </c>
      <c r="B46" s="46">
        <v>1</v>
      </c>
      <c r="C46" s="24" t="s">
        <v>114</v>
      </c>
      <c r="D46" s="47"/>
      <c r="E46" s="6">
        <v>7</v>
      </c>
      <c r="F46" s="6">
        <v>7</v>
      </c>
      <c r="G46" s="6">
        <v>1</v>
      </c>
      <c r="H46" s="6">
        <v>6</v>
      </c>
      <c r="I46" s="6">
        <v>7</v>
      </c>
      <c r="J46" s="6">
        <v>3</v>
      </c>
      <c r="K46" s="6">
        <v>23</v>
      </c>
      <c r="L46" s="6">
        <v>9</v>
      </c>
      <c r="M46" s="6">
        <v>2</v>
      </c>
      <c r="N46" s="6">
        <v>0</v>
      </c>
      <c r="O46" s="6">
        <v>2</v>
      </c>
      <c r="P46" s="6">
        <v>30</v>
      </c>
      <c r="Q46" s="6">
        <v>8</v>
      </c>
      <c r="R46" s="6">
        <v>4</v>
      </c>
      <c r="S46" s="6">
        <v>11</v>
      </c>
      <c r="T46" s="6">
        <v>5</v>
      </c>
      <c r="U46" s="6">
        <v>3</v>
      </c>
      <c r="V46" s="6">
        <v>7</v>
      </c>
      <c r="W46" s="6">
        <v>7</v>
      </c>
      <c r="X46" s="6">
        <v>36</v>
      </c>
      <c r="Y46" s="6">
        <v>13</v>
      </c>
      <c r="Z46" s="6">
        <v>5</v>
      </c>
      <c r="AA46" s="6">
        <v>14</v>
      </c>
      <c r="AB46" s="6">
        <v>7</v>
      </c>
      <c r="AC46" s="6">
        <v>21</v>
      </c>
      <c r="AD46" s="6">
        <v>12</v>
      </c>
      <c r="AE46" s="6">
        <v>2</v>
      </c>
      <c r="AF46" s="6">
        <v>4</v>
      </c>
      <c r="AG46" s="6">
        <v>8</v>
      </c>
      <c r="AH46" s="6">
        <v>2</v>
      </c>
      <c r="AI46" s="6">
        <v>6</v>
      </c>
      <c r="AJ46" s="6">
        <v>2</v>
      </c>
      <c r="AK46" s="6">
        <v>0</v>
      </c>
      <c r="AL46" s="6">
        <v>5</v>
      </c>
      <c r="AM46" s="6">
        <v>3</v>
      </c>
      <c r="AN46" s="6">
        <v>5</v>
      </c>
      <c r="AO46" s="6">
        <v>6</v>
      </c>
      <c r="AP46" s="6">
        <v>3</v>
      </c>
      <c r="AQ46" s="6">
        <v>2</v>
      </c>
      <c r="AR46" s="6">
        <v>13</v>
      </c>
      <c r="AS46" s="6">
        <v>27</v>
      </c>
      <c r="AT46" s="6">
        <v>11</v>
      </c>
      <c r="AU46" s="6">
        <v>8</v>
      </c>
      <c r="AV46" s="6">
        <v>15</v>
      </c>
      <c r="AW46" s="6">
        <v>13</v>
      </c>
      <c r="AX46" s="6">
        <v>12</v>
      </c>
      <c r="AY46" s="6">
        <v>13</v>
      </c>
      <c r="AZ46" s="6">
        <v>29</v>
      </c>
      <c r="BA46" s="6">
        <v>16</v>
      </c>
      <c r="BB46" s="6">
        <v>2</v>
      </c>
      <c r="BC46" s="6">
        <v>4</v>
      </c>
      <c r="BD46" s="6">
        <v>0</v>
      </c>
      <c r="BE46" s="5">
        <f t="shared" si="38"/>
        <v>461</v>
      </c>
    </row>
    <row r="47" spans="1:57" x14ac:dyDescent="0.4">
      <c r="A47" s="7"/>
      <c r="B47" s="46">
        <v>2</v>
      </c>
      <c r="C47" s="24" t="s">
        <v>115</v>
      </c>
      <c r="D47" s="47"/>
      <c r="E47" s="6">
        <v>1</v>
      </c>
      <c r="F47" s="6">
        <v>2</v>
      </c>
      <c r="G47" s="6">
        <v>2</v>
      </c>
      <c r="H47" s="6">
        <v>1</v>
      </c>
      <c r="I47" s="6">
        <v>0</v>
      </c>
      <c r="J47" s="6">
        <v>3</v>
      </c>
      <c r="K47" s="6">
        <v>3</v>
      </c>
      <c r="L47" s="6">
        <v>2</v>
      </c>
      <c r="M47" s="6">
        <v>1</v>
      </c>
      <c r="N47" s="6">
        <v>0</v>
      </c>
      <c r="O47" s="6">
        <v>0</v>
      </c>
      <c r="P47" s="6">
        <v>1</v>
      </c>
      <c r="Q47" s="6">
        <v>0</v>
      </c>
      <c r="R47" s="6">
        <v>4</v>
      </c>
      <c r="S47" s="6">
        <v>0</v>
      </c>
      <c r="T47" s="6">
        <v>0</v>
      </c>
      <c r="U47" s="6">
        <v>2</v>
      </c>
      <c r="V47" s="6">
        <v>0</v>
      </c>
      <c r="W47" s="6">
        <v>1</v>
      </c>
      <c r="X47" s="6">
        <v>16</v>
      </c>
      <c r="Y47" s="6">
        <v>7</v>
      </c>
      <c r="Z47" s="6">
        <v>32</v>
      </c>
      <c r="AA47" s="6">
        <v>6</v>
      </c>
      <c r="AB47" s="6">
        <v>3</v>
      </c>
      <c r="AC47" s="6">
        <v>7</v>
      </c>
      <c r="AD47" s="6">
        <v>5</v>
      </c>
      <c r="AE47" s="6">
        <v>1</v>
      </c>
      <c r="AF47" s="6">
        <v>4</v>
      </c>
      <c r="AG47" s="6">
        <v>14</v>
      </c>
      <c r="AH47" s="6">
        <v>16</v>
      </c>
      <c r="AI47" s="6">
        <v>24</v>
      </c>
      <c r="AJ47" s="6">
        <v>0</v>
      </c>
      <c r="AK47" s="6">
        <v>2</v>
      </c>
      <c r="AL47" s="6">
        <v>3</v>
      </c>
      <c r="AM47" s="6">
        <v>6</v>
      </c>
      <c r="AN47" s="6">
        <v>2</v>
      </c>
      <c r="AO47" s="6">
        <v>1</v>
      </c>
      <c r="AP47" s="6">
        <v>11</v>
      </c>
      <c r="AQ47" s="6">
        <v>2</v>
      </c>
      <c r="AR47" s="6">
        <v>2</v>
      </c>
      <c r="AS47" s="6">
        <v>19</v>
      </c>
      <c r="AT47" s="6">
        <v>11</v>
      </c>
      <c r="AU47" s="6">
        <v>5</v>
      </c>
      <c r="AV47" s="6">
        <v>8</v>
      </c>
      <c r="AW47" s="6">
        <v>19</v>
      </c>
      <c r="AX47" s="6">
        <v>7</v>
      </c>
      <c r="AY47" s="6">
        <v>9</v>
      </c>
      <c r="AZ47" s="6">
        <v>12</v>
      </c>
      <c r="BA47" s="6">
        <v>9</v>
      </c>
      <c r="BB47" s="6">
        <v>2</v>
      </c>
      <c r="BC47" s="6">
        <v>1</v>
      </c>
      <c r="BD47" s="6">
        <v>4</v>
      </c>
      <c r="BE47" s="5">
        <f t="shared" si="38"/>
        <v>293</v>
      </c>
    </row>
    <row r="48" spans="1:57" x14ac:dyDescent="0.4">
      <c r="A48" s="7"/>
      <c r="B48" s="46">
        <v>3</v>
      </c>
      <c r="C48" s="24" t="s">
        <v>116</v>
      </c>
      <c r="D48" s="47"/>
      <c r="E48" s="6">
        <v>1</v>
      </c>
      <c r="F48" s="6">
        <v>1</v>
      </c>
      <c r="G48" s="6">
        <v>0</v>
      </c>
      <c r="H48" s="6">
        <v>0</v>
      </c>
      <c r="I48" s="6">
        <v>0</v>
      </c>
      <c r="J48" s="6">
        <v>0</v>
      </c>
      <c r="K48" s="6">
        <v>2</v>
      </c>
      <c r="L48" s="6">
        <v>1</v>
      </c>
      <c r="M48" s="6">
        <v>0</v>
      </c>
      <c r="N48" s="6">
        <v>0</v>
      </c>
      <c r="O48" s="6">
        <v>1</v>
      </c>
      <c r="P48" s="6">
        <v>0</v>
      </c>
      <c r="Q48" s="6">
        <v>2</v>
      </c>
      <c r="R48" s="6">
        <v>1</v>
      </c>
      <c r="S48" s="6">
        <v>0</v>
      </c>
      <c r="T48" s="6">
        <v>0</v>
      </c>
      <c r="U48" s="6">
        <v>1</v>
      </c>
      <c r="V48" s="6">
        <v>3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3</v>
      </c>
      <c r="AC48" s="6">
        <v>1</v>
      </c>
      <c r="AD48" s="6">
        <v>0</v>
      </c>
      <c r="AE48" s="6">
        <v>0</v>
      </c>
      <c r="AF48" s="6">
        <v>1</v>
      </c>
      <c r="AG48" s="6">
        <v>1</v>
      </c>
      <c r="AH48" s="6">
        <v>1</v>
      </c>
      <c r="AI48" s="6">
        <v>2</v>
      </c>
      <c r="AJ48" s="6">
        <v>0</v>
      </c>
      <c r="AK48" s="6">
        <v>0</v>
      </c>
      <c r="AL48" s="6">
        <v>1</v>
      </c>
      <c r="AM48" s="6">
        <v>0</v>
      </c>
      <c r="AN48" s="6">
        <v>0</v>
      </c>
      <c r="AO48" s="6">
        <v>1</v>
      </c>
      <c r="AP48" s="6">
        <v>0</v>
      </c>
      <c r="AQ48" s="6">
        <v>0</v>
      </c>
      <c r="AR48" s="6">
        <v>1</v>
      </c>
      <c r="AS48" s="6">
        <v>0</v>
      </c>
      <c r="AT48" s="6">
        <v>1</v>
      </c>
      <c r="AU48" s="6">
        <v>1</v>
      </c>
      <c r="AV48" s="6">
        <v>3</v>
      </c>
      <c r="AW48" s="6">
        <v>0</v>
      </c>
      <c r="AX48" s="6">
        <v>1</v>
      </c>
      <c r="AY48" s="6">
        <v>0</v>
      </c>
      <c r="AZ48" s="6">
        <v>2</v>
      </c>
      <c r="BA48" s="6">
        <v>3</v>
      </c>
      <c r="BB48" s="6">
        <v>2</v>
      </c>
      <c r="BC48" s="6">
        <v>1</v>
      </c>
      <c r="BD48" s="6">
        <v>1</v>
      </c>
      <c r="BE48" s="5">
        <f t="shared" si="38"/>
        <v>40</v>
      </c>
    </row>
    <row r="49" spans="1:57" x14ac:dyDescent="0.4">
      <c r="A49" s="7"/>
      <c r="B49" s="46">
        <v>4</v>
      </c>
      <c r="C49" s="24" t="s">
        <v>117</v>
      </c>
      <c r="D49" s="47"/>
      <c r="E49" s="6">
        <v>0</v>
      </c>
      <c r="F49" s="6">
        <v>0</v>
      </c>
      <c r="G49" s="6">
        <v>0</v>
      </c>
      <c r="H49" s="6">
        <v>1</v>
      </c>
      <c r="I49" s="6">
        <v>0</v>
      </c>
      <c r="J49" s="6">
        <v>0</v>
      </c>
      <c r="K49" s="6">
        <v>3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1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2</v>
      </c>
      <c r="AI49" s="6">
        <v>0</v>
      </c>
      <c r="AJ49" s="6">
        <v>1</v>
      </c>
      <c r="AK49" s="6">
        <v>0</v>
      </c>
      <c r="AL49" s="6">
        <v>0</v>
      </c>
      <c r="AM49" s="6">
        <v>1</v>
      </c>
      <c r="AN49" s="6">
        <v>0</v>
      </c>
      <c r="AO49" s="6">
        <v>0</v>
      </c>
      <c r="AP49" s="6">
        <v>1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1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1</v>
      </c>
      <c r="BC49" s="6">
        <v>1</v>
      </c>
      <c r="BD49" s="6">
        <v>0</v>
      </c>
      <c r="BE49" s="5">
        <f t="shared" si="38"/>
        <v>14</v>
      </c>
    </row>
    <row r="50" spans="1:57" x14ac:dyDescent="0.4">
      <c r="A50" s="7"/>
      <c r="B50" s="46">
        <v>5</v>
      </c>
      <c r="C50" s="24" t="s">
        <v>118</v>
      </c>
      <c r="D50" s="47"/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1</v>
      </c>
      <c r="AP50" s="6">
        <v>1</v>
      </c>
      <c r="AQ50" s="6">
        <v>0</v>
      </c>
      <c r="AR50" s="6">
        <v>0</v>
      </c>
      <c r="AS50" s="6">
        <v>1</v>
      </c>
      <c r="AT50" s="6">
        <v>0</v>
      </c>
      <c r="AU50" s="6">
        <v>0</v>
      </c>
      <c r="AV50" s="6">
        <v>0</v>
      </c>
      <c r="AW50" s="6">
        <v>1</v>
      </c>
      <c r="AX50" s="6">
        <v>1</v>
      </c>
      <c r="AY50" s="6">
        <v>0</v>
      </c>
      <c r="AZ50" s="6">
        <v>0</v>
      </c>
      <c r="BA50" s="6">
        <v>0</v>
      </c>
      <c r="BB50" s="6">
        <v>0</v>
      </c>
      <c r="BC50" s="6">
        <v>1</v>
      </c>
      <c r="BD50" s="6">
        <v>0</v>
      </c>
      <c r="BE50" s="5">
        <f t="shared" si="38"/>
        <v>9</v>
      </c>
    </row>
    <row r="51" spans="1:57" x14ac:dyDescent="0.4">
      <c r="A51" s="7"/>
      <c r="B51" s="46">
        <v>6</v>
      </c>
      <c r="C51" s="24" t="s">
        <v>119</v>
      </c>
      <c r="D51" s="47"/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1</v>
      </c>
      <c r="AH51" s="6">
        <v>0</v>
      </c>
      <c r="AI51" s="6">
        <v>3</v>
      </c>
      <c r="AJ51" s="6">
        <v>0</v>
      </c>
      <c r="AK51" s="6">
        <v>1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1</v>
      </c>
      <c r="AW51" s="6">
        <v>0</v>
      </c>
      <c r="AX51" s="6">
        <v>0</v>
      </c>
      <c r="AY51" s="6">
        <v>0</v>
      </c>
      <c r="AZ51" s="6">
        <v>1</v>
      </c>
      <c r="BA51" s="6">
        <v>1</v>
      </c>
      <c r="BB51" s="6">
        <v>0</v>
      </c>
      <c r="BC51" s="6">
        <v>1</v>
      </c>
      <c r="BD51" s="6">
        <v>0</v>
      </c>
      <c r="BE51" s="5">
        <f t="shared" si="38"/>
        <v>10</v>
      </c>
    </row>
    <row r="52" spans="1:57" x14ac:dyDescent="0.4">
      <c r="A52" s="6" t="s">
        <v>26</v>
      </c>
      <c r="B52" s="53" t="s">
        <v>51</v>
      </c>
      <c r="C52" s="69"/>
      <c r="D52" s="60"/>
      <c r="E52" s="5">
        <f>SUM(E45:E51)</f>
        <v>14</v>
      </c>
      <c r="F52" s="5">
        <f t="shared" ref="F52:AJ52" si="39">SUM(F45:F51)</f>
        <v>12</v>
      </c>
      <c r="G52" s="5">
        <f t="shared" si="39"/>
        <v>8</v>
      </c>
      <c r="H52" s="5">
        <f t="shared" si="39"/>
        <v>11</v>
      </c>
      <c r="I52" s="5">
        <f t="shared" si="39"/>
        <v>9</v>
      </c>
      <c r="J52" s="5">
        <f t="shared" si="39"/>
        <v>9</v>
      </c>
      <c r="K52" s="5">
        <f t="shared" si="39"/>
        <v>40</v>
      </c>
      <c r="L52" s="5">
        <f t="shared" si="39"/>
        <v>17</v>
      </c>
      <c r="M52" s="5">
        <f t="shared" si="39"/>
        <v>5</v>
      </c>
      <c r="N52" s="5">
        <f t="shared" si="39"/>
        <v>2</v>
      </c>
      <c r="O52" s="5">
        <f t="shared" si="39"/>
        <v>6</v>
      </c>
      <c r="P52" s="5">
        <f t="shared" si="39"/>
        <v>36</v>
      </c>
      <c r="Q52" s="5">
        <f t="shared" si="39"/>
        <v>13</v>
      </c>
      <c r="R52" s="5">
        <f t="shared" si="39"/>
        <v>15</v>
      </c>
      <c r="S52" s="5">
        <f t="shared" si="39"/>
        <v>13</v>
      </c>
      <c r="T52" s="5">
        <f t="shared" si="39"/>
        <v>8</v>
      </c>
      <c r="U52" s="5">
        <f t="shared" si="39"/>
        <v>13</v>
      </c>
      <c r="V52" s="5">
        <f t="shared" si="39"/>
        <v>19</v>
      </c>
      <c r="W52" s="5">
        <f t="shared" si="39"/>
        <v>12</v>
      </c>
      <c r="X52" s="5">
        <f t="shared" si="39"/>
        <v>63</v>
      </c>
      <c r="Y52" s="5">
        <f t="shared" si="39"/>
        <v>34</v>
      </c>
      <c r="Z52" s="5">
        <f t="shared" si="39"/>
        <v>48</v>
      </c>
      <c r="AA52" s="5">
        <f t="shared" si="39"/>
        <v>23</v>
      </c>
      <c r="AB52" s="5">
        <f t="shared" si="39"/>
        <v>25</v>
      </c>
      <c r="AC52" s="5">
        <f t="shared" si="39"/>
        <v>38</v>
      </c>
      <c r="AD52" s="5">
        <f t="shared" si="39"/>
        <v>17</v>
      </c>
      <c r="AE52" s="5">
        <f t="shared" si="39"/>
        <v>7</v>
      </c>
      <c r="AF52" s="5">
        <f t="shared" si="39"/>
        <v>15</v>
      </c>
      <c r="AG52" s="5">
        <f t="shared" si="39"/>
        <v>39</v>
      </c>
      <c r="AH52" s="5">
        <f t="shared" si="39"/>
        <v>27</v>
      </c>
      <c r="AI52" s="5">
        <f t="shared" si="39"/>
        <v>48</v>
      </c>
      <c r="AJ52" s="5">
        <f t="shared" si="39"/>
        <v>7</v>
      </c>
      <c r="AK52" s="5">
        <f t="shared" ref="AK52:BE52" si="40">SUM(AK45:AK51)</f>
        <v>12</v>
      </c>
      <c r="AL52" s="5">
        <f t="shared" si="40"/>
        <v>14</v>
      </c>
      <c r="AM52" s="5">
        <f t="shared" si="40"/>
        <v>14</v>
      </c>
      <c r="AN52" s="5">
        <f t="shared" si="40"/>
        <v>10</v>
      </c>
      <c r="AO52" s="5">
        <f t="shared" si="40"/>
        <v>15</v>
      </c>
      <c r="AP52" s="5">
        <f t="shared" si="40"/>
        <v>19</v>
      </c>
      <c r="AQ52" s="5">
        <f t="shared" si="40"/>
        <v>7</v>
      </c>
      <c r="AR52" s="5">
        <f t="shared" si="40"/>
        <v>27</v>
      </c>
      <c r="AS52" s="5">
        <f t="shared" si="40"/>
        <v>58</v>
      </c>
      <c r="AT52" s="5">
        <f t="shared" si="40"/>
        <v>32</v>
      </c>
      <c r="AU52" s="5">
        <f t="shared" si="40"/>
        <v>22</v>
      </c>
      <c r="AV52" s="5">
        <f t="shared" si="40"/>
        <v>46</v>
      </c>
      <c r="AW52" s="5">
        <f t="shared" si="40"/>
        <v>51</v>
      </c>
      <c r="AX52" s="5">
        <f t="shared" si="40"/>
        <v>31</v>
      </c>
      <c r="AY52" s="5">
        <f t="shared" si="40"/>
        <v>31</v>
      </c>
      <c r="AZ52" s="5">
        <f t="shared" si="40"/>
        <v>58</v>
      </c>
      <c r="BA52" s="5">
        <f t="shared" si="40"/>
        <v>38</v>
      </c>
      <c r="BB52" s="5">
        <f t="shared" si="40"/>
        <v>15</v>
      </c>
      <c r="BC52" s="5">
        <f t="shared" si="40"/>
        <v>16</v>
      </c>
      <c r="BD52" s="5">
        <f t="shared" si="40"/>
        <v>11</v>
      </c>
      <c r="BE52" s="5">
        <f t="shared" si="40"/>
        <v>1180</v>
      </c>
    </row>
    <row r="53" spans="1:57" x14ac:dyDescent="0.4">
      <c r="A53" s="70"/>
      <c r="B53" s="71"/>
      <c r="C53" s="71"/>
      <c r="D53" s="71"/>
      <c r="E53" s="71"/>
      <c r="BE53" s="5"/>
    </row>
    <row r="54" spans="1:57" x14ac:dyDescent="0.4">
      <c r="A54" s="11" t="s">
        <v>48</v>
      </c>
      <c r="B54" s="17" t="s">
        <v>30</v>
      </c>
      <c r="C54" s="59" t="s">
        <v>52</v>
      </c>
      <c r="D54" s="60"/>
      <c r="E54" s="6">
        <v>7</v>
      </c>
      <c r="F54" s="6">
        <v>5</v>
      </c>
      <c r="G54" s="6">
        <v>4</v>
      </c>
      <c r="H54" s="6">
        <v>7</v>
      </c>
      <c r="I54" s="6">
        <v>4</v>
      </c>
      <c r="J54" s="6">
        <v>3</v>
      </c>
      <c r="K54" s="6">
        <v>6</v>
      </c>
      <c r="L54" s="6">
        <v>11</v>
      </c>
      <c r="M54" s="6">
        <v>6</v>
      </c>
      <c r="N54" s="6">
        <v>6</v>
      </c>
      <c r="O54" s="6">
        <v>7</v>
      </c>
      <c r="P54" s="6">
        <v>2</v>
      </c>
      <c r="Q54" s="6">
        <v>8</v>
      </c>
      <c r="R54" s="6">
        <v>6</v>
      </c>
      <c r="S54" s="6">
        <v>2</v>
      </c>
      <c r="T54" s="6">
        <v>9</v>
      </c>
      <c r="U54" s="6">
        <v>15</v>
      </c>
      <c r="V54" s="6">
        <v>4</v>
      </c>
      <c r="W54" s="6">
        <v>8</v>
      </c>
      <c r="X54" s="6">
        <v>4</v>
      </c>
      <c r="Y54" s="6">
        <v>5</v>
      </c>
      <c r="Z54" s="6">
        <v>7</v>
      </c>
      <c r="AA54" s="6">
        <v>3</v>
      </c>
      <c r="AB54" s="6">
        <v>11</v>
      </c>
      <c r="AC54" s="6">
        <v>2</v>
      </c>
      <c r="AD54" s="6">
        <v>1</v>
      </c>
      <c r="AE54" s="6">
        <v>5</v>
      </c>
      <c r="AF54" s="6">
        <v>9</v>
      </c>
      <c r="AG54" s="6">
        <v>8</v>
      </c>
      <c r="AH54" s="6">
        <v>8</v>
      </c>
      <c r="AI54" s="6">
        <v>4</v>
      </c>
      <c r="AJ54" s="6">
        <v>10</v>
      </c>
      <c r="AK54" s="6">
        <v>9</v>
      </c>
      <c r="AL54" s="6">
        <v>6</v>
      </c>
      <c r="AM54" s="6">
        <v>6</v>
      </c>
      <c r="AN54" s="6">
        <v>8</v>
      </c>
      <c r="AO54" s="6">
        <v>3</v>
      </c>
      <c r="AP54" s="6">
        <v>1</v>
      </c>
      <c r="AQ54" s="6">
        <v>8</v>
      </c>
      <c r="AR54" s="6">
        <v>11</v>
      </c>
      <c r="AS54" s="6">
        <v>7</v>
      </c>
      <c r="AT54" s="6">
        <v>8</v>
      </c>
      <c r="AU54" s="6">
        <v>11</v>
      </c>
      <c r="AV54" s="6">
        <v>20</v>
      </c>
      <c r="AW54" s="6">
        <v>23</v>
      </c>
      <c r="AX54" s="6">
        <v>19</v>
      </c>
      <c r="AY54" s="6">
        <v>13</v>
      </c>
      <c r="AZ54" s="6">
        <v>11</v>
      </c>
      <c r="BA54" s="6">
        <v>10</v>
      </c>
      <c r="BB54" s="6">
        <v>6</v>
      </c>
      <c r="BC54" s="6">
        <v>7</v>
      </c>
      <c r="BD54" s="6">
        <v>8</v>
      </c>
      <c r="BE54" s="5">
        <f t="shared" ref="BE54:BE60" si="41">SUM(E54:BD54)</f>
        <v>392</v>
      </c>
    </row>
    <row r="55" spans="1:57" x14ac:dyDescent="0.4">
      <c r="A55" s="11" t="s">
        <v>50</v>
      </c>
      <c r="B55" s="46">
        <v>1</v>
      </c>
      <c r="C55" s="24" t="s">
        <v>120</v>
      </c>
      <c r="D55" s="47"/>
      <c r="E55" s="6">
        <v>3</v>
      </c>
      <c r="F55" s="6">
        <v>2</v>
      </c>
      <c r="G55" s="6">
        <v>0</v>
      </c>
      <c r="H55" s="6">
        <v>2</v>
      </c>
      <c r="I55" s="6">
        <v>4</v>
      </c>
      <c r="J55" s="6">
        <v>3</v>
      </c>
      <c r="K55" s="6">
        <v>0</v>
      </c>
      <c r="L55" s="6">
        <v>2</v>
      </c>
      <c r="M55" s="6">
        <v>2</v>
      </c>
      <c r="N55" s="6">
        <v>0</v>
      </c>
      <c r="O55" s="6">
        <v>4</v>
      </c>
      <c r="P55" s="6">
        <v>4</v>
      </c>
      <c r="Q55" s="6">
        <v>1</v>
      </c>
      <c r="R55" s="6">
        <v>0</v>
      </c>
      <c r="S55" s="6">
        <v>4</v>
      </c>
      <c r="T55" s="6">
        <v>1</v>
      </c>
      <c r="U55" s="6">
        <v>6</v>
      </c>
      <c r="V55" s="6">
        <v>9</v>
      </c>
      <c r="W55" s="6">
        <v>7</v>
      </c>
      <c r="X55" s="6">
        <v>2</v>
      </c>
      <c r="Y55" s="6">
        <v>4</v>
      </c>
      <c r="Z55" s="6">
        <v>2</v>
      </c>
      <c r="AA55" s="6">
        <v>2</v>
      </c>
      <c r="AB55" s="6">
        <v>0</v>
      </c>
      <c r="AC55" s="6">
        <v>3</v>
      </c>
      <c r="AD55" s="6">
        <v>0</v>
      </c>
      <c r="AE55" s="6">
        <v>0</v>
      </c>
      <c r="AF55" s="6">
        <v>3</v>
      </c>
      <c r="AG55" s="6">
        <v>0</v>
      </c>
      <c r="AH55" s="6">
        <v>1</v>
      </c>
      <c r="AI55" s="6">
        <v>6</v>
      </c>
      <c r="AJ55" s="6">
        <v>4</v>
      </c>
      <c r="AK55" s="6">
        <v>0</v>
      </c>
      <c r="AL55" s="6">
        <v>1</v>
      </c>
      <c r="AM55" s="6">
        <v>0</v>
      </c>
      <c r="AN55" s="6">
        <v>0</v>
      </c>
      <c r="AO55" s="6">
        <v>2</v>
      </c>
      <c r="AP55" s="6">
        <v>3</v>
      </c>
      <c r="AQ55" s="6">
        <v>2</v>
      </c>
      <c r="AR55" s="6">
        <v>30</v>
      </c>
      <c r="AS55" s="6">
        <v>4</v>
      </c>
      <c r="AT55" s="6">
        <v>6</v>
      </c>
      <c r="AU55" s="6">
        <v>8</v>
      </c>
      <c r="AV55" s="6">
        <v>11</v>
      </c>
      <c r="AW55" s="6">
        <v>8</v>
      </c>
      <c r="AX55" s="6">
        <v>14</v>
      </c>
      <c r="AY55" s="6">
        <v>8</v>
      </c>
      <c r="AZ55" s="6">
        <v>9</v>
      </c>
      <c r="BA55" s="6">
        <v>6</v>
      </c>
      <c r="BB55" s="6">
        <v>8</v>
      </c>
      <c r="BC55" s="6">
        <v>5</v>
      </c>
      <c r="BD55" s="6">
        <v>3</v>
      </c>
      <c r="BE55" s="5">
        <f t="shared" si="41"/>
        <v>209</v>
      </c>
    </row>
    <row r="56" spans="1:57" x14ac:dyDescent="0.4">
      <c r="A56" s="7"/>
      <c r="B56" s="46">
        <v>2</v>
      </c>
      <c r="C56" s="24" t="s">
        <v>121</v>
      </c>
      <c r="D56" s="47"/>
      <c r="E56" s="6">
        <v>2</v>
      </c>
      <c r="F56" s="6">
        <v>1</v>
      </c>
      <c r="G56" s="6">
        <v>2</v>
      </c>
      <c r="H56" s="6">
        <v>0</v>
      </c>
      <c r="I56" s="6">
        <v>2</v>
      </c>
      <c r="J56" s="6">
        <v>0</v>
      </c>
      <c r="K56" s="6">
        <v>0</v>
      </c>
      <c r="L56" s="6">
        <v>5</v>
      </c>
      <c r="M56" s="6">
        <v>1</v>
      </c>
      <c r="N56" s="6">
        <v>3</v>
      </c>
      <c r="O56" s="6">
        <v>2</v>
      </c>
      <c r="P56" s="6">
        <v>1</v>
      </c>
      <c r="Q56" s="6">
        <v>0</v>
      </c>
      <c r="R56" s="6">
        <v>2</v>
      </c>
      <c r="S56" s="6">
        <v>4</v>
      </c>
      <c r="T56" s="6">
        <v>1</v>
      </c>
      <c r="U56" s="6">
        <v>2</v>
      </c>
      <c r="V56" s="6">
        <v>1</v>
      </c>
      <c r="W56" s="6">
        <v>1</v>
      </c>
      <c r="X56" s="6">
        <v>0</v>
      </c>
      <c r="Y56" s="6">
        <v>0</v>
      </c>
      <c r="Z56" s="6">
        <v>1</v>
      </c>
      <c r="AA56" s="6">
        <v>4</v>
      </c>
      <c r="AB56" s="6">
        <v>2</v>
      </c>
      <c r="AC56" s="6">
        <v>0</v>
      </c>
      <c r="AD56" s="6">
        <v>0</v>
      </c>
      <c r="AE56" s="6">
        <v>0</v>
      </c>
      <c r="AF56" s="6">
        <v>3</v>
      </c>
      <c r="AG56" s="6">
        <v>0</v>
      </c>
      <c r="AH56" s="6">
        <v>5</v>
      </c>
      <c r="AI56" s="6">
        <v>3</v>
      </c>
      <c r="AJ56" s="6">
        <v>2</v>
      </c>
      <c r="AK56" s="6">
        <v>3</v>
      </c>
      <c r="AL56" s="6">
        <v>4</v>
      </c>
      <c r="AM56" s="6">
        <v>2</v>
      </c>
      <c r="AN56" s="6">
        <v>3</v>
      </c>
      <c r="AO56" s="6">
        <v>1</v>
      </c>
      <c r="AP56" s="6">
        <v>0</v>
      </c>
      <c r="AQ56" s="6">
        <v>1</v>
      </c>
      <c r="AR56" s="6">
        <v>4</v>
      </c>
      <c r="AS56" s="6">
        <v>2</v>
      </c>
      <c r="AT56" s="6">
        <v>6</v>
      </c>
      <c r="AU56" s="6">
        <v>5</v>
      </c>
      <c r="AV56" s="6">
        <v>6</v>
      </c>
      <c r="AW56" s="6">
        <v>3</v>
      </c>
      <c r="AX56" s="6">
        <v>6</v>
      </c>
      <c r="AY56" s="6">
        <v>0</v>
      </c>
      <c r="AZ56" s="6">
        <v>5</v>
      </c>
      <c r="BA56" s="6">
        <v>4</v>
      </c>
      <c r="BB56" s="6">
        <v>1</v>
      </c>
      <c r="BC56" s="6">
        <v>2</v>
      </c>
      <c r="BD56" s="6">
        <v>1</v>
      </c>
      <c r="BE56" s="5">
        <f t="shared" si="41"/>
        <v>109</v>
      </c>
    </row>
    <row r="57" spans="1:57" x14ac:dyDescent="0.4">
      <c r="A57" s="7"/>
      <c r="B57" s="46">
        <v>3</v>
      </c>
      <c r="C57" s="24" t="s">
        <v>122</v>
      </c>
      <c r="D57" s="47"/>
      <c r="E57" s="6">
        <v>0</v>
      </c>
      <c r="F57" s="6">
        <v>0</v>
      </c>
      <c r="G57" s="6">
        <v>0</v>
      </c>
      <c r="H57" s="6">
        <v>3</v>
      </c>
      <c r="I57" s="6">
        <v>5</v>
      </c>
      <c r="J57" s="6">
        <v>0</v>
      </c>
      <c r="K57" s="6">
        <v>7</v>
      </c>
      <c r="L57" s="6">
        <v>4</v>
      </c>
      <c r="M57" s="6">
        <v>25</v>
      </c>
      <c r="N57" s="6">
        <v>5</v>
      </c>
      <c r="O57" s="6">
        <v>2</v>
      </c>
      <c r="P57" s="6">
        <v>1</v>
      </c>
      <c r="Q57" s="6">
        <v>41</v>
      </c>
      <c r="R57" s="6">
        <v>26</v>
      </c>
      <c r="S57" s="6">
        <v>28</v>
      </c>
      <c r="T57" s="6">
        <v>5</v>
      </c>
      <c r="U57" s="6">
        <v>9</v>
      </c>
      <c r="V57" s="6">
        <v>2</v>
      </c>
      <c r="W57" s="6">
        <v>19</v>
      </c>
      <c r="X57" s="6">
        <v>1</v>
      </c>
      <c r="Y57" s="6">
        <v>3</v>
      </c>
      <c r="Z57" s="6">
        <v>5</v>
      </c>
      <c r="AA57" s="6">
        <v>4</v>
      </c>
      <c r="AB57" s="6">
        <v>1</v>
      </c>
      <c r="AC57" s="6">
        <v>0</v>
      </c>
      <c r="AD57" s="6">
        <v>0</v>
      </c>
      <c r="AE57" s="6">
        <v>0</v>
      </c>
      <c r="AF57" s="6">
        <v>1</v>
      </c>
      <c r="AG57" s="6">
        <v>0</v>
      </c>
      <c r="AH57" s="6">
        <v>1</v>
      </c>
      <c r="AI57" s="6">
        <v>3</v>
      </c>
      <c r="AJ57" s="6">
        <v>3</v>
      </c>
      <c r="AK57" s="6">
        <v>4</v>
      </c>
      <c r="AL57" s="6">
        <v>4</v>
      </c>
      <c r="AM57" s="6">
        <v>2</v>
      </c>
      <c r="AN57" s="6">
        <v>3</v>
      </c>
      <c r="AO57" s="6">
        <v>6</v>
      </c>
      <c r="AP57" s="6">
        <v>0</v>
      </c>
      <c r="AQ57" s="6">
        <v>4</v>
      </c>
      <c r="AR57" s="6">
        <v>3</v>
      </c>
      <c r="AS57" s="6">
        <v>1</v>
      </c>
      <c r="AT57" s="6">
        <v>6</v>
      </c>
      <c r="AU57" s="6">
        <v>4</v>
      </c>
      <c r="AV57" s="6">
        <v>10</v>
      </c>
      <c r="AW57" s="6">
        <v>13</v>
      </c>
      <c r="AX57" s="6">
        <v>4</v>
      </c>
      <c r="AY57" s="6">
        <v>3</v>
      </c>
      <c r="AZ57" s="6">
        <v>0</v>
      </c>
      <c r="BA57" s="6">
        <v>0</v>
      </c>
      <c r="BB57" s="6">
        <v>3</v>
      </c>
      <c r="BC57" s="6">
        <v>5</v>
      </c>
      <c r="BD57" s="6">
        <v>8</v>
      </c>
      <c r="BE57" s="5">
        <f t="shared" si="41"/>
        <v>287</v>
      </c>
    </row>
    <row r="58" spans="1:57" x14ac:dyDescent="0.4">
      <c r="A58" s="7"/>
      <c r="B58" s="46">
        <v>4</v>
      </c>
      <c r="C58" s="24" t="s">
        <v>123</v>
      </c>
      <c r="D58" s="47"/>
      <c r="E58" s="6">
        <v>1</v>
      </c>
      <c r="F58" s="6">
        <v>0</v>
      </c>
      <c r="G58" s="6">
        <v>0</v>
      </c>
      <c r="H58" s="6">
        <v>0</v>
      </c>
      <c r="I58" s="6">
        <v>0</v>
      </c>
      <c r="J58" s="6">
        <v>2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2</v>
      </c>
      <c r="U58" s="6">
        <v>0</v>
      </c>
      <c r="V58" s="6">
        <v>0</v>
      </c>
      <c r="W58" s="6">
        <v>5</v>
      </c>
      <c r="X58" s="6">
        <v>0</v>
      </c>
      <c r="Y58" s="6">
        <v>0</v>
      </c>
      <c r="Z58" s="6">
        <v>1</v>
      </c>
      <c r="AA58" s="6">
        <v>5</v>
      </c>
      <c r="AB58" s="6">
        <v>0</v>
      </c>
      <c r="AC58" s="6">
        <v>0</v>
      </c>
      <c r="AD58" s="6">
        <v>0</v>
      </c>
      <c r="AE58" s="6">
        <v>0</v>
      </c>
      <c r="AF58" s="6">
        <v>3</v>
      </c>
      <c r="AG58" s="6">
        <v>0</v>
      </c>
      <c r="AH58" s="6">
        <v>0</v>
      </c>
      <c r="AI58" s="6">
        <v>1</v>
      </c>
      <c r="AJ58" s="6">
        <v>1</v>
      </c>
      <c r="AK58" s="6">
        <v>0</v>
      </c>
      <c r="AL58" s="6">
        <v>2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1</v>
      </c>
      <c r="AS58" s="6">
        <v>0</v>
      </c>
      <c r="AT58" s="6">
        <v>0</v>
      </c>
      <c r="AU58" s="6">
        <v>0</v>
      </c>
      <c r="AV58" s="6">
        <v>0</v>
      </c>
      <c r="AW58" s="6">
        <v>1</v>
      </c>
      <c r="AX58" s="6">
        <v>2</v>
      </c>
      <c r="AY58" s="6">
        <v>1</v>
      </c>
      <c r="AZ58" s="6">
        <v>1</v>
      </c>
      <c r="BA58" s="6">
        <v>0</v>
      </c>
      <c r="BB58" s="6">
        <v>1</v>
      </c>
      <c r="BC58" s="6">
        <v>0</v>
      </c>
      <c r="BD58" s="6">
        <v>0</v>
      </c>
      <c r="BE58" s="5">
        <f t="shared" si="41"/>
        <v>30</v>
      </c>
    </row>
    <row r="59" spans="1:57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V59" s="6">
        <v>1</v>
      </c>
      <c r="W59" s="6">
        <v>1</v>
      </c>
      <c r="X59" s="6">
        <v>0</v>
      </c>
      <c r="Y59" s="6">
        <v>1</v>
      </c>
      <c r="Z59" s="6">
        <v>0</v>
      </c>
      <c r="AA59" s="6">
        <v>0</v>
      </c>
      <c r="AB59" s="6">
        <v>0</v>
      </c>
      <c r="AC59" s="6">
        <v>2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1</v>
      </c>
      <c r="AM59" s="6">
        <v>2</v>
      </c>
      <c r="AN59" s="6">
        <v>0</v>
      </c>
      <c r="AO59" s="6">
        <v>1</v>
      </c>
      <c r="AP59" s="6">
        <v>0</v>
      </c>
      <c r="AQ59" s="6">
        <v>1</v>
      </c>
      <c r="AR59" s="6">
        <v>1</v>
      </c>
      <c r="AS59" s="6">
        <v>2</v>
      </c>
      <c r="AT59" s="6">
        <v>1</v>
      </c>
      <c r="AU59" s="6">
        <v>0</v>
      </c>
      <c r="AV59" s="6">
        <v>0</v>
      </c>
      <c r="AW59" s="6">
        <v>2</v>
      </c>
      <c r="AX59" s="6">
        <v>1</v>
      </c>
      <c r="AY59" s="6">
        <v>0</v>
      </c>
      <c r="AZ59" s="6">
        <v>2</v>
      </c>
      <c r="BA59" s="6">
        <v>1</v>
      </c>
      <c r="BB59" s="6">
        <v>0</v>
      </c>
      <c r="BC59" s="6">
        <v>0</v>
      </c>
      <c r="BD59" s="6">
        <v>1</v>
      </c>
      <c r="BE59" s="5">
        <f t="shared" si="41"/>
        <v>23</v>
      </c>
    </row>
    <row r="60" spans="1:57" ht="13.15" customHeight="1" x14ac:dyDescent="0.4">
      <c r="A60" s="7"/>
      <c r="B60" s="46">
        <v>6</v>
      </c>
      <c r="C60" s="24" t="s">
        <v>125</v>
      </c>
      <c r="D60" s="47"/>
      <c r="E60" s="6">
        <v>1</v>
      </c>
      <c r="F60" s="6">
        <v>2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2</v>
      </c>
      <c r="Q60" s="6">
        <v>0</v>
      </c>
      <c r="R60" s="6">
        <v>0</v>
      </c>
      <c r="S60" s="6">
        <v>1</v>
      </c>
      <c r="T60" s="6">
        <v>1</v>
      </c>
      <c r="U60" s="6">
        <v>1</v>
      </c>
      <c r="V60" s="6">
        <v>0</v>
      </c>
      <c r="W60" s="6">
        <v>0</v>
      </c>
      <c r="X60" s="6">
        <v>0</v>
      </c>
      <c r="Y60" s="6">
        <v>1</v>
      </c>
      <c r="Z60" s="6">
        <v>2</v>
      </c>
      <c r="AA60" s="6">
        <v>0</v>
      </c>
      <c r="AB60" s="6">
        <v>1</v>
      </c>
      <c r="AC60" s="6">
        <v>6</v>
      </c>
      <c r="AD60" s="6">
        <v>2</v>
      </c>
      <c r="AE60" s="6">
        <v>0</v>
      </c>
      <c r="AF60" s="6">
        <v>1</v>
      </c>
      <c r="AG60" s="6">
        <v>0</v>
      </c>
      <c r="AH60" s="6">
        <v>0</v>
      </c>
      <c r="AI60" s="6">
        <v>1</v>
      </c>
      <c r="AJ60" s="6">
        <v>0</v>
      </c>
      <c r="AK60" s="6">
        <v>0</v>
      </c>
      <c r="AL60" s="6">
        <v>0</v>
      </c>
      <c r="AM60" s="6">
        <v>0</v>
      </c>
      <c r="AN60" s="6">
        <v>2</v>
      </c>
      <c r="AO60" s="6">
        <v>0</v>
      </c>
      <c r="AP60" s="6">
        <v>0</v>
      </c>
      <c r="AQ60" s="6">
        <v>0</v>
      </c>
      <c r="AR60" s="6">
        <v>1</v>
      </c>
      <c r="AS60" s="6">
        <v>0</v>
      </c>
      <c r="AT60" s="6">
        <v>4</v>
      </c>
      <c r="AU60" s="6">
        <v>5</v>
      </c>
      <c r="AV60" s="6">
        <v>10</v>
      </c>
      <c r="AW60" s="6">
        <v>1</v>
      </c>
      <c r="AX60" s="6">
        <v>0</v>
      </c>
      <c r="AY60" s="6">
        <v>0</v>
      </c>
      <c r="AZ60" s="6">
        <v>6</v>
      </c>
      <c r="BA60" s="6">
        <v>4</v>
      </c>
      <c r="BB60" s="6">
        <v>0</v>
      </c>
      <c r="BC60" s="6">
        <v>3</v>
      </c>
      <c r="BD60" s="6">
        <v>0</v>
      </c>
      <c r="BE60" s="5">
        <f t="shared" si="41"/>
        <v>59</v>
      </c>
    </row>
    <row r="61" spans="1:57" x14ac:dyDescent="0.4">
      <c r="A61" s="6" t="s">
        <v>26</v>
      </c>
      <c r="B61" s="53" t="s">
        <v>51</v>
      </c>
      <c r="C61" s="69"/>
      <c r="D61" s="60"/>
      <c r="E61" s="5">
        <f t="shared" ref="E61:AJ61" si="42">SUM(E54:E60)</f>
        <v>14</v>
      </c>
      <c r="F61" s="5">
        <f t="shared" si="42"/>
        <v>10</v>
      </c>
      <c r="G61" s="5">
        <f t="shared" si="42"/>
        <v>7</v>
      </c>
      <c r="H61" s="5">
        <f t="shared" si="42"/>
        <v>12</v>
      </c>
      <c r="I61" s="5">
        <f t="shared" si="42"/>
        <v>15</v>
      </c>
      <c r="J61" s="5">
        <f t="shared" si="42"/>
        <v>8</v>
      </c>
      <c r="K61" s="5">
        <f t="shared" si="42"/>
        <v>14</v>
      </c>
      <c r="L61" s="5">
        <f t="shared" si="42"/>
        <v>22</v>
      </c>
      <c r="M61" s="5">
        <f t="shared" si="42"/>
        <v>34</v>
      </c>
      <c r="N61" s="5">
        <f t="shared" si="42"/>
        <v>14</v>
      </c>
      <c r="O61" s="5">
        <f t="shared" si="42"/>
        <v>15</v>
      </c>
      <c r="P61" s="5">
        <f t="shared" si="42"/>
        <v>10</v>
      </c>
      <c r="Q61" s="5">
        <f t="shared" si="42"/>
        <v>50</v>
      </c>
      <c r="R61" s="5">
        <f t="shared" si="42"/>
        <v>34</v>
      </c>
      <c r="S61" s="5">
        <f t="shared" si="42"/>
        <v>39</v>
      </c>
      <c r="T61" s="5">
        <f t="shared" si="42"/>
        <v>19</v>
      </c>
      <c r="U61" s="5">
        <f t="shared" si="42"/>
        <v>34</v>
      </c>
      <c r="V61" s="5">
        <f t="shared" si="42"/>
        <v>17</v>
      </c>
      <c r="W61" s="5">
        <f t="shared" si="42"/>
        <v>41</v>
      </c>
      <c r="X61" s="5">
        <f t="shared" si="42"/>
        <v>7</v>
      </c>
      <c r="Y61" s="5">
        <f t="shared" si="42"/>
        <v>14</v>
      </c>
      <c r="Z61" s="5">
        <f t="shared" si="42"/>
        <v>18</v>
      </c>
      <c r="AA61" s="5">
        <f t="shared" si="42"/>
        <v>18</v>
      </c>
      <c r="AB61" s="5">
        <f t="shared" si="42"/>
        <v>15</v>
      </c>
      <c r="AC61" s="5">
        <f t="shared" si="42"/>
        <v>13</v>
      </c>
      <c r="AD61" s="5">
        <f t="shared" si="42"/>
        <v>3</v>
      </c>
      <c r="AE61" s="5">
        <f t="shared" si="42"/>
        <v>5</v>
      </c>
      <c r="AF61" s="5">
        <f t="shared" si="42"/>
        <v>20</v>
      </c>
      <c r="AG61" s="5">
        <f t="shared" si="42"/>
        <v>8</v>
      </c>
      <c r="AH61" s="5">
        <f t="shared" si="42"/>
        <v>15</v>
      </c>
      <c r="AI61" s="5">
        <f t="shared" si="42"/>
        <v>18</v>
      </c>
      <c r="AJ61" s="5">
        <f t="shared" si="42"/>
        <v>20</v>
      </c>
      <c r="AK61" s="5">
        <f t="shared" ref="AK61:BE61" si="43">SUM(AK54:AK60)</f>
        <v>16</v>
      </c>
      <c r="AL61" s="5">
        <f t="shared" si="43"/>
        <v>18</v>
      </c>
      <c r="AM61" s="5">
        <f t="shared" si="43"/>
        <v>12</v>
      </c>
      <c r="AN61" s="5">
        <f t="shared" si="43"/>
        <v>16</v>
      </c>
      <c r="AO61" s="5">
        <f t="shared" si="43"/>
        <v>13</v>
      </c>
      <c r="AP61" s="5">
        <f t="shared" si="43"/>
        <v>4</v>
      </c>
      <c r="AQ61" s="5">
        <f t="shared" si="43"/>
        <v>16</v>
      </c>
      <c r="AR61" s="5">
        <f t="shared" si="43"/>
        <v>51</v>
      </c>
      <c r="AS61" s="5">
        <f t="shared" si="43"/>
        <v>16</v>
      </c>
      <c r="AT61" s="5">
        <f t="shared" si="43"/>
        <v>31</v>
      </c>
      <c r="AU61" s="5">
        <f t="shared" si="43"/>
        <v>33</v>
      </c>
      <c r="AV61" s="5">
        <f t="shared" si="43"/>
        <v>57</v>
      </c>
      <c r="AW61" s="5">
        <f t="shared" si="43"/>
        <v>51</v>
      </c>
      <c r="AX61" s="5">
        <f t="shared" si="43"/>
        <v>46</v>
      </c>
      <c r="AY61" s="5">
        <f t="shared" si="43"/>
        <v>25</v>
      </c>
      <c r="AZ61" s="5">
        <f t="shared" si="43"/>
        <v>34</v>
      </c>
      <c r="BA61" s="5">
        <f t="shared" si="43"/>
        <v>25</v>
      </c>
      <c r="BB61" s="5">
        <f t="shared" si="43"/>
        <v>19</v>
      </c>
      <c r="BC61" s="5">
        <f t="shared" si="43"/>
        <v>22</v>
      </c>
      <c r="BD61" s="5">
        <f t="shared" si="43"/>
        <v>21</v>
      </c>
      <c r="BE61" s="5">
        <f t="shared" si="43"/>
        <v>1109</v>
      </c>
    </row>
    <row r="62" spans="1:57" x14ac:dyDescent="0.4">
      <c r="A62" s="70"/>
      <c r="B62" s="71"/>
      <c r="C62" s="71"/>
      <c r="D62" s="71"/>
      <c r="E62" s="71"/>
    </row>
    <row r="63" spans="1:57" x14ac:dyDescent="0.4">
      <c r="A63" s="11" t="s">
        <v>48</v>
      </c>
      <c r="B63" s="17" t="s">
        <v>32</v>
      </c>
      <c r="C63" s="59" t="s">
        <v>53</v>
      </c>
      <c r="D63" s="60"/>
      <c r="E63" s="6">
        <v>13</v>
      </c>
      <c r="F63" s="6">
        <v>14</v>
      </c>
      <c r="G63" s="6">
        <v>3</v>
      </c>
      <c r="H63" s="6">
        <v>10</v>
      </c>
      <c r="I63" s="6">
        <v>10</v>
      </c>
      <c r="J63" s="6">
        <v>8</v>
      </c>
      <c r="K63" s="6">
        <v>12</v>
      </c>
      <c r="L63" s="6">
        <v>11</v>
      </c>
      <c r="M63" s="6">
        <v>16</v>
      </c>
      <c r="N63" s="6">
        <v>11</v>
      </c>
      <c r="O63" s="6">
        <v>8</v>
      </c>
      <c r="P63" s="6">
        <v>8</v>
      </c>
      <c r="Q63" s="6">
        <v>11</v>
      </c>
      <c r="R63" s="6">
        <v>7</v>
      </c>
      <c r="S63" s="6">
        <v>8</v>
      </c>
      <c r="T63" s="6">
        <v>11</v>
      </c>
      <c r="U63" s="6">
        <v>15</v>
      </c>
      <c r="V63" s="6">
        <v>17</v>
      </c>
      <c r="W63" s="6">
        <v>7</v>
      </c>
      <c r="X63" s="6">
        <v>8</v>
      </c>
      <c r="Y63" s="6">
        <v>8</v>
      </c>
      <c r="Z63" s="6">
        <v>11</v>
      </c>
      <c r="AA63" s="6">
        <v>6</v>
      </c>
      <c r="AB63" s="6">
        <v>18</v>
      </c>
      <c r="AC63" s="6">
        <v>7</v>
      </c>
      <c r="AD63" s="6">
        <v>1</v>
      </c>
      <c r="AE63" s="6">
        <v>7</v>
      </c>
      <c r="AF63" s="6">
        <v>14</v>
      </c>
      <c r="AG63" s="6">
        <v>3</v>
      </c>
      <c r="AH63" s="6">
        <v>9</v>
      </c>
      <c r="AI63" s="6">
        <v>9</v>
      </c>
      <c r="AJ63" s="6">
        <v>11</v>
      </c>
      <c r="AK63" s="6">
        <v>15</v>
      </c>
      <c r="AL63" s="6">
        <v>6</v>
      </c>
      <c r="AM63" s="6">
        <v>5</v>
      </c>
      <c r="AN63" s="6">
        <v>4</v>
      </c>
      <c r="AO63" s="6">
        <v>1</v>
      </c>
      <c r="AP63" s="6">
        <v>5</v>
      </c>
      <c r="AQ63" s="6">
        <v>7</v>
      </c>
      <c r="AR63" s="6">
        <v>5</v>
      </c>
      <c r="AS63" s="6">
        <v>6</v>
      </c>
      <c r="AT63" s="6">
        <v>5</v>
      </c>
      <c r="AU63" s="6">
        <v>2</v>
      </c>
      <c r="AV63" s="6">
        <v>1</v>
      </c>
      <c r="AW63" s="6">
        <v>6</v>
      </c>
      <c r="AX63" s="6">
        <v>1</v>
      </c>
      <c r="AY63" s="6">
        <v>2</v>
      </c>
      <c r="AZ63" s="6">
        <v>6</v>
      </c>
      <c r="BA63" s="6">
        <v>5</v>
      </c>
      <c r="BB63" s="6">
        <v>2</v>
      </c>
      <c r="BC63" s="6">
        <v>10</v>
      </c>
      <c r="BD63" s="6">
        <v>16</v>
      </c>
      <c r="BE63" s="5">
        <f t="shared" ref="BE63:BE69" si="44">SUM(E63:BD63)</f>
        <v>422</v>
      </c>
    </row>
    <row r="64" spans="1:57" x14ac:dyDescent="0.4">
      <c r="A64" s="11" t="s">
        <v>50</v>
      </c>
      <c r="B64" s="46">
        <v>1</v>
      </c>
      <c r="C64" s="24" t="s">
        <v>126</v>
      </c>
      <c r="D64" s="47"/>
      <c r="E64" s="6">
        <v>35</v>
      </c>
      <c r="F64" s="6">
        <v>37</v>
      </c>
      <c r="G64" s="6">
        <v>7</v>
      </c>
      <c r="H64" s="6">
        <v>10</v>
      </c>
      <c r="I64" s="6">
        <v>7</v>
      </c>
      <c r="J64" s="6">
        <v>49</v>
      </c>
      <c r="K64" s="6">
        <v>41</v>
      </c>
      <c r="L64" s="6">
        <v>30</v>
      </c>
      <c r="M64" s="6">
        <v>15</v>
      </c>
      <c r="N64" s="6">
        <v>17</v>
      </c>
      <c r="O64" s="6">
        <v>43</v>
      </c>
      <c r="P64" s="6">
        <v>29</v>
      </c>
      <c r="Q64" s="6">
        <v>19</v>
      </c>
      <c r="R64" s="6">
        <v>55</v>
      </c>
      <c r="S64" s="6">
        <v>25</v>
      </c>
      <c r="T64" s="6">
        <v>2</v>
      </c>
      <c r="U64" s="6">
        <v>35</v>
      </c>
      <c r="V64" s="6">
        <v>10</v>
      </c>
      <c r="W64" s="6">
        <v>9</v>
      </c>
      <c r="X64" s="6">
        <v>20</v>
      </c>
      <c r="Y64" s="6">
        <v>21</v>
      </c>
      <c r="Z64" s="6">
        <v>27</v>
      </c>
      <c r="AA64" s="6">
        <v>127</v>
      </c>
      <c r="AB64" s="6">
        <v>35</v>
      </c>
      <c r="AC64" s="6">
        <v>33</v>
      </c>
      <c r="AD64" s="6">
        <v>3</v>
      </c>
      <c r="AE64" s="6">
        <v>4</v>
      </c>
      <c r="AF64" s="6">
        <v>18</v>
      </c>
      <c r="AG64" s="6">
        <v>16</v>
      </c>
      <c r="AH64" s="6">
        <v>5</v>
      </c>
      <c r="AI64" s="6">
        <v>9</v>
      </c>
      <c r="AJ64" s="6">
        <v>16</v>
      </c>
      <c r="AK64" s="6">
        <v>17</v>
      </c>
      <c r="AL64" s="6">
        <v>16</v>
      </c>
      <c r="AM64" s="6">
        <v>20</v>
      </c>
      <c r="AN64" s="6">
        <v>9</v>
      </c>
      <c r="AO64" s="6">
        <v>9</v>
      </c>
      <c r="AP64" s="6">
        <v>5</v>
      </c>
      <c r="AQ64" s="6">
        <v>7</v>
      </c>
      <c r="AR64" s="6">
        <v>19</v>
      </c>
      <c r="AS64" s="6">
        <v>21</v>
      </c>
      <c r="AT64" s="6">
        <v>17</v>
      </c>
      <c r="AU64" s="6">
        <v>15</v>
      </c>
      <c r="AV64" s="6">
        <v>20</v>
      </c>
      <c r="AW64" s="6">
        <v>16</v>
      </c>
      <c r="AX64" s="6">
        <v>9</v>
      </c>
      <c r="AY64" s="6">
        <v>9</v>
      </c>
      <c r="AZ64" s="6">
        <v>29</v>
      </c>
      <c r="BA64" s="6">
        <v>9</v>
      </c>
      <c r="BB64" s="6">
        <v>18</v>
      </c>
      <c r="BC64" s="6">
        <v>13</v>
      </c>
      <c r="BD64" s="6">
        <v>50</v>
      </c>
      <c r="BE64" s="5">
        <f t="shared" si="44"/>
        <v>1137</v>
      </c>
    </row>
    <row r="65" spans="1:57" x14ac:dyDescent="0.4">
      <c r="A65" s="7"/>
      <c r="B65" s="46">
        <v>2</v>
      </c>
      <c r="C65" s="24" t="s">
        <v>127</v>
      </c>
      <c r="D65" s="47"/>
      <c r="E65" s="6">
        <v>68</v>
      </c>
      <c r="F65" s="6">
        <v>80</v>
      </c>
      <c r="G65" s="6">
        <v>26</v>
      </c>
      <c r="H65" s="6">
        <v>49</v>
      </c>
      <c r="I65" s="6">
        <v>91</v>
      </c>
      <c r="J65" s="6">
        <v>62</v>
      </c>
      <c r="K65" s="6">
        <v>47</v>
      </c>
      <c r="L65" s="6">
        <v>52</v>
      </c>
      <c r="M65" s="6">
        <v>64</v>
      </c>
      <c r="N65" s="6">
        <v>49</v>
      </c>
      <c r="O65" s="6">
        <v>32</v>
      </c>
      <c r="P65" s="6">
        <v>49</v>
      </c>
      <c r="Q65" s="6">
        <v>21</v>
      </c>
      <c r="R65" s="6">
        <v>25</v>
      </c>
      <c r="S65" s="6">
        <v>20</v>
      </c>
      <c r="T65" s="6">
        <v>110</v>
      </c>
      <c r="U65" s="6">
        <v>18</v>
      </c>
      <c r="V65" s="6">
        <v>62</v>
      </c>
      <c r="W65" s="6">
        <v>12</v>
      </c>
      <c r="X65" s="6">
        <v>6</v>
      </c>
      <c r="Y65" s="6">
        <v>16</v>
      </c>
      <c r="Z65" s="6">
        <v>11</v>
      </c>
      <c r="AA65" s="6">
        <v>7</v>
      </c>
      <c r="AB65" s="6">
        <v>64</v>
      </c>
      <c r="AC65" s="6">
        <v>53</v>
      </c>
      <c r="AD65" s="6">
        <v>15</v>
      </c>
      <c r="AE65" s="6">
        <v>73</v>
      </c>
      <c r="AF65" s="6">
        <v>29</v>
      </c>
      <c r="AG65" s="6">
        <v>23</v>
      </c>
      <c r="AH65" s="6">
        <v>23</v>
      </c>
      <c r="AI65" s="6">
        <v>22</v>
      </c>
      <c r="AJ65" s="6">
        <v>77</v>
      </c>
      <c r="AK65" s="6">
        <v>60</v>
      </c>
      <c r="AL65" s="6">
        <v>25</v>
      </c>
      <c r="AM65" s="6">
        <v>24</v>
      </c>
      <c r="AN65" s="6">
        <v>22</v>
      </c>
      <c r="AO65" s="6">
        <v>12</v>
      </c>
      <c r="AP65" s="6">
        <v>37</v>
      </c>
      <c r="AQ65" s="6">
        <v>63</v>
      </c>
      <c r="AR65" s="6">
        <v>4</v>
      </c>
      <c r="AS65" s="6">
        <v>6</v>
      </c>
      <c r="AT65" s="6">
        <v>7</v>
      </c>
      <c r="AU65" s="6">
        <v>1</v>
      </c>
      <c r="AV65" s="6">
        <v>5</v>
      </c>
      <c r="AW65" s="6">
        <v>5</v>
      </c>
      <c r="AX65" s="6">
        <v>13</v>
      </c>
      <c r="AY65" s="6">
        <v>12</v>
      </c>
      <c r="AZ65" s="6">
        <v>2</v>
      </c>
      <c r="BA65" s="6">
        <v>1</v>
      </c>
      <c r="BB65" s="6">
        <v>1</v>
      </c>
      <c r="BC65" s="6">
        <v>1</v>
      </c>
      <c r="BD65" s="6">
        <v>13</v>
      </c>
      <c r="BE65" s="5">
        <f t="shared" si="44"/>
        <v>1670</v>
      </c>
    </row>
    <row r="66" spans="1:57" x14ac:dyDescent="0.4">
      <c r="A66" s="7"/>
      <c r="B66" s="46">
        <v>3</v>
      </c>
      <c r="C66" s="24" t="s">
        <v>128</v>
      </c>
      <c r="D66" s="47"/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2</v>
      </c>
      <c r="K66" s="6">
        <v>0</v>
      </c>
      <c r="L66" s="6">
        <v>1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  <c r="U66" s="6">
        <v>2</v>
      </c>
      <c r="V66" s="6">
        <v>0</v>
      </c>
      <c r="W66" s="6">
        <v>1</v>
      </c>
      <c r="X66" s="6">
        <v>0</v>
      </c>
      <c r="Y66" s="6">
        <v>1</v>
      </c>
      <c r="Z66" s="6">
        <v>1</v>
      </c>
      <c r="AA66" s="6">
        <v>1</v>
      </c>
      <c r="AB66" s="6">
        <v>0</v>
      </c>
      <c r="AC66" s="6">
        <v>2</v>
      </c>
      <c r="AD66" s="6">
        <v>0</v>
      </c>
      <c r="AE66" s="6">
        <v>0</v>
      </c>
      <c r="AF66" s="6">
        <v>0</v>
      </c>
      <c r="AG66" s="6">
        <v>1</v>
      </c>
      <c r="AH66" s="6">
        <v>0</v>
      </c>
      <c r="AI66" s="6">
        <v>0</v>
      </c>
      <c r="AJ66" s="6">
        <v>1</v>
      </c>
      <c r="AK66" s="6">
        <v>1</v>
      </c>
      <c r="AL66" s="6">
        <v>1</v>
      </c>
      <c r="AM66" s="6">
        <v>2</v>
      </c>
      <c r="AN66" s="6">
        <v>1</v>
      </c>
      <c r="AO66" s="6">
        <v>2</v>
      </c>
      <c r="AP66" s="6">
        <v>1</v>
      </c>
      <c r="AQ66" s="6">
        <v>1</v>
      </c>
      <c r="AR66" s="6">
        <v>0</v>
      </c>
      <c r="AS66" s="6">
        <v>0</v>
      </c>
      <c r="AT66" s="6">
        <v>2</v>
      </c>
      <c r="AU66" s="6">
        <v>2</v>
      </c>
      <c r="AV66" s="6">
        <v>0</v>
      </c>
      <c r="AW66" s="6">
        <v>0</v>
      </c>
      <c r="AX66" s="6">
        <v>12</v>
      </c>
      <c r="AY66" s="6">
        <v>0</v>
      </c>
      <c r="AZ66" s="6">
        <v>1</v>
      </c>
      <c r="BA66" s="6">
        <v>4</v>
      </c>
      <c r="BB66" s="6">
        <v>0</v>
      </c>
      <c r="BC66" s="6">
        <v>2</v>
      </c>
      <c r="BD66" s="6">
        <v>0</v>
      </c>
      <c r="BE66" s="5">
        <f t="shared" si="44"/>
        <v>48</v>
      </c>
    </row>
    <row r="67" spans="1:57" x14ac:dyDescent="0.4">
      <c r="A67" s="7"/>
      <c r="B67" s="46">
        <v>4</v>
      </c>
      <c r="C67" s="24" t="s">
        <v>129</v>
      </c>
      <c r="D67" s="47"/>
      <c r="E67" s="6">
        <v>0</v>
      </c>
      <c r="F67" s="6">
        <v>0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2</v>
      </c>
      <c r="AJ67" s="6">
        <v>0</v>
      </c>
      <c r="AK67" s="6">
        <v>0</v>
      </c>
      <c r="AL67" s="6">
        <v>0</v>
      </c>
      <c r="AM67" s="6">
        <v>1</v>
      </c>
      <c r="AN67" s="6">
        <v>0</v>
      </c>
      <c r="AO67" s="6">
        <v>0</v>
      </c>
      <c r="AP67" s="6">
        <v>1</v>
      </c>
      <c r="AQ67" s="6">
        <v>1</v>
      </c>
      <c r="AR67" s="6">
        <v>1</v>
      </c>
      <c r="AS67" s="6">
        <v>0</v>
      </c>
      <c r="AT67" s="6">
        <v>1</v>
      </c>
      <c r="AU67" s="6">
        <v>1</v>
      </c>
      <c r="AV67" s="6">
        <v>0</v>
      </c>
      <c r="AW67" s="6">
        <v>0</v>
      </c>
      <c r="AX67" s="6">
        <v>0</v>
      </c>
      <c r="AY67" s="6">
        <v>1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5">
        <f t="shared" si="44"/>
        <v>12</v>
      </c>
    </row>
    <row r="68" spans="1:57" ht="13.15" customHeight="1" x14ac:dyDescent="0.4">
      <c r="A68" s="7"/>
      <c r="B68" s="46">
        <v>5</v>
      </c>
      <c r="C68" s="24" t="s">
        <v>130</v>
      </c>
      <c r="D68" s="47"/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2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1</v>
      </c>
      <c r="BE68" s="5">
        <f t="shared" si="44"/>
        <v>6</v>
      </c>
    </row>
    <row r="69" spans="1:57" x14ac:dyDescent="0.4">
      <c r="A69" s="7"/>
      <c r="B69" s="46">
        <v>6</v>
      </c>
      <c r="C69" s="24" t="s">
        <v>131</v>
      </c>
      <c r="D69" s="47"/>
      <c r="E69" s="6">
        <v>1</v>
      </c>
      <c r="F69" s="6">
        <v>0</v>
      </c>
      <c r="G69" s="6">
        <v>0</v>
      </c>
      <c r="H69" s="6">
        <v>0</v>
      </c>
      <c r="I69" s="6">
        <v>1</v>
      </c>
      <c r="J69" s="6">
        <v>0</v>
      </c>
      <c r="K69" s="6">
        <v>0</v>
      </c>
      <c r="L69" s="6">
        <v>2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0</v>
      </c>
      <c r="W69" s="6">
        <v>0</v>
      </c>
      <c r="X69" s="6">
        <v>0</v>
      </c>
      <c r="Y69" s="6">
        <v>0</v>
      </c>
      <c r="Z69" s="6">
        <v>1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2</v>
      </c>
      <c r="AM69" s="6">
        <v>1</v>
      </c>
      <c r="AN69" s="6">
        <v>0</v>
      </c>
      <c r="AO69" s="6">
        <v>1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1</v>
      </c>
      <c r="AV69" s="6">
        <v>1</v>
      </c>
      <c r="AW69" s="6">
        <v>3</v>
      </c>
      <c r="AX69" s="6">
        <v>0</v>
      </c>
      <c r="AY69" s="6">
        <v>1</v>
      </c>
      <c r="AZ69" s="6">
        <v>2</v>
      </c>
      <c r="BA69" s="6">
        <v>1</v>
      </c>
      <c r="BB69" s="6">
        <v>1</v>
      </c>
      <c r="BC69" s="6">
        <v>0</v>
      </c>
      <c r="BD69" s="6">
        <v>0</v>
      </c>
      <c r="BE69" s="5">
        <f t="shared" si="44"/>
        <v>21</v>
      </c>
    </row>
    <row r="70" spans="1:57" x14ac:dyDescent="0.4">
      <c r="A70" s="6" t="s">
        <v>26</v>
      </c>
      <c r="B70" s="53" t="s">
        <v>51</v>
      </c>
      <c r="C70" s="69"/>
      <c r="D70" s="60"/>
      <c r="E70" s="5">
        <f t="shared" ref="E70:AJ70" si="45">SUM(E63:E69)</f>
        <v>118</v>
      </c>
      <c r="F70" s="5">
        <f t="shared" si="45"/>
        <v>131</v>
      </c>
      <c r="G70" s="5">
        <f t="shared" si="45"/>
        <v>36</v>
      </c>
      <c r="H70" s="5">
        <f t="shared" si="45"/>
        <v>70</v>
      </c>
      <c r="I70" s="5">
        <f t="shared" si="45"/>
        <v>110</v>
      </c>
      <c r="J70" s="5">
        <f t="shared" si="45"/>
        <v>121</v>
      </c>
      <c r="K70" s="5">
        <f t="shared" si="45"/>
        <v>100</v>
      </c>
      <c r="L70" s="5">
        <f t="shared" si="45"/>
        <v>97</v>
      </c>
      <c r="M70" s="5">
        <f t="shared" si="45"/>
        <v>95</v>
      </c>
      <c r="N70" s="5">
        <f t="shared" si="45"/>
        <v>78</v>
      </c>
      <c r="O70" s="5">
        <f t="shared" si="45"/>
        <v>84</v>
      </c>
      <c r="P70" s="5">
        <f t="shared" si="45"/>
        <v>87</v>
      </c>
      <c r="Q70" s="5">
        <f t="shared" si="45"/>
        <v>52</v>
      </c>
      <c r="R70" s="5">
        <f t="shared" si="45"/>
        <v>88</v>
      </c>
      <c r="S70" s="5">
        <f t="shared" si="45"/>
        <v>53</v>
      </c>
      <c r="T70" s="5">
        <f t="shared" si="45"/>
        <v>123</v>
      </c>
      <c r="U70" s="5">
        <f t="shared" si="45"/>
        <v>72</v>
      </c>
      <c r="V70" s="5">
        <f t="shared" si="45"/>
        <v>89</v>
      </c>
      <c r="W70" s="5">
        <f t="shared" si="45"/>
        <v>29</v>
      </c>
      <c r="X70" s="5">
        <f t="shared" si="45"/>
        <v>34</v>
      </c>
      <c r="Y70" s="5">
        <f t="shared" si="45"/>
        <v>46</v>
      </c>
      <c r="Z70" s="5">
        <f t="shared" si="45"/>
        <v>51</v>
      </c>
      <c r="AA70" s="5">
        <f t="shared" si="45"/>
        <v>141</v>
      </c>
      <c r="AB70" s="5">
        <f t="shared" si="45"/>
        <v>117</v>
      </c>
      <c r="AC70" s="5">
        <f t="shared" si="45"/>
        <v>97</v>
      </c>
      <c r="AD70" s="5">
        <f t="shared" si="45"/>
        <v>19</v>
      </c>
      <c r="AE70" s="5">
        <f t="shared" si="45"/>
        <v>84</v>
      </c>
      <c r="AF70" s="5">
        <f t="shared" si="45"/>
        <v>61</v>
      </c>
      <c r="AG70" s="5">
        <f t="shared" si="45"/>
        <v>43</v>
      </c>
      <c r="AH70" s="5">
        <f t="shared" si="45"/>
        <v>37</v>
      </c>
      <c r="AI70" s="5">
        <f t="shared" si="45"/>
        <v>42</v>
      </c>
      <c r="AJ70" s="5">
        <f t="shared" si="45"/>
        <v>105</v>
      </c>
      <c r="AK70" s="5">
        <f t="shared" ref="AK70:BE70" si="46">SUM(AK63:AK69)</f>
        <v>93</v>
      </c>
      <c r="AL70" s="5">
        <f t="shared" si="46"/>
        <v>50</v>
      </c>
      <c r="AM70" s="5">
        <f t="shared" si="46"/>
        <v>53</v>
      </c>
      <c r="AN70" s="5">
        <f t="shared" si="46"/>
        <v>36</v>
      </c>
      <c r="AO70" s="5">
        <f t="shared" si="46"/>
        <v>25</v>
      </c>
      <c r="AP70" s="5">
        <f t="shared" si="46"/>
        <v>49</v>
      </c>
      <c r="AQ70" s="5">
        <f t="shared" si="46"/>
        <v>79</v>
      </c>
      <c r="AR70" s="5">
        <f t="shared" si="46"/>
        <v>29</v>
      </c>
      <c r="AS70" s="5">
        <f t="shared" si="46"/>
        <v>33</v>
      </c>
      <c r="AT70" s="5">
        <f t="shared" si="46"/>
        <v>32</v>
      </c>
      <c r="AU70" s="5">
        <f t="shared" si="46"/>
        <v>22</v>
      </c>
      <c r="AV70" s="5">
        <f t="shared" si="46"/>
        <v>27</v>
      </c>
      <c r="AW70" s="5">
        <f t="shared" si="46"/>
        <v>30</v>
      </c>
      <c r="AX70" s="5">
        <f t="shared" si="46"/>
        <v>35</v>
      </c>
      <c r="AY70" s="5">
        <f t="shared" si="46"/>
        <v>25</v>
      </c>
      <c r="AZ70" s="5">
        <f t="shared" si="46"/>
        <v>40</v>
      </c>
      <c r="BA70" s="5">
        <f t="shared" si="46"/>
        <v>20</v>
      </c>
      <c r="BB70" s="5">
        <f t="shared" si="46"/>
        <v>22</v>
      </c>
      <c r="BC70" s="5">
        <f t="shared" si="46"/>
        <v>26</v>
      </c>
      <c r="BD70" s="5">
        <f t="shared" si="46"/>
        <v>80</v>
      </c>
      <c r="BE70" s="5">
        <f t="shared" si="46"/>
        <v>3316</v>
      </c>
    </row>
    <row r="71" spans="1:57" x14ac:dyDescent="0.4">
      <c r="A71" s="70"/>
      <c r="B71" s="71"/>
      <c r="C71" s="71"/>
      <c r="D71" s="71"/>
      <c r="E71" s="71"/>
    </row>
    <row r="72" spans="1:57" x14ac:dyDescent="0.4">
      <c r="A72" s="11" t="s">
        <v>48</v>
      </c>
      <c r="B72" s="17" t="s">
        <v>34</v>
      </c>
      <c r="C72" s="59" t="s">
        <v>54</v>
      </c>
      <c r="D72" s="60"/>
      <c r="E72" s="6">
        <v>1</v>
      </c>
      <c r="F72" s="6">
        <v>2</v>
      </c>
      <c r="G72" s="6">
        <v>2</v>
      </c>
      <c r="H72" s="6">
        <v>4</v>
      </c>
      <c r="I72" s="6">
        <v>3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4</v>
      </c>
      <c r="P72" s="6">
        <v>2</v>
      </c>
      <c r="Q72" s="6">
        <v>1</v>
      </c>
      <c r="R72" s="6">
        <v>2</v>
      </c>
      <c r="S72" s="6">
        <v>4</v>
      </c>
      <c r="T72" s="6">
        <v>0</v>
      </c>
      <c r="U72" s="6">
        <v>6</v>
      </c>
      <c r="V72" s="6">
        <v>7</v>
      </c>
      <c r="W72" s="6">
        <v>5</v>
      </c>
      <c r="X72" s="6">
        <v>2</v>
      </c>
      <c r="Y72" s="6">
        <v>10</v>
      </c>
      <c r="Z72" s="6">
        <v>4</v>
      </c>
      <c r="AA72" s="6">
        <v>3</v>
      </c>
      <c r="AB72" s="6">
        <v>4</v>
      </c>
      <c r="AC72" s="6">
        <v>3</v>
      </c>
      <c r="AD72" s="6">
        <v>4</v>
      </c>
      <c r="AE72" s="6">
        <v>2</v>
      </c>
      <c r="AF72" s="6">
        <v>14</v>
      </c>
      <c r="AG72" s="6">
        <v>1</v>
      </c>
      <c r="AH72" s="6">
        <v>7</v>
      </c>
      <c r="AI72" s="6">
        <v>1</v>
      </c>
      <c r="AJ72" s="6">
        <v>2</v>
      </c>
      <c r="AK72" s="6">
        <v>4</v>
      </c>
      <c r="AL72" s="6">
        <v>6</v>
      </c>
      <c r="AM72" s="6">
        <v>2</v>
      </c>
      <c r="AN72" s="6">
        <v>6</v>
      </c>
      <c r="AO72" s="6">
        <v>11</v>
      </c>
      <c r="AP72" s="6">
        <v>1</v>
      </c>
      <c r="AQ72" s="6">
        <v>3</v>
      </c>
      <c r="AR72" s="6">
        <v>3</v>
      </c>
      <c r="AS72" s="6">
        <v>0</v>
      </c>
      <c r="AT72" s="6">
        <v>2</v>
      </c>
      <c r="AU72" s="6">
        <v>2</v>
      </c>
      <c r="AV72" s="6">
        <v>2</v>
      </c>
      <c r="AW72" s="6">
        <v>3</v>
      </c>
      <c r="AX72" s="6">
        <v>2</v>
      </c>
      <c r="AY72" s="6">
        <v>2</v>
      </c>
      <c r="AZ72" s="6">
        <v>2</v>
      </c>
      <c r="BA72" s="6">
        <v>4</v>
      </c>
      <c r="BB72" s="6">
        <v>4</v>
      </c>
      <c r="BC72" s="6">
        <v>11</v>
      </c>
      <c r="BD72" s="6">
        <v>2</v>
      </c>
      <c r="BE72" s="5">
        <f t="shared" ref="BE72:BE78" si="47">SUM(E72:BD72)</f>
        <v>177</v>
      </c>
    </row>
    <row r="73" spans="1:57" x14ac:dyDescent="0.4">
      <c r="A73" s="11" t="s">
        <v>50</v>
      </c>
      <c r="B73" s="46">
        <v>1</v>
      </c>
      <c r="C73" s="24" t="s">
        <v>132</v>
      </c>
      <c r="D73" s="47"/>
      <c r="E73" s="6">
        <v>11</v>
      </c>
      <c r="F73" s="6">
        <v>1</v>
      </c>
      <c r="G73" s="6">
        <v>1</v>
      </c>
      <c r="H73" s="6">
        <v>2</v>
      </c>
      <c r="I73" s="6">
        <v>0</v>
      </c>
      <c r="J73" s="6">
        <v>1</v>
      </c>
      <c r="K73" s="6">
        <v>1</v>
      </c>
      <c r="L73" s="6">
        <v>8</v>
      </c>
      <c r="M73" s="6">
        <v>1</v>
      </c>
      <c r="N73" s="6">
        <v>1</v>
      </c>
      <c r="O73" s="6">
        <v>5</v>
      </c>
      <c r="P73" s="6">
        <v>0</v>
      </c>
      <c r="Q73" s="6">
        <v>1</v>
      </c>
      <c r="R73" s="6">
        <v>2</v>
      </c>
      <c r="S73" s="6">
        <v>1</v>
      </c>
      <c r="T73" s="6">
        <v>9</v>
      </c>
      <c r="U73" s="6">
        <v>3</v>
      </c>
      <c r="V73" s="6">
        <v>1</v>
      </c>
      <c r="W73" s="6">
        <v>27</v>
      </c>
      <c r="X73" s="6">
        <v>11</v>
      </c>
      <c r="Y73" s="6">
        <v>26</v>
      </c>
      <c r="Z73" s="6">
        <v>40</v>
      </c>
      <c r="AA73" s="6">
        <v>25</v>
      </c>
      <c r="AB73" s="6">
        <v>23</v>
      </c>
      <c r="AC73" s="6">
        <v>39</v>
      </c>
      <c r="AD73" s="6">
        <v>167</v>
      </c>
      <c r="AE73" s="6">
        <v>3</v>
      </c>
      <c r="AF73" s="6">
        <v>4</v>
      </c>
      <c r="AG73" s="6">
        <v>16</v>
      </c>
      <c r="AH73" s="6">
        <v>76</v>
      </c>
      <c r="AI73" s="6">
        <v>18</v>
      </c>
      <c r="AJ73" s="6">
        <v>1</v>
      </c>
      <c r="AK73" s="6">
        <v>13</v>
      </c>
      <c r="AL73" s="6">
        <v>10</v>
      </c>
      <c r="AM73" s="6">
        <v>5</v>
      </c>
      <c r="AN73" s="6">
        <v>11</v>
      </c>
      <c r="AO73" s="6">
        <v>10</v>
      </c>
      <c r="AP73" s="6">
        <v>35</v>
      </c>
      <c r="AQ73" s="6">
        <v>9</v>
      </c>
      <c r="AR73" s="6">
        <v>5</v>
      </c>
      <c r="AS73" s="6">
        <v>5</v>
      </c>
      <c r="AT73" s="6">
        <v>7</v>
      </c>
      <c r="AU73" s="6">
        <v>6</v>
      </c>
      <c r="AV73" s="6">
        <v>3</v>
      </c>
      <c r="AW73" s="6">
        <v>3</v>
      </c>
      <c r="AX73" s="6">
        <v>2</v>
      </c>
      <c r="AY73" s="6">
        <v>3</v>
      </c>
      <c r="AZ73" s="6">
        <v>3</v>
      </c>
      <c r="BA73" s="6">
        <v>2</v>
      </c>
      <c r="BB73" s="6">
        <v>5</v>
      </c>
      <c r="BC73" s="6">
        <v>26</v>
      </c>
      <c r="BD73" s="6">
        <v>2</v>
      </c>
      <c r="BE73" s="5">
        <f t="shared" si="47"/>
        <v>690</v>
      </c>
    </row>
    <row r="74" spans="1:57" x14ac:dyDescent="0.4">
      <c r="A74" s="7"/>
      <c r="B74" s="46">
        <v>2</v>
      </c>
      <c r="C74" s="24" t="s">
        <v>133</v>
      </c>
      <c r="D74" s="47"/>
      <c r="E74" s="6">
        <v>9</v>
      </c>
      <c r="F74" s="6">
        <v>7</v>
      </c>
      <c r="G74" s="6">
        <v>131</v>
      </c>
      <c r="H74" s="6">
        <v>77</v>
      </c>
      <c r="I74" s="6">
        <v>45</v>
      </c>
      <c r="J74" s="6">
        <v>13</v>
      </c>
      <c r="K74" s="6">
        <v>1</v>
      </c>
      <c r="L74" s="6">
        <v>6</v>
      </c>
      <c r="M74" s="6">
        <v>8</v>
      </c>
      <c r="N74" s="6">
        <v>22</v>
      </c>
      <c r="O74" s="6">
        <v>28</v>
      </c>
      <c r="P74" s="6">
        <v>4</v>
      </c>
      <c r="Q74" s="6">
        <v>78</v>
      </c>
      <c r="R74" s="6">
        <v>16</v>
      </c>
      <c r="S74" s="6">
        <v>43</v>
      </c>
      <c r="T74" s="6">
        <v>3</v>
      </c>
      <c r="U74" s="6">
        <v>3</v>
      </c>
      <c r="V74" s="6">
        <v>2</v>
      </c>
      <c r="W74" s="6">
        <v>6</v>
      </c>
      <c r="X74" s="6">
        <v>20</v>
      </c>
      <c r="Y74" s="6">
        <v>34</v>
      </c>
      <c r="Z74" s="6">
        <v>0</v>
      </c>
      <c r="AA74" s="6">
        <v>39</v>
      </c>
      <c r="AB74" s="6">
        <v>18</v>
      </c>
      <c r="AC74" s="6">
        <v>1</v>
      </c>
      <c r="AD74" s="6">
        <v>0</v>
      </c>
      <c r="AE74" s="6">
        <v>54</v>
      </c>
      <c r="AF74" s="6">
        <v>34</v>
      </c>
      <c r="AG74" s="6">
        <v>16</v>
      </c>
      <c r="AH74" s="6">
        <v>10</v>
      </c>
      <c r="AI74" s="6">
        <v>9</v>
      </c>
      <c r="AJ74" s="6">
        <v>4</v>
      </c>
      <c r="AK74" s="6">
        <v>1</v>
      </c>
      <c r="AL74" s="6">
        <v>55</v>
      </c>
      <c r="AM74" s="6">
        <v>37</v>
      </c>
      <c r="AN74" s="6">
        <v>69</v>
      </c>
      <c r="AO74" s="6">
        <v>41</v>
      </c>
      <c r="AP74" s="6">
        <v>34</v>
      </c>
      <c r="AQ74" s="6">
        <v>1</v>
      </c>
      <c r="AR74" s="6">
        <v>9</v>
      </c>
      <c r="AS74" s="6">
        <v>15</v>
      </c>
      <c r="AT74" s="6">
        <v>21</v>
      </c>
      <c r="AU74" s="6">
        <v>15</v>
      </c>
      <c r="AV74" s="6">
        <v>39</v>
      </c>
      <c r="AW74" s="6">
        <v>8</v>
      </c>
      <c r="AX74" s="6">
        <v>15</v>
      </c>
      <c r="AY74" s="6">
        <v>17</v>
      </c>
      <c r="AZ74" s="6">
        <v>2</v>
      </c>
      <c r="BA74" s="6">
        <v>2</v>
      </c>
      <c r="BB74" s="6">
        <v>28</v>
      </c>
      <c r="BC74" s="6">
        <v>26</v>
      </c>
      <c r="BD74" s="6">
        <v>4</v>
      </c>
      <c r="BE74" s="5">
        <f t="shared" si="47"/>
        <v>1180</v>
      </c>
    </row>
    <row r="75" spans="1:57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2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1</v>
      </c>
      <c r="AG75" s="6">
        <v>1</v>
      </c>
      <c r="AH75" s="6">
        <v>0</v>
      </c>
      <c r="AI75" s="6">
        <v>1</v>
      </c>
      <c r="AJ75" s="6">
        <v>0</v>
      </c>
      <c r="AK75" s="6">
        <v>0</v>
      </c>
      <c r="AL75" s="6">
        <v>2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1</v>
      </c>
      <c r="AS75" s="6">
        <v>0</v>
      </c>
      <c r="AT75" s="6">
        <v>0</v>
      </c>
      <c r="AU75" s="6">
        <v>0</v>
      </c>
      <c r="AV75" s="6">
        <v>1</v>
      </c>
      <c r="AW75" s="6">
        <v>1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5">
        <f t="shared" si="47"/>
        <v>14</v>
      </c>
    </row>
    <row r="76" spans="1:57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2</v>
      </c>
      <c r="X76" s="6">
        <v>0</v>
      </c>
      <c r="Y76" s="6">
        <v>0</v>
      </c>
      <c r="Z76" s="6">
        <v>0</v>
      </c>
      <c r="AA76" s="6">
        <v>0</v>
      </c>
      <c r="AB76" s="6">
        <v>1</v>
      </c>
      <c r="AC76" s="6">
        <v>0</v>
      </c>
      <c r="AD76" s="6">
        <v>0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1</v>
      </c>
      <c r="AZ76" s="6">
        <v>0</v>
      </c>
      <c r="BA76" s="6">
        <v>2</v>
      </c>
      <c r="BB76" s="6">
        <v>0</v>
      </c>
      <c r="BC76" s="6">
        <v>4</v>
      </c>
      <c r="BD76" s="6">
        <v>0</v>
      </c>
      <c r="BE76" s="5">
        <f t="shared" si="47"/>
        <v>14</v>
      </c>
    </row>
    <row r="77" spans="1:57" x14ac:dyDescent="0.4">
      <c r="A77" s="7"/>
      <c r="B77" s="46">
        <v>5</v>
      </c>
      <c r="C77" s="24" t="s">
        <v>136</v>
      </c>
      <c r="D77" s="47"/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1</v>
      </c>
      <c r="AU77" s="6">
        <v>1</v>
      </c>
      <c r="AV77" s="6">
        <v>0</v>
      </c>
      <c r="AW77" s="6">
        <v>0</v>
      </c>
      <c r="AX77" s="6">
        <v>0</v>
      </c>
      <c r="AY77" s="6">
        <v>0</v>
      </c>
      <c r="AZ77" s="6">
        <v>1</v>
      </c>
      <c r="BA77" s="6">
        <v>0</v>
      </c>
      <c r="BB77" s="6">
        <v>0</v>
      </c>
      <c r="BC77" s="6">
        <v>0</v>
      </c>
      <c r="BD77" s="6">
        <v>0</v>
      </c>
      <c r="BE77" s="5">
        <f t="shared" si="47"/>
        <v>8</v>
      </c>
    </row>
    <row r="78" spans="1:57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1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5">
        <f t="shared" si="47"/>
        <v>1</v>
      </c>
    </row>
    <row r="79" spans="1:57" x14ac:dyDescent="0.4">
      <c r="A79" s="6" t="s">
        <v>26</v>
      </c>
      <c r="B79" s="53" t="s">
        <v>51</v>
      </c>
      <c r="C79" s="69"/>
      <c r="D79" s="60"/>
      <c r="E79" s="5">
        <f t="shared" ref="E79:AJ79" si="48">SUM(E72:E78)</f>
        <v>21</v>
      </c>
      <c r="F79" s="5">
        <f t="shared" si="48"/>
        <v>11</v>
      </c>
      <c r="G79" s="5">
        <f t="shared" si="48"/>
        <v>135</v>
      </c>
      <c r="H79" s="5">
        <f t="shared" si="48"/>
        <v>84</v>
      </c>
      <c r="I79" s="5">
        <f t="shared" si="48"/>
        <v>48</v>
      </c>
      <c r="J79" s="5">
        <f t="shared" si="48"/>
        <v>15</v>
      </c>
      <c r="K79" s="5">
        <f t="shared" si="48"/>
        <v>3</v>
      </c>
      <c r="L79" s="5">
        <f t="shared" si="48"/>
        <v>17</v>
      </c>
      <c r="M79" s="5">
        <f t="shared" si="48"/>
        <v>10</v>
      </c>
      <c r="N79" s="5">
        <f t="shared" si="48"/>
        <v>24</v>
      </c>
      <c r="O79" s="5">
        <f t="shared" si="48"/>
        <v>39</v>
      </c>
      <c r="P79" s="5">
        <f t="shared" si="48"/>
        <v>7</v>
      </c>
      <c r="Q79" s="5">
        <f t="shared" si="48"/>
        <v>81</v>
      </c>
      <c r="R79" s="5">
        <f t="shared" si="48"/>
        <v>21</v>
      </c>
      <c r="S79" s="5">
        <f t="shared" si="48"/>
        <v>48</v>
      </c>
      <c r="T79" s="5">
        <f t="shared" si="48"/>
        <v>12</v>
      </c>
      <c r="U79" s="5">
        <f t="shared" si="48"/>
        <v>12</v>
      </c>
      <c r="V79" s="5">
        <f t="shared" si="48"/>
        <v>10</v>
      </c>
      <c r="W79" s="5">
        <f t="shared" si="48"/>
        <v>40</v>
      </c>
      <c r="X79" s="5">
        <f t="shared" si="48"/>
        <v>34</v>
      </c>
      <c r="Y79" s="5">
        <f t="shared" si="48"/>
        <v>71</v>
      </c>
      <c r="Z79" s="5">
        <f t="shared" si="48"/>
        <v>44</v>
      </c>
      <c r="AA79" s="5">
        <f t="shared" si="48"/>
        <v>67</v>
      </c>
      <c r="AB79" s="5">
        <f t="shared" si="48"/>
        <v>47</v>
      </c>
      <c r="AC79" s="5">
        <f t="shared" si="48"/>
        <v>43</v>
      </c>
      <c r="AD79" s="5">
        <f t="shared" si="48"/>
        <v>171</v>
      </c>
      <c r="AE79" s="5">
        <f t="shared" si="48"/>
        <v>60</v>
      </c>
      <c r="AF79" s="5">
        <f t="shared" si="48"/>
        <v>53</v>
      </c>
      <c r="AG79" s="5">
        <f t="shared" si="48"/>
        <v>35</v>
      </c>
      <c r="AH79" s="5">
        <f t="shared" si="48"/>
        <v>93</v>
      </c>
      <c r="AI79" s="5">
        <f t="shared" si="48"/>
        <v>29</v>
      </c>
      <c r="AJ79" s="5">
        <f t="shared" si="48"/>
        <v>7</v>
      </c>
      <c r="AK79" s="5">
        <f t="shared" ref="AK79:BE79" si="49">SUM(AK72:AK78)</f>
        <v>18</v>
      </c>
      <c r="AL79" s="5">
        <f t="shared" si="49"/>
        <v>73</v>
      </c>
      <c r="AM79" s="5">
        <f t="shared" si="49"/>
        <v>44</v>
      </c>
      <c r="AN79" s="5">
        <f t="shared" si="49"/>
        <v>86</v>
      </c>
      <c r="AO79" s="5">
        <f t="shared" si="49"/>
        <v>62</v>
      </c>
      <c r="AP79" s="5">
        <f t="shared" si="49"/>
        <v>70</v>
      </c>
      <c r="AQ79" s="5">
        <f t="shared" si="49"/>
        <v>13</v>
      </c>
      <c r="AR79" s="5">
        <f t="shared" si="49"/>
        <v>18</v>
      </c>
      <c r="AS79" s="5">
        <f t="shared" si="49"/>
        <v>20</v>
      </c>
      <c r="AT79" s="5">
        <f t="shared" si="49"/>
        <v>31</v>
      </c>
      <c r="AU79" s="5">
        <f t="shared" si="49"/>
        <v>24</v>
      </c>
      <c r="AV79" s="5">
        <f t="shared" si="49"/>
        <v>45</v>
      </c>
      <c r="AW79" s="5">
        <f t="shared" si="49"/>
        <v>15</v>
      </c>
      <c r="AX79" s="5">
        <f t="shared" si="49"/>
        <v>20</v>
      </c>
      <c r="AY79" s="5">
        <f t="shared" si="49"/>
        <v>23</v>
      </c>
      <c r="AZ79" s="5">
        <f t="shared" si="49"/>
        <v>8</v>
      </c>
      <c r="BA79" s="5">
        <f t="shared" si="49"/>
        <v>10</v>
      </c>
      <c r="BB79" s="5">
        <f t="shared" si="49"/>
        <v>37</v>
      </c>
      <c r="BC79" s="5">
        <f t="shared" si="49"/>
        <v>67</v>
      </c>
      <c r="BD79" s="5">
        <f t="shared" si="49"/>
        <v>8</v>
      </c>
      <c r="BE79" s="5">
        <f t="shared" si="49"/>
        <v>2084</v>
      </c>
    </row>
    <row r="80" spans="1:57" x14ac:dyDescent="0.4">
      <c r="A80" s="70"/>
      <c r="B80" s="71"/>
      <c r="C80" s="71"/>
      <c r="D80" s="71"/>
      <c r="E80" s="71"/>
    </row>
    <row r="81" spans="1:57" x14ac:dyDescent="0.4">
      <c r="A81" s="11" t="s">
        <v>48</v>
      </c>
      <c r="B81" s="17" t="s">
        <v>55</v>
      </c>
      <c r="C81" s="59" t="s">
        <v>56</v>
      </c>
      <c r="D81" s="60"/>
      <c r="E81" s="6">
        <v>1</v>
      </c>
      <c r="F81" s="6">
        <v>4</v>
      </c>
      <c r="G81" s="6">
        <v>0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  <c r="M81" s="6">
        <v>1</v>
      </c>
      <c r="N81" s="6">
        <v>0</v>
      </c>
      <c r="O81" s="6">
        <v>1</v>
      </c>
      <c r="P81" s="6">
        <v>2</v>
      </c>
      <c r="Q81" s="6">
        <v>1</v>
      </c>
      <c r="R81" s="6">
        <v>2</v>
      </c>
      <c r="S81" s="6">
        <v>0</v>
      </c>
      <c r="T81" s="6">
        <v>0</v>
      </c>
      <c r="U81" s="6">
        <v>2</v>
      </c>
      <c r="V81" s="6">
        <v>0</v>
      </c>
      <c r="W81" s="6">
        <v>2</v>
      </c>
      <c r="X81" s="6">
        <v>1</v>
      </c>
      <c r="Y81" s="6">
        <v>4</v>
      </c>
      <c r="Z81" s="6">
        <v>6</v>
      </c>
      <c r="AA81" s="6">
        <v>0</v>
      </c>
      <c r="AB81" s="6">
        <v>1</v>
      </c>
      <c r="AC81" s="6">
        <v>1</v>
      </c>
      <c r="AD81" s="6">
        <v>0</v>
      </c>
      <c r="AE81" s="6">
        <v>1</v>
      </c>
      <c r="AF81" s="6">
        <v>4</v>
      </c>
      <c r="AG81" s="6">
        <v>4</v>
      </c>
      <c r="AH81" s="6">
        <v>2</v>
      </c>
      <c r="AI81" s="6">
        <v>3</v>
      </c>
      <c r="AJ81" s="6">
        <v>1</v>
      </c>
      <c r="AK81" s="6">
        <v>1</v>
      </c>
      <c r="AL81" s="6">
        <v>1</v>
      </c>
      <c r="AM81" s="6">
        <v>1</v>
      </c>
      <c r="AN81" s="6">
        <v>0</v>
      </c>
      <c r="AO81" s="6">
        <v>3</v>
      </c>
      <c r="AP81" s="6">
        <v>4</v>
      </c>
      <c r="AQ81" s="6">
        <v>0</v>
      </c>
      <c r="AR81" s="6">
        <v>6</v>
      </c>
      <c r="AS81" s="6">
        <v>0</v>
      </c>
      <c r="AT81" s="6">
        <v>3</v>
      </c>
      <c r="AU81" s="6">
        <v>5</v>
      </c>
      <c r="AV81" s="6">
        <v>1</v>
      </c>
      <c r="AW81" s="6">
        <v>2</v>
      </c>
      <c r="AX81" s="6">
        <v>1</v>
      </c>
      <c r="AY81" s="6">
        <v>0</v>
      </c>
      <c r="AZ81" s="6">
        <v>0</v>
      </c>
      <c r="BA81" s="6">
        <v>4</v>
      </c>
      <c r="BB81" s="6">
        <v>1</v>
      </c>
      <c r="BC81" s="6">
        <v>6</v>
      </c>
      <c r="BD81" s="6">
        <v>5</v>
      </c>
      <c r="BE81" s="5">
        <f t="shared" ref="BE81:BE87" si="50">SUM(E81:BD81)</f>
        <v>89</v>
      </c>
    </row>
    <row r="82" spans="1:57" x14ac:dyDescent="0.4">
      <c r="A82" s="11" t="s">
        <v>50</v>
      </c>
      <c r="B82" s="46">
        <v>1</v>
      </c>
      <c r="C82" s="24" t="s">
        <v>138</v>
      </c>
      <c r="D82" s="47"/>
      <c r="E82" s="6">
        <v>1</v>
      </c>
      <c r="F82" s="6">
        <v>1</v>
      </c>
      <c r="G82" s="6">
        <v>0</v>
      </c>
      <c r="H82" s="6">
        <v>2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3</v>
      </c>
      <c r="T82" s="6">
        <v>0</v>
      </c>
      <c r="U82" s="6">
        <v>0</v>
      </c>
      <c r="V82" s="6">
        <v>0</v>
      </c>
      <c r="W82" s="6">
        <v>0</v>
      </c>
      <c r="X82" s="6">
        <v>2</v>
      </c>
      <c r="Y82" s="6">
        <v>3</v>
      </c>
      <c r="Z82" s="6">
        <v>1</v>
      </c>
      <c r="AA82" s="6">
        <v>1</v>
      </c>
      <c r="AB82" s="6">
        <v>4</v>
      </c>
      <c r="AC82" s="6">
        <v>9</v>
      </c>
      <c r="AD82" s="6">
        <v>1</v>
      </c>
      <c r="AE82" s="6">
        <v>0</v>
      </c>
      <c r="AF82" s="6">
        <v>5</v>
      </c>
      <c r="AG82" s="6">
        <v>2</v>
      </c>
      <c r="AH82" s="6">
        <v>0</v>
      </c>
      <c r="AI82" s="6">
        <v>2</v>
      </c>
      <c r="AJ82" s="6">
        <v>1</v>
      </c>
      <c r="AK82" s="6">
        <v>1</v>
      </c>
      <c r="AL82" s="6">
        <v>2</v>
      </c>
      <c r="AM82" s="6">
        <v>0</v>
      </c>
      <c r="AN82" s="6">
        <v>3</v>
      </c>
      <c r="AO82" s="6">
        <v>0</v>
      </c>
      <c r="AP82" s="6">
        <v>1</v>
      </c>
      <c r="AQ82" s="6">
        <v>3</v>
      </c>
      <c r="AR82" s="6">
        <v>0</v>
      </c>
      <c r="AS82" s="6">
        <v>2</v>
      </c>
      <c r="AT82" s="6">
        <v>6</v>
      </c>
      <c r="AU82" s="6">
        <v>2</v>
      </c>
      <c r="AV82" s="6">
        <v>3</v>
      </c>
      <c r="AW82" s="6">
        <v>1</v>
      </c>
      <c r="AX82" s="6">
        <v>1</v>
      </c>
      <c r="AY82" s="6">
        <v>1</v>
      </c>
      <c r="AZ82" s="6">
        <v>1</v>
      </c>
      <c r="BA82" s="6">
        <v>0</v>
      </c>
      <c r="BB82" s="6">
        <v>0</v>
      </c>
      <c r="BC82" s="6">
        <v>2</v>
      </c>
      <c r="BD82" s="6">
        <v>3</v>
      </c>
      <c r="BE82" s="5">
        <f t="shared" si="50"/>
        <v>71</v>
      </c>
    </row>
    <row r="83" spans="1:57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0</v>
      </c>
      <c r="K83" s="6">
        <v>0</v>
      </c>
      <c r="L83" s="6">
        <v>0</v>
      </c>
      <c r="M83" s="6">
        <v>1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1</v>
      </c>
      <c r="AM83" s="6">
        <v>0</v>
      </c>
      <c r="AN83" s="6">
        <v>0</v>
      </c>
      <c r="AO83" s="6">
        <v>1</v>
      </c>
      <c r="AP83" s="6">
        <v>0</v>
      </c>
      <c r="AQ83" s="6">
        <v>0</v>
      </c>
      <c r="AR83" s="6">
        <v>0</v>
      </c>
      <c r="AS83" s="6">
        <v>0</v>
      </c>
      <c r="AT83" s="6">
        <v>1</v>
      </c>
      <c r="AU83" s="6">
        <v>1</v>
      </c>
      <c r="AV83" s="6">
        <v>1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5">
        <f t="shared" si="50"/>
        <v>7</v>
      </c>
    </row>
    <row r="84" spans="1:57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2</v>
      </c>
      <c r="M84" s="6">
        <v>0</v>
      </c>
      <c r="N84" s="6">
        <v>0</v>
      </c>
      <c r="O84" s="6">
        <v>0</v>
      </c>
      <c r="P84" s="6">
        <v>1</v>
      </c>
      <c r="Q84" s="6">
        <v>0</v>
      </c>
      <c r="R84" s="6">
        <v>1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1</v>
      </c>
      <c r="AH84" s="6">
        <v>0</v>
      </c>
      <c r="AI84" s="6">
        <v>1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1</v>
      </c>
      <c r="AP84" s="6">
        <v>2</v>
      </c>
      <c r="AQ84" s="6">
        <v>0</v>
      </c>
      <c r="AR84" s="6">
        <v>1</v>
      </c>
      <c r="AS84" s="6">
        <v>0</v>
      </c>
      <c r="AT84" s="6">
        <v>0</v>
      </c>
      <c r="AU84" s="6">
        <v>0</v>
      </c>
      <c r="AV84" s="6">
        <v>0</v>
      </c>
      <c r="AW84" s="6">
        <v>1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5">
        <f t="shared" si="50"/>
        <v>12</v>
      </c>
    </row>
    <row r="85" spans="1:57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3</v>
      </c>
      <c r="S85" s="6">
        <v>8</v>
      </c>
      <c r="T85" s="6">
        <v>0</v>
      </c>
      <c r="U85" s="6">
        <v>3</v>
      </c>
      <c r="V85" s="6">
        <v>1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2</v>
      </c>
      <c r="AD85" s="6">
        <v>1</v>
      </c>
      <c r="AE85" s="6">
        <v>0</v>
      </c>
      <c r="AF85" s="6">
        <v>1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1</v>
      </c>
      <c r="AU85" s="6">
        <v>2</v>
      </c>
      <c r="AV85" s="6">
        <v>0</v>
      </c>
      <c r="AW85" s="6">
        <v>1</v>
      </c>
      <c r="AX85" s="6">
        <v>0</v>
      </c>
      <c r="AY85" s="6">
        <v>0</v>
      </c>
      <c r="AZ85" s="6">
        <v>0</v>
      </c>
      <c r="BA85" s="6">
        <v>1</v>
      </c>
      <c r="BB85" s="6">
        <v>0</v>
      </c>
      <c r="BC85" s="6">
        <v>0</v>
      </c>
      <c r="BD85" s="6">
        <v>0</v>
      </c>
      <c r="BE85" s="5">
        <f t="shared" si="50"/>
        <v>25</v>
      </c>
    </row>
    <row r="86" spans="1:57" x14ac:dyDescent="0.4">
      <c r="A86" s="7"/>
      <c r="B86" s="46">
        <v>5</v>
      </c>
      <c r="C86" s="24" t="s">
        <v>142</v>
      </c>
      <c r="D86" s="47"/>
      <c r="E86" s="6">
        <v>1</v>
      </c>
      <c r="F86" s="6">
        <v>0</v>
      </c>
      <c r="G86" s="6">
        <v>1</v>
      </c>
      <c r="H86" s="6">
        <v>5</v>
      </c>
      <c r="I86" s="6">
        <v>1</v>
      </c>
      <c r="J86" s="6">
        <v>0</v>
      </c>
      <c r="K86" s="6">
        <v>3</v>
      </c>
      <c r="L86" s="6">
        <v>1</v>
      </c>
      <c r="M86" s="6">
        <v>3</v>
      </c>
      <c r="N86" s="6">
        <v>1</v>
      </c>
      <c r="O86" s="6">
        <v>0</v>
      </c>
      <c r="P86" s="6">
        <v>1</v>
      </c>
      <c r="Q86" s="6">
        <v>0</v>
      </c>
      <c r="R86" s="6">
        <v>1</v>
      </c>
      <c r="S86" s="6">
        <v>2</v>
      </c>
      <c r="T86" s="6">
        <v>1</v>
      </c>
      <c r="U86" s="6">
        <v>3</v>
      </c>
      <c r="V86" s="6">
        <v>1</v>
      </c>
      <c r="W86" s="6">
        <v>5</v>
      </c>
      <c r="X86" s="6">
        <v>6</v>
      </c>
      <c r="Y86" s="6">
        <v>2</v>
      </c>
      <c r="Z86" s="6">
        <v>6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8</v>
      </c>
      <c r="AH86" s="6">
        <v>2</v>
      </c>
      <c r="AI86" s="6">
        <v>5</v>
      </c>
      <c r="AJ86" s="6">
        <v>2</v>
      </c>
      <c r="AK86" s="6">
        <v>5</v>
      </c>
      <c r="AL86" s="6">
        <v>1</v>
      </c>
      <c r="AM86" s="6">
        <v>2</v>
      </c>
      <c r="AN86" s="6">
        <v>8</v>
      </c>
      <c r="AO86" s="6">
        <v>18</v>
      </c>
      <c r="AP86" s="6">
        <v>20</v>
      </c>
      <c r="AQ86" s="6">
        <v>4</v>
      </c>
      <c r="AR86" s="6">
        <v>8</v>
      </c>
      <c r="AS86" s="6">
        <v>9</v>
      </c>
      <c r="AT86" s="6">
        <v>11</v>
      </c>
      <c r="AU86" s="6">
        <v>3</v>
      </c>
      <c r="AV86" s="6">
        <v>1</v>
      </c>
      <c r="AW86" s="6">
        <v>4</v>
      </c>
      <c r="AX86" s="6">
        <v>2</v>
      </c>
      <c r="AY86" s="6">
        <v>0</v>
      </c>
      <c r="AZ86" s="6">
        <v>10</v>
      </c>
      <c r="BA86" s="6">
        <v>12</v>
      </c>
      <c r="BB86" s="6">
        <v>17</v>
      </c>
      <c r="BC86" s="6">
        <v>17</v>
      </c>
      <c r="BD86" s="6">
        <v>12</v>
      </c>
      <c r="BE86" s="5">
        <f t="shared" si="50"/>
        <v>225</v>
      </c>
    </row>
    <row r="87" spans="1:57" x14ac:dyDescent="0.4">
      <c r="A87" s="7"/>
      <c r="B87" s="46">
        <v>6</v>
      </c>
      <c r="C87" s="24" t="s">
        <v>143</v>
      </c>
      <c r="D87" s="47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1</v>
      </c>
      <c r="W87" s="6">
        <v>0</v>
      </c>
      <c r="X87" s="6">
        <v>2</v>
      </c>
      <c r="Y87" s="6">
        <v>2</v>
      </c>
      <c r="Z87" s="6">
        <v>0</v>
      </c>
      <c r="AA87" s="6">
        <v>1</v>
      </c>
      <c r="AB87" s="6">
        <v>0</v>
      </c>
      <c r="AC87" s="6">
        <v>0</v>
      </c>
      <c r="AD87" s="6">
        <v>2</v>
      </c>
      <c r="AE87" s="6">
        <v>0</v>
      </c>
      <c r="AF87" s="6">
        <v>3</v>
      </c>
      <c r="AG87" s="6">
        <v>7</v>
      </c>
      <c r="AH87" s="6">
        <v>5</v>
      </c>
      <c r="AI87" s="6">
        <v>2</v>
      </c>
      <c r="AJ87" s="6">
        <v>0</v>
      </c>
      <c r="AK87" s="6">
        <v>1</v>
      </c>
      <c r="AL87" s="6">
        <v>3</v>
      </c>
      <c r="AM87" s="6">
        <v>0</v>
      </c>
      <c r="AN87" s="6">
        <v>2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2</v>
      </c>
      <c r="AV87" s="6">
        <v>0</v>
      </c>
      <c r="AW87" s="6">
        <v>0</v>
      </c>
      <c r="AX87" s="6">
        <v>0</v>
      </c>
      <c r="AY87" s="6">
        <v>2</v>
      </c>
      <c r="AZ87" s="6">
        <v>0</v>
      </c>
      <c r="BA87" s="6">
        <v>25</v>
      </c>
      <c r="BB87" s="6">
        <v>2</v>
      </c>
      <c r="BC87" s="6">
        <v>7</v>
      </c>
      <c r="BD87" s="6">
        <v>3</v>
      </c>
      <c r="BE87" s="5">
        <f t="shared" si="50"/>
        <v>74</v>
      </c>
    </row>
    <row r="88" spans="1:57" x14ac:dyDescent="0.4">
      <c r="A88" s="6" t="s">
        <v>26</v>
      </c>
      <c r="B88" s="53" t="s">
        <v>51</v>
      </c>
      <c r="C88" s="69"/>
      <c r="D88" s="60"/>
      <c r="E88" s="5">
        <f t="shared" ref="E88:AJ88" si="51">SUM(E81:E87)</f>
        <v>3</v>
      </c>
      <c r="F88" s="5">
        <f t="shared" si="51"/>
        <v>5</v>
      </c>
      <c r="G88" s="5">
        <f t="shared" si="51"/>
        <v>1</v>
      </c>
      <c r="H88" s="5">
        <f t="shared" si="51"/>
        <v>9</v>
      </c>
      <c r="I88" s="5">
        <f t="shared" si="51"/>
        <v>3</v>
      </c>
      <c r="J88" s="5">
        <f t="shared" si="51"/>
        <v>0</v>
      </c>
      <c r="K88" s="5">
        <f t="shared" si="51"/>
        <v>3</v>
      </c>
      <c r="L88" s="5">
        <f t="shared" si="51"/>
        <v>4</v>
      </c>
      <c r="M88" s="5">
        <f t="shared" si="51"/>
        <v>5</v>
      </c>
      <c r="N88" s="5">
        <f t="shared" si="51"/>
        <v>2</v>
      </c>
      <c r="O88" s="5">
        <f t="shared" si="51"/>
        <v>1</v>
      </c>
      <c r="P88" s="5">
        <f t="shared" si="51"/>
        <v>4</v>
      </c>
      <c r="Q88" s="5">
        <f t="shared" si="51"/>
        <v>1</v>
      </c>
      <c r="R88" s="5">
        <f t="shared" si="51"/>
        <v>7</v>
      </c>
      <c r="S88" s="5">
        <f t="shared" si="51"/>
        <v>13</v>
      </c>
      <c r="T88" s="5">
        <f t="shared" si="51"/>
        <v>1</v>
      </c>
      <c r="U88" s="5">
        <f t="shared" si="51"/>
        <v>9</v>
      </c>
      <c r="V88" s="5">
        <f t="shared" si="51"/>
        <v>3</v>
      </c>
      <c r="W88" s="5">
        <f t="shared" si="51"/>
        <v>7</v>
      </c>
      <c r="X88" s="5">
        <f t="shared" si="51"/>
        <v>11</v>
      </c>
      <c r="Y88" s="5">
        <f t="shared" si="51"/>
        <v>11</v>
      </c>
      <c r="Z88" s="5">
        <f t="shared" si="51"/>
        <v>13</v>
      </c>
      <c r="AA88" s="5">
        <f t="shared" si="51"/>
        <v>2</v>
      </c>
      <c r="AB88" s="5">
        <f t="shared" si="51"/>
        <v>5</v>
      </c>
      <c r="AC88" s="5">
        <f t="shared" si="51"/>
        <v>12</v>
      </c>
      <c r="AD88" s="5">
        <f t="shared" si="51"/>
        <v>4</v>
      </c>
      <c r="AE88" s="5">
        <f t="shared" si="51"/>
        <v>1</v>
      </c>
      <c r="AF88" s="5">
        <f t="shared" si="51"/>
        <v>13</v>
      </c>
      <c r="AG88" s="5">
        <f t="shared" si="51"/>
        <v>22</v>
      </c>
      <c r="AH88" s="5">
        <f t="shared" si="51"/>
        <v>9</v>
      </c>
      <c r="AI88" s="5">
        <f t="shared" si="51"/>
        <v>13</v>
      </c>
      <c r="AJ88" s="5">
        <f t="shared" si="51"/>
        <v>4</v>
      </c>
      <c r="AK88" s="5">
        <f t="shared" ref="AK88:BE88" si="52">SUM(AK81:AK87)</f>
        <v>8</v>
      </c>
      <c r="AL88" s="5">
        <f t="shared" si="52"/>
        <v>8</v>
      </c>
      <c r="AM88" s="5">
        <f t="shared" si="52"/>
        <v>3</v>
      </c>
      <c r="AN88" s="5">
        <f t="shared" si="52"/>
        <v>13</v>
      </c>
      <c r="AO88" s="5">
        <f t="shared" si="52"/>
        <v>23</v>
      </c>
      <c r="AP88" s="5">
        <f t="shared" si="52"/>
        <v>27</v>
      </c>
      <c r="AQ88" s="5">
        <f t="shared" si="52"/>
        <v>7</v>
      </c>
      <c r="AR88" s="5">
        <f t="shared" si="52"/>
        <v>15</v>
      </c>
      <c r="AS88" s="5">
        <f t="shared" si="52"/>
        <v>11</v>
      </c>
      <c r="AT88" s="5">
        <f t="shared" si="52"/>
        <v>22</v>
      </c>
      <c r="AU88" s="5">
        <f t="shared" si="52"/>
        <v>15</v>
      </c>
      <c r="AV88" s="5">
        <f t="shared" si="52"/>
        <v>6</v>
      </c>
      <c r="AW88" s="5">
        <f t="shared" si="52"/>
        <v>9</v>
      </c>
      <c r="AX88" s="5">
        <f t="shared" si="52"/>
        <v>4</v>
      </c>
      <c r="AY88" s="5">
        <f t="shared" si="52"/>
        <v>3</v>
      </c>
      <c r="AZ88" s="5">
        <f t="shared" si="52"/>
        <v>11</v>
      </c>
      <c r="BA88" s="5">
        <f t="shared" si="52"/>
        <v>42</v>
      </c>
      <c r="BB88" s="5">
        <f t="shared" si="52"/>
        <v>20</v>
      </c>
      <c r="BC88" s="5">
        <f t="shared" si="52"/>
        <v>32</v>
      </c>
      <c r="BD88" s="5">
        <f t="shared" si="52"/>
        <v>23</v>
      </c>
      <c r="BE88" s="5">
        <f t="shared" si="52"/>
        <v>503</v>
      </c>
    </row>
    <row r="89" spans="1:57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</row>
    <row r="90" spans="1:57" x14ac:dyDescent="0.4">
      <c r="A90" s="11" t="s">
        <v>48</v>
      </c>
      <c r="B90" s="17" t="s">
        <v>57</v>
      </c>
      <c r="C90" s="59" t="s">
        <v>58</v>
      </c>
      <c r="D90" s="60"/>
      <c r="E90" s="6">
        <v>2</v>
      </c>
      <c r="F90" s="6">
        <v>1</v>
      </c>
      <c r="G90" s="6">
        <v>0</v>
      </c>
      <c r="H90" s="6">
        <v>0</v>
      </c>
      <c r="I90" s="6">
        <v>2</v>
      </c>
      <c r="J90" s="6">
        <v>0</v>
      </c>
      <c r="K90" s="6">
        <v>2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2</v>
      </c>
      <c r="S90" s="6">
        <v>1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6">
        <v>0</v>
      </c>
      <c r="AO90" s="6">
        <v>2</v>
      </c>
      <c r="AP90" s="6">
        <v>1</v>
      </c>
      <c r="AQ90" s="6">
        <v>0</v>
      </c>
      <c r="AR90" s="6">
        <v>1</v>
      </c>
      <c r="AS90" s="6">
        <v>0</v>
      </c>
      <c r="AT90" s="6">
        <v>0</v>
      </c>
      <c r="AU90" s="6">
        <v>0</v>
      </c>
      <c r="AV90" s="6">
        <v>1</v>
      </c>
      <c r="AW90" s="6">
        <v>0</v>
      </c>
      <c r="AX90" s="6">
        <v>0</v>
      </c>
      <c r="AY90" s="6">
        <v>1</v>
      </c>
      <c r="AZ90" s="6">
        <v>1</v>
      </c>
      <c r="BA90" s="6">
        <v>4</v>
      </c>
      <c r="BB90" s="6">
        <v>0</v>
      </c>
      <c r="BC90" s="6">
        <v>1</v>
      </c>
      <c r="BD90" s="6">
        <v>0</v>
      </c>
      <c r="BE90" s="5">
        <f>SUM(E90:BD90)</f>
        <v>26</v>
      </c>
    </row>
    <row r="91" spans="1:57" ht="13.15" customHeight="1" x14ac:dyDescent="0.4">
      <c r="A91" s="6" t="s">
        <v>26</v>
      </c>
      <c r="B91" s="53" t="s">
        <v>51</v>
      </c>
      <c r="C91" s="54"/>
      <c r="D91" s="55"/>
      <c r="E91" s="5">
        <f t="shared" ref="E91:AJ91" si="53">SUM(E90:E90)</f>
        <v>2</v>
      </c>
      <c r="F91" s="5">
        <f t="shared" si="53"/>
        <v>1</v>
      </c>
      <c r="G91" s="5">
        <f t="shared" si="53"/>
        <v>0</v>
      </c>
      <c r="H91" s="5">
        <f t="shared" si="53"/>
        <v>0</v>
      </c>
      <c r="I91" s="5">
        <f t="shared" si="53"/>
        <v>2</v>
      </c>
      <c r="J91" s="5">
        <f t="shared" si="53"/>
        <v>0</v>
      </c>
      <c r="K91" s="5">
        <f t="shared" si="53"/>
        <v>2</v>
      </c>
      <c r="L91" s="5">
        <f t="shared" si="53"/>
        <v>0</v>
      </c>
      <c r="M91" s="5">
        <f t="shared" si="53"/>
        <v>0</v>
      </c>
      <c r="N91" s="5">
        <f t="shared" si="53"/>
        <v>0</v>
      </c>
      <c r="O91" s="5">
        <f t="shared" si="53"/>
        <v>0</v>
      </c>
      <c r="P91" s="5">
        <f t="shared" si="53"/>
        <v>0</v>
      </c>
      <c r="Q91" s="5">
        <f t="shared" si="53"/>
        <v>0</v>
      </c>
      <c r="R91" s="5">
        <f t="shared" si="53"/>
        <v>2</v>
      </c>
      <c r="S91" s="5">
        <f t="shared" si="53"/>
        <v>1</v>
      </c>
      <c r="T91" s="5">
        <f t="shared" si="53"/>
        <v>0</v>
      </c>
      <c r="U91" s="5">
        <f t="shared" si="53"/>
        <v>0</v>
      </c>
      <c r="V91" s="5">
        <f t="shared" si="53"/>
        <v>0</v>
      </c>
      <c r="W91" s="5">
        <f t="shared" si="53"/>
        <v>1</v>
      </c>
      <c r="X91" s="5">
        <f t="shared" si="53"/>
        <v>0</v>
      </c>
      <c r="Y91" s="5">
        <f t="shared" si="53"/>
        <v>0</v>
      </c>
      <c r="Z91" s="5">
        <f t="shared" si="53"/>
        <v>0</v>
      </c>
      <c r="AA91" s="5">
        <f t="shared" si="53"/>
        <v>0</v>
      </c>
      <c r="AB91" s="5">
        <f t="shared" si="53"/>
        <v>0</v>
      </c>
      <c r="AC91" s="5">
        <f t="shared" si="53"/>
        <v>0</v>
      </c>
      <c r="AD91" s="5">
        <f t="shared" si="53"/>
        <v>0</v>
      </c>
      <c r="AE91" s="5">
        <f t="shared" si="53"/>
        <v>1</v>
      </c>
      <c r="AF91" s="5">
        <f t="shared" si="53"/>
        <v>0</v>
      </c>
      <c r="AG91" s="5">
        <f t="shared" si="53"/>
        <v>1</v>
      </c>
      <c r="AH91" s="5">
        <f t="shared" si="53"/>
        <v>0</v>
      </c>
      <c r="AI91" s="5">
        <f t="shared" si="53"/>
        <v>0</v>
      </c>
      <c r="AJ91" s="5">
        <f t="shared" si="53"/>
        <v>0</v>
      </c>
      <c r="AK91" s="5">
        <f t="shared" ref="AK91:BE91" si="54">SUM(AK90:AK90)</f>
        <v>0</v>
      </c>
      <c r="AL91" s="5">
        <f t="shared" si="54"/>
        <v>1</v>
      </c>
      <c r="AM91" s="5">
        <f t="shared" si="54"/>
        <v>0</v>
      </c>
      <c r="AN91" s="5">
        <f t="shared" si="54"/>
        <v>0</v>
      </c>
      <c r="AO91" s="5">
        <f t="shared" si="54"/>
        <v>2</v>
      </c>
      <c r="AP91" s="5">
        <f t="shared" si="54"/>
        <v>1</v>
      </c>
      <c r="AQ91" s="5">
        <f t="shared" si="54"/>
        <v>0</v>
      </c>
      <c r="AR91" s="5">
        <f t="shared" si="54"/>
        <v>1</v>
      </c>
      <c r="AS91" s="5">
        <f t="shared" si="54"/>
        <v>0</v>
      </c>
      <c r="AT91" s="5">
        <f t="shared" si="54"/>
        <v>0</v>
      </c>
      <c r="AU91" s="5">
        <f t="shared" si="54"/>
        <v>0</v>
      </c>
      <c r="AV91" s="5">
        <f t="shared" si="54"/>
        <v>1</v>
      </c>
      <c r="AW91" s="5">
        <f t="shared" si="54"/>
        <v>0</v>
      </c>
      <c r="AX91" s="5">
        <f t="shared" si="54"/>
        <v>0</v>
      </c>
      <c r="AY91" s="5">
        <f t="shared" si="54"/>
        <v>1</v>
      </c>
      <c r="AZ91" s="5">
        <f t="shared" si="54"/>
        <v>1</v>
      </c>
      <c r="BA91" s="5">
        <f t="shared" si="54"/>
        <v>4</v>
      </c>
      <c r="BB91" s="5">
        <f t="shared" si="54"/>
        <v>0</v>
      </c>
      <c r="BC91" s="5">
        <f t="shared" si="54"/>
        <v>1</v>
      </c>
      <c r="BD91" s="5">
        <f t="shared" si="54"/>
        <v>0</v>
      </c>
      <c r="BE91" s="5">
        <f t="shared" si="54"/>
        <v>26</v>
      </c>
    </row>
    <row r="92" spans="1:57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5"/>
    </row>
    <row r="93" spans="1:57" x14ac:dyDescent="0.4">
      <c r="A93" s="11" t="s">
        <v>48</v>
      </c>
      <c r="B93" s="17" t="s">
        <v>59</v>
      </c>
      <c r="C93" s="59" t="s">
        <v>60</v>
      </c>
      <c r="D93" s="60"/>
      <c r="E93" s="6">
        <v>0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2</v>
      </c>
      <c r="T93" s="6">
        <v>3</v>
      </c>
      <c r="U93" s="6">
        <v>1</v>
      </c>
      <c r="V93" s="6">
        <v>7</v>
      </c>
      <c r="W93" s="6">
        <v>0</v>
      </c>
      <c r="X93" s="6">
        <v>2</v>
      </c>
      <c r="Y93" s="6">
        <v>1</v>
      </c>
      <c r="Z93" s="6">
        <v>0</v>
      </c>
      <c r="AA93" s="6">
        <v>0</v>
      </c>
      <c r="AB93" s="6">
        <v>1</v>
      </c>
      <c r="AC93" s="6">
        <v>0</v>
      </c>
      <c r="AD93" s="6">
        <v>0</v>
      </c>
      <c r="AE93" s="6">
        <v>0</v>
      </c>
      <c r="AF93" s="6">
        <v>1</v>
      </c>
      <c r="AG93" s="6">
        <v>0</v>
      </c>
      <c r="AH93" s="6">
        <v>4</v>
      </c>
      <c r="AI93" s="6">
        <v>0</v>
      </c>
      <c r="AJ93" s="6">
        <v>0</v>
      </c>
      <c r="AK93" s="6">
        <v>2</v>
      </c>
      <c r="AL93" s="6">
        <v>0</v>
      </c>
      <c r="AM93" s="6">
        <v>1</v>
      </c>
      <c r="AN93" s="6">
        <v>0</v>
      </c>
      <c r="AO93" s="6">
        <v>1</v>
      </c>
      <c r="AP93" s="6">
        <v>1</v>
      </c>
      <c r="AQ93" s="6">
        <v>0</v>
      </c>
      <c r="AR93" s="6">
        <v>0</v>
      </c>
      <c r="AS93" s="6">
        <v>0</v>
      </c>
      <c r="AT93" s="6">
        <v>1</v>
      </c>
      <c r="AU93" s="6">
        <v>2</v>
      </c>
      <c r="AV93" s="6">
        <v>2</v>
      </c>
      <c r="AW93" s="6">
        <v>1</v>
      </c>
      <c r="AX93" s="6">
        <v>0</v>
      </c>
      <c r="AY93" s="6">
        <v>0</v>
      </c>
      <c r="AZ93" s="6">
        <v>0</v>
      </c>
      <c r="BA93" s="6">
        <v>0</v>
      </c>
      <c r="BB93" s="6">
        <v>1</v>
      </c>
      <c r="BC93" s="6">
        <v>0</v>
      </c>
      <c r="BD93" s="6">
        <v>1</v>
      </c>
      <c r="BE93" s="5">
        <f t="shared" ref="BE93:BE97" si="55">SUM(E93:BD93)</f>
        <v>38</v>
      </c>
    </row>
    <row r="94" spans="1:57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2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1</v>
      </c>
      <c r="AD94" s="6">
        <v>0</v>
      </c>
      <c r="AE94" s="6">
        <v>0</v>
      </c>
      <c r="AF94" s="6">
        <v>2</v>
      </c>
      <c r="AG94" s="6">
        <v>2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1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5">
        <f t="shared" si="55"/>
        <v>10</v>
      </c>
    </row>
    <row r="95" spans="1:57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1</v>
      </c>
      <c r="AH95" s="6">
        <v>0</v>
      </c>
      <c r="AI95" s="6">
        <v>1</v>
      </c>
      <c r="AJ95" s="6">
        <v>0</v>
      </c>
      <c r="AK95" s="6">
        <v>1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1</v>
      </c>
      <c r="AS95" s="6">
        <v>0</v>
      </c>
      <c r="AT95" s="6">
        <v>0</v>
      </c>
      <c r="AU95" s="6">
        <v>1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5">
        <f t="shared" si="55"/>
        <v>8</v>
      </c>
    </row>
    <row r="96" spans="1:57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5">
        <f t="shared" si="55"/>
        <v>1</v>
      </c>
    </row>
    <row r="97" spans="1:57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1</v>
      </c>
      <c r="AG97" s="6">
        <v>0</v>
      </c>
      <c r="AH97" s="6">
        <v>0</v>
      </c>
      <c r="AI97" s="6">
        <v>1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1</v>
      </c>
      <c r="BE97" s="5">
        <f t="shared" si="55"/>
        <v>4</v>
      </c>
    </row>
    <row r="98" spans="1:57" x14ac:dyDescent="0.4">
      <c r="A98" s="6" t="s">
        <v>26</v>
      </c>
      <c r="B98" s="53" t="s">
        <v>51</v>
      </c>
      <c r="C98" s="54"/>
      <c r="D98" s="55"/>
      <c r="E98" s="5">
        <f t="shared" ref="E98:AJ98" si="56">SUM(E93:E97)</f>
        <v>0</v>
      </c>
      <c r="F98" s="5">
        <f t="shared" si="56"/>
        <v>0</v>
      </c>
      <c r="G98" s="5">
        <f t="shared" si="56"/>
        <v>0</v>
      </c>
      <c r="H98" s="5">
        <f t="shared" si="56"/>
        <v>1</v>
      </c>
      <c r="I98" s="5">
        <f t="shared" si="56"/>
        <v>0</v>
      </c>
      <c r="J98" s="5">
        <f t="shared" si="56"/>
        <v>0</v>
      </c>
      <c r="K98" s="5">
        <f t="shared" si="56"/>
        <v>1</v>
      </c>
      <c r="L98" s="5">
        <f t="shared" si="56"/>
        <v>3</v>
      </c>
      <c r="M98" s="5">
        <f t="shared" si="56"/>
        <v>0</v>
      </c>
      <c r="N98" s="5">
        <f t="shared" si="56"/>
        <v>0</v>
      </c>
      <c r="O98" s="5">
        <f t="shared" si="56"/>
        <v>0</v>
      </c>
      <c r="P98" s="5">
        <f t="shared" si="56"/>
        <v>0</v>
      </c>
      <c r="Q98" s="5">
        <f t="shared" si="56"/>
        <v>1</v>
      </c>
      <c r="R98" s="5">
        <f t="shared" si="56"/>
        <v>2</v>
      </c>
      <c r="S98" s="5">
        <f t="shared" si="56"/>
        <v>2</v>
      </c>
      <c r="T98" s="5">
        <f t="shared" si="56"/>
        <v>4</v>
      </c>
      <c r="U98" s="5">
        <f t="shared" si="56"/>
        <v>1</v>
      </c>
      <c r="V98" s="5">
        <f t="shared" si="56"/>
        <v>8</v>
      </c>
      <c r="W98" s="5">
        <f t="shared" si="56"/>
        <v>0</v>
      </c>
      <c r="X98" s="5">
        <f t="shared" si="56"/>
        <v>2</v>
      </c>
      <c r="Y98" s="5">
        <f t="shared" si="56"/>
        <v>1</v>
      </c>
      <c r="Z98" s="5">
        <f t="shared" si="56"/>
        <v>0</v>
      </c>
      <c r="AA98" s="5">
        <f t="shared" si="56"/>
        <v>0</v>
      </c>
      <c r="AB98" s="5">
        <f t="shared" si="56"/>
        <v>1</v>
      </c>
      <c r="AC98" s="5">
        <f t="shared" si="56"/>
        <v>1</v>
      </c>
      <c r="AD98" s="5">
        <f t="shared" si="56"/>
        <v>0</v>
      </c>
      <c r="AE98" s="5">
        <f t="shared" si="56"/>
        <v>0</v>
      </c>
      <c r="AF98" s="5">
        <f t="shared" si="56"/>
        <v>5</v>
      </c>
      <c r="AG98" s="5">
        <f t="shared" si="56"/>
        <v>3</v>
      </c>
      <c r="AH98" s="5">
        <f t="shared" si="56"/>
        <v>4</v>
      </c>
      <c r="AI98" s="5">
        <f t="shared" si="56"/>
        <v>2</v>
      </c>
      <c r="AJ98" s="5">
        <f t="shared" si="56"/>
        <v>1</v>
      </c>
      <c r="AK98" s="5">
        <f t="shared" ref="AK98:BE98" si="57">SUM(AK93:AK97)</f>
        <v>3</v>
      </c>
      <c r="AL98" s="5">
        <f t="shared" si="57"/>
        <v>0</v>
      </c>
      <c r="AM98" s="5">
        <f t="shared" si="57"/>
        <v>1</v>
      </c>
      <c r="AN98" s="5">
        <f t="shared" si="57"/>
        <v>0</v>
      </c>
      <c r="AO98" s="5">
        <f t="shared" si="57"/>
        <v>1</v>
      </c>
      <c r="AP98" s="5">
        <f t="shared" si="57"/>
        <v>2</v>
      </c>
      <c r="AQ98" s="5">
        <f t="shared" si="57"/>
        <v>0</v>
      </c>
      <c r="AR98" s="5">
        <f t="shared" si="57"/>
        <v>1</v>
      </c>
      <c r="AS98" s="5">
        <f t="shared" si="57"/>
        <v>0</v>
      </c>
      <c r="AT98" s="5">
        <f t="shared" si="57"/>
        <v>1</v>
      </c>
      <c r="AU98" s="5">
        <f t="shared" si="57"/>
        <v>3</v>
      </c>
      <c r="AV98" s="5">
        <f t="shared" si="57"/>
        <v>2</v>
      </c>
      <c r="AW98" s="5">
        <f t="shared" si="57"/>
        <v>1</v>
      </c>
      <c r="AX98" s="5">
        <f t="shared" si="57"/>
        <v>0</v>
      </c>
      <c r="AY98" s="5">
        <f t="shared" si="57"/>
        <v>0</v>
      </c>
      <c r="AZ98" s="5">
        <f t="shared" si="57"/>
        <v>0</v>
      </c>
      <c r="BA98" s="5">
        <f t="shared" si="57"/>
        <v>0</v>
      </c>
      <c r="BB98" s="5">
        <f t="shared" si="57"/>
        <v>1</v>
      </c>
      <c r="BC98" s="5">
        <f t="shared" si="57"/>
        <v>0</v>
      </c>
      <c r="BD98" s="5">
        <f t="shared" si="57"/>
        <v>2</v>
      </c>
      <c r="BE98" s="5">
        <f t="shared" si="57"/>
        <v>61</v>
      </c>
    </row>
    <row r="99" spans="1:57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</row>
    <row r="100" spans="1:57" x14ac:dyDescent="0.4">
      <c r="A100" s="11" t="s">
        <v>48</v>
      </c>
      <c r="B100" s="17" t="s">
        <v>61</v>
      </c>
      <c r="C100" s="59" t="s">
        <v>62</v>
      </c>
      <c r="D100" s="60"/>
      <c r="E100" s="6">
        <v>0</v>
      </c>
      <c r="F100" s="6">
        <v>2</v>
      </c>
      <c r="G100" s="6">
        <v>0</v>
      </c>
      <c r="H100" s="6">
        <v>2</v>
      </c>
      <c r="I100" s="6">
        <v>1</v>
      </c>
      <c r="J100" s="6">
        <v>1</v>
      </c>
      <c r="K100" s="6">
        <v>2</v>
      </c>
      <c r="L100" s="6">
        <v>2</v>
      </c>
      <c r="M100" s="6">
        <v>1</v>
      </c>
      <c r="N100" s="6">
        <v>1</v>
      </c>
      <c r="O100" s="6">
        <v>1</v>
      </c>
      <c r="P100" s="6">
        <v>1</v>
      </c>
      <c r="Q100" s="6">
        <v>0</v>
      </c>
      <c r="R100" s="6">
        <v>1</v>
      </c>
      <c r="S100" s="6">
        <v>3</v>
      </c>
      <c r="T100" s="6">
        <v>0</v>
      </c>
      <c r="U100" s="6">
        <v>0</v>
      </c>
      <c r="V100" s="6">
        <v>0</v>
      </c>
      <c r="W100" s="6">
        <v>2</v>
      </c>
      <c r="X100" s="6">
        <v>0</v>
      </c>
      <c r="Y100" s="6">
        <v>0</v>
      </c>
      <c r="Z100" s="6">
        <v>2</v>
      </c>
      <c r="AA100" s="6">
        <v>0</v>
      </c>
      <c r="AB100" s="6">
        <v>0</v>
      </c>
      <c r="AC100" s="6">
        <v>5</v>
      </c>
      <c r="AD100" s="6">
        <v>1</v>
      </c>
      <c r="AE100" s="6">
        <v>1</v>
      </c>
      <c r="AF100" s="6">
        <v>1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6">
        <v>2</v>
      </c>
      <c r="AO100" s="6">
        <v>13</v>
      </c>
      <c r="AP100" s="6">
        <v>0</v>
      </c>
      <c r="AQ100" s="6">
        <v>1</v>
      </c>
      <c r="AR100" s="6">
        <v>0</v>
      </c>
      <c r="AS100" s="6">
        <v>1</v>
      </c>
      <c r="AT100" s="6">
        <v>1</v>
      </c>
      <c r="AU100" s="6">
        <v>1</v>
      </c>
      <c r="AV100" s="6">
        <v>0</v>
      </c>
      <c r="AW100" s="6">
        <v>0</v>
      </c>
      <c r="AX100" s="6">
        <v>1</v>
      </c>
      <c r="AY100" s="6">
        <v>1</v>
      </c>
      <c r="AZ100" s="6">
        <v>1</v>
      </c>
      <c r="BA100" s="6">
        <v>1</v>
      </c>
      <c r="BB100" s="6">
        <v>4</v>
      </c>
      <c r="BC100" s="6">
        <v>0</v>
      </c>
      <c r="BD100" s="6">
        <v>0</v>
      </c>
      <c r="BE100" s="5">
        <f t="shared" ref="BE100:BE106" si="58">SUM(E100:BD100)</f>
        <v>59</v>
      </c>
    </row>
    <row r="101" spans="1:57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9</v>
      </c>
      <c r="F101" s="6">
        <v>3</v>
      </c>
      <c r="G101" s="6">
        <v>4</v>
      </c>
      <c r="H101" s="6">
        <v>4</v>
      </c>
      <c r="I101" s="6">
        <v>2</v>
      </c>
      <c r="J101" s="6">
        <v>5</v>
      </c>
      <c r="K101" s="6">
        <v>11</v>
      </c>
      <c r="L101" s="6">
        <v>5</v>
      </c>
      <c r="M101" s="6">
        <v>0</v>
      </c>
      <c r="N101" s="6">
        <v>1</v>
      </c>
      <c r="O101" s="6">
        <v>2</v>
      </c>
      <c r="P101" s="6">
        <v>6</v>
      </c>
      <c r="Q101" s="6">
        <v>3</v>
      </c>
      <c r="R101" s="6">
        <v>5</v>
      </c>
      <c r="S101" s="6">
        <v>2</v>
      </c>
      <c r="T101" s="6">
        <v>0</v>
      </c>
      <c r="U101" s="6">
        <v>0</v>
      </c>
      <c r="V101" s="6">
        <v>2</v>
      </c>
      <c r="W101" s="6">
        <v>4</v>
      </c>
      <c r="X101" s="6">
        <v>3</v>
      </c>
      <c r="Y101" s="6">
        <v>3</v>
      </c>
      <c r="Z101" s="6">
        <v>3</v>
      </c>
      <c r="AA101" s="6">
        <v>2</v>
      </c>
      <c r="AB101" s="6">
        <v>4</v>
      </c>
      <c r="AC101" s="6">
        <v>39</v>
      </c>
      <c r="AD101" s="6">
        <v>47</v>
      </c>
      <c r="AE101" s="6">
        <v>3</v>
      </c>
      <c r="AF101" s="6">
        <v>4</v>
      </c>
      <c r="AG101" s="6">
        <v>9</v>
      </c>
      <c r="AH101" s="6">
        <v>4</v>
      </c>
      <c r="AI101" s="6">
        <v>0</v>
      </c>
      <c r="AJ101" s="6">
        <v>2</v>
      </c>
      <c r="AK101" s="6">
        <v>2</v>
      </c>
      <c r="AL101" s="6">
        <v>6</v>
      </c>
      <c r="AM101" s="6">
        <v>1</v>
      </c>
      <c r="AN101" s="6">
        <v>11</v>
      </c>
      <c r="AO101" s="6">
        <v>27</v>
      </c>
      <c r="AP101" s="6">
        <v>8</v>
      </c>
      <c r="AQ101" s="6">
        <v>6</v>
      </c>
      <c r="AR101" s="6">
        <v>0</v>
      </c>
      <c r="AS101" s="6">
        <v>4</v>
      </c>
      <c r="AT101" s="6">
        <v>5</v>
      </c>
      <c r="AU101" s="6">
        <v>3</v>
      </c>
      <c r="AV101" s="6">
        <v>2</v>
      </c>
      <c r="AW101" s="6">
        <v>0</v>
      </c>
      <c r="AX101" s="6">
        <v>0</v>
      </c>
      <c r="AY101" s="6">
        <v>2</v>
      </c>
      <c r="AZ101" s="6">
        <v>3</v>
      </c>
      <c r="BA101" s="6">
        <v>2</v>
      </c>
      <c r="BB101" s="6">
        <v>32</v>
      </c>
      <c r="BC101" s="6">
        <v>0</v>
      </c>
      <c r="BD101" s="6">
        <v>0</v>
      </c>
      <c r="BE101" s="5">
        <f t="shared" si="58"/>
        <v>305</v>
      </c>
    </row>
    <row r="102" spans="1:57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1</v>
      </c>
      <c r="L102" s="6">
        <v>1</v>
      </c>
      <c r="M102" s="6">
        <v>0</v>
      </c>
      <c r="N102" s="6">
        <v>2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1</v>
      </c>
      <c r="AD102" s="6">
        <v>0</v>
      </c>
      <c r="AE102" s="6">
        <v>0</v>
      </c>
      <c r="AF102" s="6">
        <v>0</v>
      </c>
      <c r="AG102" s="6">
        <v>1</v>
      </c>
      <c r="AH102" s="6">
        <v>2</v>
      </c>
      <c r="AI102" s="6">
        <v>5</v>
      </c>
      <c r="AJ102" s="6">
        <v>0</v>
      </c>
      <c r="AK102" s="6">
        <v>1</v>
      </c>
      <c r="AL102" s="6">
        <v>0</v>
      </c>
      <c r="AM102" s="6">
        <v>0</v>
      </c>
      <c r="AN102" s="6">
        <v>1</v>
      </c>
      <c r="AO102" s="6">
        <v>2</v>
      </c>
      <c r="AP102" s="6">
        <v>1</v>
      </c>
      <c r="AQ102" s="6">
        <v>0</v>
      </c>
      <c r="AR102" s="6">
        <v>0</v>
      </c>
      <c r="AS102" s="6">
        <v>0</v>
      </c>
      <c r="AT102" s="6">
        <v>1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1</v>
      </c>
      <c r="BC102" s="6">
        <v>0</v>
      </c>
      <c r="BD102" s="6">
        <v>1</v>
      </c>
      <c r="BE102" s="5">
        <f t="shared" si="58"/>
        <v>23</v>
      </c>
    </row>
    <row r="103" spans="1:57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</v>
      </c>
      <c r="L103" s="6">
        <v>2</v>
      </c>
      <c r="M103" s="6">
        <v>0</v>
      </c>
      <c r="N103" s="6">
        <v>0</v>
      </c>
      <c r="O103" s="6">
        <v>0</v>
      </c>
      <c r="P103" s="6">
        <v>0</v>
      </c>
      <c r="Q103" s="6">
        <v>3</v>
      </c>
      <c r="R103" s="6">
        <v>1</v>
      </c>
      <c r="S103" s="6">
        <v>0</v>
      </c>
      <c r="T103" s="6">
        <v>0</v>
      </c>
      <c r="U103" s="6">
        <v>0</v>
      </c>
      <c r="V103" s="6">
        <v>0</v>
      </c>
      <c r="W103" s="6">
        <v>1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1</v>
      </c>
      <c r="AL103" s="6">
        <v>1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1</v>
      </c>
      <c r="AT103" s="6">
        <v>0</v>
      </c>
      <c r="AU103" s="6">
        <v>2</v>
      </c>
      <c r="AV103" s="6">
        <v>0</v>
      </c>
      <c r="AW103" s="6">
        <v>0</v>
      </c>
      <c r="AX103" s="6">
        <v>0</v>
      </c>
      <c r="AY103" s="6">
        <v>0</v>
      </c>
      <c r="AZ103" s="6">
        <v>1</v>
      </c>
      <c r="BA103" s="6">
        <v>0</v>
      </c>
      <c r="BB103" s="6">
        <v>1</v>
      </c>
      <c r="BC103" s="6">
        <v>0</v>
      </c>
      <c r="BD103" s="6">
        <v>0</v>
      </c>
      <c r="BE103" s="5">
        <f t="shared" si="58"/>
        <v>16</v>
      </c>
    </row>
    <row r="104" spans="1:57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1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1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5">
        <f t="shared" si="58"/>
        <v>3</v>
      </c>
    </row>
    <row r="105" spans="1:57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5">
        <f t="shared" si="58"/>
        <v>1</v>
      </c>
    </row>
    <row r="106" spans="1:57" x14ac:dyDescent="0.4">
      <c r="A106" s="7"/>
      <c r="B106" s="46">
        <v>6</v>
      </c>
      <c r="C106" s="24" t="s">
        <v>153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2</v>
      </c>
      <c r="AF106" s="6">
        <v>1</v>
      </c>
      <c r="AG106" s="6">
        <v>2</v>
      </c>
      <c r="AH106" s="6">
        <v>1</v>
      </c>
      <c r="AI106" s="6">
        <v>2</v>
      </c>
      <c r="AJ106" s="6">
        <v>3</v>
      </c>
      <c r="AK106" s="6">
        <v>4</v>
      </c>
      <c r="AL106" s="6">
        <v>2</v>
      </c>
      <c r="AM106" s="6">
        <v>3</v>
      </c>
      <c r="AN106" s="6">
        <v>0</v>
      </c>
      <c r="AO106" s="6">
        <v>0</v>
      </c>
      <c r="AP106" s="6">
        <v>0</v>
      </c>
      <c r="AQ106" s="6">
        <v>0</v>
      </c>
      <c r="AR106" s="6">
        <v>2</v>
      </c>
      <c r="AS106" s="6">
        <v>0</v>
      </c>
      <c r="AT106" s="6">
        <v>1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5">
        <f t="shared" si="58"/>
        <v>24</v>
      </c>
    </row>
    <row r="107" spans="1:57" x14ac:dyDescent="0.4">
      <c r="A107" s="6" t="s">
        <v>26</v>
      </c>
      <c r="B107" s="53" t="s">
        <v>51</v>
      </c>
      <c r="C107" s="54"/>
      <c r="D107" s="55"/>
      <c r="E107" s="5">
        <f t="shared" ref="E107:AJ107" si="59">SUM(E100:E106)</f>
        <v>9</v>
      </c>
      <c r="F107" s="5">
        <f t="shared" si="59"/>
        <v>5</v>
      </c>
      <c r="G107" s="5">
        <f t="shared" si="59"/>
        <v>5</v>
      </c>
      <c r="H107" s="5">
        <f t="shared" si="59"/>
        <v>6</v>
      </c>
      <c r="I107" s="5">
        <f t="shared" si="59"/>
        <v>3</v>
      </c>
      <c r="J107" s="5">
        <f t="shared" si="59"/>
        <v>6</v>
      </c>
      <c r="K107" s="5">
        <f t="shared" si="59"/>
        <v>15</v>
      </c>
      <c r="L107" s="5">
        <f t="shared" si="59"/>
        <v>10</v>
      </c>
      <c r="M107" s="5">
        <f t="shared" si="59"/>
        <v>1</v>
      </c>
      <c r="N107" s="5">
        <f t="shared" si="59"/>
        <v>4</v>
      </c>
      <c r="O107" s="5">
        <f t="shared" si="59"/>
        <v>4</v>
      </c>
      <c r="P107" s="5">
        <f t="shared" si="59"/>
        <v>8</v>
      </c>
      <c r="Q107" s="5">
        <f t="shared" si="59"/>
        <v>6</v>
      </c>
      <c r="R107" s="5">
        <f t="shared" si="59"/>
        <v>9</v>
      </c>
      <c r="S107" s="5">
        <f t="shared" si="59"/>
        <v>5</v>
      </c>
      <c r="T107" s="5">
        <f t="shared" si="59"/>
        <v>0</v>
      </c>
      <c r="U107" s="5">
        <f t="shared" si="59"/>
        <v>0</v>
      </c>
      <c r="V107" s="5">
        <f t="shared" si="59"/>
        <v>2</v>
      </c>
      <c r="W107" s="5">
        <f t="shared" si="59"/>
        <v>8</v>
      </c>
      <c r="X107" s="5">
        <f t="shared" si="59"/>
        <v>3</v>
      </c>
      <c r="Y107" s="5">
        <f t="shared" si="59"/>
        <v>3</v>
      </c>
      <c r="Z107" s="5">
        <f t="shared" si="59"/>
        <v>5</v>
      </c>
      <c r="AA107" s="5">
        <f t="shared" si="59"/>
        <v>2</v>
      </c>
      <c r="AB107" s="5">
        <f t="shared" si="59"/>
        <v>4</v>
      </c>
      <c r="AC107" s="5">
        <f t="shared" si="59"/>
        <v>46</v>
      </c>
      <c r="AD107" s="5">
        <f t="shared" si="59"/>
        <v>48</v>
      </c>
      <c r="AE107" s="5">
        <f t="shared" si="59"/>
        <v>6</v>
      </c>
      <c r="AF107" s="5">
        <f t="shared" si="59"/>
        <v>6</v>
      </c>
      <c r="AG107" s="5">
        <f t="shared" si="59"/>
        <v>13</v>
      </c>
      <c r="AH107" s="5">
        <f t="shared" si="59"/>
        <v>8</v>
      </c>
      <c r="AI107" s="5">
        <f t="shared" si="59"/>
        <v>7</v>
      </c>
      <c r="AJ107" s="5">
        <f t="shared" si="59"/>
        <v>5</v>
      </c>
      <c r="AK107" s="5">
        <f t="shared" ref="AK107:BE107" si="60">SUM(AK100:AK106)</f>
        <v>8</v>
      </c>
      <c r="AL107" s="5">
        <f t="shared" si="60"/>
        <v>10</v>
      </c>
      <c r="AM107" s="5">
        <f t="shared" si="60"/>
        <v>4</v>
      </c>
      <c r="AN107" s="5">
        <f t="shared" si="60"/>
        <v>14</v>
      </c>
      <c r="AO107" s="5">
        <f t="shared" si="60"/>
        <v>42</v>
      </c>
      <c r="AP107" s="5">
        <f t="shared" si="60"/>
        <v>9</v>
      </c>
      <c r="AQ107" s="5">
        <f t="shared" si="60"/>
        <v>7</v>
      </c>
      <c r="AR107" s="5">
        <f t="shared" si="60"/>
        <v>2</v>
      </c>
      <c r="AS107" s="5">
        <f t="shared" si="60"/>
        <v>6</v>
      </c>
      <c r="AT107" s="5">
        <f t="shared" si="60"/>
        <v>8</v>
      </c>
      <c r="AU107" s="5">
        <f t="shared" si="60"/>
        <v>6</v>
      </c>
      <c r="AV107" s="5">
        <f t="shared" si="60"/>
        <v>2</v>
      </c>
      <c r="AW107" s="5">
        <f t="shared" si="60"/>
        <v>0</v>
      </c>
      <c r="AX107" s="5">
        <f t="shared" si="60"/>
        <v>1</v>
      </c>
      <c r="AY107" s="5">
        <f t="shared" si="60"/>
        <v>3</v>
      </c>
      <c r="AZ107" s="5">
        <f t="shared" si="60"/>
        <v>5</v>
      </c>
      <c r="BA107" s="5">
        <f t="shared" si="60"/>
        <v>3</v>
      </c>
      <c r="BB107" s="5">
        <f t="shared" si="60"/>
        <v>38</v>
      </c>
      <c r="BC107" s="5">
        <f t="shared" si="60"/>
        <v>0</v>
      </c>
      <c r="BD107" s="5">
        <f t="shared" si="60"/>
        <v>1</v>
      </c>
      <c r="BE107" s="5">
        <f t="shared" si="60"/>
        <v>431</v>
      </c>
    </row>
    <row r="108" spans="1:57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</row>
    <row r="109" spans="1:57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1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1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5">
        <f>SUM(E109:BD109)</f>
        <v>5</v>
      </c>
    </row>
    <row r="110" spans="1:57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1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5">
        <f>SUM(E110:BD110)</f>
        <v>2</v>
      </c>
    </row>
    <row r="111" spans="1:57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5">
        <f>SUM(E111:BD111)</f>
        <v>0</v>
      </c>
    </row>
    <row r="112" spans="1:57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5">
        <f t="shared" ref="BE112" si="61">SUM(E112:BD112)</f>
        <v>1</v>
      </c>
    </row>
    <row r="113" spans="1:57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AJ113" si="62">SUM(E109:E112)</f>
        <v>0</v>
      </c>
      <c r="F113" s="5">
        <f t="shared" si="62"/>
        <v>0</v>
      </c>
      <c r="G113" s="5">
        <f t="shared" si="62"/>
        <v>1</v>
      </c>
      <c r="H113" s="5">
        <f t="shared" si="62"/>
        <v>0</v>
      </c>
      <c r="I113" s="5">
        <f t="shared" si="62"/>
        <v>0</v>
      </c>
      <c r="J113" s="5">
        <f t="shared" si="62"/>
        <v>0</v>
      </c>
      <c r="K113" s="5">
        <f t="shared" si="62"/>
        <v>0</v>
      </c>
      <c r="L113" s="5">
        <f t="shared" si="62"/>
        <v>0</v>
      </c>
      <c r="M113" s="5">
        <f t="shared" si="62"/>
        <v>0</v>
      </c>
      <c r="N113" s="5">
        <f t="shared" si="62"/>
        <v>0</v>
      </c>
      <c r="O113" s="5">
        <f t="shared" si="62"/>
        <v>1</v>
      </c>
      <c r="P113" s="5">
        <f t="shared" si="62"/>
        <v>0</v>
      </c>
      <c r="Q113" s="5">
        <f t="shared" si="62"/>
        <v>0</v>
      </c>
      <c r="R113" s="5">
        <f t="shared" si="62"/>
        <v>0</v>
      </c>
      <c r="S113" s="5">
        <f t="shared" si="62"/>
        <v>0</v>
      </c>
      <c r="T113" s="5">
        <f t="shared" si="62"/>
        <v>0</v>
      </c>
      <c r="U113" s="5">
        <f t="shared" si="62"/>
        <v>0</v>
      </c>
      <c r="V113" s="5">
        <f t="shared" si="62"/>
        <v>0</v>
      </c>
      <c r="W113" s="5">
        <f t="shared" si="62"/>
        <v>0</v>
      </c>
      <c r="X113" s="5">
        <f t="shared" si="62"/>
        <v>0</v>
      </c>
      <c r="Y113" s="5">
        <f t="shared" si="62"/>
        <v>1</v>
      </c>
      <c r="Z113" s="5">
        <f t="shared" si="62"/>
        <v>0</v>
      </c>
      <c r="AA113" s="5">
        <f t="shared" si="62"/>
        <v>0</v>
      </c>
      <c r="AB113" s="5">
        <f t="shared" si="62"/>
        <v>0</v>
      </c>
      <c r="AC113" s="5">
        <f t="shared" si="62"/>
        <v>0</v>
      </c>
      <c r="AD113" s="5">
        <f t="shared" si="62"/>
        <v>1</v>
      </c>
      <c r="AE113" s="5">
        <f t="shared" si="62"/>
        <v>0</v>
      </c>
      <c r="AF113" s="5">
        <f t="shared" si="62"/>
        <v>1</v>
      </c>
      <c r="AG113" s="5">
        <f t="shared" si="62"/>
        <v>0</v>
      </c>
      <c r="AH113" s="5">
        <f t="shared" si="62"/>
        <v>0</v>
      </c>
      <c r="AI113" s="5">
        <f t="shared" si="62"/>
        <v>0</v>
      </c>
      <c r="AJ113" s="5">
        <f t="shared" si="62"/>
        <v>1</v>
      </c>
      <c r="AK113" s="5">
        <f t="shared" ref="AK113:BE113" si="63">SUM(AK109:AK112)</f>
        <v>0</v>
      </c>
      <c r="AL113" s="5">
        <f t="shared" si="63"/>
        <v>0</v>
      </c>
      <c r="AM113" s="5">
        <f t="shared" si="63"/>
        <v>0</v>
      </c>
      <c r="AN113" s="5">
        <f t="shared" si="63"/>
        <v>1</v>
      </c>
      <c r="AO113" s="5">
        <f t="shared" si="63"/>
        <v>0</v>
      </c>
      <c r="AP113" s="5">
        <f t="shared" si="63"/>
        <v>0</v>
      </c>
      <c r="AQ113" s="5">
        <f t="shared" si="63"/>
        <v>0</v>
      </c>
      <c r="AR113" s="5">
        <f t="shared" si="63"/>
        <v>0</v>
      </c>
      <c r="AS113" s="5">
        <f t="shared" si="63"/>
        <v>0</v>
      </c>
      <c r="AT113" s="5">
        <f t="shared" si="63"/>
        <v>0</v>
      </c>
      <c r="AU113" s="5">
        <f t="shared" si="63"/>
        <v>1</v>
      </c>
      <c r="AV113" s="5">
        <f t="shared" si="63"/>
        <v>0</v>
      </c>
      <c r="AW113" s="5">
        <f t="shared" si="63"/>
        <v>0</v>
      </c>
      <c r="AX113" s="5">
        <f t="shared" si="63"/>
        <v>0</v>
      </c>
      <c r="AY113" s="5">
        <f t="shared" si="63"/>
        <v>0</v>
      </c>
      <c r="AZ113" s="5">
        <f t="shared" si="63"/>
        <v>0</v>
      </c>
      <c r="BA113" s="5">
        <f t="shared" si="63"/>
        <v>0</v>
      </c>
      <c r="BB113" s="5">
        <f t="shared" si="63"/>
        <v>0</v>
      </c>
      <c r="BC113" s="5">
        <f t="shared" si="63"/>
        <v>0</v>
      </c>
      <c r="BD113" s="5">
        <f t="shared" si="63"/>
        <v>0</v>
      </c>
      <c r="BE113" s="5">
        <f t="shared" si="63"/>
        <v>8</v>
      </c>
    </row>
    <row r="114" spans="1:57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5"/>
    </row>
    <row r="115" spans="1:57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1</v>
      </c>
      <c r="AG115" s="6">
        <v>1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1</v>
      </c>
      <c r="AP115" s="6">
        <v>0</v>
      </c>
      <c r="AQ115" s="6">
        <v>0</v>
      </c>
      <c r="AR115" s="6">
        <v>0</v>
      </c>
      <c r="AS115" s="6">
        <v>0</v>
      </c>
      <c r="AT115" s="6">
        <v>1</v>
      </c>
      <c r="AU115" s="6">
        <v>0</v>
      </c>
      <c r="AV115" s="6">
        <v>1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5">
        <f t="shared" ref="BE115:BE121" si="64">SUM(E115:BD115)</f>
        <v>6</v>
      </c>
    </row>
    <row r="116" spans="1:57" x14ac:dyDescent="0.4">
      <c r="A116" s="48" t="s">
        <v>50</v>
      </c>
      <c r="B116" s="46">
        <v>1</v>
      </c>
      <c r="C116" s="24" t="s">
        <v>157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0</v>
      </c>
      <c r="Q116" s="6">
        <v>2</v>
      </c>
      <c r="R116" s="6">
        <v>0</v>
      </c>
      <c r="S116" s="6">
        <v>0</v>
      </c>
      <c r="T116" s="6">
        <v>0</v>
      </c>
      <c r="U116" s="6">
        <v>0</v>
      </c>
      <c r="V116" s="6">
        <v>1</v>
      </c>
      <c r="W116" s="6">
        <v>0</v>
      </c>
      <c r="X116" s="6">
        <v>0</v>
      </c>
      <c r="Y116" s="6">
        <v>1</v>
      </c>
      <c r="Z116" s="6">
        <v>0</v>
      </c>
      <c r="AA116" s="6">
        <v>0</v>
      </c>
      <c r="AB116" s="6">
        <v>0</v>
      </c>
      <c r="AC116" s="6">
        <v>1</v>
      </c>
      <c r="AD116" s="6">
        <v>0</v>
      </c>
      <c r="AE116" s="6">
        <v>0</v>
      </c>
      <c r="AF116" s="6">
        <v>11</v>
      </c>
      <c r="AG116" s="6">
        <v>22</v>
      </c>
      <c r="AH116" s="6">
        <v>10</v>
      </c>
      <c r="AI116" s="6">
        <v>3</v>
      </c>
      <c r="AJ116" s="6">
        <v>0</v>
      </c>
      <c r="AK116" s="6">
        <v>5</v>
      </c>
      <c r="AL116" s="6">
        <v>0</v>
      </c>
      <c r="AM116" s="6">
        <v>1</v>
      </c>
      <c r="AN116" s="6">
        <v>3</v>
      </c>
      <c r="AO116" s="6">
        <v>0</v>
      </c>
      <c r="AP116" s="6">
        <v>1</v>
      </c>
      <c r="AQ116" s="6">
        <v>0</v>
      </c>
      <c r="AR116" s="6">
        <v>4</v>
      </c>
      <c r="AS116" s="6">
        <v>6</v>
      </c>
      <c r="AT116" s="6">
        <v>2</v>
      </c>
      <c r="AU116" s="6">
        <v>1</v>
      </c>
      <c r="AV116" s="6">
        <v>0</v>
      </c>
      <c r="AW116" s="6">
        <v>1</v>
      </c>
      <c r="AX116" s="6">
        <v>1</v>
      </c>
      <c r="AY116" s="6">
        <v>1</v>
      </c>
      <c r="AZ116" s="6">
        <v>0</v>
      </c>
      <c r="BA116" s="6">
        <v>1</v>
      </c>
      <c r="BB116" s="6">
        <v>0</v>
      </c>
      <c r="BC116" s="6">
        <v>0</v>
      </c>
      <c r="BD116" s="6">
        <v>0</v>
      </c>
      <c r="BE116" s="5">
        <f t="shared" si="64"/>
        <v>79</v>
      </c>
    </row>
    <row r="117" spans="1:57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4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0</v>
      </c>
      <c r="V117" s="6">
        <v>1</v>
      </c>
      <c r="W117" s="6">
        <v>0</v>
      </c>
      <c r="X117" s="6">
        <v>0</v>
      </c>
      <c r="Y117" s="6">
        <v>2</v>
      </c>
      <c r="Z117" s="6">
        <v>0</v>
      </c>
      <c r="AA117" s="6">
        <v>0</v>
      </c>
      <c r="AB117" s="6">
        <v>7</v>
      </c>
      <c r="AC117" s="6">
        <v>0</v>
      </c>
      <c r="AD117" s="6">
        <v>0</v>
      </c>
      <c r="AE117" s="6">
        <v>0</v>
      </c>
      <c r="AF117" s="6">
        <v>0</v>
      </c>
      <c r="AG117" s="6">
        <v>1</v>
      </c>
      <c r="AH117" s="6">
        <v>0</v>
      </c>
      <c r="AI117" s="6">
        <v>0</v>
      </c>
      <c r="AJ117" s="6">
        <v>0</v>
      </c>
      <c r="AK117" s="6">
        <v>0</v>
      </c>
      <c r="AL117" s="6">
        <v>1</v>
      </c>
      <c r="AM117" s="6">
        <v>0</v>
      </c>
      <c r="AN117" s="6">
        <v>0</v>
      </c>
      <c r="AO117" s="6">
        <v>1</v>
      </c>
      <c r="AP117" s="6">
        <v>0</v>
      </c>
      <c r="AQ117" s="6">
        <v>0</v>
      </c>
      <c r="AR117" s="6">
        <v>2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1</v>
      </c>
      <c r="BE117" s="5">
        <f t="shared" si="64"/>
        <v>22</v>
      </c>
    </row>
    <row r="118" spans="1:57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2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5">
        <f t="shared" si="64"/>
        <v>2</v>
      </c>
    </row>
    <row r="119" spans="1:57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2</v>
      </c>
      <c r="AU119" s="6">
        <v>3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5">
        <f t="shared" si="64"/>
        <v>5</v>
      </c>
    </row>
    <row r="120" spans="1:57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5">
        <f t="shared" si="64"/>
        <v>0</v>
      </c>
    </row>
    <row r="121" spans="1:57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5">
        <f t="shared" si="64"/>
        <v>1</v>
      </c>
    </row>
    <row r="122" spans="1:57" x14ac:dyDescent="0.4">
      <c r="A122" s="6" t="s">
        <v>26</v>
      </c>
      <c r="B122" s="64" t="s">
        <v>51</v>
      </c>
      <c r="C122" s="65"/>
      <c r="D122" s="66"/>
      <c r="E122" s="5">
        <f t="shared" ref="E122:AJ122" si="65">SUM(E115:E121)</f>
        <v>0</v>
      </c>
      <c r="F122" s="5">
        <f t="shared" si="65"/>
        <v>1</v>
      </c>
      <c r="G122" s="5">
        <f t="shared" si="65"/>
        <v>0</v>
      </c>
      <c r="H122" s="5">
        <f t="shared" si="65"/>
        <v>0</v>
      </c>
      <c r="I122" s="5">
        <f t="shared" si="65"/>
        <v>0</v>
      </c>
      <c r="J122" s="5">
        <f t="shared" si="65"/>
        <v>0</v>
      </c>
      <c r="K122" s="5">
        <f t="shared" si="65"/>
        <v>0</v>
      </c>
      <c r="L122" s="5">
        <f t="shared" si="65"/>
        <v>0</v>
      </c>
      <c r="M122" s="5">
        <f t="shared" si="65"/>
        <v>0</v>
      </c>
      <c r="N122" s="5">
        <f t="shared" si="65"/>
        <v>0</v>
      </c>
      <c r="O122" s="5">
        <f t="shared" si="65"/>
        <v>5</v>
      </c>
      <c r="P122" s="5">
        <f t="shared" si="65"/>
        <v>0</v>
      </c>
      <c r="Q122" s="5">
        <f t="shared" si="65"/>
        <v>4</v>
      </c>
      <c r="R122" s="5">
        <f t="shared" si="65"/>
        <v>0</v>
      </c>
      <c r="S122" s="5">
        <f t="shared" si="65"/>
        <v>0</v>
      </c>
      <c r="T122" s="5">
        <f t="shared" si="65"/>
        <v>0</v>
      </c>
      <c r="U122" s="5">
        <f t="shared" si="65"/>
        <v>1</v>
      </c>
      <c r="V122" s="5">
        <f t="shared" si="65"/>
        <v>2</v>
      </c>
      <c r="W122" s="5">
        <f t="shared" si="65"/>
        <v>0</v>
      </c>
      <c r="X122" s="5">
        <f t="shared" si="65"/>
        <v>0</v>
      </c>
      <c r="Y122" s="5">
        <f t="shared" si="65"/>
        <v>3</v>
      </c>
      <c r="Z122" s="5">
        <f t="shared" si="65"/>
        <v>0</v>
      </c>
      <c r="AA122" s="5">
        <f t="shared" si="65"/>
        <v>0</v>
      </c>
      <c r="AB122" s="5">
        <f t="shared" si="65"/>
        <v>7</v>
      </c>
      <c r="AC122" s="5">
        <f t="shared" si="65"/>
        <v>1</v>
      </c>
      <c r="AD122" s="5">
        <f t="shared" si="65"/>
        <v>0</v>
      </c>
      <c r="AE122" s="5">
        <f t="shared" si="65"/>
        <v>0</v>
      </c>
      <c r="AF122" s="5">
        <f t="shared" si="65"/>
        <v>12</v>
      </c>
      <c r="AG122" s="5">
        <f t="shared" si="65"/>
        <v>24</v>
      </c>
      <c r="AH122" s="5">
        <f t="shared" si="65"/>
        <v>10</v>
      </c>
      <c r="AI122" s="5">
        <f t="shared" si="65"/>
        <v>3</v>
      </c>
      <c r="AJ122" s="5">
        <f t="shared" si="65"/>
        <v>0</v>
      </c>
      <c r="AK122" s="5">
        <f t="shared" ref="AK122:BE122" si="66">SUM(AK115:AK121)</f>
        <v>5</v>
      </c>
      <c r="AL122" s="5">
        <f t="shared" si="66"/>
        <v>1</v>
      </c>
      <c r="AM122" s="5">
        <f t="shared" si="66"/>
        <v>1</v>
      </c>
      <c r="AN122" s="5">
        <f t="shared" si="66"/>
        <v>3</v>
      </c>
      <c r="AO122" s="5">
        <f t="shared" si="66"/>
        <v>2</v>
      </c>
      <c r="AP122" s="5">
        <f t="shared" si="66"/>
        <v>1</v>
      </c>
      <c r="AQ122" s="5">
        <f t="shared" si="66"/>
        <v>0</v>
      </c>
      <c r="AR122" s="5">
        <f t="shared" si="66"/>
        <v>6</v>
      </c>
      <c r="AS122" s="5">
        <f t="shared" si="66"/>
        <v>6</v>
      </c>
      <c r="AT122" s="5">
        <f t="shared" si="66"/>
        <v>5</v>
      </c>
      <c r="AU122" s="5">
        <f t="shared" si="66"/>
        <v>4</v>
      </c>
      <c r="AV122" s="5">
        <f t="shared" si="66"/>
        <v>3</v>
      </c>
      <c r="AW122" s="5">
        <f t="shared" si="66"/>
        <v>1</v>
      </c>
      <c r="AX122" s="5">
        <f t="shared" si="66"/>
        <v>1</v>
      </c>
      <c r="AY122" s="5">
        <f t="shared" si="66"/>
        <v>1</v>
      </c>
      <c r="AZ122" s="5">
        <f t="shared" si="66"/>
        <v>0</v>
      </c>
      <c r="BA122" s="5">
        <f t="shared" si="66"/>
        <v>1</v>
      </c>
      <c r="BB122" s="5">
        <f t="shared" si="66"/>
        <v>0</v>
      </c>
      <c r="BC122" s="5">
        <f t="shared" si="66"/>
        <v>0</v>
      </c>
      <c r="BD122" s="5">
        <f t="shared" si="66"/>
        <v>1</v>
      </c>
      <c r="BE122" s="5">
        <f t="shared" si="66"/>
        <v>115</v>
      </c>
    </row>
    <row r="123" spans="1:57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</row>
    <row r="124" spans="1:57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2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1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6">
        <v>0</v>
      </c>
      <c r="AO124" s="6">
        <v>1</v>
      </c>
      <c r="AP124" s="6">
        <v>1</v>
      </c>
      <c r="AQ124" s="6">
        <v>1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1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5">
        <f>SUM(E124:BD124)</f>
        <v>10</v>
      </c>
    </row>
    <row r="125" spans="1:57" x14ac:dyDescent="0.4">
      <c r="A125" s="6" t="s">
        <v>26</v>
      </c>
      <c r="B125" s="53" t="s">
        <v>51</v>
      </c>
      <c r="C125" s="54"/>
      <c r="D125" s="55"/>
      <c r="E125" s="5">
        <f t="shared" ref="E125:AJ125" si="67">SUM(E124:E124)</f>
        <v>0</v>
      </c>
      <c r="F125" s="5">
        <f t="shared" si="67"/>
        <v>0</v>
      </c>
      <c r="G125" s="5">
        <f t="shared" si="67"/>
        <v>0</v>
      </c>
      <c r="H125" s="5">
        <f t="shared" si="67"/>
        <v>0</v>
      </c>
      <c r="I125" s="5">
        <f t="shared" si="67"/>
        <v>0</v>
      </c>
      <c r="J125" s="5">
        <f t="shared" si="67"/>
        <v>1</v>
      </c>
      <c r="K125" s="5">
        <f t="shared" si="67"/>
        <v>0</v>
      </c>
      <c r="L125" s="5">
        <f t="shared" si="67"/>
        <v>0</v>
      </c>
      <c r="M125" s="5">
        <f t="shared" si="67"/>
        <v>0</v>
      </c>
      <c r="N125" s="5">
        <f t="shared" si="67"/>
        <v>0</v>
      </c>
      <c r="O125" s="5">
        <f t="shared" si="67"/>
        <v>2</v>
      </c>
      <c r="P125" s="5">
        <f t="shared" si="67"/>
        <v>0</v>
      </c>
      <c r="Q125" s="5">
        <f t="shared" si="67"/>
        <v>0</v>
      </c>
      <c r="R125" s="5">
        <f t="shared" si="67"/>
        <v>0</v>
      </c>
      <c r="S125" s="5">
        <f t="shared" si="67"/>
        <v>0</v>
      </c>
      <c r="T125" s="5">
        <f t="shared" si="67"/>
        <v>0</v>
      </c>
      <c r="U125" s="5">
        <f t="shared" si="67"/>
        <v>0</v>
      </c>
      <c r="V125" s="5">
        <f t="shared" si="67"/>
        <v>0</v>
      </c>
      <c r="W125" s="5">
        <f t="shared" si="67"/>
        <v>0</v>
      </c>
      <c r="X125" s="5">
        <f t="shared" si="67"/>
        <v>0</v>
      </c>
      <c r="Y125" s="5">
        <f t="shared" si="67"/>
        <v>1</v>
      </c>
      <c r="Z125" s="5">
        <f t="shared" si="67"/>
        <v>0</v>
      </c>
      <c r="AA125" s="5">
        <f t="shared" si="67"/>
        <v>0</v>
      </c>
      <c r="AB125" s="5">
        <f t="shared" si="67"/>
        <v>0</v>
      </c>
      <c r="AC125" s="5">
        <f t="shared" si="67"/>
        <v>0</v>
      </c>
      <c r="AD125" s="5">
        <f t="shared" si="67"/>
        <v>0</v>
      </c>
      <c r="AE125" s="5">
        <f t="shared" si="67"/>
        <v>1</v>
      </c>
      <c r="AF125" s="5">
        <f t="shared" si="67"/>
        <v>0</v>
      </c>
      <c r="AG125" s="5">
        <f t="shared" si="67"/>
        <v>0</v>
      </c>
      <c r="AH125" s="5">
        <f t="shared" si="67"/>
        <v>0</v>
      </c>
      <c r="AI125" s="5">
        <f t="shared" si="67"/>
        <v>0</v>
      </c>
      <c r="AJ125" s="5">
        <f t="shared" si="67"/>
        <v>1</v>
      </c>
      <c r="AK125" s="5">
        <f t="shared" ref="AK125:BE125" si="68">SUM(AK124:AK124)</f>
        <v>0</v>
      </c>
      <c r="AL125" s="5">
        <f t="shared" si="68"/>
        <v>0</v>
      </c>
      <c r="AM125" s="5">
        <f t="shared" si="68"/>
        <v>0</v>
      </c>
      <c r="AN125" s="5">
        <f t="shared" si="68"/>
        <v>0</v>
      </c>
      <c r="AO125" s="5">
        <f t="shared" si="68"/>
        <v>1</v>
      </c>
      <c r="AP125" s="5">
        <f t="shared" si="68"/>
        <v>1</v>
      </c>
      <c r="AQ125" s="5">
        <f t="shared" si="68"/>
        <v>1</v>
      </c>
      <c r="AR125" s="5">
        <f t="shared" si="68"/>
        <v>0</v>
      </c>
      <c r="AS125" s="5">
        <f t="shared" si="68"/>
        <v>0</v>
      </c>
      <c r="AT125" s="5">
        <f t="shared" si="68"/>
        <v>0</v>
      </c>
      <c r="AU125" s="5">
        <f t="shared" si="68"/>
        <v>0</v>
      </c>
      <c r="AV125" s="5">
        <f t="shared" si="68"/>
        <v>0</v>
      </c>
      <c r="AW125" s="5">
        <f t="shared" si="68"/>
        <v>0</v>
      </c>
      <c r="AX125" s="5">
        <f t="shared" si="68"/>
        <v>1</v>
      </c>
      <c r="AY125" s="5">
        <f t="shared" si="68"/>
        <v>0</v>
      </c>
      <c r="AZ125" s="5">
        <f t="shared" si="68"/>
        <v>0</v>
      </c>
      <c r="BA125" s="5">
        <f t="shared" si="68"/>
        <v>0</v>
      </c>
      <c r="BB125" s="5">
        <f t="shared" si="68"/>
        <v>0</v>
      </c>
      <c r="BC125" s="5">
        <f t="shared" si="68"/>
        <v>0</v>
      </c>
      <c r="BD125" s="5">
        <f t="shared" si="68"/>
        <v>0</v>
      </c>
      <c r="BE125" s="5">
        <f t="shared" si="68"/>
        <v>10</v>
      </c>
    </row>
    <row r="126" spans="1:57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</row>
    <row r="127" spans="1:57" x14ac:dyDescent="0.4">
      <c r="A127" s="11" t="s">
        <v>48</v>
      </c>
      <c r="B127" s="17" t="s">
        <v>69</v>
      </c>
      <c r="C127" s="59" t="s">
        <v>70</v>
      </c>
      <c r="D127" s="60"/>
      <c r="E127" s="6">
        <v>0</v>
      </c>
      <c r="F127" s="6">
        <v>1</v>
      </c>
      <c r="G127" s="6">
        <v>1</v>
      </c>
      <c r="H127" s="6">
        <v>0</v>
      </c>
      <c r="I127" s="6">
        <v>0</v>
      </c>
      <c r="J127" s="6">
        <v>0</v>
      </c>
      <c r="K127" s="6">
        <v>2</v>
      </c>
      <c r="L127" s="6">
        <v>0</v>
      </c>
      <c r="M127" s="6">
        <v>1</v>
      </c>
      <c r="N127" s="6">
        <v>1</v>
      </c>
      <c r="O127" s="6">
        <v>0</v>
      </c>
      <c r="P127" s="6">
        <v>1</v>
      </c>
      <c r="Q127" s="6">
        <v>0</v>
      </c>
      <c r="R127" s="6">
        <v>2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1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4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6">
        <v>0</v>
      </c>
      <c r="AO127" s="6">
        <v>0</v>
      </c>
      <c r="AP127" s="6">
        <v>0</v>
      </c>
      <c r="AQ127" s="6">
        <v>2</v>
      </c>
      <c r="AR127" s="6">
        <v>1</v>
      </c>
      <c r="AS127" s="6">
        <v>5</v>
      </c>
      <c r="AT127" s="6">
        <v>1</v>
      </c>
      <c r="AU127" s="6">
        <v>1</v>
      </c>
      <c r="AV127" s="6">
        <v>0</v>
      </c>
      <c r="AW127" s="6">
        <v>2</v>
      </c>
      <c r="AX127" s="6">
        <v>4</v>
      </c>
      <c r="AY127" s="6">
        <v>0</v>
      </c>
      <c r="AZ127" s="6">
        <v>1</v>
      </c>
      <c r="BA127" s="6">
        <v>3</v>
      </c>
      <c r="BB127" s="6">
        <v>1</v>
      </c>
      <c r="BC127" s="6">
        <v>1</v>
      </c>
      <c r="BD127" s="6">
        <v>0</v>
      </c>
      <c r="BE127" s="5">
        <f t="shared" ref="BE127:BE133" si="69">SUM(E127:BD127)</f>
        <v>38</v>
      </c>
    </row>
    <row r="128" spans="1:57" x14ac:dyDescent="0.4">
      <c r="A128" s="11" t="s">
        <v>50</v>
      </c>
      <c r="B128" s="46">
        <v>1</v>
      </c>
      <c r="C128" s="24" t="s">
        <v>163</v>
      </c>
      <c r="D128" s="47"/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>
        <v>0</v>
      </c>
      <c r="O128" s="6">
        <v>1</v>
      </c>
      <c r="P128" s="6">
        <v>1</v>
      </c>
      <c r="Q128" s="6">
        <v>1</v>
      </c>
      <c r="R128" s="6">
        <v>0</v>
      </c>
      <c r="S128" s="6">
        <v>0</v>
      </c>
      <c r="T128" s="6">
        <v>0</v>
      </c>
      <c r="U128" s="6">
        <v>0</v>
      </c>
      <c r="V128" s="6">
        <v>2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11</v>
      </c>
      <c r="AG128" s="6">
        <v>1</v>
      </c>
      <c r="AH128" s="6">
        <v>2</v>
      </c>
      <c r="AI128" s="6">
        <v>0</v>
      </c>
      <c r="AJ128" s="6">
        <v>5</v>
      </c>
      <c r="AK128" s="6">
        <v>3</v>
      </c>
      <c r="AL128" s="6">
        <v>14</v>
      </c>
      <c r="AM128" s="6">
        <v>15</v>
      </c>
      <c r="AN128" s="6">
        <v>1</v>
      </c>
      <c r="AO128" s="6">
        <v>2</v>
      </c>
      <c r="AP128" s="6">
        <v>0</v>
      </c>
      <c r="AQ128" s="6">
        <v>2</v>
      </c>
      <c r="AR128" s="6">
        <v>35</v>
      </c>
      <c r="AS128" s="6">
        <v>24</v>
      </c>
      <c r="AT128" s="6">
        <v>7</v>
      </c>
      <c r="AU128" s="6">
        <v>7</v>
      </c>
      <c r="AV128" s="6">
        <v>3</v>
      </c>
      <c r="AW128" s="6">
        <v>6</v>
      </c>
      <c r="AX128" s="6">
        <v>21</v>
      </c>
      <c r="AY128" s="6">
        <v>3</v>
      </c>
      <c r="AZ128" s="6">
        <v>5</v>
      </c>
      <c r="BA128" s="6">
        <v>11</v>
      </c>
      <c r="BB128" s="6">
        <v>1</v>
      </c>
      <c r="BC128" s="6">
        <v>0</v>
      </c>
      <c r="BD128" s="6">
        <v>0</v>
      </c>
      <c r="BE128" s="5">
        <f t="shared" si="69"/>
        <v>186</v>
      </c>
    </row>
    <row r="129" spans="1:57" x14ac:dyDescent="0.4">
      <c r="A129" s="7"/>
      <c r="B129" s="46">
        <v>2</v>
      </c>
      <c r="C129" s="24" t="s">
        <v>164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6">
        <v>0</v>
      </c>
      <c r="U129" s="6">
        <v>2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1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1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1</v>
      </c>
      <c r="AS129" s="6">
        <v>1</v>
      </c>
      <c r="AT129" s="6">
        <v>0</v>
      </c>
      <c r="AU129" s="6">
        <v>0</v>
      </c>
      <c r="AV129" s="6">
        <v>0</v>
      </c>
      <c r="AW129" s="6">
        <v>5</v>
      </c>
      <c r="AX129" s="6">
        <v>1</v>
      </c>
      <c r="AY129" s="6">
        <v>9</v>
      </c>
      <c r="AZ129" s="6">
        <v>0</v>
      </c>
      <c r="BA129" s="6">
        <v>0</v>
      </c>
      <c r="BB129" s="6">
        <v>2</v>
      </c>
      <c r="BC129" s="6">
        <v>0</v>
      </c>
      <c r="BD129" s="6">
        <v>0</v>
      </c>
      <c r="BE129" s="5">
        <f t="shared" si="69"/>
        <v>24</v>
      </c>
    </row>
    <row r="130" spans="1:57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6">
        <v>0</v>
      </c>
      <c r="P130" s="6">
        <v>0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1</v>
      </c>
      <c r="AL130" s="6">
        <v>0</v>
      </c>
      <c r="AM130" s="6">
        <v>0</v>
      </c>
      <c r="AN130" s="6">
        <v>0</v>
      </c>
      <c r="AO130" s="6">
        <v>0</v>
      </c>
      <c r="AP130" s="6">
        <v>1</v>
      </c>
      <c r="AQ130" s="6">
        <v>0</v>
      </c>
      <c r="AR130" s="6">
        <v>2</v>
      </c>
      <c r="AS130" s="6">
        <v>0</v>
      </c>
      <c r="AT130" s="6">
        <v>0</v>
      </c>
      <c r="AU130" s="6">
        <v>1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1</v>
      </c>
      <c r="BE130" s="5">
        <f t="shared" si="69"/>
        <v>9</v>
      </c>
    </row>
    <row r="131" spans="1:57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2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5">
        <f t="shared" si="69"/>
        <v>6</v>
      </c>
    </row>
    <row r="132" spans="1:57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6">
        <v>0</v>
      </c>
      <c r="Y132" s="6">
        <v>1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1</v>
      </c>
      <c r="AS132" s="6">
        <v>1</v>
      </c>
      <c r="AT132" s="6">
        <v>1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1</v>
      </c>
      <c r="BD132" s="6">
        <v>0</v>
      </c>
      <c r="BE132" s="5">
        <f t="shared" si="69"/>
        <v>6</v>
      </c>
    </row>
    <row r="133" spans="1:57" x14ac:dyDescent="0.4">
      <c r="A133" s="7"/>
      <c r="B133" s="46">
        <v>6</v>
      </c>
      <c r="C133" s="24" t="s">
        <v>168</v>
      </c>
      <c r="D133" s="47"/>
      <c r="E133" s="6">
        <v>1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1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1</v>
      </c>
      <c r="BA133" s="6">
        <v>0</v>
      </c>
      <c r="BB133" s="6">
        <v>0</v>
      </c>
      <c r="BC133" s="6">
        <v>0</v>
      </c>
      <c r="BD133" s="6">
        <v>0</v>
      </c>
      <c r="BE133" s="5">
        <f t="shared" si="69"/>
        <v>4</v>
      </c>
    </row>
    <row r="134" spans="1:57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AJ134" si="70">SUM(E127:E133)</f>
        <v>2</v>
      </c>
      <c r="F134" s="5">
        <f t="shared" si="70"/>
        <v>1</v>
      </c>
      <c r="G134" s="5">
        <f t="shared" si="70"/>
        <v>2</v>
      </c>
      <c r="H134" s="5">
        <f t="shared" si="70"/>
        <v>0</v>
      </c>
      <c r="I134" s="5">
        <f t="shared" si="70"/>
        <v>1</v>
      </c>
      <c r="J134" s="5">
        <f t="shared" si="70"/>
        <v>0</v>
      </c>
      <c r="K134" s="5">
        <f t="shared" si="70"/>
        <v>3</v>
      </c>
      <c r="L134" s="5">
        <f t="shared" si="70"/>
        <v>3</v>
      </c>
      <c r="M134" s="5">
        <f t="shared" si="70"/>
        <v>1</v>
      </c>
      <c r="N134" s="5">
        <f t="shared" si="70"/>
        <v>2</v>
      </c>
      <c r="O134" s="5">
        <f t="shared" si="70"/>
        <v>1</v>
      </c>
      <c r="P134" s="5">
        <f t="shared" si="70"/>
        <v>2</v>
      </c>
      <c r="Q134" s="5">
        <f t="shared" si="70"/>
        <v>2</v>
      </c>
      <c r="R134" s="5">
        <f t="shared" si="70"/>
        <v>2</v>
      </c>
      <c r="S134" s="5">
        <f t="shared" si="70"/>
        <v>1</v>
      </c>
      <c r="T134" s="5">
        <f t="shared" si="70"/>
        <v>0</v>
      </c>
      <c r="U134" s="5">
        <f t="shared" si="70"/>
        <v>3</v>
      </c>
      <c r="V134" s="5">
        <f t="shared" si="70"/>
        <v>4</v>
      </c>
      <c r="W134" s="5">
        <f t="shared" si="70"/>
        <v>0</v>
      </c>
      <c r="X134" s="5">
        <f t="shared" si="70"/>
        <v>1</v>
      </c>
      <c r="Y134" s="5">
        <f t="shared" si="70"/>
        <v>1</v>
      </c>
      <c r="Z134" s="5">
        <f t="shared" si="70"/>
        <v>0</v>
      </c>
      <c r="AA134" s="5">
        <f t="shared" si="70"/>
        <v>1</v>
      </c>
      <c r="AB134" s="5">
        <f t="shared" si="70"/>
        <v>0</v>
      </c>
      <c r="AC134" s="5">
        <f t="shared" si="70"/>
        <v>0</v>
      </c>
      <c r="AD134" s="5">
        <f t="shared" si="70"/>
        <v>0</v>
      </c>
      <c r="AE134" s="5">
        <f t="shared" si="70"/>
        <v>0</v>
      </c>
      <c r="AF134" s="5">
        <f t="shared" si="70"/>
        <v>16</v>
      </c>
      <c r="AG134" s="5">
        <f t="shared" si="70"/>
        <v>2</v>
      </c>
      <c r="AH134" s="5">
        <f t="shared" si="70"/>
        <v>2</v>
      </c>
      <c r="AI134" s="5">
        <f t="shared" si="70"/>
        <v>0</v>
      </c>
      <c r="AJ134" s="5">
        <f t="shared" si="70"/>
        <v>5</v>
      </c>
      <c r="AK134" s="5">
        <f t="shared" ref="AK134:BE134" si="71">SUM(AK127:AK133)</f>
        <v>4</v>
      </c>
      <c r="AL134" s="5">
        <f t="shared" si="71"/>
        <v>15</v>
      </c>
      <c r="AM134" s="5">
        <f t="shared" si="71"/>
        <v>17</v>
      </c>
      <c r="AN134" s="5">
        <f t="shared" si="71"/>
        <v>1</v>
      </c>
      <c r="AO134" s="5">
        <f t="shared" si="71"/>
        <v>2</v>
      </c>
      <c r="AP134" s="5">
        <f t="shared" si="71"/>
        <v>1</v>
      </c>
      <c r="AQ134" s="5">
        <f t="shared" si="71"/>
        <v>4</v>
      </c>
      <c r="AR134" s="5">
        <f t="shared" si="71"/>
        <v>40</v>
      </c>
      <c r="AS134" s="5">
        <f t="shared" si="71"/>
        <v>31</v>
      </c>
      <c r="AT134" s="5">
        <f t="shared" si="71"/>
        <v>9</v>
      </c>
      <c r="AU134" s="5">
        <f t="shared" si="71"/>
        <v>9</v>
      </c>
      <c r="AV134" s="5">
        <f t="shared" si="71"/>
        <v>3</v>
      </c>
      <c r="AW134" s="5">
        <f t="shared" si="71"/>
        <v>13</v>
      </c>
      <c r="AX134" s="5">
        <f t="shared" si="71"/>
        <v>26</v>
      </c>
      <c r="AY134" s="5">
        <f t="shared" si="71"/>
        <v>12</v>
      </c>
      <c r="AZ134" s="5">
        <f t="shared" si="71"/>
        <v>7</v>
      </c>
      <c r="BA134" s="5">
        <f t="shared" si="71"/>
        <v>14</v>
      </c>
      <c r="BB134" s="5">
        <f t="shared" si="71"/>
        <v>4</v>
      </c>
      <c r="BC134" s="5">
        <f t="shared" si="71"/>
        <v>2</v>
      </c>
      <c r="BD134" s="5">
        <f t="shared" si="71"/>
        <v>1</v>
      </c>
      <c r="BE134" s="5">
        <f t="shared" si="71"/>
        <v>273</v>
      </c>
    </row>
    <row r="135" spans="1:57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Q135" s="18"/>
      <c r="R135" s="18"/>
      <c r="S135" s="18"/>
      <c r="T135" s="18"/>
      <c r="U135" s="18"/>
      <c r="V135" s="18"/>
      <c r="W135" s="18"/>
      <c r="X135" s="18"/>
      <c r="Y135" s="18"/>
      <c r="AB135" s="18"/>
      <c r="AC135" s="18"/>
      <c r="AD135" s="18"/>
      <c r="AE135" s="18"/>
      <c r="AF135" s="18"/>
      <c r="AG135" s="18"/>
      <c r="AH135" s="18"/>
      <c r="AI135" s="18"/>
      <c r="AJ135" s="18"/>
      <c r="AM135" s="18"/>
      <c r="AN135" s="18"/>
      <c r="AO135" s="18"/>
      <c r="AP135" s="18"/>
      <c r="AQ135" s="18"/>
      <c r="AR135" s="18"/>
      <c r="AS135" s="18"/>
      <c r="AT135" s="18"/>
      <c r="AU135" s="18"/>
      <c r="AX135" s="18"/>
      <c r="AY135" s="18"/>
      <c r="AZ135" s="18"/>
      <c r="BA135" s="18"/>
      <c r="BE135" s="5"/>
    </row>
    <row r="136" spans="1:57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  <c r="Q136" s="6">
        <v>0</v>
      </c>
      <c r="R136" s="6">
        <v>1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2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2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5">
        <f t="shared" ref="BE136:BE141" si="72">SUM(E136:BD136)</f>
        <v>6</v>
      </c>
    </row>
    <row r="137" spans="1:57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1</v>
      </c>
      <c r="AK137" s="6">
        <v>0</v>
      </c>
      <c r="AL137" s="6">
        <v>0</v>
      </c>
      <c r="AM137" s="6">
        <v>1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1</v>
      </c>
      <c r="BA137" s="6">
        <v>3</v>
      </c>
      <c r="BB137" s="6">
        <v>0</v>
      </c>
      <c r="BC137" s="6">
        <v>0</v>
      </c>
      <c r="BD137" s="6">
        <v>1</v>
      </c>
      <c r="BE137" s="5">
        <f t="shared" si="72"/>
        <v>10</v>
      </c>
    </row>
    <row r="138" spans="1:57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2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3</v>
      </c>
      <c r="Z138" s="6">
        <v>0</v>
      </c>
      <c r="AA138" s="6">
        <v>0</v>
      </c>
      <c r="AB138" s="6">
        <v>2</v>
      </c>
      <c r="AC138" s="6">
        <v>0</v>
      </c>
      <c r="AD138" s="6">
        <v>1</v>
      </c>
      <c r="AE138" s="6">
        <v>0</v>
      </c>
      <c r="AF138" s="6">
        <v>0</v>
      </c>
      <c r="AG138" s="6">
        <v>0</v>
      </c>
      <c r="AH138" s="6">
        <v>2</v>
      </c>
      <c r="AI138" s="6">
        <v>1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2</v>
      </c>
      <c r="BD138" s="6">
        <v>0</v>
      </c>
      <c r="BE138" s="5">
        <f t="shared" si="72"/>
        <v>13</v>
      </c>
    </row>
    <row r="139" spans="1:57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1</v>
      </c>
      <c r="BD139" s="6">
        <v>0</v>
      </c>
      <c r="BE139" s="5">
        <f t="shared" si="72"/>
        <v>1</v>
      </c>
    </row>
    <row r="140" spans="1:57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5">
        <f t="shared" si="72"/>
        <v>1</v>
      </c>
    </row>
    <row r="141" spans="1:57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/>
      <c r="AU141" s="6"/>
      <c r="AV141" s="6"/>
      <c r="AW141" s="6"/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5">
        <f t="shared" si="72"/>
        <v>0</v>
      </c>
    </row>
    <row r="142" spans="1:57" x14ac:dyDescent="0.4">
      <c r="A142" s="6" t="s">
        <v>26</v>
      </c>
      <c r="B142" s="53" t="s">
        <v>51</v>
      </c>
      <c r="C142" s="54"/>
      <c r="D142" s="55"/>
      <c r="E142" s="5">
        <f t="shared" ref="E142:AJ142" si="73">SUM(E136:E141)</f>
        <v>0</v>
      </c>
      <c r="F142" s="5">
        <f t="shared" si="73"/>
        <v>0</v>
      </c>
      <c r="G142" s="5">
        <f t="shared" si="73"/>
        <v>0</v>
      </c>
      <c r="H142" s="5">
        <f t="shared" si="73"/>
        <v>0</v>
      </c>
      <c r="I142" s="5">
        <f t="shared" si="73"/>
        <v>0</v>
      </c>
      <c r="J142" s="5">
        <f t="shared" si="73"/>
        <v>1</v>
      </c>
      <c r="K142" s="5">
        <f t="shared" si="73"/>
        <v>0</v>
      </c>
      <c r="L142" s="5">
        <f t="shared" si="73"/>
        <v>0</v>
      </c>
      <c r="M142" s="5">
        <f t="shared" si="73"/>
        <v>1</v>
      </c>
      <c r="N142" s="5">
        <f t="shared" si="73"/>
        <v>0</v>
      </c>
      <c r="O142" s="5">
        <f t="shared" si="73"/>
        <v>0</v>
      </c>
      <c r="P142" s="5">
        <f t="shared" si="73"/>
        <v>0</v>
      </c>
      <c r="Q142" s="5">
        <f t="shared" si="73"/>
        <v>1</v>
      </c>
      <c r="R142" s="5">
        <f t="shared" si="73"/>
        <v>3</v>
      </c>
      <c r="S142" s="5">
        <f t="shared" si="73"/>
        <v>1</v>
      </c>
      <c r="T142" s="5">
        <f t="shared" si="73"/>
        <v>0</v>
      </c>
      <c r="U142" s="5">
        <f t="shared" si="73"/>
        <v>0</v>
      </c>
      <c r="V142" s="5">
        <f t="shared" si="73"/>
        <v>0</v>
      </c>
      <c r="W142" s="5">
        <f t="shared" si="73"/>
        <v>0</v>
      </c>
      <c r="X142" s="5">
        <f t="shared" si="73"/>
        <v>0</v>
      </c>
      <c r="Y142" s="5">
        <f t="shared" si="73"/>
        <v>3</v>
      </c>
      <c r="Z142" s="5">
        <f t="shared" si="73"/>
        <v>2</v>
      </c>
      <c r="AA142" s="5">
        <f t="shared" si="73"/>
        <v>0</v>
      </c>
      <c r="AB142" s="5">
        <f t="shared" si="73"/>
        <v>2</v>
      </c>
      <c r="AC142" s="5">
        <f t="shared" si="73"/>
        <v>0</v>
      </c>
      <c r="AD142" s="5">
        <f t="shared" si="73"/>
        <v>2</v>
      </c>
      <c r="AE142" s="5">
        <f t="shared" si="73"/>
        <v>0</v>
      </c>
      <c r="AF142" s="5">
        <f t="shared" si="73"/>
        <v>0</v>
      </c>
      <c r="AG142" s="5">
        <f t="shared" si="73"/>
        <v>0</v>
      </c>
      <c r="AH142" s="5">
        <f t="shared" si="73"/>
        <v>2</v>
      </c>
      <c r="AI142" s="5">
        <f t="shared" si="73"/>
        <v>3</v>
      </c>
      <c r="AJ142" s="5">
        <f t="shared" si="73"/>
        <v>1</v>
      </c>
      <c r="AK142" s="5">
        <f t="shared" ref="AK142:BE142" si="74">SUM(AK136:AK141)</f>
        <v>0</v>
      </c>
      <c r="AL142" s="5">
        <f t="shared" si="74"/>
        <v>0</v>
      </c>
      <c r="AM142" s="5">
        <f t="shared" si="74"/>
        <v>1</v>
      </c>
      <c r="AN142" s="5">
        <f t="shared" si="74"/>
        <v>0</v>
      </c>
      <c r="AO142" s="5">
        <f t="shared" si="74"/>
        <v>0</v>
      </c>
      <c r="AP142" s="5">
        <f t="shared" si="74"/>
        <v>0</v>
      </c>
      <c r="AQ142" s="5">
        <f t="shared" si="74"/>
        <v>0</v>
      </c>
      <c r="AR142" s="5">
        <f t="shared" si="74"/>
        <v>0</v>
      </c>
      <c r="AS142" s="5">
        <f t="shared" si="74"/>
        <v>0</v>
      </c>
      <c r="AT142" s="5">
        <f t="shared" si="74"/>
        <v>0</v>
      </c>
      <c r="AU142" s="5">
        <f t="shared" si="74"/>
        <v>0</v>
      </c>
      <c r="AV142" s="5">
        <f t="shared" si="74"/>
        <v>0</v>
      </c>
      <c r="AW142" s="5">
        <f t="shared" si="74"/>
        <v>0</v>
      </c>
      <c r="AX142" s="5">
        <f t="shared" si="74"/>
        <v>0</v>
      </c>
      <c r="AY142" s="5">
        <f t="shared" si="74"/>
        <v>0</v>
      </c>
      <c r="AZ142" s="5">
        <f t="shared" si="74"/>
        <v>1</v>
      </c>
      <c r="BA142" s="5">
        <f t="shared" si="74"/>
        <v>3</v>
      </c>
      <c r="BB142" s="5">
        <f t="shared" si="74"/>
        <v>0</v>
      </c>
      <c r="BC142" s="5">
        <f t="shared" si="74"/>
        <v>3</v>
      </c>
      <c r="BD142" s="5">
        <f t="shared" si="74"/>
        <v>1</v>
      </c>
      <c r="BE142" s="5">
        <f t="shared" si="74"/>
        <v>31</v>
      </c>
    </row>
    <row r="143" spans="1:57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</row>
    <row r="144" spans="1:57" x14ac:dyDescent="0.4">
      <c r="A144" s="11" t="s">
        <v>48</v>
      </c>
      <c r="B144" s="17" t="s">
        <v>73</v>
      </c>
      <c r="C144" s="59" t="s">
        <v>74</v>
      </c>
      <c r="D144" s="60"/>
      <c r="E144" s="6">
        <v>3</v>
      </c>
      <c r="F144" s="6">
        <v>1</v>
      </c>
      <c r="G144" s="6">
        <v>2</v>
      </c>
      <c r="H144" s="6">
        <v>1</v>
      </c>
      <c r="I144" s="6">
        <v>3</v>
      </c>
      <c r="J144" s="6">
        <v>0</v>
      </c>
      <c r="K144" s="6">
        <v>3</v>
      </c>
      <c r="L144" s="6">
        <v>2</v>
      </c>
      <c r="M144" s="6">
        <v>0</v>
      </c>
      <c r="N144" s="6">
        <v>0</v>
      </c>
      <c r="O144" s="6">
        <v>3</v>
      </c>
      <c r="P144" s="6">
        <v>1</v>
      </c>
      <c r="Q144" s="6">
        <v>0</v>
      </c>
      <c r="R144" s="6">
        <v>2</v>
      </c>
      <c r="S144" s="6">
        <v>1</v>
      </c>
      <c r="T144" s="6">
        <v>0</v>
      </c>
      <c r="U144" s="6">
        <v>1</v>
      </c>
      <c r="V144" s="6">
        <v>1</v>
      </c>
      <c r="W144" s="6">
        <v>2</v>
      </c>
      <c r="X144" s="6">
        <v>0</v>
      </c>
      <c r="Y144" s="6">
        <v>2</v>
      </c>
      <c r="Z144" s="6">
        <v>0</v>
      </c>
      <c r="AA144" s="6">
        <v>0</v>
      </c>
      <c r="AB144" s="6">
        <v>1</v>
      </c>
      <c r="AC144" s="6">
        <v>0</v>
      </c>
      <c r="AD144" s="6">
        <v>0</v>
      </c>
      <c r="AE144" s="6">
        <v>0</v>
      </c>
      <c r="AF144" s="6">
        <v>0</v>
      </c>
      <c r="AG144" s="6">
        <v>1</v>
      </c>
      <c r="AH144" s="6">
        <v>0</v>
      </c>
      <c r="AI144" s="6">
        <v>4</v>
      </c>
      <c r="AJ144" s="6">
        <v>10</v>
      </c>
      <c r="AK144" s="6">
        <v>8</v>
      </c>
      <c r="AL144" s="6">
        <v>1</v>
      </c>
      <c r="AM144" s="6">
        <v>3</v>
      </c>
      <c r="AN144" s="6">
        <v>0</v>
      </c>
      <c r="AO144" s="6">
        <v>3</v>
      </c>
      <c r="AP144" s="6">
        <v>0</v>
      </c>
      <c r="AQ144" s="6">
        <v>1</v>
      </c>
      <c r="AR144" s="6">
        <v>4</v>
      </c>
      <c r="AS144" s="6">
        <v>0</v>
      </c>
      <c r="AT144" s="6">
        <v>1</v>
      </c>
      <c r="AU144" s="6">
        <v>2</v>
      </c>
      <c r="AV144" s="6">
        <v>0</v>
      </c>
      <c r="AW144" s="6">
        <v>1</v>
      </c>
      <c r="AX144" s="6">
        <v>2</v>
      </c>
      <c r="AY144" s="6">
        <v>1</v>
      </c>
      <c r="AZ144" s="6">
        <v>1</v>
      </c>
      <c r="BA144" s="6">
        <v>2</v>
      </c>
      <c r="BB144" s="6">
        <v>2</v>
      </c>
      <c r="BC144" s="6">
        <v>1</v>
      </c>
      <c r="BD144" s="6">
        <v>0</v>
      </c>
      <c r="BE144" s="5">
        <f t="shared" ref="BE144:BE150" si="75">SUM(E144:BD144)</f>
        <v>77</v>
      </c>
    </row>
    <row r="145" spans="1:57" x14ac:dyDescent="0.4">
      <c r="A145" s="11" t="s">
        <v>50</v>
      </c>
      <c r="B145" s="46">
        <v>1</v>
      </c>
      <c r="C145" s="24" t="s">
        <v>174</v>
      </c>
      <c r="D145" s="47"/>
      <c r="E145" s="6">
        <v>0</v>
      </c>
      <c r="F145" s="6">
        <v>3</v>
      </c>
      <c r="G145" s="6">
        <v>1</v>
      </c>
      <c r="H145" s="6">
        <v>0</v>
      </c>
      <c r="I145" s="6">
        <v>2</v>
      </c>
      <c r="J145" s="6">
        <v>0</v>
      </c>
      <c r="K145" s="6">
        <v>1</v>
      </c>
      <c r="L145" s="6">
        <v>1</v>
      </c>
      <c r="M145" s="6">
        <v>0</v>
      </c>
      <c r="N145" s="6">
        <v>1</v>
      </c>
      <c r="O145" s="6">
        <v>0</v>
      </c>
      <c r="P145" s="6">
        <v>1</v>
      </c>
      <c r="Q145" s="6">
        <v>1</v>
      </c>
      <c r="R145" s="6">
        <v>1</v>
      </c>
      <c r="S145" s="6">
        <v>0</v>
      </c>
      <c r="T145" s="6">
        <v>0</v>
      </c>
      <c r="U145" s="6">
        <v>0</v>
      </c>
      <c r="V145" s="6">
        <v>1</v>
      </c>
      <c r="W145" s="6">
        <v>2</v>
      </c>
      <c r="X145" s="6">
        <v>0</v>
      </c>
      <c r="Y145" s="6">
        <v>0</v>
      </c>
      <c r="Z145" s="6">
        <v>4</v>
      </c>
      <c r="AA145" s="6">
        <v>2</v>
      </c>
      <c r="AB145" s="6">
        <v>0</v>
      </c>
      <c r="AC145" s="6">
        <v>1</v>
      </c>
      <c r="AD145" s="6">
        <v>0</v>
      </c>
      <c r="AE145" s="6">
        <v>0</v>
      </c>
      <c r="AF145" s="6">
        <v>1</v>
      </c>
      <c r="AG145" s="6">
        <v>1</v>
      </c>
      <c r="AH145" s="6">
        <v>4</v>
      </c>
      <c r="AI145" s="6">
        <v>2</v>
      </c>
      <c r="AJ145" s="6">
        <v>3</v>
      </c>
      <c r="AK145" s="6">
        <v>0</v>
      </c>
      <c r="AL145" s="6">
        <v>1</v>
      </c>
      <c r="AM145" s="6">
        <v>8</v>
      </c>
      <c r="AN145" s="6">
        <v>0</v>
      </c>
      <c r="AO145" s="6">
        <v>1</v>
      </c>
      <c r="AP145" s="6">
        <v>0</v>
      </c>
      <c r="AQ145" s="6">
        <v>0</v>
      </c>
      <c r="AR145" s="6">
        <v>1</v>
      </c>
      <c r="AS145" s="6">
        <v>2</v>
      </c>
      <c r="AT145" s="6">
        <v>2</v>
      </c>
      <c r="AU145" s="6">
        <v>1</v>
      </c>
      <c r="AV145" s="6">
        <v>2</v>
      </c>
      <c r="AW145" s="6">
        <v>4</v>
      </c>
      <c r="AX145" s="6">
        <v>1</v>
      </c>
      <c r="AY145" s="6">
        <v>1</v>
      </c>
      <c r="AZ145" s="6">
        <v>11</v>
      </c>
      <c r="BA145" s="6">
        <v>5</v>
      </c>
      <c r="BB145" s="6">
        <v>1</v>
      </c>
      <c r="BC145" s="6">
        <v>0</v>
      </c>
      <c r="BD145" s="6">
        <v>0</v>
      </c>
      <c r="BE145" s="5">
        <f t="shared" si="75"/>
        <v>74</v>
      </c>
    </row>
    <row r="146" spans="1:57" x14ac:dyDescent="0.4">
      <c r="A146" s="7"/>
      <c r="B146" s="46">
        <v>2</v>
      </c>
      <c r="C146" s="24" t="s">
        <v>175</v>
      </c>
      <c r="D146" s="47"/>
      <c r="E146" s="6">
        <v>0</v>
      </c>
      <c r="F146" s="6">
        <v>0</v>
      </c>
      <c r="G146" s="6">
        <v>2</v>
      </c>
      <c r="H146" s="6">
        <v>0</v>
      </c>
      <c r="I146" s="6">
        <v>0</v>
      </c>
      <c r="J146" s="6">
        <v>0</v>
      </c>
      <c r="K146" s="6">
        <v>0</v>
      </c>
      <c r="L146" s="6">
        <v>3</v>
      </c>
      <c r="M146" s="6">
        <v>0</v>
      </c>
      <c r="N146" s="6">
        <v>0</v>
      </c>
      <c r="O146" s="6">
        <v>1</v>
      </c>
      <c r="P146" s="6">
        <v>4</v>
      </c>
      <c r="Q146" s="6">
        <v>2</v>
      </c>
      <c r="R146" s="6">
        <v>3</v>
      </c>
      <c r="S146" s="6">
        <v>2</v>
      </c>
      <c r="T146" s="6">
        <v>3</v>
      </c>
      <c r="U146" s="6">
        <v>0</v>
      </c>
      <c r="V146" s="6">
        <v>9</v>
      </c>
      <c r="W146" s="6">
        <v>2</v>
      </c>
      <c r="X146" s="6">
        <v>5</v>
      </c>
      <c r="Y146" s="6">
        <v>8</v>
      </c>
      <c r="Z146" s="6">
        <v>0</v>
      </c>
      <c r="AA146" s="6">
        <v>0</v>
      </c>
      <c r="AB146" s="6">
        <v>0</v>
      </c>
      <c r="AC146" s="6">
        <v>5</v>
      </c>
      <c r="AD146" s="6">
        <v>3</v>
      </c>
      <c r="AE146" s="6">
        <v>0</v>
      </c>
      <c r="AF146" s="6">
        <v>1</v>
      </c>
      <c r="AG146" s="6">
        <v>1</v>
      </c>
      <c r="AH146" s="6">
        <v>16</v>
      </c>
      <c r="AI146" s="6">
        <v>34</v>
      </c>
      <c r="AJ146" s="6">
        <v>36</v>
      </c>
      <c r="AK146" s="6">
        <v>9</v>
      </c>
      <c r="AL146" s="6">
        <v>2</v>
      </c>
      <c r="AM146" s="6">
        <v>11</v>
      </c>
      <c r="AN146" s="6">
        <v>5</v>
      </c>
      <c r="AO146" s="6">
        <v>3</v>
      </c>
      <c r="AP146" s="6">
        <v>6</v>
      </c>
      <c r="AQ146" s="6">
        <v>2</v>
      </c>
      <c r="AR146" s="6">
        <v>0</v>
      </c>
      <c r="AS146" s="6">
        <v>0</v>
      </c>
      <c r="AT146" s="6">
        <v>0</v>
      </c>
      <c r="AU146" s="6">
        <v>0</v>
      </c>
      <c r="AV146" s="6">
        <v>1</v>
      </c>
      <c r="AW146" s="6">
        <v>0</v>
      </c>
      <c r="AX146" s="6">
        <v>2</v>
      </c>
      <c r="AY146" s="6">
        <v>0</v>
      </c>
      <c r="AZ146" s="6">
        <v>1</v>
      </c>
      <c r="BA146" s="6">
        <v>0</v>
      </c>
      <c r="BB146" s="6">
        <v>0</v>
      </c>
      <c r="BC146" s="6">
        <v>0</v>
      </c>
      <c r="BD146" s="6">
        <v>5</v>
      </c>
      <c r="BE146" s="5">
        <f t="shared" si="75"/>
        <v>187</v>
      </c>
    </row>
    <row r="147" spans="1:57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1</v>
      </c>
      <c r="V147" s="6">
        <v>0</v>
      </c>
      <c r="W147" s="6">
        <v>1</v>
      </c>
      <c r="X147" s="6">
        <v>1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1</v>
      </c>
      <c r="AG147" s="6">
        <v>0</v>
      </c>
      <c r="AH147" s="6">
        <v>0</v>
      </c>
      <c r="AI147" s="6">
        <v>0</v>
      </c>
      <c r="AJ147" s="6">
        <v>1</v>
      </c>
      <c r="AK147" s="6">
        <v>3</v>
      </c>
      <c r="AL147" s="6">
        <v>1</v>
      </c>
      <c r="AM147" s="6">
        <v>1</v>
      </c>
      <c r="AN147" s="6">
        <v>1</v>
      </c>
      <c r="AO147" s="6">
        <v>3</v>
      </c>
      <c r="AP147" s="6">
        <v>0</v>
      </c>
      <c r="AQ147" s="6">
        <v>0</v>
      </c>
      <c r="AR147" s="6">
        <v>6</v>
      </c>
      <c r="AS147" s="6">
        <v>10</v>
      </c>
      <c r="AT147" s="6">
        <v>8</v>
      </c>
      <c r="AU147" s="6">
        <v>24</v>
      </c>
      <c r="AV147" s="6">
        <v>6</v>
      </c>
      <c r="AW147" s="6">
        <v>4</v>
      </c>
      <c r="AX147" s="6">
        <v>2</v>
      </c>
      <c r="AY147" s="6">
        <v>2</v>
      </c>
      <c r="AZ147" s="6">
        <v>0</v>
      </c>
      <c r="BA147" s="6">
        <v>0</v>
      </c>
      <c r="BB147" s="6">
        <v>1</v>
      </c>
      <c r="BC147" s="6">
        <v>0</v>
      </c>
      <c r="BD147" s="6">
        <v>0</v>
      </c>
      <c r="BE147" s="5">
        <f t="shared" si="75"/>
        <v>79</v>
      </c>
    </row>
    <row r="148" spans="1:57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2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3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1</v>
      </c>
      <c r="AL148" s="6">
        <v>0</v>
      </c>
      <c r="AM148" s="6">
        <v>1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1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2</v>
      </c>
      <c r="BA148" s="6">
        <v>0</v>
      </c>
      <c r="BB148" s="6">
        <v>0</v>
      </c>
      <c r="BC148" s="6">
        <v>0</v>
      </c>
      <c r="BD148" s="6">
        <v>0</v>
      </c>
      <c r="BE148" s="5">
        <f t="shared" si="75"/>
        <v>10</v>
      </c>
    </row>
    <row r="149" spans="1:57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1</v>
      </c>
      <c r="V149" s="6">
        <v>0</v>
      </c>
      <c r="W149" s="6">
        <v>1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1</v>
      </c>
      <c r="AG149" s="6">
        <v>1</v>
      </c>
      <c r="AH149" s="6">
        <v>0</v>
      </c>
      <c r="AI149" s="6">
        <v>0</v>
      </c>
      <c r="AJ149" s="6">
        <v>0</v>
      </c>
      <c r="AK149" s="6">
        <v>1</v>
      </c>
      <c r="AL149" s="6">
        <v>1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5">
        <f t="shared" si="75"/>
        <v>6</v>
      </c>
    </row>
    <row r="150" spans="1:57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/>
      <c r="AU150" s="6"/>
      <c r="AV150" s="6"/>
      <c r="AW150" s="6"/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5">
        <f t="shared" si="75"/>
        <v>0</v>
      </c>
    </row>
    <row r="151" spans="1:57" x14ac:dyDescent="0.4">
      <c r="A151" s="6" t="s">
        <v>26</v>
      </c>
      <c r="B151" s="53" t="s">
        <v>51</v>
      </c>
      <c r="C151" s="54"/>
      <c r="D151" s="55"/>
      <c r="E151" s="5">
        <f t="shared" ref="E151:AJ151" si="76">SUM(E144:E150)</f>
        <v>3</v>
      </c>
      <c r="F151" s="5">
        <f t="shared" si="76"/>
        <v>4</v>
      </c>
      <c r="G151" s="5">
        <f t="shared" si="76"/>
        <v>5</v>
      </c>
      <c r="H151" s="5">
        <f t="shared" si="76"/>
        <v>1</v>
      </c>
      <c r="I151" s="5">
        <f t="shared" si="76"/>
        <v>5</v>
      </c>
      <c r="J151" s="5">
        <f t="shared" si="76"/>
        <v>0</v>
      </c>
      <c r="K151" s="5">
        <f t="shared" si="76"/>
        <v>4</v>
      </c>
      <c r="L151" s="5">
        <f t="shared" si="76"/>
        <v>9</v>
      </c>
      <c r="M151" s="5">
        <f t="shared" si="76"/>
        <v>0</v>
      </c>
      <c r="N151" s="5">
        <f t="shared" si="76"/>
        <v>1</v>
      </c>
      <c r="O151" s="5">
        <f t="shared" si="76"/>
        <v>5</v>
      </c>
      <c r="P151" s="5">
        <f t="shared" si="76"/>
        <v>6</v>
      </c>
      <c r="Q151" s="5">
        <f t="shared" si="76"/>
        <v>3</v>
      </c>
      <c r="R151" s="5">
        <f t="shared" si="76"/>
        <v>9</v>
      </c>
      <c r="S151" s="5">
        <f t="shared" si="76"/>
        <v>3</v>
      </c>
      <c r="T151" s="5">
        <f t="shared" si="76"/>
        <v>3</v>
      </c>
      <c r="U151" s="5">
        <f t="shared" si="76"/>
        <v>3</v>
      </c>
      <c r="V151" s="5">
        <f t="shared" si="76"/>
        <v>11</v>
      </c>
      <c r="W151" s="5">
        <f t="shared" si="76"/>
        <v>8</v>
      </c>
      <c r="X151" s="5">
        <f t="shared" si="76"/>
        <v>6</v>
      </c>
      <c r="Y151" s="5">
        <f t="shared" si="76"/>
        <v>10</v>
      </c>
      <c r="Z151" s="5">
        <f t="shared" si="76"/>
        <v>4</v>
      </c>
      <c r="AA151" s="5">
        <f t="shared" si="76"/>
        <v>2</v>
      </c>
      <c r="AB151" s="5">
        <f t="shared" si="76"/>
        <v>1</v>
      </c>
      <c r="AC151" s="5">
        <f t="shared" si="76"/>
        <v>6</v>
      </c>
      <c r="AD151" s="5">
        <f t="shared" si="76"/>
        <v>3</v>
      </c>
      <c r="AE151" s="5">
        <f t="shared" si="76"/>
        <v>0</v>
      </c>
      <c r="AF151" s="5">
        <f t="shared" si="76"/>
        <v>4</v>
      </c>
      <c r="AG151" s="5">
        <f t="shared" si="76"/>
        <v>4</v>
      </c>
      <c r="AH151" s="5">
        <f t="shared" si="76"/>
        <v>20</v>
      </c>
      <c r="AI151" s="5">
        <f t="shared" si="76"/>
        <v>40</v>
      </c>
      <c r="AJ151" s="5">
        <f t="shared" si="76"/>
        <v>50</v>
      </c>
      <c r="AK151" s="5">
        <f t="shared" ref="AK151:BE151" si="77">SUM(AK144:AK150)</f>
        <v>22</v>
      </c>
      <c r="AL151" s="5">
        <f t="shared" si="77"/>
        <v>6</v>
      </c>
      <c r="AM151" s="5">
        <f t="shared" si="77"/>
        <v>24</v>
      </c>
      <c r="AN151" s="5">
        <f t="shared" si="77"/>
        <v>6</v>
      </c>
      <c r="AO151" s="5">
        <f t="shared" si="77"/>
        <v>10</v>
      </c>
      <c r="AP151" s="5">
        <f t="shared" si="77"/>
        <v>6</v>
      </c>
      <c r="AQ151" s="5">
        <f t="shared" si="77"/>
        <v>3</v>
      </c>
      <c r="AR151" s="5">
        <f t="shared" si="77"/>
        <v>11</v>
      </c>
      <c r="AS151" s="5">
        <f t="shared" si="77"/>
        <v>13</v>
      </c>
      <c r="AT151" s="5">
        <f t="shared" si="77"/>
        <v>11</v>
      </c>
      <c r="AU151" s="5">
        <f t="shared" si="77"/>
        <v>27</v>
      </c>
      <c r="AV151" s="5">
        <f t="shared" si="77"/>
        <v>9</v>
      </c>
      <c r="AW151" s="5">
        <f t="shared" si="77"/>
        <v>9</v>
      </c>
      <c r="AX151" s="5">
        <f t="shared" si="77"/>
        <v>7</v>
      </c>
      <c r="AY151" s="5">
        <f t="shared" si="77"/>
        <v>4</v>
      </c>
      <c r="AZ151" s="5">
        <f t="shared" si="77"/>
        <v>15</v>
      </c>
      <c r="BA151" s="5">
        <f t="shared" si="77"/>
        <v>7</v>
      </c>
      <c r="BB151" s="5">
        <f t="shared" si="77"/>
        <v>4</v>
      </c>
      <c r="BC151" s="5">
        <f t="shared" si="77"/>
        <v>1</v>
      </c>
      <c r="BD151" s="5">
        <f t="shared" si="77"/>
        <v>5</v>
      </c>
      <c r="BE151" s="5">
        <f t="shared" si="77"/>
        <v>433</v>
      </c>
    </row>
    <row r="152" spans="1:57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</row>
    <row r="153" spans="1:57" x14ac:dyDescent="0.4">
      <c r="A153" s="11" t="s">
        <v>48</v>
      </c>
      <c r="B153" s="17" t="s">
        <v>75</v>
      </c>
      <c r="C153" s="59" t="s">
        <v>76</v>
      </c>
      <c r="D153" s="60"/>
      <c r="E153" s="6">
        <v>0</v>
      </c>
      <c r="F153" s="6">
        <v>1</v>
      </c>
      <c r="G153" s="6">
        <v>0</v>
      </c>
      <c r="H153" s="6">
        <v>0</v>
      </c>
      <c r="I153" s="6">
        <v>2</v>
      </c>
      <c r="J153" s="6">
        <v>0</v>
      </c>
      <c r="K153" s="6">
        <v>0</v>
      </c>
      <c r="L153" s="6">
        <v>1</v>
      </c>
      <c r="M153" s="6">
        <v>0</v>
      </c>
      <c r="N153" s="6">
        <v>1</v>
      </c>
      <c r="O153" s="6">
        <v>0</v>
      </c>
      <c r="P153" s="6">
        <v>0</v>
      </c>
      <c r="Q153" s="6">
        <v>1</v>
      </c>
      <c r="R153" s="6">
        <v>4</v>
      </c>
      <c r="S153" s="6">
        <v>1</v>
      </c>
      <c r="T153" s="6">
        <v>2</v>
      </c>
      <c r="U153" s="6">
        <v>1</v>
      </c>
      <c r="V153" s="6">
        <v>3</v>
      </c>
      <c r="W153" s="6">
        <v>1</v>
      </c>
      <c r="X153" s="6">
        <v>1</v>
      </c>
      <c r="Y153" s="6">
        <v>0</v>
      </c>
      <c r="Z153" s="6">
        <v>1</v>
      </c>
      <c r="AA153" s="6">
        <v>0</v>
      </c>
      <c r="AB153" s="6">
        <v>1</v>
      </c>
      <c r="AC153" s="6">
        <v>0</v>
      </c>
      <c r="AD153" s="6">
        <v>0</v>
      </c>
      <c r="AE153" s="6">
        <v>2</v>
      </c>
      <c r="AF153" s="6">
        <v>2</v>
      </c>
      <c r="AG153" s="6">
        <v>2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1</v>
      </c>
      <c r="AN153" s="6">
        <v>1</v>
      </c>
      <c r="AO153" s="6">
        <v>1</v>
      </c>
      <c r="AP153" s="6">
        <v>0</v>
      </c>
      <c r="AQ153" s="6">
        <v>2</v>
      </c>
      <c r="AR153" s="6">
        <v>0</v>
      </c>
      <c r="AS153" s="6">
        <v>0</v>
      </c>
      <c r="AT153" s="6">
        <v>1</v>
      </c>
      <c r="AU153" s="6">
        <v>4</v>
      </c>
      <c r="AV153" s="6">
        <v>0</v>
      </c>
      <c r="AW153" s="6">
        <v>0</v>
      </c>
      <c r="AX153" s="6">
        <v>1</v>
      </c>
      <c r="AY153" s="6">
        <v>0</v>
      </c>
      <c r="AZ153" s="6">
        <v>11</v>
      </c>
      <c r="BA153" s="6">
        <v>1</v>
      </c>
      <c r="BB153" s="6">
        <v>1</v>
      </c>
      <c r="BC153" s="6">
        <v>1</v>
      </c>
      <c r="BD153" s="6">
        <v>0</v>
      </c>
      <c r="BE153" s="5">
        <f>SUM(E153:BD153)</f>
        <v>53</v>
      </c>
    </row>
    <row r="154" spans="1:57" x14ac:dyDescent="0.4">
      <c r="A154" s="11" t="s">
        <v>50</v>
      </c>
      <c r="B154" s="46">
        <v>1</v>
      </c>
      <c r="C154" s="24" t="s">
        <v>180</v>
      </c>
      <c r="D154" s="47"/>
      <c r="E154" s="6">
        <v>2</v>
      </c>
      <c r="F154" s="6">
        <v>1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6">
        <v>7</v>
      </c>
      <c r="U154" s="6">
        <v>1</v>
      </c>
      <c r="V154" s="6">
        <v>20</v>
      </c>
      <c r="W154" s="6">
        <v>2</v>
      </c>
      <c r="X154" s="6">
        <v>1</v>
      </c>
      <c r="Y154" s="6">
        <v>3</v>
      </c>
      <c r="Z154" s="6">
        <v>18</v>
      </c>
      <c r="AA154" s="6">
        <v>3</v>
      </c>
      <c r="AB154" s="6">
        <v>11</v>
      </c>
      <c r="AC154" s="6">
        <v>4</v>
      </c>
      <c r="AD154" s="6">
        <v>0</v>
      </c>
      <c r="AE154" s="6">
        <v>14</v>
      </c>
      <c r="AF154" s="6">
        <v>2</v>
      </c>
      <c r="AG154" s="6">
        <v>3</v>
      </c>
      <c r="AH154" s="6">
        <v>4</v>
      </c>
      <c r="AI154" s="6">
        <v>1</v>
      </c>
      <c r="AJ154" s="6">
        <v>0</v>
      </c>
      <c r="AK154" s="6">
        <v>1</v>
      </c>
      <c r="AL154" s="6">
        <v>5</v>
      </c>
      <c r="AM154" s="6">
        <v>2</v>
      </c>
      <c r="AN154" s="6">
        <v>0</v>
      </c>
      <c r="AO154" s="6">
        <v>3</v>
      </c>
      <c r="AP154" s="6">
        <v>2</v>
      </c>
      <c r="AQ154" s="6">
        <v>1</v>
      </c>
      <c r="AR154" s="6">
        <v>0</v>
      </c>
      <c r="AS154" s="6">
        <v>0</v>
      </c>
      <c r="AT154" s="6">
        <v>0</v>
      </c>
      <c r="AU154" s="6">
        <v>2</v>
      </c>
      <c r="AV154" s="6">
        <v>3</v>
      </c>
      <c r="AW154" s="6">
        <v>1</v>
      </c>
      <c r="AX154" s="6">
        <v>13</v>
      </c>
      <c r="AY154" s="6">
        <v>4</v>
      </c>
      <c r="AZ154" s="6">
        <v>9</v>
      </c>
      <c r="BA154" s="6">
        <v>6</v>
      </c>
      <c r="BB154" s="6">
        <v>2</v>
      </c>
      <c r="BC154" s="6">
        <v>4</v>
      </c>
      <c r="BD154" s="6">
        <v>0</v>
      </c>
      <c r="BE154" s="5">
        <f>SUM(E154:BD154)</f>
        <v>158</v>
      </c>
    </row>
    <row r="155" spans="1:57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0</v>
      </c>
      <c r="G155" s="6">
        <v>0</v>
      </c>
      <c r="H155" s="6">
        <v>3</v>
      </c>
      <c r="I155" s="6">
        <v>1</v>
      </c>
      <c r="J155" s="6">
        <v>0</v>
      </c>
      <c r="K155" s="6">
        <v>0</v>
      </c>
      <c r="L155" s="6">
        <v>2</v>
      </c>
      <c r="M155" s="6">
        <v>0</v>
      </c>
      <c r="N155" s="6">
        <v>1</v>
      </c>
      <c r="O155" s="6">
        <v>1</v>
      </c>
      <c r="P155" s="6">
        <v>1</v>
      </c>
      <c r="Q155" s="6">
        <v>0</v>
      </c>
      <c r="R155" s="6">
        <v>0</v>
      </c>
      <c r="S155" s="6">
        <v>0</v>
      </c>
      <c r="T155" s="6">
        <v>0</v>
      </c>
      <c r="U155" s="6">
        <v>1</v>
      </c>
      <c r="V155" s="6">
        <v>0</v>
      </c>
      <c r="W155" s="6">
        <v>3</v>
      </c>
      <c r="X155" s="6">
        <v>0</v>
      </c>
      <c r="Y155" s="6">
        <v>1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1</v>
      </c>
      <c r="AG155" s="6">
        <v>1</v>
      </c>
      <c r="AH155" s="6">
        <v>0</v>
      </c>
      <c r="AI155" s="6">
        <v>0</v>
      </c>
      <c r="AJ155" s="6">
        <v>1</v>
      </c>
      <c r="AK155" s="6">
        <v>1</v>
      </c>
      <c r="AL155" s="6">
        <v>0</v>
      </c>
      <c r="AM155" s="6">
        <v>2</v>
      </c>
      <c r="AN155" s="6">
        <v>2</v>
      </c>
      <c r="AO155" s="6">
        <v>0</v>
      </c>
      <c r="AP155" s="6">
        <v>0</v>
      </c>
      <c r="AQ155" s="6">
        <v>1</v>
      </c>
      <c r="AR155" s="6">
        <v>1</v>
      </c>
      <c r="AS155" s="6">
        <v>1</v>
      </c>
      <c r="AT155" s="6">
        <v>0</v>
      </c>
      <c r="AU155" s="6">
        <v>0</v>
      </c>
      <c r="AV155" s="6">
        <v>0</v>
      </c>
      <c r="AW155" s="6">
        <v>1</v>
      </c>
      <c r="AX155" s="6">
        <v>1</v>
      </c>
      <c r="AY155" s="6">
        <v>0</v>
      </c>
      <c r="AZ155" s="6">
        <v>1</v>
      </c>
      <c r="BA155" s="6">
        <v>1</v>
      </c>
      <c r="BB155" s="6">
        <v>0</v>
      </c>
      <c r="BC155" s="6">
        <v>1</v>
      </c>
      <c r="BD155" s="6">
        <v>3</v>
      </c>
      <c r="BE155" s="5">
        <f>SUM(E155:BD155)</f>
        <v>33</v>
      </c>
    </row>
    <row r="156" spans="1:57" x14ac:dyDescent="0.4">
      <c r="A156" s="6" t="s">
        <v>26</v>
      </c>
      <c r="B156" s="53" t="s">
        <v>51</v>
      </c>
      <c r="C156" s="54"/>
      <c r="D156" s="55"/>
      <c r="E156" s="5">
        <f t="shared" ref="E156:AJ156" si="78">SUM(E153:E155)</f>
        <v>2</v>
      </c>
      <c r="F156" s="5">
        <f t="shared" si="78"/>
        <v>2</v>
      </c>
      <c r="G156" s="5">
        <f t="shared" si="78"/>
        <v>0</v>
      </c>
      <c r="H156" s="5">
        <f t="shared" si="78"/>
        <v>3</v>
      </c>
      <c r="I156" s="5">
        <f t="shared" si="78"/>
        <v>3</v>
      </c>
      <c r="J156" s="5">
        <f t="shared" si="78"/>
        <v>0</v>
      </c>
      <c r="K156" s="5">
        <f t="shared" si="78"/>
        <v>1</v>
      </c>
      <c r="L156" s="5">
        <f t="shared" si="78"/>
        <v>3</v>
      </c>
      <c r="M156" s="5">
        <f t="shared" si="78"/>
        <v>1</v>
      </c>
      <c r="N156" s="5">
        <f t="shared" si="78"/>
        <v>2</v>
      </c>
      <c r="O156" s="5">
        <f t="shared" si="78"/>
        <v>1</v>
      </c>
      <c r="P156" s="5">
        <f t="shared" si="78"/>
        <v>1</v>
      </c>
      <c r="Q156" s="5">
        <f t="shared" si="78"/>
        <v>1</v>
      </c>
      <c r="R156" s="5">
        <f t="shared" si="78"/>
        <v>4</v>
      </c>
      <c r="S156" s="5">
        <f t="shared" si="78"/>
        <v>2</v>
      </c>
      <c r="T156" s="5">
        <f t="shared" si="78"/>
        <v>9</v>
      </c>
      <c r="U156" s="5">
        <f t="shared" si="78"/>
        <v>3</v>
      </c>
      <c r="V156" s="5">
        <f t="shared" si="78"/>
        <v>23</v>
      </c>
      <c r="W156" s="5">
        <f t="shared" si="78"/>
        <v>6</v>
      </c>
      <c r="X156" s="5">
        <f t="shared" si="78"/>
        <v>2</v>
      </c>
      <c r="Y156" s="5">
        <f t="shared" si="78"/>
        <v>4</v>
      </c>
      <c r="Z156" s="5">
        <f t="shared" si="78"/>
        <v>19</v>
      </c>
      <c r="AA156" s="5">
        <f t="shared" si="78"/>
        <v>3</v>
      </c>
      <c r="AB156" s="5">
        <f t="shared" si="78"/>
        <v>12</v>
      </c>
      <c r="AC156" s="5">
        <f t="shared" si="78"/>
        <v>4</v>
      </c>
      <c r="AD156" s="5">
        <f t="shared" si="78"/>
        <v>0</v>
      </c>
      <c r="AE156" s="5">
        <f t="shared" si="78"/>
        <v>16</v>
      </c>
      <c r="AF156" s="5">
        <f t="shared" si="78"/>
        <v>5</v>
      </c>
      <c r="AG156" s="5">
        <f t="shared" si="78"/>
        <v>6</v>
      </c>
      <c r="AH156" s="5">
        <f t="shared" si="78"/>
        <v>4</v>
      </c>
      <c r="AI156" s="5">
        <f t="shared" si="78"/>
        <v>1</v>
      </c>
      <c r="AJ156" s="5">
        <f t="shared" si="78"/>
        <v>1</v>
      </c>
      <c r="AK156" s="5">
        <f t="shared" ref="AK156:BE156" si="79">SUM(AK153:AK155)</f>
        <v>2</v>
      </c>
      <c r="AL156" s="5">
        <f t="shared" si="79"/>
        <v>6</v>
      </c>
      <c r="AM156" s="5">
        <f t="shared" si="79"/>
        <v>5</v>
      </c>
      <c r="AN156" s="5">
        <f t="shared" si="79"/>
        <v>3</v>
      </c>
      <c r="AO156" s="5">
        <f t="shared" si="79"/>
        <v>4</v>
      </c>
      <c r="AP156" s="5">
        <f t="shared" si="79"/>
        <v>2</v>
      </c>
      <c r="AQ156" s="5">
        <f t="shared" si="79"/>
        <v>4</v>
      </c>
      <c r="AR156" s="5">
        <f t="shared" si="79"/>
        <v>1</v>
      </c>
      <c r="AS156" s="5">
        <f t="shared" si="79"/>
        <v>1</v>
      </c>
      <c r="AT156" s="5">
        <f t="shared" si="79"/>
        <v>1</v>
      </c>
      <c r="AU156" s="5">
        <f t="shared" si="79"/>
        <v>6</v>
      </c>
      <c r="AV156" s="5">
        <f t="shared" si="79"/>
        <v>3</v>
      </c>
      <c r="AW156" s="5">
        <f t="shared" si="79"/>
        <v>2</v>
      </c>
      <c r="AX156" s="5">
        <f t="shared" si="79"/>
        <v>15</v>
      </c>
      <c r="AY156" s="5">
        <f t="shared" si="79"/>
        <v>4</v>
      </c>
      <c r="AZ156" s="5">
        <f t="shared" si="79"/>
        <v>21</v>
      </c>
      <c r="BA156" s="5">
        <f t="shared" si="79"/>
        <v>8</v>
      </c>
      <c r="BB156" s="5">
        <f t="shared" si="79"/>
        <v>3</v>
      </c>
      <c r="BC156" s="5">
        <f t="shared" si="79"/>
        <v>6</v>
      </c>
      <c r="BD156" s="5">
        <f t="shared" si="79"/>
        <v>3</v>
      </c>
      <c r="BE156" s="5">
        <f t="shared" si="79"/>
        <v>244</v>
      </c>
    </row>
    <row r="157" spans="1:57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</row>
    <row r="158" spans="1:57" x14ac:dyDescent="0.4">
      <c r="A158" s="11" t="s">
        <v>48</v>
      </c>
      <c r="B158" s="17" t="s">
        <v>77</v>
      </c>
      <c r="C158" s="59" t="s">
        <v>78</v>
      </c>
      <c r="D158" s="60"/>
      <c r="E158" s="6">
        <v>1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2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5">
        <f>SUM(E158:BD158)</f>
        <v>3</v>
      </c>
    </row>
    <row r="159" spans="1:57" x14ac:dyDescent="0.4">
      <c r="A159" s="11" t="s">
        <v>50</v>
      </c>
      <c r="B159" s="46">
        <v>1</v>
      </c>
      <c r="C159" s="24" t="s">
        <v>182</v>
      </c>
      <c r="D159" s="45"/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1</v>
      </c>
      <c r="P159" s="6">
        <v>0</v>
      </c>
      <c r="Q159" s="6">
        <v>1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1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1</v>
      </c>
      <c r="BD159" s="6">
        <v>1</v>
      </c>
      <c r="BE159" s="5">
        <f>SUM(E159:BD159)</f>
        <v>7</v>
      </c>
    </row>
    <row r="160" spans="1:57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5">
        <f>SUM(E160:BD160)</f>
        <v>0</v>
      </c>
    </row>
    <row r="161" spans="1:57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2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4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5">
        <f>SUM(E161:BD161)</f>
        <v>7</v>
      </c>
    </row>
    <row r="162" spans="1:57" x14ac:dyDescent="0.4">
      <c r="A162" s="6" t="s">
        <v>26</v>
      </c>
      <c r="B162" s="53" t="s">
        <v>51</v>
      </c>
      <c r="C162" s="54"/>
      <c r="D162" s="55"/>
      <c r="E162" s="5">
        <f t="shared" ref="E162:AJ162" si="80">SUM(E158:E161)</f>
        <v>2</v>
      </c>
      <c r="F162" s="5">
        <f t="shared" si="80"/>
        <v>0</v>
      </c>
      <c r="G162" s="5">
        <f t="shared" si="80"/>
        <v>0</v>
      </c>
      <c r="H162" s="5">
        <f t="shared" si="80"/>
        <v>0</v>
      </c>
      <c r="I162" s="5">
        <f t="shared" si="80"/>
        <v>0</v>
      </c>
      <c r="J162" s="5">
        <f t="shared" si="80"/>
        <v>0</v>
      </c>
      <c r="K162" s="5">
        <f t="shared" si="80"/>
        <v>0</v>
      </c>
      <c r="L162" s="5">
        <f t="shared" si="80"/>
        <v>4</v>
      </c>
      <c r="M162" s="5">
        <f t="shared" si="80"/>
        <v>0</v>
      </c>
      <c r="N162" s="5">
        <f t="shared" si="80"/>
        <v>1</v>
      </c>
      <c r="O162" s="5">
        <f t="shared" si="80"/>
        <v>1</v>
      </c>
      <c r="P162" s="5">
        <f t="shared" si="80"/>
        <v>0</v>
      </c>
      <c r="Q162" s="5">
        <f t="shared" si="80"/>
        <v>1</v>
      </c>
      <c r="R162" s="5">
        <f t="shared" si="80"/>
        <v>1</v>
      </c>
      <c r="S162" s="5">
        <f t="shared" si="80"/>
        <v>0</v>
      </c>
      <c r="T162" s="5">
        <f t="shared" si="80"/>
        <v>0</v>
      </c>
      <c r="U162" s="5">
        <f t="shared" si="80"/>
        <v>0</v>
      </c>
      <c r="V162" s="5">
        <f t="shared" si="80"/>
        <v>0</v>
      </c>
      <c r="W162" s="5">
        <f t="shared" si="80"/>
        <v>0</v>
      </c>
      <c r="X162" s="5">
        <f t="shared" si="80"/>
        <v>0</v>
      </c>
      <c r="Y162" s="5">
        <f t="shared" si="80"/>
        <v>0</v>
      </c>
      <c r="Z162" s="5">
        <f t="shared" si="80"/>
        <v>0</v>
      </c>
      <c r="AA162" s="5">
        <f t="shared" si="80"/>
        <v>0</v>
      </c>
      <c r="AB162" s="5">
        <f t="shared" si="80"/>
        <v>0</v>
      </c>
      <c r="AC162" s="5">
        <f t="shared" si="80"/>
        <v>0</v>
      </c>
      <c r="AD162" s="5">
        <f t="shared" si="80"/>
        <v>0</v>
      </c>
      <c r="AE162" s="5">
        <f t="shared" si="80"/>
        <v>0</v>
      </c>
      <c r="AF162" s="5">
        <f t="shared" si="80"/>
        <v>0</v>
      </c>
      <c r="AG162" s="5">
        <f t="shared" si="80"/>
        <v>0</v>
      </c>
      <c r="AH162" s="5">
        <f t="shared" si="80"/>
        <v>0</v>
      </c>
      <c r="AI162" s="5">
        <f t="shared" si="80"/>
        <v>0</v>
      </c>
      <c r="AJ162" s="5">
        <f t="shared" si="80"/>
        <v>0</v>
      </c>
      <c r="AK162" s="5">
        <f t="shared" ref="AK162:BE162" si="81">SUM(AK158:AK161)</f>
        <v>0</v>
      </c>
      <c r="AL162" s="5">
        <f t="shared" si="81"/>
        <v>0</v>
      </c>
      <c r="AM162" s="5">
        <f t="shared" si="81"/>
        <v>0</v>
      </c>
      <c r="AN162" s="5">
        <f t="shared" si="81"/>
        <v>4</v>
      </c>
      <c r="AO162" s="5">
        <f t="shared" si="81"/>
        <v>0</v>
      </c>
      <c r="AP162" s="5">
        <f t="shared" si="81"/>
        <v>0</v>
      </c>
      <c r="AQ162" s="5">
        <f t="shared" si="81"/>
        <v>0</v>
      </c>
      <c r="AR162" s="5">
        <f t="shared" si="81"/>
        <v>0</v>
      </c>
      <c r="AS162" s="5">
        <f t="shared" si="81"/>
        <v>0</v>
      </c>
      <c r="AT162" s="5">
        <f t="shared" si="81"/>
        <v>0</v>
      </c>
      <c r="AU162" s="5">
        <f t="shared" si="81"/>
        <v>0</v>
      </c>
      <c r="AV162" s="5">
        <f t="shared" si="81"/>
        <v>0</v>
      </c>
      <c r="AW162" s="5">
        <f t="shared" si="81"/>
        <v>1</v>
      </c>
      <c r="AX162" s="5">
        <f t="shared" si="81"/>
        <v>0</v>
      </c>
      <c r="AY162" s="5">
        <f t="shared" si="81"/>
        <v>0</v>
      </c>
      <c r="AZ162" s="5">
        <f t="shared" si="81"/>
        <v>0</v>
      </c>
      <c r="BA162" s="5">
        <f t="shared" si="81"/>
        <v>0</v>
      </c>
      <c r="BB162" s="5">
        <f t="shared" si="81"/>
        <v>0</v>
      </c>
      <c r="BC162" s="5">
        <f t="shared" si="81"/>
        <v>1</v>
      </c>
      <c r="BD162" s="5">
        <f t="shared" si="81"/>
        <v>1</v>
      </c>
      <c r="BE162" s="5">
        <f t="shared" si="81"/>
        <v>17</v>
      </c>
    </row>
    <row r="163" spans="1:57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</row>
    <row r="164" spans="1:57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1</v>
      </c>
      <c r="G164" s="6">
        <v>0</v>
      </c>
      <c r="H164" s="6">
        <v>0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>
        <v>1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1</v>
      </c>
      <c r="V164" s="6">
        <v>0</v>
      </c>
      <c r="W164" s="6">
        <v>0</v>
      </c>
      <c r="X164" s="6">
        <v>0</v>
      </c>
      <c r="Y164" s="6">
        <v>0</v>
      </c>
      <c r="Z164" s="6">
        <v>2</v>
      </c>
      <c r="AA164" s="6">
        <v>0</v>
      </c>
      <c r="AB164" s="6">
        <v>0</v>
      </c>
      <c r="AC164" s="6">
        <v>0</v>
      </c>
      <c r="AD164" s="6">
        <v>1</v>
      </c>
      <c r="AE164" s="6">
        <v>0</v>
      </c>
      <c r="AF164" s="6">
        <v>0</v>
      </c>
      <c r="AG164" s="6">
        <v>0</v>
      </c>
      <c r="AH164" s="6">
        <v>1</v>
      </c>
      <c r="AI164" s="6">
        <v>1</v>
      </c>
      <c r="AJ164" s="6">
        <v>1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1</v>
      </c>
      <c r="AT164" s="6">
        <v>0</v>
      </c>
      <c r="AU164" s="6">
        <v>5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1</v>
      </c>
      <c r="BD164" s="6">
        <v>0</v>
      </c>
      <c r="BE164" s="5">
        <f t="shared" ref="BE164:BE170" si="82">SUM(E164:BD164)</f>
        <v>17</v>
      </c>
    </row>
    <row r="165" spans="1:57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4</v>
      </c>
      <c r="G165" s="6">
        <v>1</v>
      </c>
      <c r="H165" s="6">
        <v>0</v>
      </c>
      <c r="I165" s="6">
        <v>0</v>
      </c>
      <c r="J165" s="6">
        <v>0</v>
      </c>
      <c r="K165" s="6">
        <v>2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1</v>
      </c>
      <c r="Z165" s="6">
        <v>1</v>
      </c>
      <c r="AA165" s="6">
        <v>0</v>
      </c>
      <c r="AB165" s="6">
        <v>0</v>
      </c>
      <c r="AC165" s="6">
        <v>0</v>
      </c>
      <c r="AD165" s="6">
        <v>1</v>
      </c>
      <c r="AE165" s="6">
        <v>0</v>
      </c>
      <c r="AF165" s="6">
        <v>3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1</v>
      </c>
      <c r="AQ165" s="6">
        <v>0</v>
      </c>
      <c r="AR165" s="6">
        <v>2</v>
      </c>
      <c r="AS165" s="6">
        <v>7</v>
      </c>
      <c r="AT165" s="6">
        <v>3</v>
      </c>
      <c r="AU165" s="6">
        <v>7</v>
      </c>
      <c r="AV165" s="6">
        <v>2</v>
      </c>
      <c r="AW165" s="6">
        <v>1</v>
      </c>
      <c r="AX165" s="6">
        <v>0</v>
      </c>
      <c r="AY165" s="6">
        <v>1</v>
      </c>
      <c r="AZ165" s="6">
        <v>1</v>
      </c>
      <c r="BA165" s="6">
        <v>0</v>
      </c>
      <c r="BB165" s="6">
        <v>0</v>
      </c>
      <c r="BC165" s="6">
        <v>1</v>
      </c>
      <c r="BD165" s="6">
        <v>0</v>
      </c>
      <c r="BE165" s="5">
        <f t="shared" si="82"/>
        <v>40</v>
      </c>
    </row>
    <row r="166" spans="1:57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1</v>
      </c>
      <c r="I166" s="6">
        <v>2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1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1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1</v>
      </c>
      <c r="AZ166" s="6">
        <v>1</v>
      </c>
      <c r="BA166" s="6">
        <v>0</v>
      </c>
      <c r="BB166" s="6">
        <v>0</v>
      </c>
      <c r="BC166" s="6">
        <v>0</v>
      </c>
      <c r="BD166" s="6">
        <v>0</v>
      </c>
      <c r="BE166" s="5">
        <f t="shared" si="82"/>
        <v>9</v>
      </c>
    </row>
    <row r="167" spans="1:57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0</v>
      </c>
      <c r="T167" s="6">
        <v>0</v>
      </c>
      <c r="U167" s="6">
        <v>0</v>
      </c>
      <c r="V167" s="6">
        <v>2</v>
      </c>
      <c r="W167" s="6">
        <v>1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1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1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1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5">
        <f t="shared" si="82"/>
        <v>8</v>
      </c>
    </row>
    <row r="168" spans="1:57" x14ac:dyDescent="0.4">
      <c r="A168" s="7"/>
      <c r="B168" s="46">
        <v>4</v>
      </c>
      <c r="C168" s="24" t="s">
        <v>188</v>
      </c>
      <c r="D168" s="47"/>
      <c r="E168" s="6">
        <v>0</v>
      </c>
      <c r="F168" s="6">
        <v>0</v>
      </c>
      <c r="G168" s="6">
        <v>0</v>
      </c>
      <c r="H168" s="6">
        <v>1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5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1</v>
      </c>
      <c r="AI168" s="6">
        <v>1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1</v>
      </c>
      <c r="AU168" s="6">
        <v>3</v>
      </c>
      <c r="AV168" s="6">
        <v>2</v>
      </c>
      <c r="AW168" s="6">
        <v>2</v>
      </c>
      <c r="AX168" s="6">
        <v>0</v>
      </c>
      <c r="AY168" s="6">
        <v>1</v>
      </c>
      <c r="AZ168" s="6">
        <v>1</v>
      </c>
      <c r="BA168" s="6">
        <v>0</v>
      </c>
      <c r="BB168" s="6">
        <v>0</v>
      </c>
      <c r="BC168" s="6">
        <v>0</v>
      </c>
      <c r="BD168" s="6">
        <v>0</v>
      </c>
      <c r="BE168" s="5">
        <f t="shared" si="82"/>
        <v>20</v>
      </c>
    </row>
    <row r="169" spans="1:57" ht="12.75" customHeight="1" x14ac:dyDescent="0.4">
      <c r="A169" s="7"/>
      <c r="B169" s="46">
        <v>5</v>
      </c>
      <c r="C169" s="24" t="s">
        <v>189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4</v>
      </c>
      <c r="V169" s="6">
        <v>0</v>
      </c>
      <c r="W169" s="6">
        <v>1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2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1</v>
      </c>
      <c r="BC169" s="6">
        <v>0</v>
      </c>
      <c r="BD169" s="6">
        <v>0</v>
      </c>
      <c r="BE169" s="5">
        <f t="shared" si="82"/>
        <v>8</v>
      </c>
    </row>
    <row r="170" spans="1:57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1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2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1</v>
      </c>
      <c r="AG170" s="6">
        <v>1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1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5">
        <f t="shared" si="82"/>
        <v>6</v>
      </c>
    </row>
    <row r="171" spans="1:57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AJ171" si="83">SUM(E164:E170)</f>
        <v>0</v>
      </c>
      <c r="F171" s="5">
        <f t="shared" si="83"/>
        <v>5</v>
      </c>
      <c r="G171" s="5">
        <f t="shared" si="83"/>
        <v>2</v>
      </c>
      <c r="H171" s="5">
        <f t="shared" si="83"/>
        <v>2</v>
      </c>
      <c r="I171" s="5">
        <f t="shared" si="83"/>
        <v>4</v>
      </c>
      <c r="J171" s="5">
        <f t="shared" si="83"/>
        <v>0</v>
      </c>
      <c r="K171" s="5">
        <f t="shared" si="83"/>
        <v>3</v>
      </c>
      <c r="L171" s="5">
        <f t="shared" si="83"/>
        <v>0</v>
      </c>
      <c r="M171" s="5">
        <f t="shared" si="83"/>
        <v>0</v>
      </c>
      <c r="N171" s="5">
        <f t="shared" si="83"/>
        <v>1</v>
      </c>
      <c r="O171" s="5">
        <f t="shared" si="83"/>
        <v>1</v>
      </c>
      <c r="P171" s="5">
        <f t="shared" si="83"/>
        <v>1</v>
      </c>
      <c r="Q171" s="5">
        <f t="shared" si="83"/>
        <v>0</v>
      </c>
      <c r="R171" s="5">
        <f t="shared" si="83"/>
        <v>1</v>
      </c>
      <c r="S171" s="5">
        <f t="shared" si="83"/>
        <v>0</v>
      </c>
      <c r="T171" s="5">
        <f t="shared" si="83"/>
        <v>7</v>
      </c>
      <c r="U171" s="5">
        <f t="shared" si="83"/>
        <v>5</v>
      </c>
      <c r="V171" s="5">
        <f t="shared" si="83"/>
        <v>2</v>
      </c>
      <c r="W171" s="5">
        <f t="shared" si="83"/>
        <v>3</v>
      </c>
      <c r="X171" s="5">
        <f t="shared" si="83"/>
        <v>0</v>
      </c>
      <c r="Y171" s="5">
        <f t="shared" si="83"/>
        <v>2</v>
      </c>
      <c r="Z171" s="5">
        <f t="shared" si="83"/>
        <v>3</v>
      </c>
      <c r="AA171" s="5">
        <f t="shared" si="83"/>
        <v>0</v>
      </c>
      <c r="AB171" s="5">
        <f t="shared" si="83"/>
        <v>0</v>
      </c>
      <c r="AC171" s="5">
        <f t="shared" si="83"/>
        <v>0</v>
      </c>
      <c r="AD171" s="5">
        <f t="shared" si="83"/>
        <v>2</v>
      </c>
      <c r="AE171" s="5">
        <f t="shared" si="83"/>
        <v>0</v>
      </c>
      <c r="AF171" s="5">
        <f t="shared" si="83"/>
        <v>5</v>
      </c>
      <c r="AG171" s="5">
        <f t="shared" si="83"/>
        <v>1</v>
      </c>
      <c r="AH171" s="5">
        <f t="shared" si="83"/>
        <v>3</v>
      </c>
      <c r="AI171" s="5">
        <f t="shared" si="83"/>
        <v>2</v>
      </c>
      <c r="AJ171" s="5">
        <f t="shared" si="83"/>
        <v>1</v>
      </c>
      <c r="AK171" s="5">
        <f t="shared" ref="AK171:BE171" si="84">SUM(AK164:AK170)</f>
        <v>0</v>
      </c>
      <c r="AL171" s="5">
        <f t="shared" si="84"/>
        <v>1</v>
      </c>
      <c r="AM171" s="5">
        <f t="shared" si="84"/>
        <v>0</v>
      </c>
      <c r="AN171" s="5">
        <f t="shared" si="84"/>
        <v>1</v>
      </c>
      <c r="AO171" s="5">
        <f t="shared" si="84"/>
        <v>0</v>
      </c>
      <c r="AP171" s="5">
        <f t="shared" si="84"/>
        <v>1</v>
      </c>
      <c r="AQ171" s="5">
        <f t="shared" si="84"/>
        <v>0</v>
      </c>
      <c r="AR171" s="5">
        <f t="shared" si="84"/>
        <v>3</v>
      </c>
      <c r="AS171" s="5">
        <f t="shared" si="84"/>
        <v>9</v>
      </c>
      <c r="AT171" s="5">
        <f t="shared" si="84"/>
        <v>4</v>
      </c>
      <c r="AU171" s="5">
        <f t="shared" si="84"/>
        <v>15</v>
      </c>
      <c r="AV171" s="5">
        <f t="shared" si="84"/>
        <v>6</v>
      </c>
      <c r="AW171" s="5">
        <f t="shared" si="84"/>
        <v>3</v>
      </c>
      <c r="AX171" s="5">
        <f t="shared" si="84"/>
        <v>0</v>
      </c>
      <c r="AY171" s="5">
        <f t="shared" si="84"/>
        <v>3</v>
      </c>
      <c r="AZ171" s="5">
        <f t="shared" si="84"/>
        <v>3</v>
      </c>
      <c r="BA171" s="5">
        <f t="shared" si="84"/>
        <v>0</v>
      </c>
      <c r="BB171" s="5">
        <f t="shared" si="84"/>
        <v>1</v>
      </c>
      <c r="BC171" s="5">
        <f t="shared" si="84"/>
        <v>2</v>
      </c>
      <c r="BD171" s="5">
        <f t="shared" si="84"/>
        <v>0</v>
      </c>
      <c r="BE171" s="5">
        <f t="shared" si="84"/>
        <v>108</v>
      </c>
    </row>
    <row r="172" spans="1:57" x14ac:dyDescent="0.4">
      <c r="A172" s="61"/>
      <c r="B172" s="62"/>
      <c r="C172" s="62"/>
      <c r="D172" s="62"/>
      <c r="E172" s="63"/>
    </row>
    <row r="173" spans="1:57" x14ac:dyDescent="0.4">
      <c r="A173" s="11" t="s">
        <v>48</v>
      </c>
      <c r="B173" s="17" t="s">
        <v>81</v>
      </c>
      <c r="C173" s="59" t="s">
        <v>82</v>
      </c>
      <c r="D173" s="60"/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1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1</v>
      </c>
      <c r="AD173" s="6">
        <v>0</v>
      </c>
      <c r="AE173" s="6">
        <v>0</v>
      </c>
      <c r="AF173" s="6">
        <v>0</v>
      </c>
      <c r="AG173" s="6">
        <v>0</v>
      </c>
      <c r="AH173" s="6">
        <v>2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1</v>
      </c>
      <c r="BB173" s="6">
        <v>0</v>
      </c>
      <c r="BC173" s="6">
        <v>0</v>
      </c>
      <c r="BD173" s="6">
        <v>1</v>
      </c>
      <c r="BE173" s="5">
        <f>SUM(E173:BD173)</f>
        <v>6</v>
      </c>
    </row>
    <row r="174" spans="1:57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2</v>
      </c>
      <c r="H174" s="6">
        <v>0</v>
      </c>
      <c r="I174" s="6">
        <v>0</v>
      </c>
      <c r="J174" s="6">
        <v>0</v>
      </c>
      <c r="K174" s="6">
        <v>0</v>
      </c>
      <c r="L174" s="6">
        <v>3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1</v>
      </c>
      <c r="AH174" s="6">
        <v>0</v>
      </c>
      <c r="AI174" s="6">
        <v>0</v>
      </c>
      <c r="AJ174" s="6">
        <v>0</v>
      </c>
      <c r="AK174" s="6">
        <v>0</v>
      </c>
      <c r="AL174" s="6">
        <v>2</v>
      </c>
      <c r="AM174" s="6">
        <v>0</v>
      </c>
      <c r="AN174" s="6">
        <v>1</v>
      </c>
      <c r="AO174" s="6">
        <v>0</v>
      </c>
      <c r="AP174" s="6">
        <v>0</v>
      </c>
      <c r="AQ174" s="6">
        <v>4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5">
        <f>SUM(E174:BD174)</f>
        <v>13</v>
      </c>
    </row>
    <row r="175" spans="1:57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2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2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1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5">
        <f>SUM(E175:BD175)</f>
        <v>5</v>
      </c>
    </row>
    <row r="176" spans="1:57" x14ac:dyDescent="0.4">
      <c r="A176" s="6" t="s">
        <v>26</v>
      </c>
      <c r="B176" s="53" t="s">
        <v>51</v>
      </c>
      <c r="C176" s="54"/>
      <c r="D176" s="55"/>
      <c r="E176" s="5">
        <f t="shared" ref="E176:AJ176" si="85">SUM(E173:E175)</f>
        <v>0</v>
      </c>
      <c r="F176" s="5">
        <f t="shared" si="85"/>
        <v>0</v>
      </c>
      <c r="G176" s="5">
        <f t="shared" si="85"/>
        <v>2</v>
      </c>
      <c r="H176" s="5">
        <f t="shared" si="85"/>
        <v>2</v>
      </c>
      <c r="I176" s="5">
        <f t="shared" si="85"/>
        <v>0</v>
      </c>
      <c r="J176" s="5">
        <f t="shared" si="85"/>
        <v>0</v>
      </c>
      <c r="K176" s="5">
        <f t="shared" si="85"/>
        <v>0</v>
      </c>
      <c r="L176" s="5">
        <f t="shared" si="85"/>
        <v>3</v>
      </c>
      <c r="M176" s="5">
        <f t="shared" si="85"/>
        <v>0</v>
      </c>
      <c r="N176" s="5">
        <f t="shared" si="85"/>
        <v>0</v>
      </c>
      <c r="O176" s="5">
        <f t="shared" si="85"/>
        <v>0</v>
      </c>
      <c r="P176" s="5">
        <f t="shared" si="85"/>
        <v>0</v>
      </c>
      <c r="Q176" s="5">
        <f t="shared" si="85"/>
        <v>0</v>
      </c>
      <c r="R176" s="5">
        <f t="shared" si="85"/>
        <v>0</v>
      </c>
      <c r="S176" s="5">
        <f t="shared" si="85"/>
        <v>2</v>
      </c>
      <c r="T176" s="5">
        <f t="shared" si="85"/>
        <v>0</v>
      </c>
      <c r="U176" s="5">
        <f t="shared" si="85"/>
        <v>1</v>
      </c>
      <c r="V176" s="5">
        <f t="shared" si="85"/>
        <v>0</v>
      </c>
      <c r="W176" s="5">
        <f t="shared" si="85"/>
        <v>0</v>
      </c>
      <c r="X176" s="5">
        <f t="shared" si="85"/>
        <v>0</v>
      </c>
      <c r="Y176" s="5">
        <f t="shared" si="85"/>
        <v>0</v>
      </c>
      <c r="Z176" s="5">
        <f t="shared" si="85"/>
        <v>0</v>
      </c>
      <c r="AA176" s="5">
        <f t="shared" si="85"/>
        <v>0</v>
      </c>
      <c r="AB176" s="5">
        <f t="shared" si="85"/>
        <v>0</v>
      </c>
      <c r="AC176" s="5">
        <f t="shared" si="85"/>
        <v>1</v>
      </c>
      <c r="AD176" s="5">
        <f t="shared" si="85"/>
        <v>0</v>
      </c>
      <c r="AE176" s="5">
        <f t="shared" si="85"/>
        <v>0</v>
      </c>
      <c r="AF176" s="5">
        <f t="shared" si="85"/>
        <v>0</v>
      </c>
      <c r="AG176" s="5">
        <f t="shared" si="85"/>
        <v>1</v>
      </c>
      <c r="AH176" s="5">
        <f t="shared" si="85"/>
        <v>2</v>
      </c>
      <c r="AI176" s="5">
        <f t="shared" si="85"/>
        <v>0</v>
      </c>
      <c r="AJ176" s="5">
        <f t="shared" si="85"/>
        <v>0</v>
      </c>
      <c r="AK176" s="5">
        <f t="shared" ref="AK176:BE176" si="86">SUM(AK173:AK175)</f>
        <v>0</v>
      </c>
      <c r="AL176" s="5">
        <f t="shared" si="86"/>
        <v>2</v>
      </c>
      <c r="AM176" s="5">
        <f t="shared" si="86"/>
        <v>0</v>
      </c>
      <c r="AN176" s="5">
        <f t="shared" si="86"/>
        <v>1</v>
      </c>
      <c r="AO176" s="5">
        <f t="shared" si="86"/>
        <v>0</v>
      </c>
      <c r="AP176" s="5">
        <f t="shared" si="86"/>
        <v>0</v>
      </c>
      <c r="AQ176" s="5">
        <f t="shared" si="86"/>
        <v>4</v>
      </c>
      <c r="AR176" s="5">
        <f t="shared" si="86"/>
        <v>0</v>
      </c>
      <c r="AS176" s="5">
        <f t="shared" si="86"/>
        <v>1</v>
      </c>
      <c r="AT176" s="5">
        <f t="shared" si="86"/>
        <v>0</v>
      </c>
      <c r="AU176" s="5">
        <f t="shared" si="86"/>
        <v>0</v>
      </c>
      <c r="AV176" s="5">
        <f t="shared" si="86"/>
        <v>0</v>
      </c>
      <c r="AW176" s="5">
        <f t="shared" si="86"/>
        <v>0</v>
      </c>
      <c r="AX176" s="5">
        <f t="shared" si="86"/>
        <v>0</v>
      </c>
      <c r="AY176" s="5">
        <f t="shared" si="86"/>
        <v>0</v>
      </c>
      <c r="AZ176" s="5">
        <f t="shared" si="86"/>
        <v>0</v>
      </c>
      <c r="BA176" s="5">
        <f t="shared" si="86"/>
        <v>1</v>
      </c>
      <c r="BB176" s="5">
        <f t="shared" si="86"/>
        <v>0</v>
      </c>
      <c r="BC176" s="5">
        <f t="shared" si="86"/>
        <v>0</v>
      </c>
      <c r="BD176" s="5">
        <f t="shared" si="86"/>
        <v>1</v>
      </c>
      <c r="BE176" s="5">
        <f t="shared" si="86"/>
        <v>24</v>
      </c>
    </row>
    <row r="178" spans="1:57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5"/>
      <c r="R178" s="5"/>
      <c r="S178" s="5"/>
      <c r="T178" s="5"/>
      <c r="U178" s="5"/>
      <c r="V178" s="5"/>
      <c r="W178" s="5"/>
      <c r="X178" s="5"/>
      <c r="Y178" s="15"/>
      <c r="Z178" s="15"/>
      <c r="AA178" s="15"/>
      <c r="AB178" s="5"/>
      <c r="AC178" s="5"/>
      <c r="AD178" s="5"/>
      <c r="AE178" s="5"/>
      <c r="AF178" s="5"/>
      <c r="AG178" s="5"/>
      <c r="AH178" s="5"/>
      <c r="AI178" s="5"/>
      <c r="AJ178" s="15"/>
      <c r="AK178" s="15"/>
      <c r="AL178" s="15"/>
      <c r="AM178" s="5"/>
      <c r="AN178" s="5"/>
      <c r="AO178" s="5"/>
      <c r="AP178" s="5"/>
      <c r="AQ178" s="5"/>
      <c r="AR178" s="5"/>
      <c r="AS178" s="5"/>
      <c r="AT178" s="5"/>
      <c r="AU178" s="15"/>
      <c r="AV178" s="15"/>
      <c r="AW178" s="15"/>
      <c r="AX178" s="5"/>
      <c r="AY178" s="5"/>
      <c r="AZ178" s="5"/>
      <c r="BA178" s="15"/>
      <c r="BB178" s="15"/>
      <c r="BC178" s="15"/>
      <c r="BD178" s="15"/>
      <c r="BE178" s="5"/>
    </row>
    <row r="179" spans="1:57" x14ac:dyDescent="0.4">
      <c r="A179" s="16"/>
      <c r="B179" s="19" t="s">
        <v>85</v>
      </c>
      <c r="C179" s="51" t="s">
        <v>86</v>
      </c>
      <c r="D179" s="52"/>
      <c r="E179" s="6">
        <f t="shared" ref="E179:AJ179" si="87">E52+E61+E70+E79+E88+E91+E98+E107+E113+E122+E125+E134+E142+E151+E156+E162+E171+E176</f>
        <v>190</v>
      </c>
      <c r="F179" s="6">
        <f t="shared" si="87"/>
        <v>188</v>
      </c>
      <c r="G179" s="6">
        <f t="shared" si="87"/>
        <v>204</v>
      </c>
      <c r="H179" s="6">
        <f t="shared" si="87"/>
        <v>201</v>
      </c>
      <c r="I179" s="6">
        <f t="shared" si="87"/>
        <v>203</v>
      </c>
      <c r="J179" s="6">
        <f t="shared" si="87"/>
        <v>161</v>
      </c>
      <c r="K179" s="6">
        <f t="shared" si="87"/>
        <v>189</v>
      </c>
      <c r="L179" s="6">
        <f t="shared" si="87"/>
        <v>192</v>
      </c>
      <c r="M179" s="6">
        <f t="shared" si="87"/>
        <v>153</v>
      </c>
      <c r="N179" s="6">
        <f t="shared" si="87"/>
        <v>131</v>
      </c>
      <c r="O179" s="6">
        <f t="shared" si="87"/>
        <v>166</v>
      </c>
      <c r="P179" s="6">
        <f t="shared" si="87"/>
        <v>162</v>
      </c>
      <c r="Q179" s="6">
        <f t="shared" si="87"/>
        <v>216</v>
      </c>
      <c r="R179" s="6">
        <f t="shared" si="87"/>
        <v>198</v>
      </c>
      <c r="S179" s="6">
        <f t="shared" si="87"/>
        <v>183</v>
      </c>
      <c r="T179" s="6">
        <f t="shared" si="87"/>
        <v>186</v>
      </c>
      <c r="U179" s="6">
        <f t="shared" si="87"/>
        <v>157</v>
      </c>
      <c r="V179" s="6">
        <f t="shared" si="87"/>
        <v>190</v>
      </c>
      <c r="W179" s="6">
        <f t="shared" si="87"/>
        <v>155</v>
      </c>
      <c r="X179" s="6">
        <f t="shared" si="87"/>
        <v>163</v>
      </c>
      <c r="Y179" s="6">
        <f t="shared" si="87"/>
        <v>205</v>
      </c>
      <c r="Z179" s="6">
        <f t="shared" si="87"/>
        <v>207</v>
      </c>
      <c r="AA179" s="6">
        <f t="shared" si="87"/>
        <v>259</v>
      </c>
      <c r="AB179" s="6">
        <f t="shared" si="87"/>
        <v>236</v>
      </c>
      <c r="AC179" s="6">
        <f t="shared" si="87"/>
        <v>262</v>
      </c>
      <c r="AD179" s="6">
        <f t="shared" si="87"/>
        <v>270</v>
      </c>
      <c r="AE179" s="6">
        <f t="shared" si="87"/>
        <v>181</v>
      </c>
      <c r="AF179" s="6">
        <f t="shared" si="87"/>
        <v>216</v>
      </c>
      <c r="AG179" s="6">
        <f t="shared" si="87"/>
        <v>202</v>
      </c>
      <c r="AH179" s="6">
        <f t="shared" si="87"/>
        <v>236</v>
      </c>
      <c r="AI179" s="6">
        <f t="shared" si="87"/>
        <v>208</v>
      </c>
      <c r="AJ179" s="6">
        <f t="shared" si="87"/>
        <v>209</v>
      </c>
      <c r="AK179" s="6">
        <f t="shared" ref="AK179:BD179" si="88">AK52+AK61+AK70+AK79+AK88+AK91+AK98+AK107+AK113+AK122+AK125+AK134+AK142+AK151+AK156+AK162+AK171+AK176</f>
        <v>191</v>
      </c>
      <c r="AL179" s="6">
        <f t="shared" si="88"/>
        <v>205</v>
      </c>
      <c r="AM179" s="6">
        <f t="shared" si="88"/>
        <v>179</v>
      </c>
      <c r="AN179" s="6">
        <f t="shared" si="88"/>
        <v>195</v>
      </c>
      <c r="AO179" s="6">
        <f t="shared" si="88"/>
        <v>202</v>
      </c>
      <c r="AP179" s="6">
        <f t="shared" si="88"/>
        <v>193</v>
      </c>
      <c r="AQ179" s="6">
        <f t="shared" si="88"/>
        <v>145</v>
      </c>
      <c r="AR179" s="6">
        <f t="shared" si="88"/>
        <v>205</v>
      </c>
      <c r="AS179" s="6">
        <f t="shared" si="88"/>
        <v>205</v>
      </c>
      <c r="AT179" s="6">
        <f t="shared" si="88"/>
        <v>187</v>
      </c>
      <c r="AU179" s="6">
        <f t="shared" si="88"/>
        <v>187</v>
      </c>
      <c r="AV179" s="6">
        <f t="shared" si="88"/>
        <v>210</v>
      </c>
      <c r="AW179" s="6">
        <f t="shared" si="88"/>
        <v>186</v>
      </c>
      <c r="AX179" s="6">
        <f t="shared" si="88"/>
        <v>187</v>
      </c>
      <c r="AY179" s="6">
        <f t="shared" si="88"/>
        <v>135</v>
      </c>
      <c r="AZ179" s="6">
        <f t="shared" si="88"/>
        <v>204</v>
      </c>
      <c r="BA179" s="6">
        <f t="shared" si="88"/>
        <v>176</v>
      </c>
      <c r="BB179" s="6">
        <f t="shared" si="88"/>
        <v>164</v>
      </c>
      <c r="BC179" s="6">
        <f t="shared" si="88"/>
        <v>179</v>
      </c>
      <c r="BD179" s="6">
        <f t="shared" si="88"/>
        <v>159</v>
      </c>
      <c r="BE179" s="5">
        <f>SUM(E179:BD179)</f>
        <v>9973</v>
      </c>
    </row>
    <row r="180" spans="1:57" x14ac:dyDescent="0.4">
      <c r="A180" s="13"/>
      <c r="B180" s="19" t="s">
        <v>87</v>
      </c>
      <c r="C180" s="51" t="s">
        <v>88</v>
      </c>
      <c r="D180" s="52"/>
      <c r="E180" s="6">
        <v>11</v>
      </c>
      <c r="F180" s="6">
        <v>8</v>
      </c>
      <c r="G180" s="6">
        <v>12</v>
      </c>
      <c r="H180" s="6">
        <v>12</v>
      </c>
      <c r="I180" s="6">
        <v>16</v>
      </c>
      <c r="J180" s="6">
        <v>10</v>
      </c>
      <c r="K180" s="6">
        <v>11</v>
      </c>
      <c r="L180" s="6">
        <v>1</v>
      </c>
      <c r="M180" s="6">
        <v>7</v>
      </c>
      <c r="N180" s="6">
        <v>21</v>
      </c>
      <c r="O180" s="6">
        <v>11</v>
      </c>
      <c r="P180" s="6">
        <v>11</v>
      </c>
      <c r="Q180" s="6">
        <v>6</v>
      </c>
      <c r="R180" s="6">
        <v>12</v>
      </c>
      <c r="S180" s="6">
        <v>9</v>
      </c>
      <c r="T180" s="6">
        <v>12</v>
      </c>
      <c r="U180" s="6">
        <v>18</v>
      </c>
      <c r="V180" s="6">
        <v>16</v>
      </c>
      <c r="W180" s="6">
        <v>10</v>
      </c>
      <c r="X180" s="6">
        <v>10</v>
      </c>
      <c r="Y180" s="6">
        <v>16</v>
      </c>
      <c r="Z180" s="6">
        <v>13</v>
      </c>
      <c r="AA180" s="6">
        <v>9</v>
      </c>
      <c r="AB180" s="6">
        <v>14</v>
      </c>
      <c r="AC180" s="6">
        <v>7</v>
      </c>
      <c r="AD180" s="6">
        <v>6</v>
      </c>
      <c r="AE180" s="6">
        <v>9</v>
      </c>
      <c r="AF180" s="6">
        <v>20</v>
      </c>
      <c r="AG180" s="6">
        <v>21</v>
      </c>
      <c r="AH180" s="6">
        <v>17</v>
      </c>
      <c r="AI180" s="6">
        <v>20</v>
      </c>
      <c r="AJ180" s="6">
        <v>16</v>
      </c>
      <c r="AK180" s="6">
        <v>13</v>
      </c>
      <c r="AL180" s="6">
        <v>13</v>
      </c>
      <c r="AM180" s="6">
        <v>17</v>
      </c>
      <c r="AN180" s="6">
        <v>24</v>
      </c>
      <c r="AO180" s="6">
        <v>20</v>
      </c>
      <c r="AP180" s="6">
        <v>9</v>
      </c>
      <c r="AQ180" s="6">
        <v>18</v>
      </c>
      <c r="AR180" s="6">
        <v>14</v>
      </c>
      <c r="AS180" s="6">
        <v>14</v>
      </c>
      <c r="AT180" s="6">
        <v>18</v>
      </c>
      <c r="AU180" s="6">
        <v>18</v>
      </c>
      <c r="AV180" s="6">
        <v>15</v>
      </c>
      <c r="AW180" s="6">
        <v>25</v>
      </c>
      <c r="AX180" s="6">
        <v>14</v>
      </c>
      <c r="AY180" s="6">
        <v>16</v>
      </c>
      <c r="AZ180" s="6">
        <v>14</v>
      </c>
      <c r="BA180" s="6">
        <v>19</v>
      </c>
      <c r="BB180" s="6">
        <v>11</v>
      </c>
      <c r="BC180" s="6">
        <v>21</v>
      </c>
      <c r="BD180" s="6">
        <v>3</v>
      </c>
      <c r="BE180" s="5">
        <f>SUM(E180:BD180)</f>
        <v>708</v>
      </c>
    </row>
    <row r="181" spans="1:57" x14ac:dyDescent="0.4">
      <c r="A181" s="14"/>
      <c r="B181" s="19" t="s">
        <v>89</v>
      </c>
      <c r="C181" s="51" t="s">
        <v>90</v>
      </c>
      <c r="D181" s="52"/>
      <c r="E181" s="5">
        <f>SUM(E179:E180)</f>
        <v>201</v>
      </c>
      <c r="F181" s="5">
        <f t="shared" ref="F181:P181" si="89">SUM(F179:F180)</f>
        <v>196</v>
      </c>
      <c r="G181" s="5">
        <f t="shared" si="89"/>
        <v>216</v>
      </c>
      <c r="H181" s="5">
        <f t="shared" si="89"/>
        <v>213</v>
      </c>
      <c r="I181" s="5">
        <f t="shared" si="89"/>
        <v>219</v>
      </c>
      <c r="J181" s="5">
        <f t="shared" si="89"/>
        <v>171</v>
      </c>
      <c r="K181" s="5">
        <f t="shared" si="89"/>
        <v>200</v>
      </c>
      <c r="L181" s="5">
        <f t="shared" si="89"/>
        <v>193</v>
      </c>
      <c r="M181" s="5">
        <f t="shared" si="89"/>
        <v>160</v>
      </c>
      <c r="N181" s="5">
        <f t="shared" si="89"/>
        <v>152</v>
      </c>
      <c r="O181" s="5">
        <f t="shared" si="89"/>
        <v>177</v>
      </c>
      <c r="P181" s="5">
        <f t="shared" si="89"/>
        <v>173</v>
      </c>
      <c r="Q181" s="5">
        <f t="shared" ref="Q181:AA181" si="90">SUM(Q179:Q180)</f>
        <v>222</v>
      </c>
      <c r="R181" s="5">
        <f t="shared" si="90"/>
        <v>210</v>
      </c>
      <c r="S181" s="5">
        <f t="shared" si="90"/>
        <v>192</v>
      </c>
      <c r="T181" s="5">
        <f t="shared" si="90"/>
        <v>198</v>
      </c>
      <c r="U181" s="5">
        <f t="shared" si="90"/>
        <v>175</v>
      </c>
      <c r="V181" s="5">
        <f t="shared" si="90"/>
        <v>206</v>
      </c>
      <c r="W181" s="5">
        <f t="shared" si="90"/>
        <v>165</v>
      </c>
      <c r="X181" s="5">
        <f t="shared" si="90"/>
        <v>173</v>
      </c>
      <c r="Y181" s="5">
        <f t="shared" si="90"/>
        <v>221</v>
      </c>
      <c r="Z181" s="5">
        <f t="shared" si="90"/>
        <v>220</v>
      </c>
      <c r="AA181" s="5">
        <f t="shared" si="90"/>
        <v>268</v>
      </c>
      <c r="AB181" s="5">
        <f t="shared" ref="AB181:AL181" si="91">SUM(AB179:AB180)</f>
        <v>250</v>
      </c>
      <c r="AC181" s="5">
        <f t="shared" si="91"/>
        <v>269</v>
      </c>
      <c r="AD181" s="5">
        <f t="shared" si="91"/>
        <v>276</v>
      </c>
      <c r="AE181" s="5">
        <f t="shared" si="91"/>
        <v>190</v>
      </c>
      <c r="AF181" s="5">
        <f t="shared" si="91"/>
        <v>236</v>
      </c>
      <c r="AG181" s="5">
        <f t="shared" si="91"/>
        <v>223</v>
      </c>
      <c r="AH181" s="5">
        <f t="shared" si="91"/>
        <v>253</v>
      </c>
      <c r="AI181" s="5">
        <f t="shared" si="91"/>
        <v>228</v>
      </c>
      <c r="AJ181" s="5">
        <f t="shared" si="91"/>
        <v>225</v>
      </c>
      <c r="AK181" s="5">
        <f t="shared" si="91"/>
        <v>204</v>
      </c>
      <c r="AL181" s="5">
        <f t="shared" si="91"/>
        <v>218</v>
      </c>
      <c r="AM181" s="5">
        <f t="shared" ref="AM181:BD181" si="92">SUM(AM179:AM180)</f>
        <v>196</v>
      </c>
      <c r="AN181" s="5">
        <f t="shared" si="92"/>
        <v>219</v>
      </c>
      <c r="AO181" s="5">
        <f t="shared" si="92"/>
        <v>222</v>
      </c>
      <c r="AP181" s="5">
        <f t="shared" si="92"/>
        <v>202</v>
      </c>
      <c r="AQ181" s="5">
        <f t="shared" si="92"/>
        <v>163</v>
      </c>
      <c r="AR181" s="5">
        <f t="shared" ref="AR181:AW181" si="93">SUM(AR179:AR180)</f>
        <v>219</v>
      </c>
      <c r="AS181" s="5">
        <f t="shared" si="93"/>
        <v>219</v>
      </c>
      <c r="AT181" s="5">
        <f t="shared" si="93"/>
        <v>205</v>
      </c>
      <c r="AU181" s="5">
        <f t="shared" si="93"/>
        <v>205</v>
      </c>
      <c r="AV181" s="5">
        <f t="shared" si="93"/>
        <v>225</v>
      </c>
      <c r="AW181" s="5">
        <f t="shared" si="93"/>
        <v>211</v>
      </c>
      <c r="AX181" s="5">
        <f t="shared" si="92"/>
        <v>201</v>
      </c>
      <c r="AY181" s="5">
        <f t="shared" si="92"/>
        <v>151</v>
      </c>
      <c r="AZ181" s="5">
        <f t="shared" si="92"/>
        <v>218</v>
      </c>
      <c r="BA181" s="5">
        <f t="shared" si="92"/>
        <v>195</v>
      </c>
      <c r="BB181" s="5">
        <f t="shared" si="92"/>
        <v>175</v>
      </c>
      <c r="BC181" s="5">
        <f t="shared" si="92"/>
        <v>200</v>
      </c>
      <c r="BD181" s="5">
        <f t="shared" si="92"/>
        <v>162</v>
      </c>
      <c r="BE181" s="5">
        <f>SUM(E181:BD181)</f>
        <v>10681</v>
      </c>
    </row>
  </sheetData>
  <mergeCells count="86"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  <mergeCell ref="B142:D142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36:D136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AP37"/>
    <mergeCell ref="B38:D38"/>
    <mergeCell ref="B39:C41"/>
    <mergeCell ref="A42:D42"/>
    <mergeCell ref="E42:AP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BD12"/>
    <mergeCell ref="BE12:BE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BD15">
    <cfRule type="containsBlanks" dxfId="69" priority="20">
      <formula>LEN(TRIM(E14))=0</formula>
    </cfRule>
  </conditionalFormatting>
  <conditionalFormatting sqref="E19:BD20">
    <cfRule type="containsBlanks" dxfId="68" priority="23">
      <formula>LEN(TRIM(E19))=0</formula>
    </cfRule>
  </conditionalFormatting>
  <conditionalFormatting sqref="E22:BD23 E25:BD26 E33:BD33 E35:BD35 E39:BD40">
    <cfRule type="containsBlanks" dxfId="67" priority="24">
      <formula>LEN(TRIM(E22))=0</formula>
    </cfRule>
  </conditionalFormatting>
  <conditionalFormatting sqref="E30:BD30">
    <cfRule type="expression" dxfId="66" priority="25">
      <formula>E30&lt;&gt;E47</formula>
    </cfRule>
    <cfRule type="expression" dxfId="65" priority="26">
      <formula>E30&lt;&gt;E34</formula>
    </cfRule>
  </conditionalFormatting>
  <conditionalFormatting sqref="E34:BD34">
    <cfRule type="expression" dxfId="64" priority="117">
      <formula>E30&lt;&gt;E34</formula>
    </cfRule>
    <cfRule type="expression" dxfId="63" priority="118">
      <formula>E30=E34</formula>
    </cfRule>
    <cfRule type="expression" dxfId="62" priority="119">
      <formula>E34&lt;&gt;E30</formula>
    </cfRule>
    <cfRule type="expression" dxfId="61" priority="120">
      <formula>E34&lt;&gt;#REF!</formula>
    </cfRule>
  </conditionalFormatting>
  <conditionalFormatting sqref="E45:BD51">
    <cfRule type="containsBlanks" dxfId="60" priority="19">
      <formula>LEN(TRIM(E45))=0</formula>
    </cfRule>
  </conditionalFormatting>
  <conditionalFormatting sqref="E54:BD60">
    <cfRule type="containsBlanks" dxfId="59" priority="18">
      <formula>LEN(TRIM(E54))=0</formula>
    </cfRule>
  </conditionalFormatting>
  <conditionalFormatting sqref="E63:BD69">
    <cfRule type="containsBlanks" dxfId="58" priority="17">
      <formula>LEN(TRIM(E63))=0</formula>
    </cfRule>
  </conditionalFormatting>
  <conditionalFormatting sqref="E72:BD78">
    <cfRule type="containsBlanks" dxfId="57" priority="16">
      <formula>LEN(TRIM(E72))=0</formula>
    </cfRule>
  </conditionalFormatting>
  <conditionalFormatting sqref="E81:BD87">
    <cfRule type="containsBlanks" dxfId="56" priority="15">
      <formula>LEN(TRIM(E81))=0</formula>
    </cfRule>
  </conditionalFormatting>
  <conditionalFormatting sqref="E90:BD90">
    <cfRule type="containsBlanks" dxfId="55" priority="14">
      <formula>LEN(TRIM(E90))=0</formula>
    </cfRule>
  </conditionalFormatting>
  <conditionalFormatting sqref="E93:BD97">
    <cfRule type="containsBlanks" dxfId="54" priority="1">
      <formula>LEN(TRIM(E93))=0</formula>
    </cfRule>
  </conditionalFormatting>
  <conditionalFormatting sqref="E100:BD106">
    <cfRule type="containsBlanks" dxfId="53" priority="13">
      <formula>LEN(TRIM(E100))=0</formula>
    </cfRule>
  </conditionalFormatting>
  <conditionalFormatting sqref="E109:BD112">
    <cfRule type="containsBlanks" dxfId="52" priority="12">
      <formula>LEN(TRIM(E109))=0</formula>
    </cfRule>
  </conditionalFormatting>
  <conditionalFormatting sqref="E115:BD121">
    <cfRule type="containsBlanks" dxfId="51" priority="3">
      <formula>LEN(TRIM(E115))=0</formula>
    </cfRule>
  </conditionalFormatting>
  <conditionalFormatting sqref="E124:BD124">
    <cfRule type="containsBlanks" dxfId="50" priority="11">
      <formula>LEN(TRIM(E124))=0</formula>
    </cfRule>
  </conditionalFormatting>
  <conditionalFormatting sqref="E127:BD133">
    <cfRule type="containsBlanks" dxfId="49" priority="10">
      <formula>LEN(TRIM(E127))=0</formula>
    </cfRule>
  </conditionalFormatting>
  <conditionalFormatting sqref="E136:BD141">
    <cfRule type="containsBlanks" dxfId="48" priority="9">
      <formula>LEN(TRIM(E136))=0</formula>
    </cfRule>
  </conditionalFormatting>
  <conditionalFormatting sqref="E144:BD150">
    <cfRule type="containsBlanks" dxfId="47" priority="8">
      <formula>LEN(TRIM(E144))=0</formula>
    </cfRule>
  </conditionalFormatting>
  <conditionalFormatting sqref="E153:BD155">
    <cfRule type="containsBlanks" dxfId="46" priority="7">
      <formula>LEN(TRIM(E153))=0</formula>
    </cfRule>
  </conditionalFormatting>
  <conditionalFormatting sqref="E158:BD161">
    <cfRule type="containsBlanks" dxfId="45" priority="6">
      <formula>LEN(TRIM(E158))=0</formula>
    </cfRule>
  </conditionalFormatting>
  <conditionalFormatting sqref="E164:BD170">
    <cfRule type="containsBlanks" dxfId="44" priority="5">
      <formula>LEN(TRIM(E164))=0</formula>
    </cfRule>
  </conditionalFormatting>
  <conditionalFormatting sqref="E173:BD175">
    <cfRule type="containsBlanks" dxfId="43" priority="4">
      <formula>LEN(TRIM(E173))=0</formula>
    </cfRule>
  </conditionalFormatting>
  <conditionalFormatting sqref="E179:BD180">
    <cfRule type="containsBlanks" dxfId="42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sheetPr>
    <tabColor rgb="FF92D050"/>
  </sheetPr>
  <dimension ref="A2:AV181"/>
  <sheetViews>
    <sheetView topLeftCell="Y13" zoomScale="85" zoomScaleNormal="85" workbookViewId="0">
      <pane ySplit="1" topLeftCell="A167" activePane="bottomLeft" state="frozen"/>
      <selection activeCell="A13" sqref="A13"/>
      <selection pane="bottomLeft" activeCell="AV180" sqref="AV180"/>
    </sheetView>
  </sheetViews>
  <sheetFormatPr defaultRowHeight="13.15" x14ac:dyDescent="0.4"/>
  <cols>
    <col min="3" max="3" width="67.140625" bestFit="1" customWidth="1"/>
    <col min="4" max="4" width="5.85546875" bestFit="1" customWidth="1"/>
    <col min="48" max="48" width="13.28515625" customWidth="1"/>
  </cols>
  <sheetData>
    <row r="2" spans="1:48" x14ac:dyDescent="0.4">
      <c r="C2" s="43" t="s">
        <v>104</v>
      </c>
      <c r="D2" s="43" t="s">
        <v>193</v>
      </c>
    </row>
    <row r="3" spans="1:48" x14ac:dyDescent="0.4">
      <c r="C3" s="43" t="s">
        <v>105</v>
      </c>
      <c r="D3" s="43" t="s">
        <v>106</v>
      </c>
    </row>
    <row r="4" spans="1:48" x14ac:dyDescent="0.4">
      <c r="C4" s="43" t="s">
        <v>107</v>
      </c>
      <c r="D4" s="43" t="s">
        <v>108</v>
      </c>
    </row>
    <row r="5" spans="1:48" x14ac:dyDescent="0.4">
      <c r="C5" s="43"/>
      <c r="D5" s="43"/>
    </row>
    <row r="6" spans="1:48" x14ac:dyDescent="0.4">
      <c r="C6" s="43"/>
      <c r="D6" s="43"/>
    </row>
    <row r="7" spans="1:48" x14ac:dyDescent="0.4">
      <c r="C7" s="43"/>
      <c r="D7" s="43"/>
    </row>
    <row r="8" spans="1:48" x14ac:dyDescent="0.4">
      <c r="C8" s="43"/>
      <c r="D8" s="43"/>
    </row>
    <row r="9" spans="1:48" x14ac:dyDescent="0.4">
      <c r="C9" s="43" t="s">
        <v>109</v>
      </c>
      <c r="D9" s="43" t="s">
        <v>217</v>
      </c>
    </row>
    <row r="11" spans="1:4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T11" s="1"/>
      <c r="U11" s="1"/>
      <c r="V11" s="1"/>
      <c r="W11" s="1"/>
      <c r="X11" s="1"/>
      <c r="Y11" s="1"/>
      <c r="Z11" s="1"/>
      <c r="AA11" s="1"/>
      <c r="AB11" s="3"/>
      <c r="AH11" s="1"/>
      <c r="AI11" s="1"/>
      <c r="AJ11" s="1"/>
      <c r="AK11" s="1"/>
      <c r="AL11" s="1"/>
      <c r="AM11" s="1"/>
      <c r="AN11" s="1"/>
      <c r="AO11" s="1"/>
      <c r="AP11" s="3"/>
    </row>
    <row r="12" spans="1:48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2" t="s">
        <v>103</v>
      </c>
    </row>
    <row r="13" spans="1:48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197</v>
      </c>
      <c r="AN13" s="5" t="s">
        <v>198</v>
      </c>
      <c r="AO13" s="5" t="s">
        <v>199</v>
      </c>
      <c r="AP13" s="5" t="s">
        <v>200</v>
      </c>
      <c r="AQ13" s="5" t="s">
        <v>201</v>
      </c>
      <c r="AR13" s="5" t="s">
        <v>204</v>
      </c>
      <c r="AS13" s="5" t="s">
        <v>205</v>
      </c>
      <c r="AT13" s="5" t="s">
        <v>206</v>
      </c>
      <c r="AU13" s="5" t="s">
        <v>207</v>
      </c>
      <c r="AV13" s="93"/>
    </row>
    <row r="14" spans="1:48" x14ac:dyDescent="0.4">
      <c r="A14" s="7"/>
      <c r="B14" s="80" t="s">
        <v>22</v>
      </c>
      <c r="C14" s="68"/>
      <c r="D14" s="6" t="s">
        <v>23</v>
      </c>
      <c r="E14" s="6">
        <v>142</v>
      </c>
      <c r="F14" s="6">
        <v>137</v>
      </c>
      <c r="G14" s="6">
        <v>103</v>
      </c>
      <c r="H14" s="6">
        <v>135</v>
      </c>
      <c r="I14" s="6">
        <v>134</v>
      </c>
      <c r="J14" s="6">
        <v>137</v>
      </c>
      <c r="K14" s="6">
        <v>139</v>
      </c>
      <c r="L14" s="6">
        <v>142</v>
      </c>
      <c r="M14" s="6">
        <v>126</v>
      </c>
      <c r="N14" s="6">
        <v>153</v>
      </c>
      <c r="O14" s="6">
        <v>140</v>
      </c>
      <c r="P14" s="6">
        <v>133</v>
      </c>
      <c r="Q14" s="6">
        <v>133</v>
      </c>
      <c r="R14" s="6">
        <v>144</v>
      </c>
      <c r="S14" s="6">
        <v>133</v>
      </c>
      <c r="T14" s="6">
        <v>140</v>
      </c>
      <c r="U14" s="6">
        <v>147</v>
      </c>
      <c r="V14" s="6">
        <v>140</v>
      </c>
      <c r="W14" s="6">
        <v>152</v>
      </c>
      <c r="X14" s="6">
        <v>143</v>
      </c>
      <c r="Y14" s="6">
        <v>141</v>
      </c>
      <c r="Z14" s="6">
        <v>133</v>
      </c>
      <c r="AA14" s="6">
        <v>139</v>
      </c>
      <c r="AB14" s="6">
        <v>134</v>
      </c>
      <c r="AC14" s="6">
        <v>144</v>
      </c>
      <c r="AD14" s="6">
        <v>131</v>
      </c>
      <c r="AE14" s="6">
        <v>150</v>
      </c>
      <c r="AF14" s="6">
        <v>155</v>
      </c>
      <c r="AG14" s="6">
        <v>132</v>
      </c>
      <c r="AH14" s="6">
        <v>148</v>
      </c>
      <c r="AI14" s="6">
        <v>139</v>
      </c>
      <c r="AJ14" s="6">
        <v>148</v>
      </c>
      <c r="AK14" s="6">
        <v>137</v>
      </c>
      <c r="AL14" s="6">
        <v>106</v>
      </c>
      <c r="AM14" s="6">
        <v>131</v>
      </c>
      <c r="AN14" s="6">
        <v>128</v>
      </c>
      <c r="AO14" s="6">
        <v>123</v>
      </c>
      <c r="AP14" s="6">
        <v>134</v>
      </c>
      <c r="AQ14" s="6">
        <v>152</v>
      </c>
      <c r="AR14" s="6">
        <v>119</v>
      </c>
      <c r="AS14" s="6">
        <v>145</v>
      </c>
      <c r="AT14" s="6">
        <v>137</v>
      </c>
      <c r="AU14" s="6">
        <v>145</v>
      </c>
      <c r="AV14" s="5">
        <f>SUM(E14:AU14)</f>
        <v>5904</v>
      </c>
    </row>
    <row r="15" spans="1:48" x14ac:dyDescent="0.4">
      <c r="A15" s="7"/>
      <c r="B15" s="81"/>
      <c r="C15" s="74"/>
      <c r="D15" s="6" t="s">
        <v>24</v>
      </c>
      <c r="E15" s="6">
        <v>141</v>
      </c>
      <c r="F15" s="6">
        <v>151</v>
      </c>
      <c r="G15" s="6">
        <v>117</v>
      </c>
      <c r="H15" s="6">
        <v>138</v>
      </c>
      <c r="I15" s="6">
        <v>161</v>
      </c>
      <c r="J15" s="6">
        <v>148</v>
      </c>
      <c r="K15" s="6">
        <v>154</v>
      </c>
      <c r="L15" s="6">
        <v>143</v>
      </c>
      <c r="M15" s="6">
        <v>163</v>
      </c>
      <c r="N15" s="6">
        <v>142</v>
      </c>
      <c r="O15" s="6">
        <v>152</v>
      </c>
      <c r="P15" s="6">
        <v>158</v>
      </c>
      <c r="Q15" s="6">
        <v>150</v>
      </c>
      <c r="R15" s="6">
        <v>138</v>
      </c>
      <c r="S15" s="6">
        <v>148</v>
      </c>
      <c r="T15" s="6">
        <v>147</v>
      </c>
      <c r="U15" s="6">
        <v>147</v>
      </c>
      <c r="V15" s="6">
        <v>148</v>
      </c>
      <c r="W15" s="6">
        <v>141</v>
      </c>
      <c r="X15" s="6">
        <v>146</v>
      </c>
      <c r="Y15" s="6">
        <v>141</v>
      </c>
      <c r="Z15" s="6">
        <v>148</v>
      </c>
      <c r="AA15" s="6">
        <v>151</v>
      </c>
      <c r="AB15" s="6">
        <v>148</v>
      </c>
      <c r="AC15" s="6">
        <v>146</v>
      </c>
      <c r="AD15" s="6">
        <v>135</v>
      </c>
      <c r="AE15" s="6">
        <v>142</v>
      </c>
      <c r="AF15" s="6">
        <v>140</v>
      </c>
      <c r="AG15" s="6">
        <v>146</v>
      </c>
      <c r="AH15" s="6">
        <v>150</v>
      </c>
      <c r="AI15" s="6">
        <v>151</v>
      </c>
      <c r="AJ15" s="6">
        <v>145</v>
      </c>
      <c r="AK15" s="6">
        <v>150</v>
      </c>
      <c r="AL15" s="6">
        <v>112</v>
      </c>
      <c r="AM15" s="6">
        <v>136</v>
      </c>
      <c r="AN15" s="6">
        <v>143</v>
      </c>
      <c r="AO15" s="6">
        <v>140</v>
      </c>
      <c r="AP15" s="6">
        <v>155</v>
      </c>
      <c r="AQ15" s="6">
        <v>143</v>
      </c>
      <c r="AR15" s="6">
        <v>123</v>
      </c>
      <c r="AS15" s="6">
        <v>144</v>
      </c>
      <c r="AT15" s="6">
        <v>158</v>
      </c>
      <c r="AU15" s="6">
        <v>146</v>
      </c>
      <c r="AV15" s="5">
        <f>SUM(E15:AU15)</f>
        <v>6226</v>
      </c>
    </row>
    <row r="16" spans="1:48" x14ac:dyDescent="0.4">
      <c r="A16" s="8"/>
      <c r="B16" s="79"/>
      <c r="C16" s="75"/>
      <c r="D16" s="5" t="s">
        <v>25</v>
      </c>
      <c r="E16" s="5">
        <f t="shared" ref="E16:AU16" si="0">SUM(E14:E15)</f>
        <v>283</v>
      </c>
      <c r="F16" s="5">
        <f t="shared" ref="F16:S16" si="1">SUM(F14:F15)</f>
        <v>288</v>
      </c>
      <c r="G16" s="5">
        <f t="shared" si="1"/>
        <v>220</v>
      </c>
      <c r="H16" s="5">
        <f t="shared" si="1"/>
        <v>273</v>
      </c>
      <c r="I16" s="5">
        <f t="shared" si="1"/>
        <v>295</v>
      </c>
      <c r="J16" s="5">
        <f t="shared" si="1"/>
        <v>285</v>
      </c>
      <c r="K16" s="5">
        <f t="shared" si="1"/>
        <v>293</v>
      </c>
      <c r="L16" s="5">
        <f t="shared" si="1"/>
        <v>285</v>
      </c>
      <c r="M16" s="5">
        <f t="shared" si="1"/>
        <v>289</v>
      </c>
      <c r="N16" s="5">
        <f t="shared" si="1"/>
        <v>295</v>
      </c>
      <c r="O16" s="5">
        <f t="shared" si="1"/>
        <v>292</v>
      </c>
      <c r="P16" s="5">
        <f t="shared" si="1"/>
        <v>291</v>
      </c>
      <c r="Q16" s="5">
        <f t="shared" si="1"/>
        <v>283</v>
      </c>
      <c r="R16" s="5">
        <f t="shared" si="1"/>
        <v>282</v>
      </c>
      <c r="S16" s="5">
        <f t="shared" si="1"/>
        <v>281</v>
      </c>
      <c r="T16" s="5">
        <f t="shared" si="0"/>
        <v>287</v>
      </c>
      <c r="U16" s="5">
        <f t="shared" si="0"/>
        <v>294</v>
      </c>
      <c r="V16" s="5">
        <f t="shared" si="0"/>
        <v>288</v>
      </c>
      <c r="W16" s="5">
        <f t="shared" si="0"/>
        <v>293</v>
      </c>
      <c r="X16" s="5">
        <f t="shared" si="0"/>
        <v>289</v>
      </c>
      <c r="Y16" s="5">
        <f t="shared" si="0"/>
        <v>282</v>
      </c>
      <c r="Z16" s="5">
        <f t="shared" si="0"/>
        <v>281</v>
      </c>
      <c r="AA16" s="5">
        <f t="shared" si="0"/>
        <v>290</v>
      </c>
      <c r="AB16" s="5">
        <f t="shared" si="0"/>
        <v>282</v>
      </c>
      <c r="AC16" s="5">
        <f t="shared" si="0"/>
        <v>290</v>
      </c>
      <c r="AD16" s="5">
        <f t="shared" si="0"/>
        <v>266</v>
      </c>
      <c r="AE16" s="5">
        <f t="shared" si="0"/>
        <v>292</v>
      </c>
      <c r="AF16" s="5">
        <f t="shared" si="0"/>
        <v>295</v>
      </c>
      <c r="AG16" s="5">
        <f t="shared" si="0"/>
        <v>278</v>
      </c>
      <c r="AH16" s="5">
        <f t="shared" ref="AH16:AT16" si="2">SUM(AH14:AH15)</f>
        <v>298</v>
      </c>
      <c r="AI16" s="5">
        <f t="shared" si="2"/>
        <v>290</v>
      </c>
      <c r="AJ16" s="5">
        <f t="shared" si="2"/>
        <v>293</v>
      </c>
      <c r="AK16" s="5">
        <f t="shared" si="2"/>
        <v>287</v>
      </c>
      <c r="AL16" s="5">
        <f t="shared" si="2"/>
        <v>218</v>
      </c>
      <c r="AM16" s="5">
        <f t="shared" si="2"/>
        <v>267</v>
      </c>
      <c r="AN16" s="5">
        <f t="shared" si="2"/>
        <v>271</v>
      </c>
      <c r="AO16" s="5">
        <f t="shared" si="2"/>
        <v>263</v>
      </c>
      <c r="AP16" s="5">
        <f t="shared" si="2"/>
        <v>289</v>
      </c>
      <c r="AQ16" s="5">
        <f t="shared" si="2"/>
        <v>295</v>
      </c>
      <c r="AR16" s="5">
        <f t="shared" si="2"/>
        <v>242</v>
      </c>
      <c r="AS16" s="5">
        <f t="shared" si="2"/>
        <v>289</v>
      </c>
      <c r="AT16" s="5">
        <f t="shared" si="2"/>
        <v>295</v>
      </c>
      <c r="AU16" s="5">
        <f t="shared" si="0"/>
        <v>291</v>
      </c>
      <c r="AV16" s="5">
        <f>SUM(E16:AU16)</f>
        <v>12130</v>
      </c>
    </row>
    <row r="17" spans="1:48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6"/>
      <c r="U17" s="6"/>
      <c r="V17" s="6"/>
      <c r="W17" s="6"/>
      <c r="X17" s="6"/>
      <c r="Y17" s="6"/>
      <c r="Z17" s="6"/>
      <c r="AA17" s="6"/>
      <c r="AB17" s="10"/>
      <c r="AC17" s="10"/>
      <c r="AD17" s="10"/>
      <c r="AE17" s="10"/>
      <c r="AF17" s="10"/>
      <c r="AG17" s="10"/>
      <c r="AH17" s="6"/>
      <c r="AI17" s="6"/>
      <c r="AJ17" s="6"/>
      <c r="AK17" s="6"/>
      <c r="AL17" s="6"/>
      <c r="AM17" s="6"/>
      <c r="AN17" s="6"/>
      <c r="AO17" s="6"/>
      <c r="AP17" s="10"/>
      <c r="AQ17" s="10"/>
      <c r="AR17" s="10"/>
      <c r="AS17" s="10"/>
      <c r="AT17" s="10"/>
      <c r="AU17" s="10"/>
      <c r="AV17" s="28"/>
    </row>
    <row r="18" spans="1:48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6"/>
      <c r="U18" s="6"/>
      <c r="V18" s="6"/>
      <c r="W18" s="6"/>
      <c r="X18" s="6"/>
      <c r="Y18" s="6"/>
      <c r="Z18" s="6"/>
      <c r="AA18" s="6"/>
      <c r="AB18" s="10"/>
      <c r="AC18" s="10"/>
      <c r="AD18" s="10"/>
      <c r="AE18" s="10"/>
      <c r="AF18" s="10"/>
      <c r="AG18" s="10"/>
      <c r="AH18" s="6"/>
      <c r="AI18" s="6"/>
      <c r="AJ18" s="6"/>
      <c r="AK18" s="6"/>
      <c r="AL18" s="6"/>
      <c r="AM18" s="6"/>
      <c r="AN18" s="6"/>
      <c r="AO18" s="6"/>
      <c r="AP18" s="10"/>
      <c r="AQ18" s="10"/>
      <c r="AR18" s="10"/>
      <c r="AS18" s="10"/>
      <c r="AT18" s="10"/>
      <c r="AU18" s="10"/>
      <c r="AV18" s="28"/>
    </row>
    <row r="19" spans="1:48" x14ac:dyDescent="0.4">
      <c r="A19" s="11"/>
      <c r="B19" s="82" t="s">
        <v>28</v>
      </c>
      <c r="C19" s="83" t="s">
        <v>29</v>
      </c>
      <c r="D19" s="6" t="s">
        <v>23</v>
      </c>
      <c r="E19" s="6">
        <v>114</v>
      </c>
      <c r="F19" s="6">
        <v>77</v>
      </c>
      <c r="G19" s="6">
        <v>75</v>
      </c>
      <c r="H19" s="6">
        <v>104</v>
      </c>
      <c r="I19" s="6">
        <v>97</v>
      </c>
      <c r="J19" s="6">
        <v>101</v>
      </c>
      <c r="K19" s="6">
        <v>98</v>
      </c>
      <c r="L19" s="6">
        <v>98</v>
      </c>
      <c r="M19" s="6">
        <v>85</v>
      </c>
      <c r="N19" s="6">
        <v>108</v>
      </c>
      <c r="O19" s="6">
        <v>87</v>
      </c>
      <c r="P19" s="6">
        <v>92</v>
      </c>
      <c r="Q19" s="6">
        <v>89</v>
      </c>
      <c r="R19" s="6">
        <v>106</v>
      </c>
      <c r="S19" s="6">
        <v>83</v>
      </c>
      <c r="T19" s="6">
        <v>102</v>
      </c>
      <c r="U19" s="6">
        <v>97</v>
      </c>
      <c r="V19" s="6">
        <v>87</v>
      </c>
      <c r="W19" s="6">
        <v>112</v>
      </c>
      <c r="X19" s="6">
        <v>98</v>
      </c>
      <c r="Y19" s="6">
        <v>102</v>
      </c>
      <c r="Z19" s="6">
        <v>99</v>
      </c>
      <c r="AA19" s="6">
        <v>106</v>
      </c>
      <c r="AB19" s="6">
        <v>100</v>
      </c>
      <c r="AC19" s="6">
        <v>98</v>
      </c>
      <c r="AD19" s="6">
        <v>92</v>
      </c>
      <c r="AE19" s="6">
        <v>106</v>
      </c>
      <c r="AF19" s="6">
        <v>113</v>
      </c>
      <c r="AG19" s="6">
        <v>95</v>
      </c>
      <c r="AH19" s="6">
        <v>88</v>
      </c>
      <c r="AI19" s="6">
        <v>89</v>
      </c>
      <c r="AJ19" s="6">
        <v>110</v>
      </c>
      <c r="AK19" s="6">
        <v>105</v>
      </c>
      <c r="AL19" s="6">
        <v>68</v>
      </c>
      <c r="AM19" s="6">
        <v>85</v>
      </c>
      <c r="AN19" s="6">
        <v>93</v>
      </c>
      <c r="AO19" s="6">
        <v>83</v>
      </c>
      <c r="AP19" s="6">
        <v>89</v>
      </c>
      <c r="AQ19" s="6">
        <v>95</v>
      </c>
      <c r="AR19" s="6">
        <v>77</v>
      </c>
      <c r="AS19" s="6">
        <v>92</v>
      </c>
      <c r="AT19" s="6">
        <v>121</v>
      </c>
      <c r="AU19" s="6">
        <v>79</v>
      </c>
      <c r="AV19" s="5">
        <f t="shared" ref="AV19:AV30" si="3">SUM(E19:AU19)</f>
        <v>4095</v>
      </c>
    </row>
    <row r="20" spans="1:48" x14ac:dyDescent="0.4">
      <c r="A20" s="12"/>
      <c r="B20" s="74"/>
      <c r="C20" s="84"/>
      <c r="D20" s="6" t="s">
        <v>24</v>
      </c>
      <c r="E20" s="6">
        <v>126</v>
      </c>
      <c r="F20" s="6">
        <v>107</v>
      </c>
      <c r="G20" s="6">
        <v>93</v>
      </c>
      <c r="H20" s="6">
        <v>108</v>
      </c>
      <c r="I20" s="6">
        <v>124</v>
      </c>
      <c r="J20" s="6">
        <v>109</v>
      </c>
      <c r="K20" s="6">
        <v>124</v>
      </c>
      <c r="L20" s="6">
        <v>116</v>
      </c>
      <c r="M20" s="6">
        <v>122</v>
      </c>
      <c r="N20" s="6">
        <v>116</v>
      </c>
      <c r="O20" s="6">
        <v>117</v>
      </c>
      <c r="P20" s="6">
        <v>120</v>
      </c>
      <c r="Q20" s="6">
        <v>118</v>
      </c>
      <c r="R20" s="6">
        <v>99</v>
      </c>
      <c r="S20" s="6">
        <v>119</v>
      </c>
      <c r="T20" s="6">
        <v>112</v>
      </c>
      <c r="U20" s="6">
        <v>110</v>
      </c>
      <c r="V20" s="6">
        <v>108</v>
      </c>
      <c r="W20" s="6">
        <v>109</v>
      </c>
      <c r="X20" s="6">
        <v>125</v>
      </c>
      <c r="Y20" s="6">
        <v>113</v>
      </c>
      <c r="Z20" s="6">
        <v>123</v>
      </c>
      <c r="AA20" s="6">
        <v>119</v>
      </c>
      <c r="AB20" s="6">
        <v>127</v>
      </c>
      <c r="AC20" s="6">
        <v>120</v>
      </c>
      <c r="AD20" s="6">
        <v>111</v>
      </c>
      <c r="AE20" s="6">
        <v>113</v>
      </c>
      <c r="AF20" s="6">
        <v>108</v>
      </c>
      <c r="AG20" s="6">
        <v>109</v>
      </c>
      <c r="AH20" s="6">
        <v>109</v>
      </c>
      <c r="AI20" s="6">
        <v>126</v>
      </c>
      <c r="AJ20" s="6">
        <v>109</v>
      </c>
      <c r="AK20" s="6">
        <v>126</v>
      </c>
      <c r="AL20" s="6">
        <v>74</v>
      </c>
      <c r="AM20" s="6">
        <v>101</v>
      </c>
      <c r="AN20" s="6">
        <v>111</v>
      </c>
      <c r="AO20" s="6">
        <v>105</v>
      </c>
      <c r="AP20" s="6">
        <v>113</v>
      </c>
      <c r="AQ20" s="6">
        <v>109</v>
      </c>
      <c r="AR20" s="6">
        <v>94</v>
      </c>
      <c r="AS20" s="6">
        <v>110</v>
      </c>
      <c r="AT20" s="6">
        <v>87</v>
      </c>
      <c r="AU20" s="6">
        <v>100</v>
      </c>
      <c r="AV20" s="5">
        <f t="shared" si="3"/>
        <v>4799</v>
      </c>
    </row>
    <row r="21" spans="1:48" x14ac:dyDescent="0.4">
      <c r="A21" s="13"/>
      <c r="B21" s="75"/>
      <c r="C21" s="85"/>
      <c r="D21" s="5" t="s">
        <v>25</v>
      </c>
      <c r="E21" s="5">
        <f t="shared" ref="E21:AU21" si="4">SUM(E19:E20)</f>
        <v>240</v>
      </c>
      <c r="F21" s="5">
        <f t="shared" ref="F21:S21" si="5">SUM(F19:F20)</f>
        <v>184</v>
      </c>
      <c r="G21" s="5">
        <f t="shared" si="5"/>
        <v>168</v>
      </c>
      <c r="H21" s="5">
        <f t="shared" si="5"/>
        <v>212</v>
      </c>
      <c r="I21" s="5">
        <f t="shared" si="5"/>
        <v>221</v>
      </c>
      <c r="J21" s="5">
        <f t="shared" si="5"/>
        <v>210</v>
      </c>
      <c r="K21" s="5">
        <f t="shared" si="5"/>
        <v>222</v>
      </c>
      <c r="L21" s="5">
        <f t="shared" si="5"/>
        <v>214</v>
      </c>
      <c r="M21" s="5">
        <f t="shared" si="5"/>
        <v>207</v>
      </c>
      <c r="N21" s="5">
        <f t="shared" si="5"/>
        <v>224</v>
      </c>
      <c r="O21" s="5">
        <f t="shared" si="5"/>
        <v>204</v>
      </c>
      <c r="P21" s="5">
        <f t="shared" si="5"/>
        <v>212</v>
      </c>
      <c r="Q21" s="5">
        <f t="shared" si="5"/>
        <v>207</v>
      </c>
      <c r="R21" s="5">
        <f t="shared" si="5"/>
        <v>205</v>
      </c>
      <c r="S21" s="5">
        <f t="shared" si="5"/>
        <v>202</v>
      </c>
      <c r="T21" s="5">
        <f t="shared" si="4"/>
        <v>214</v>
      </c>
      <c r="U21" s="5">
        <f t="shared" si="4"/>
        <v>207</v>
      </c>
      <c r="V21" s="5">
        <f t="shared" si="4"/>
        <v>195</v>
      </c>
      <c r="W21" s="5">
        <f t="shared" si="4"/>
        <v>221</v>
      </c>
      <c r="X21" s="5">
        <f t="shared" si="4"/>
        <v>223</v>
      </c>
      <c r="Y21" s="5">
        <f t="shared" si="4"/>
        <v>215</v>
      </c>
      <c r="Z21" s="5">
        <f t="shared" si="4"/>
        <v>222</v>
      </c>
      <c r="AA21" s="5">
        <f t="shared" si="4"/>
        <v>225</v>
      </c>
      <c r="AB21" s="5">
        <f t="shared" si="4"/>
        <v>227</v>
      </c>
      <c r="AC21" s="5">
        <f t="shared" si="4"/>
        <v>218</v>
      </c>
      <c r="AD21" s="5">
        <f t="shared" si="4"/>
        <v>203</v>
      </c>
      <c r="AE21" s="5">
        <f t="shared" si="4"/>
        <v>219</v>
      </c>
      <c r="AF21" s="5">
        <f t="shared" si="4"/>
        <v>221</v>
      </c>
      <c r="AG21" s="5">
        <f t="shared" si="4"/>
        <v>204</v>
      </c>
      <c r="AH21" s="5">
        <f t="shared" ref="AH21:AT21" si="6">SUM(AH19:AH20)</f>
        <v>197</v>
      </c>
      <c r="AI21" s="5">
        <f t="shared" si="6"/>
        <v>215</v>
      </c>
      <c r="AJ21" s="5">
        <f t="shared" si="6"/>
        <v>219</v>
      </c>
      <c r="AK21" s="5">
        <f t="shared" si="6"/>
        <v>231</v>
      </c>
      <c r="AL21" s="5">
        <f t="shared" si="6"/>
        <v>142</v>
      </c>
      <c r="AM21" s="5">
        <f t="shared" si="6"/>
        <v>186</v>
      </c>
      <c r="AN21" s="5">
        <f t="shared" si="6"/>
        <v>204</v>
      </c>
      <c r="AO21" s="5">
        <f t="shared" si="6"/>
        <v>188</v>
      </c>
      <c r="AP21" s="5">
        <f t="shared" si="6"/>
        <v>202</v>
      </c>
      <c r="AQ21" s="5">
        <f t="shared" si="6"/>
        <v>204</v>
      </c>
      <c r="AR21" s="5">
        <f t="shared" si="6"/>
        <v>171</v>
      </c>
      <c r="AS21" s="5">
        <f t="shared" si="6"/>
        <v>202</v>
      </c>
      <c r="AT21" s="5">
        <f t="shared" si="6"/>
        <v>208</v>
      </c>
      <c r="AU21" s="5">
        <f t="shared" si="4"/>
        <v>179</v>
      </c>
      <c r="AV21" s="5">
        <f t="shared" si="3"/>
        <v>8894</v>
      </c>
    </row>
    <row r="22" spans="1:48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2</v>
      </c>
      <c r="P22" s="6">
        <v>0</v>
      </c>
      <c r="Q22" s="6">
        <v>0</v>
      </c>
      <c r="R22" s="6">
        <v>1</v>
      </c>
      <c r="S22" s="6">
        <v>1</v>
      </c>
      <c r="T22" s="6">
        <v>1</v>
      </c>
      <c r="U22" s="6">
        <v>1</v>
      </c>
      <c r="V22" s="6">
        <v>0</v>
      </c>
      <c r="W22" s="6">
        <v>2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1</v>
      </c>
      <c r="AE22" s="6">
        <v>0</v>
      </c>
      <c r="AF22" s="6">
        <v>0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1</v>
      </c>
      <c r="AN22" s="6">
        <v>0</v>
      </c>
      <c r="AO22" s="6">
        <v>0</v>
      </c>
      <c r="AP22" s="6">
        <v>2</v>
      </c>
      <c r="AQ22" s="6">
        <v>1</v>
      </c>
      <c r="AR22" s="6">
        <v>1</v>
      </c>
      <c r="AS22" s="6">
        <v>1</v>
      </c>
      <c r="AT22" s="6">
        <v>1</v>
      </c>
      <c r="AU22" s="6">
        <v>0</v>
      </c>
      <c r="AV22" s="5">
        <f t="shared" si="3"/>
        <v>21</v>
      </c>
    </row>
    <row r="23" spans="1:48" x14ac:dyDescent="0.4">
      <c r="A23" s="12"/>
      <c r="B23" s="74"/>
      <c r="C23" s="84"/>
      <c r="D23" s="6" t="s">
        <v>24</v>
      </c>
      <c r="E23" s="6">
        <v>0</v>
      </c>
      <c r="F23" s="6">
        <v>1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1</v>
      </c>
      <c r="P23" s="6">
        <v>1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1</v>
      </c>
      <c r="W23" s="6">
        <v>1</v>
      </c>
      <c r="X23" s="6">
        <v>0</v>
      </c>
      <c r="Y23" s="6">
        <v>0</v>
      </c>
      <c r="Z23" s="6">
        <v>1</v>
      </c>
      <c r="AA23" s="6">
        <v>0</v>
      </c>
      <c r="AB23" s="6">
        <v>0</v>
      </c>
      <c r="AC23" s="6">
        <v>1</v>
      </c>
      <c r="AD23" s="6">
        <v>0</v>
      </c>
      <c r="AE23" s="6">
        <v>1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6">
        <v>1</v>
      </c>
      <c r="AO23" s="6">
        <v>1</v>
      </c>
      <c r="AP23" s="6">
        <v>3</v>
      </c>
      <c r="AQ23" s="6">
        <v>0</v>
      </c>
      <c r="AR23" s="6">
        <v>0</v>
      </c>
      <c r="AS23" s="6">
        <v>1</v>
      </c>
      <c r="AT23" s="6">
        <v>0</v>
      </c>
      <c r="AU23" s="6">
        <v>0</v>
      </c>
      <c r="AV23" s="5">
        <f t="shared" si="3"/>
        <v>21</v>
      </c>
    </row>
    <row r="24" spans="1:48" x14ac:dyDescent="0.4">
      <c r="A24" s="13"/>
      <c r="B24" s="75"/>
      <c r="C24" s="85"/>
      <c r="D24" s="5" t="s">
        <v>25</v>
      </c>
      <c r="E24" s="5">
        <f t="shared" ref="E24:AU24" si="7">SUM(E22:E23)</f>
        <v>0</v>
      </c>
      <c r="F24" s="5">
        <f t="shared" ref="F24:S24" si="8">SUM(F22:F23)</f>
        <v>1</v>
      </c>
      <c r="G24" s="5">
        <f t="shared" si="8"/>
        <v>1</v>
      </c>
      <c r="H24" s="5">
        <f t="shared" si="8"/>
        <v>2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1</v>
      </c>
      <c r="N24" s="5">
        <f t="shared" si="8"/>
        <v>1</v>
      </c>
      <c r="O24" s="5">
        <f t="shared" si="8"/>
        <v>3</v>
      </c>
      <c r="P24" s="5">
        <f t="shared" si="8"/>
        <v>1</v>
      </c>
      <c r="Q24" s="5">
        <f t="shared" si="8"/>
        <v>0</v>
      </c>
      <c r="R24" s="5">
        <f t="shared" si="8"/>
        <v>1</v>
      </c>
      <c r="S24" s="5">
        <f t="shared" si="8"/>
        <v>1</v>
      </c>
      <c r="T24" s="5">
        <f t="shared" si="7"/>
        <v>2</v>
      </c>
      <c r="U24" s="5">
        <f t="shared" si="7"/>
        <v>1</v>
      </c>
      <c r="V24" s="5">
        <f t="shared" si="7"/>
        <v>1</v>
      </c>
      <c r="W24" s="5">
        <f t="shared" si="7"/>
        <v>3</v>
      </c>
      <c r="X24" s="5">
        <f t="shared" si="7"/>
        <v>0</v>
      </c>
      <c r="Y24" s="5">
        <f t="shared" si="7"/>
        <v>0</v>
      </c>
      <c r="Z24" s="5">
        <f t="shared" si="7"/>
        <v>1</v>
      </c>
      <c r="AA24" s="5">
        <f t="shared" si="7"/>
        <v>1</v>
      </c>
      <c r="AB24" s="5">
        <f t="shared" si="7"/>
        <v>0</v>
      </c>
      <c r="AC24" s="5">
        <f t="shared" si="7"/>
        <v>1</v>
      </c>
      <c r="AD24" s="5">
        <f t="shared" si="7"/>
        <v>1</v>
      </c>
      <c r="AE24" s="5">
        <f t="shared" si="7"/>
        <v>1</v>
      </c>
      <c r="AF24" s="5">
        <f t="shared" si="7"/>
        <v>1</v>
      </c>
      <c r="AG24" s="5">
        <f t="shared" si="7"/>
        <v>1</v>
      </c>
      <c r="AH24" s="5">
        <f t="shared" ref="AH24:AT24" si="9">SUM(AH22:AH23)</f>
        <v>1</v>
      </c>
      <c r="AI24" s="5">
        <f t="shared" si="9"/>
        <v>0</v>
      </c>
      <c r="AJ24" s="5">
        <f t="shared" si="9"/>
        <v>0</v>
      </c>
      <c r="AK24" s="5">
        <f t="shared" si="9"/>
        <v>1</v>
      </c>
      <c r="AL24" s="5">
        <f t="shared" si="9"/>
        <v>1</v>
      </c>
      <c r="AM24" s="5">
        <f t="shared" si="9"/>
        <v>1</v>
      </c>
      <c r="AN24" s="5">
        <f t="shared" si="9"/>
        <v>1</v>
      </c>
      <c r="AO24" s="5">
        <f t="shared" si="9"/>
        <v>1</v>
      </c>
      <c r="AP24" s="5">
        <f t="shared" si="9"/>
        <v>5</v>
      </c>
      <c r="AQ24" s="5">
        <f t="shared" si="9"/>
        <v>1</v>
      </c>
      <c r="AR24" s="5">
        <f t="shared" si="9"/>
        <v>1</v>
      </c>
      <c r="AS24" s="5">
        <f t="shared" si="9"/>
        <v>2</v>
      </c>
      <c r="AT24" s="5">
        <f t="shared" si="9"/>
        <v>1</v>
      </c>
      <c r="AU24" s="5">
        <f t="shared" si="7"/>
        <v>0</v>
      </c>
      <c r="AV24" s="5">
        <f t="shared" si="3"/>
        <v>42</v>
      </c>
    </row>
    <row r="25" spans="1:48" x14ac:dyDescent="0.4">
      <c r="A25" s="12"/>
      <c r="B25" s="82" t="s">
        <v>32</v>
      </c>
      <c r="C25" s="83" t="s">
        <v>33</v>
      </c>
      <c r="D25" s="6" t="s">
        <v>23</v>
      </c>
      <c r="E25" s="6">
        <v>5</v>
      </c>
      <c r="F25" s="6">
        <v>1</v>
      </c>
      <c r="G25" s="6">
        <v>2</v>
      </c>
      <c r="H25" s="6">
        <v>8</v>
      </c>
      <c r="I25" s="6">
        <v>4</v>
      </c>
      <c r="J25" s="6">
        <v>2</v>
      </c>
      <c r="K25" s="6">
        <v>3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1</v>
      </c>
      <c r="R25" s="6">
        <v>2</v>
      </c>
      <c r="S25" s="6">
        <v>0</v>
      </c>
      <c r="T25" s="6">
        <v>0</v>
      </c>
      <c r="U25" s="6">
        <v>0</v>
      </c>
      <c r="V25" s="6">
        <v>8</v>
      </c>
      <c r="W25" s="6">
        <v>2</v>
      </c>
      <c r="X25" s="6">
        <v>2</v>
      </c>
      <c r="Y25" s="6">
        <v>1</v>
      </c>
      <c r="Z25" s="6">
        <v>1</v>
      </c>
      <c r="AA25" s="6">
        <v>0</v>
      </c>
      <c r="AB25" s="6">
        <v>0</v>
      </c>
      <c r="AC25" s="6">
        <v>0</v>
      </c>
      <c r="AD25" s="6">
        <v>5</v>
      </c>
      <c r="AE25" s="6">
        <v>1</v>
      </c>
      <c r="AF25" s="6">
        <v>3</v>
      </c>
      <c r="AG25" s="6">
        <v>0</v>
      </c>
      <c r="AH25" s="6">
        <v>2</v>
      </c>
      <c r="AI25" s="6">
        <v>0</v>
      </c>
      <c r="AJ25" s="6">
        <v>5</v>
      </c>
      <c r="AK25" s="6">
        <v>2</v>
      </c>
      <c r="AL25" s="6">
        <v>1</v>
      </c>
      <c r="AM25" s="6">
        <v>1</v>
      </c>
      <c r="AN25" s="6">
        <v>2</v>
      </c>
      <c r="AO25" s="6">
        <v>1</v>
      </c>
      <c r="AP25" s="6">
        <v>5</v>
      </c>
      <c r="AQ25" s="6">
        <v>0</v>
      </c>
      <c r="AR25" s="6">
        <v>0</v>
      </c>
      <c r="AS25" s="6">
        <v>1</v>
      </c>
      <c r="AT25" s="6">
        <v>2</v>
      </c>
      <c r="AU25" s="6">
        <v>2</v>
      </c>
      <c r="AV25" s="5">
        <f t="shared" si="3"/>
        <v>76</v>
      </c>
    </row>
    <row r="26" spans="1:48" x14ac:dyDescent="0.4">
      <c r="A26" s="12"/>
      <c r="B26" s="74"/>
      <c r="C26" s="84"/>
      <c r="D26" s="6" t="s">
        <v>24</v>
      </c>
      <c r="E26" s="6">
        <v>6</v>
      </c>
      <c r="F26" s="6">
        <v>0</v>
      </c>
      <c r="G26" s="6">
        <v>3</v>
      </c>
      <c r="H26" s="6">
        <v>10</v>
      </c>
      <c r="I26" s="6">
        <v>1</v>
      </c>
      <c r="J26" s="6">
        <v>1</v>
      </c>
      <c r="K26" s="6">
        <v>3</v>
      </c>
      <c r="L26" s="6">
        <v>0</v>
      </c>
      <c r="M26" s="6">
        <v>2</v>
      </c>
      <c r="N26" s="6">
        <v>0</v>
      </c>
      <c r="O26" s="6">
        <v>1</v>
      </c>
      <c r="P26" s="6">
        <v>0</v>
      </c>
      <c r="Q26" s="6">
        <v>1</v>
      </c>
      <c r="R26" s="6">
        <v>1</v>
      </c>
      <c r="S26" s="6">
        <v>0</v>
      </c>
      <c r="T26" s="6">
        <v>0</v>
      </c>
      <c r="U26" s="6">
        <v>1</v>
      </c>
      <c r="V26" s="6">
        <v>9</v>
      </c>
      <c r="W26" s="6">
        <v>2</v>
      </c>
      <c r="X26" s="6">
        <v>0</v>
      </c>
      <c r="Y26" s="6">
        <v>1</v>
      </c>
      <c r="Z26" s="6">
        <v>2</v>
      </c>
      <c r="AA26" s="6">
        <v>0</v>
      </c>
      <c r="AB26" s="6">
        <v>0</v>
      </c>
      <c r="AC26" s="6">
        <v>0</v>
      </c>
      <c r="AD26" s="6">
        <v>5</v>
      </c>
      <c r="AE26" s="6">
        <v>0</v>
      </c>
      <c r="AF26" s="6">
        <v>3</v>
      </c>
      <c r="AG26" s="6">
        <v>1</v>
      </c>
      <c r="AH26" s="6">
        <v>2</v>
      </c>
      <c r="AI26" s="6">
        <v>0</v>
      </c>
      <c r="AJ26" s="6">
        <v>6</v>
      </c>
      <c r="AK26" s="6">
        <v>0</v>
      </c>
      <c r="AL26" s="6">
        <v>1</v>
      </c>
      <c r="AM26" s="6">
        <v>1</v>
      </c>
      <c r="AN26" s="6">
        <v>1</v>
      </c>
      <c r="AO26" s="6">
        <v>0</v>
      </c>
      <c r="AP26" s="6">
        <v>5</v>
      </c>
      <c r="AQ26" s="6">
        <v>1</v>
      </c>
      <c r="AR26" s="6">
        <v>0</v>
      </c>
      <c r="AS26" s="6">
        <v>2</v>
      </c>
      <c r="AT26" s="6">
        <v>2</v>
      </c>
      <c r="AU26" s="6">
        <v>2</v>
      </c>
      <c r="AV26" s="5">
        <f t="shared" si="3"/>
        <v>76</v>
      </c>
    </row>
    <row r="27" spans="1:48" x14ac:dyDescent="0.4">
      <c r="A27" s="13"/>
      <c r="B27" s="75"/>
      <c r="C27" s="85"/>
      <c r="D27" s="5" t="s">
        <v>25</v>
      </c>
      <c r="E27" s="5">
        <f t="shared" ref="E27:AT27" si="10">SUM(E25:E26)</f>
        <v>11</v>
      </c>
      <c r="F27" s="5">
        <f t="shared" si="10"/>
        <v>1</v>
      </c>
      <c r="G27" s="5">
        <f t="shared" si="10"/>
        <v>5</v>
      </c>
      <c r="H27" s="5">
        <f t="shared" si="10"/>
        <v>18</v>
      </c>
      <c r="I27" s="5">
        <f t="shared" si="10"/>
        <v>5</v>
      </c>
      <c r="J27" s="5">
        <f t="shared" si="10"/>
        <v>3</v>
      </c>
      <c r="K27" s="5">
        <f t="shared" si="10"/>
        <v>6</v>
      </c>
      <c r="L27" s="5">
        <f t="shared" si="10"/>
        <v>0</v>
      </c>
      <c r="M27" s="5">
        <f t="shared" si="10"/>
        <v>3</v>
      </c>
      <c r="N27" s="5">
        <f t="shared" si="10"/>
        <v>0</v>
      </c>
      <c r="O27" s="5">
        <f t="shared" si="10"/>
        <v>1</v>
      </c>
      <c r="P27" s="5">
        <f t="shared" si="10"/>
        <v>0</v>
      </c>
      <c r="Q27" s="5">
        <f t="shared" si="10"/>
        <v>2</v>
      </c>
      <c r="R27" s="5">
        <f t="shared" si="10"/>
        <v>3</v>
      </c>
      <c r="S27" s="5">
        <f t="shared" si="10"/>
        <v>0</v>
      </c>
      <c r="T27" s="5">
        <f t="shared" ref="T27:AG27" si="11">SUM(T25:T26)</f>
        <v>0</v>
      </c>
      <c r="U27" s="5">
        <f t="shared" si="11"/>
        <v>1</v>
      </c>
      <c r="V27" s="5">
        <f t="shared" si="11"/>
        <v>17</v>
      </c>
      <c r="W27" s="5">
        <f t="shared" si="11"/>
        <v>4</v>
      </c>
      <c r="X27" s="5">
        <f t="shared" si="11"/>
        <v>2</v>
      </c>
      <c r="Y27" s="5">
        <f t="shared" si="11"/>
        <v>2</v>
      </c>
      <c r="Z27" s="5">
        <f t="shared" si="11"/>
        <v>3</v>
      </c>
      <c r="AA27" s="5">
        <f t="shared" si="11"/>
        <v>0</v>
      </c>
      <c r="AB27" s="5">
        <f t="shared" si="11"/>
        <v>0</v>
      </c>
      <c r="AC27" s="5">
        <f t="shared" si="11"/>
        <v>0</v>
      </c>
      <c r="AD27" s="5">
        <f t="shared" si="11"/>
        <v>10</v>
      </c>
      <c r="AE27" s="5">
        <f t="shared" si="11"/>
        <v>1</v>
      </c>
      <c r="AF27" s="5">
        <f t="shared" si="11"/>
        <v>6</v>
      </c>
      <c r="AG27" s="5">
        <f t="shared" si="11"/>
        <v>1</v>
      </c>
      <c r="AH27" s="5">
        <f t="shared" si="10"/>
        <v>4</v>
      </c>
      <c r="AI27" s="5">
        <f t="shared" si="10"/>
        <v>0</v>
      </c>
      <c r="AJ27" s="5">
        <f t="shared" si="10"/>
        <v>11</v>
      </c>
      <c r="AK27" s="5">
        <f t="shared" si="10"/>
        <v>2</v>
      </c>
      <c r="AL27" s="5">
        <f t="shared" si="10"/>
        <v>2</v>
      </c>
      <c r="AM27" s="5">
        <f t="shared" si="10"/>
        <v>2</v>
      </c>
      <c r="AN27" s="5">
        <f t="shared" si="10"/>
        <v>3</v>
      </c>
      <c r="AO27" s="5">
        <f t="shared" si="10"/>
        <v>1</v>
      </c>
      <c r="AP27" s="5">
        <f t="shared" si="10"/>
        <v>10</v>
      </c>
      <c r="AQ27" s="5">
        <f t="shared" si="10"/>
        <v>1</v>
      </c>
      <c r="AR27" s="5">
        <f t="shared" si="10"/>
        <v>0</v>
      </c>
      <c r="AS27" s="5">
        <f t="shared" si="10"/>
        <v>3</v>
      </c>
      <c r="AT27" s="5">
        <f t="shared" si="10"/>
        <v>4</v>
      </c>
      <c r="AU27" s="5">
        <f t="shared" ref="AU27" si="12">SUM(AU25:AU26)</f>
        <v>4</v>
      </c>
      <c r="AV27" s="5">
        <f t="shared" si="3"/>
        <v>152</v>
      </c>
    </row>
    <row r="28" spans="1:48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119</v>
      </c>
      <c r="F28" s="5">
        <f t="shared" ref="F28:S28" si="13">SUM(F19,F22,F25)</f>
        <v>78</v>
      </c>
      <c r="G28" s="5">
        <f t="shared" si="13"/>
        <v>77</v>
      </c>
      <c r="H28" s="5">
        <f t="shared" si="13"/>
        <v>113</v>
      </c>
      <c r="I28" s="5">
        <f t="shared" si="13"/>
        <v>101</v>
      </c>
      <c r="J28" s="5">
        <f t="shared" si="13"/>
        <v>103</v>
      </c>
      <c r="K28" s="5">
        <f t="shared" si="13"/>
        <v>101</v>
      </c>
      <c r="L28" s="5">
        <f t="shared" si="13"/>
        <v>98</v>
      </c>
      <c r="M28" s="5">
        <f t="shared" si="13"/>
        <v>87</v>
      </c>
      <c r="N28" s="5">
        <f t="shared" si="13"/>
        <v>108</v>
      </c>
      <c r="O28" s="5">
        <f t="shared" si="13"/>
        <v>89</v>
      </c>
      <c r="P28" s="5">
        <f t="shared" si="13"/>
        <v>92</v>
      </c>
      <c r="Q28" s="5">
        <f t="shared" si="13"/>
        <v>90</v>
      </c>
      <c r="R28" s="5">
        <f t="shared" si="13"/>
        <v>109</v>
      </c>
      <c r="S28" s="5">
        <f t="shared" si="13"/>
        <v>84</v>
      </c>
      <c r="T28" s="5">
        <f t="shared" ref="T28:AG28" si="14">SUM(T19,T22,T25)</f>
        <v>103</v>
      </c>
      <c r="U28" s="5">
        <f t="shared" si="14"/>
        <v>98</v>
      </c>
      <c r="V28" s="5">
        <f t="shared" si="14"/>
        <v>95</v>
      </c>
      <c r="W28" s="5">
        <f t="shared" si="14"/>
        <v>116</v>
      </c>
      <c r="X28" s="5">
        <f t="shared" si="14"/>
        <v>100</v>
      </c>
      <c r="Y28" s="5">
        <f t="shared" si="14"/>
        <v>103</v>
      </c>
      <c r="Z28" s="5">
        <f t="shared" si="14"/>
        <v>100</v>
      </c>
      <c r="AA28" s="5">
        <f t="shared" si="14"/>
        <v>107</v>
      </c>
      <c r="AB28" s="5">
        <f t="shared" si="14"/>
        <v>100</v>
      </c>
      <c r="AC28" s="5">
        <f t="shared" si="14"/>
        <v>98</v>
      </c>
      <c r="AD28" s="5">
        <f t="shared" si="14"/>
        <v>98</v>
      </c>
      <c r="AE28" s="5">
        <f t="shared" si="14"/>
        <v>107</v>
      </c>
      <c r="AF28" s="5">
        <f t="shared" si="14"/>
        <v>116</v>
      </c>
      <c r="AG28" s="5">
        <f t="shared" si="14"/>
        <v>96</v>
      </c>
      <c r="AH28" s="5">
        <f t="shared" ref="AH28:AT28" si="15">SUM(AH19,AH22,AH25)</f>
        <v>90</v>
      </c>
      <c r="AI28" s="5">
        <f t="shared" si="15"/>
        <v>89</v>
      </c>
      <c r="AJ28" s="5">
        <f t="shared" si="15"/>
        <v>115</v>
      </c>
      <c r="AK28" s="5">
        <f t="shared" si="15"/>
        <v>107</v>
      </c>
      <c r="AL28" s="5">
        <f t="shared" si="15"/>
        <v>70</v>
      </c>
      <c r="AM28" s="5">
        <f t="shared" si="15"/>
        <v>87</v>
      </c>
      <c r="AN28" s="5">
        <f t="shared" si="15"/>
        <v>95</v>
      </c>
      <c r="AO28" s="5">
        <f t="shared" si="15"/>
        <v>84</v>
      </c>
      <c r="AP28" s="5">
        <f t="shared" si="15"/>
        <v>96</v>
      </c>
      <c r="AQ28" s="5">
        <f t="shared" si="15"/>
        <v>96</v>
      </c>
      <c r="AR28" s="5">
        <f t="shared" si="15"/>
        <v>78</v>
      </c>
      <c r="AS28" s="5">
        <f t="shared" si="15"/>
        <v>94</v>
      </c>
      <c r="AT28" s="5">
        <f t="shared" si="15"/>
        <v>124</v>
      </c>
      <c r="AU28" s="5">
        <f t="shared" ref="AU28" si="16">SUM(AU19,AU22,AU25)</f>
        <v>81</v>
      </c>
      <c r="AV28" s="5">
        <f t="shared" si="3"/>
        <v>4192</v>
      </c>
    </row>
    <row r="29" spans="1:48" x14ac:dyDescent="0.4">
      <c r="A29" s="13"/>
      <c r="B29" s="74"/>
      <c r="C29" s="84"/>
      <c r="D29" s="5" t="s">
        <v>24</v>
      </c>
      <c r="E29" s="5">
        <f>SUM(E20,E23,E26)</f>
        <v>132</v>
      </c>
      <c r="F29" s="5">
        <f t="shared" ref="F29:S29" si="17">SUM(F20,F23,F26)</f>
        <v>108</v>
      </c>
      <c r="G29" s="5">
        <f t="shared" si="17"/>
        <v>97</v>
      </c>
      <c r="H29" s="5">
        <f t="shared" si="17"/>
        <v>119</v>
      </c>
      <c r="I29" s="5">
        <f t="shared" si="17"/>
        <v>125</v>
      </c>
      <c r="J29" s="5">
        <f t="shared" si="17"/>
        <v>110</v>
      </c>
      <c r="K29" s="5">
        <f t="shared" si="17"/>
        <v>127</v>
      </c>
      <c r="L29" s="5">
        <f t="shared" si="17"/>
        <v>116</v>
      </c>
      <c r="M29" s="5">
        <f t="shared" si="17"/>
        <v>124</v>
      </c>
      <c r="N29" s="5">
        <f t="shared" si="17"/>
        <v>117</v>
      </c>
      <c r="O29" s="5">
        <f t="shared" si="17"/>
        <v>119</v>
      </c>
      <c r="P29" s="5">
        <f t="shared" si="17"/>
        <v>121</v>
      </c>
      <c r="Q29" s="5">
        <f t="shared" si="17"/>
        <v>119</v>
      </c>
      <c r="R29" s="5">
        <f t="shared" si="17"/>
        <v>100</v>
      </c>
      <c r="S29" s="5">
        <f t="shared" si="17"/>
        <v>119</v>
      </c>
      <c r="T29" s="5">
        <f t="shared" ref="T29:AG29" si="18">SUM(T20,T23,T26)</f>
        <v>113</v>
      </c>
      <c r="U29" s="5">
        <f t="shared" si="18"/>
        <v>111</v>
      </c>
      <c r="V29" s="5">
        <f t="shared" si="18"/>
        <v>118</v>
      </c>
      <c r="W29" s="5">
        <f t="shared" si="18"/>
        <v>112</v>
      </c>
      <c r="X29" s="5">
        <f t="shared" si="18"/>
        <v>125</v>
      </c>
      <c r="Y29" s="5">
        <f t="shared" si="18"/>
        <v>114</v>
      </c>
      <c r="Z29" s="5">
        <f t="shared" si="18"/>
        <v>126</v>
      </c>
      <c r="AA29" s="5">
        <f t="shared" si="18"/>
        <v>119</v>
      </c>
      <c r="AB29" s="5">
        <f t="shared" si="18"/>
        <v>127</v>
      </c>
      <c r="AC29" s="5">
        <f t="shared" si="18"/>
        <v>121</v>
      </c>
      <c r="AD29" s="5">
        <f t="shared" si="18"/>
        <v>116</v>
      </c>
      <c r="AE29" s="5">
        <f t="shared" si="18"/>
        <v>114</v>
      </c>
      <c r="AF29" s="5">
        <f t="shared" si="18"/>
        <v>112</v>
      </c>
      <c r="AG29" s="5">
        <f t="shared" si="18"/>
        <v>110</v>
      </c>
      <c r="AH29" s="5">
        <f t="shared" ref="AH29:AT29" si="19">SUM(AH20,AH23,AH26)</f>
        <v>112</v>
      </c>
      <c r="AI29" s="5">
        <f t="shared" si="19"/>
        <v>126</v>
      </c>
      <c r="AJ29" s="5">
        <f t="shared" si="19"/>
        <v>115</v>
      </c>
      <c r="AK29" s="5">
        <f t="shared" si="19"/>
        <v>127</v>
      </c>
      <c r="AL29" s="5">
        <f t="shared" si="19"/>
        <v>75</v>
      </c>
      <c r="AM29" s="5">
        <f t="shared" si="19"/>
        <v>102</v>
      </c>
      <c r="AN29" s="5">
        <f t="shared" si="19"/>
        <v>113</v>
      </c>
      <c r="AO29" s="5">
        <f t="shared" si="19"/>
        <v>106</v>
      </c>
      <c r="AP29" s="5">
        <f t="shared" si="19"/>
        <v>121</v>
      </c>
      <c r="AQ29" s="5">
        <f t="shared" si="19"/>
        <v>110</v>
      </c>
      <c r="AR29" s="5">
        <f t="shared" si="19"/>
        <v>94</v>
      </c>
      <c r="AS29" s="5">
        <f t="shared" si="19"/>
        <v>113</v>
      </c>
      <c r="AT29" s="5">
        <f t="shared" si="19"/>
        <v>89</v>
      </c>
      <c r="AU29" s="5">
        <f t="shared" ref="AU29" si="20">SUM(AU20,AU23,AU26)</f>
        <v>102</v>
      </c>
      <c r="AV29" s="5">
        <f t="shared" si="3"/>
        <v>4896</v>
      </c>
    </row>
    <row r="30" spans="1:48" x14ac:dyDescent="0.4">
      <c r="A30" s="13"/>
      <c r="B30" s="75"/>
      <c r="C30" s="85"/>
      <c r="D30" s="5" t="s">
        <v>25</v>
      </c>
      <c r="E30" s="5">
        <f t="shared" ref="E30" si="21">SUM(E28:E29)</f>
        <v>251</v>
      </c>
      <c r="F30" s="5">
        <f t="shared" ref="F30:S30" si="22">SUM(F28:F29)</f>
        <v>186</v>
      </c>
      <c r="G30" s="5">
        <f t="shared" si="22"/>
        <v>174</v>
      </c>
      <c r="H30" s="5">
        <f t="shared" si="22"/>
        <v>232</v>
      </c>
      <c r="I30" s="5">
        <f t="shared" si="22"/>
        <v>226</v>
      </c>
      <c r="J30" s="5">
        <f t="shared" si="22"/>
        <v>213</v>
      </c>
      <c r="K30" s="5">
        <f t="shared" si="22"/>
        <v>228</v>
      </c>
      <c r="L30" s="5">
        <f t="shared" si="22"/>
        <v>214</v>
      </c>
      <c r="M30" s="5">
        <f t="shared" si="22"/>
        <v>211</v>
      </c>
      <c r="N30" s="5">
        <f t="shared" si="22"/>
        <v>225</v>
      </c>
      <c r="O30" s="5">
        <f t="shared" si="22"/>
        <v>208</v>
      </c>
      <c r="P30" s="5">
        <f t="shared" si="22"/>
        <v>213</v>
      </c>
      <c r="Q30" s="5">
        <f t="shared" si="22"/>
        <v>209</v>
      </c>
      <c r="R30" s="5">
        <f t="shared" si="22"/>
        <v>209</v>
      </c>
      <c r="S30" s="5">
        <f t="shared" si="22"/>
        <v>203</v>
      </c>
      <c r="T30" s="5">
        <f t="shared" ref="T30:AG30" si="23">SUM(T28:T29)</f>
        <v>216</v>
      </c>
      <c r="U30" s="5">
        <f t="shared" si="23"/>
        <v>209</v>
      </c>
      <c r="V30" s="5">
        <f t="shared" si="23"/>
        <v>213</v>
      </c>
      <c r="W30" s="5">
        <f t="shared" si="23"/>
        <v>228</v>
      </c>
      <c r="X30" s="5">
        <f t="shared" si="23"/>
        <v>225</v>
      </c>
      <c r="Y30" s="5">
        <f t="shared" si="23"/>
        <v>217</v>
      </c>
      <c r="Z30" s="5">
        <f t="shared" si="23"/>
        <v>226</v>
      </c>
      <c r="AA30" s="5">
        <f t="shared" si="23"/>
        <v>226</v>
      </c>
      <c r="AB30" s="5">
        <f t="shared" si="23"/>
        <v>227</v>
      </c>
      <c r="AC30" s="5">
        <f t="shared" si="23"/>
        <v>219</v>
      </c>
      <c r="AD30" s="5">
        <f t="shared" si="23"/>
        <v>214</v>
      </c>
      <c r="AE30" s="5">
        <f t="shared" si="23"/>
        <v>221</v>
      </c>
      <c r="AF30" s="5">
        <f t="shared" si="23"/>
        <v>228</v>
      </c>
      <c r="AG30" s="5">
        <f t="shared" si="23"/>
        <v>206</v>
      </c>
      <c r="AH30" s="5">
        <f t="shared" ref="AH30:AT30" si="24">SUM(AH28:AH29)</f>
        <v>202</v>
      </c>
      <c r="AI30" s="5">
        <f t="shared" si="24"/>
        <v>215</v>
      </c>
      <c r="AJ30" s="5">
        <f t="shared" si="24"/>
        <v>230</v>
      </c>
      <c r="AK30" s="5">
        <f t="shared" si="24"/>
        <v>234</v>
      </c>
      <c r="AL30" s="5">
        <f t="shared" si="24"/>
        <v>145</v>
      </c>
      <c r="AM30" s="5">
        <f t="shared" si="24"/>
        <v>189</v>
      </c>
      <c r="AN30" s="5">
        <f t="shared" si="24"/>
        <v>208</v>
      </c>
      <c r="AO30" s="5">
        <f t="shared" si="24"/>
        <v>190</v>
      </c>
      <c r="AP30" s="5">
        <f t="shared" si="24"/>
        <v>217</v>
      </c>
      <c r="AQ30" s="5">
        <f t="shared" si="24"/>
        <v>206</v>
      </c>
      <c r="AR30" s="5">
        <f t="shared" si="24"/>
        <v>172</v>
      </c>
      <c r="AS30" s="5">
        <f t="shared" si="24"/>
        <v>207</v>
      </c>
      <c r="AT30" s="5">
        <f t="shared" si="24"/>
        <v>213</v>
      </c>
      <c r="AU30" s="5">
        <f t="shared" ref="AU30" si="25">SUM(AU28:AU29)</f>
        <v>183</v>
      </c>
      <c r="AV30" s="5">
        <f t="shared" si="3"/>
        <v>9088</v>
      </c>
    </row>
    <row r="31" spans="1:48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6"/>
      <c r="U31" s="6"/>
      <c r="V31" s="6"/>
      <c r="W31" s="6"/>
      <c r="X31" s="6"/>
      <c r="Y31" s="6"/>
      <c r="Z31" s="6"/>
      <c r="AA31" s="6"/>
      <c r="AB31" s="10"/>
      <c r="AC31" s="10"/>
      <c r="AD31" s="10"/>
      <c r="AE31" s="10"/>
      <c r="AF31" s="10"/>
      <c r="AG31" s="10"/>
      <c r="AH31" s="6"/>
      <c r="AI31" s="6"/>
      <c r="AJ31" s="6"/>
      <c r="AK31" s="6"/>
      <c r="AL31" s="6"/>
      <c r="AM31" s="6"/>
      <c r="AN31" s="6"/>
      <c r="AO31" s="6"/>
      <c r="AP31" s="10"/>
      <c r="AQ31" s="10"/>
      <c r="AR31" s="10"/>
      <c r="AS31" s="10"/>
      <c r="AT31" s="10"/>
      <c r="AU31" s="10"/>
      <c r="AV31" s="28"/>
    </row>
    <row r="32" spans="1:48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5"/>
      <c r="U32" s="5"/>
      <c r="V32" s="5"/>
      <c r="W32" s="5"/>
      <c r="X32" s="5"/>
      <c r="Y32" s="5"/>
      <c r="Z32" s="5"/>
      <c r="AA32" s="5"/>
      <c r="AB32" s="15"/>
      <c r="AC32" s="15"/>
      <c r="AD32" s="15"/>
      <c r="AE32" s="15"/>
      <c r="AF32" s="15"/>
      <c r="AG32" s="15"/>
      <c r="AH32" s="5"/>
      <c r="AI32" s="5"/>
      <c r="AJ32" s="5"/>
      <c r="AK32" s="5"/>
      <c r="AL32" s="5"/>
      <c r="AM32" s="5"/>
      <c r="AN32" s="5"/>
      <c r="AO32" s="5"/>
      <c r="AP32" s="15"/>
      <c r="AQ32" s="15"/>
      <c r="AR32" s="15"/>
      <c r="AS32" s="15"/>
      <c r="AT32" s="15"/>
      <c r="AU32" s="15"/>
      <c r="AV32" s="28"/>
    </row>
    <row r="33" spans="1:48" x14ac:dyDescent="0.4">
      <c r="A33" s="6">
        <v>1</v>
      </c>
      <c r="B33" s="77" t="s">
        <v>38</v>
      </c>
      <c r="C33" s="69"/>
      <c r="D33" s="60"/>
      <c r="E33" s="6">
        <v>289</v>
      </c>
      <c r="F33" s="6">
        <v>293</v>
      </c>
      <c r="G33" s="6">
        <v>211</v>
      </c>
      <c r="H33" s="6">
        <v>264</v>
      </c>
      <c r="I33" s="6">
        <v>301</v>
      </c>
      <c r="J33" s="6">
        <v>291</v>
      </c>
      <c r="K33" s="6">
        <v>298</v>
      </c>
      <c r="L33" s="6">
        <v>291</v>
      </c>
      <c r="M33" s="6">
        <v>296</v>
      </c>
      <c r="N33" s="6">
        <v>301</v>
      </c>
      <c r="O33" s="6">
        <v>298</v>
      </c>
      <c r="P33" s="6">
        <v>294</v>
      </c>
      <c r="Q33" s="6">
        <v>289</v>
      </c>
      <c r="R33" s="6">
        <v>289</v>
      </c>
      <c r="S33" s="6">
        <v>287</v>
      </c>
      <c r="T33" s="6">
        <v>293</v>
      </c>
      <c r="U33" s="6">
        <v>300</v>
      </c>
      <c r="V33" s="6">
        <v>294</v>
      </c>
      <c r="W33" s="6">
        <v>300</v>
      </c>
      <c r="X33" s="6">
        <v>297</v>
      </c>
      <c r="Y33" s="6">
        <v>288</v>
      </c>
      <c r="Z33" s="6">
        <v>287</v>
      </c>
      <c r="AA33" s="6">
        <v>296</v>
      </c>
      <c r="AB33" s="6">
        <v>286</v>
      </c>
      <c r="AC33" s="6">
        <v>295</v>
      </c>
      <c r="AD33" s="6">
        <v>271</v>
      </c>
      <c r="AE33" s="6">
        <v>298</v>
      </c>
      <c r="AF33" s="6">
        <v>301</v>
      </c>
      <c r="AG33" s="6">
        <v>284</v>
      </c>
      <c r="AH33" s="6">
        <v>294</v>
      </c>
      <c r="AI33" s="6">
        <v>296</v>
      </c>
      <c r="AJ33" s="6">
        <v>289</v>
      </c>
      <c r="AK33" s="6">
        <v>293</v>
      </c>
      <c r="AL33" s="6">
        <v>222</v>
      </c>
      <c r="AM33" s="6">
        <v>272</v>
      </c>
      <c r="AN33" s="6">
        <v>276</v>
      </c>
      <c r="AO33" s="6">
        <v>267</v>
      </c>
      <c r="AP33" s="6">
        <v>280</v>
      </c>
      <c r="AQ33" s="6">
        <v>301</v>
      </c>
      <c r="AR33" s="6">
        <v>244</v>
      </c>
      <c r="AS33" s="6">
        <v>295</v>
      </c>
      <c r="AT33" s="6">
        <v>301</v>
      </c>
      <c r="AU33" s="6">
        <v>297</v>
      </c>
      <c r="AV33" s="5">
        <f>SUM(E33:AU33)</f>
        <v>12309</v>
      </c>
    </row>
    <row r="34" spans="1:48" x14ac:dyDescent="0.4">
      <c r="A34" s="6">
        <v>2</v>
      </c>
      <c r="B34" s="77" t="s">
        <v>39</v>
      </c>
      <c r="C34" s="69"/>
      <c r="D34" s="60"/>
      <c r="E34" s="5">
        <v>251</v>
      </c>
      <c r="F34" s="5">
        <v>186</v>
      </c>
      <c r="G34" s="5">
        <v>174</v>
      </c>
      <c r="H34" s="5">
        <v>232</v>
      </c>
      <c r="I34" s="5">
        <v>226</v>
      </c>
      <c r="J34" s="5">
        <v>213</v>
      </c>
      <c r="K34" s="5">
        <v>228</v>
      </c>
      <c r="L34" s="5">
        <v>214</v>
      </c>
      <c r="M34" s="5">
        <v>211</v>
      </c>
      <c r="N34" s="5">
        <v>225</v>
      </c>
      <c r="O34" s="5">
        <v>208</v>
      </c>
      <c r="P34" s="5">
        <v>213</v>
      </c>
      <c r="Q34" s="5">
        <v>209</v>
      </c>
      <c r="R34" s="5">
        <v>209</v>
      </c>
      <c r="S34" s="5">
        <v>203</v>
      </c>
      <c r="T34" s="5">
        <v>216</v>
      </c>
      <c r="U34" s="5">
        <v>209</v>
      </c>
      <c r="V34" s="5">
        <v>213</v>
      </c>
      <c r="W34" s="5">
        <v>228</v>
      </c>
      <c r="X34" s="5">
        <v>225</v>
      </c>
      <c r="Y34" s="5">
        <v>217</v>
      </c>
      <c r="Z34" s="5">
        <v>226</v>
      </c>
      <c r="AA34" s="5">
        <v>226</v>
      </c>
      <c r="AB34" s="5">
        <v>227</v>
      </c>
      <c r="AC34" s="5">
        <v>219</v>
      </c>
      <c r="AD34" s="5">
        <v>214</v>
      </c>
      <c r="AE34" s="5">
        <v>221</v>
      </c>
      <c r="AF34" s="5">
        <v>228</v>
      </c>
      <c r="AG34" s="5">
        <v>206</v>
      </c>
      <c r="AH34" s="5">
        <v>202</v>
      </c>
      <c r="AI34" s="5">
        <v>215</v>
      </c>
      <c r="AJ34" s="5">
        <v>230</v>
      </c>
      <c r="AK34" s="5">
        <v>234</v>
      </c>
      <c r="AL34" s="5">
        <v>145</v>
      </c>
      <c r="AM34" s="5">
        <v>189</v>
      </c>
      <c r="AN34" s="5">
        <v>208</v>
      </c>
      <c r="AO34" s="5">
        <v>190</v>
      </c>
      <c r="AP34" s="5">
        <v>217</v>
      </c>
      <c r="AQ34" s="5">
        <v>206</v>
      </c>
      <c r="AR34" s="5">
        <v>172</v>
      </c>
      <c r="AS34" s="5">
        <v>207</v>
      </c>
      <c r="AT34" s="5">
        <v>213</v>
      </c>
      <c r="AU34" s="5">
        <v>183</v>
      </c>
      <c r="AV34" s="5">
        <f>SUM(E34:AU34)</f>
        <v>9088</v>
      </c>
    </row>
    <row r="35" spans="1:48" x14ac:dyDescent="0.4">
      <c r="A35" s="6">
        <v>3</v>
      </c>
      <c r="B35" s="77" t="s">
        <v>40</v>
      </c>
      <c r="C35" s="69"/>
      <c r="D35" s="60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1</v>
      </c>
      <c r="Q35" s="6">
        <v>1</v>
      </c>
      <c r="R35" s="6">
        <v>1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2</v>
      </c>
      <c r="AC35" s="6">
        <v>1</v>
      </c>
      <c r="AD35" s="6">
        <v>0</v>
      </c>
      <c r="AE35" s="6">
        <v>2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2</v>
      </c>
      <c r="AN35" s="6">
        <v>0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1</v>
      </c>
      <c r="AU35" s="6">
        <v>0</v>
      </c>
      <c r="AV35" s="5">
        <f>SUM(E35:AU35)</f>
        <v>15</v>
      </c>
    </row>
    <row r="36" spans="1:48" x14ac:dyDescent="0.4">
      <c r="A36" s="6">
        <v>4</v>
      </c>
      <c r="B36" s="77" t="s">
        <v>41</v>
      </c>
      <c r="C36" s="69"/>
      <c r="D36" s="60"/>
      <c r="E36" s="5">
        <f t="shared" ref="E36:AU36" si="26">E33-(E34+E35)</f>
        <v>38</v>
      </c>
      <c r="F36" s="5">
        <f t="shared" ref="F36:S36" si="27">F33-(F34+F35)</f>
        <v>107</v>
      </c>
      <c r="G36" s="5">
        <f t="shared" si="27"/>
        <v>35</v>
      </c>
      <c r="H36" s="5">
        <f t="shared" si="27"/>
        <v>32</v>
      </c>
      <c r="I36" s="5">
        <f t="shared" si="27"/>
        <v>75</v>
      </c>
      <c r="J36" s="5">
        <f t="shared" si="27"/>
        <v>78</v>
      </c>
      <c r="K36" s="5">
        <f t="shared" si="27"/>
        <v>70</v>
      </c>
      <c r="L36" s="5">
        <f t="shared" si="27"/>
        <v>77</v>
      </c>
      <c r="M36" s="5">
        <f t="shared" si="27"/>
        <v>85</v>
      </c>
      <c r="N36" s="5">
        <f t="shared" si="27"/>
        <v>76</v>
      </c>
      <c r="O36" s="5">
        <f t="shared" si="27"/>
        <v>89</v>
      </c>
      <c r="P36" s="5">
        <f t="shared" si="27"/>
        <v>80</v>
      </c>
      <c r="Q36" s="5">
        <f t="shared" si="27"/>
        <v>79</v>
      </c>
      <c r="R36" s="5">
        <f t="shared" si="27"/>
        <v>79</v>
      </c>
      <c r="S36" s="5">
        <f t="shared" si="27"/>
        <v>84</v>
      </c>
      <c r="T36" s="5">
        <f t="shared" si="26"/>
        <v>77</v>
      </c>
      <c r="U36" s="5">
        <f t="shared" si="26"/>
        <v>91</v>
      </c>
      <c r="V36" s="5">
        <f t="shared" si="26"/>
        <v>81</v>
      </c>
      <c r="W36" s="5">
        <f t="shared" si="26"/>
        <v>72</v>
      </c>
      <c r="X36" s="5">
        <f t="shared" si="26"/>
        <v>72</v>
      </c>
      <c r="Y36" s="5">
        <f t="shared" si="26"/>
        <v>71</v>
      </c>
      <c r="Z36" s="5">
        <f t="shared" si="26"/>
        <v>61</v>
      </c>
      <c r="AA36" s="5">
        <f t="shared" si="26"/>
        <v>70</v>
      </c>
      <c r="AB36" s="5">
        <f t="shared" si="26"/>
        <v>57</v>
      </c>
      <c r="AC36" s="5">
        <f t="shared" si="26"/>
        <v>75</v>
      </c>
      <c r="AD36" s="5">
        <f t="shared" si="26"/>
        <v>57</v>
      </c>
      <c r="AE36" s="5">
        <f t="shared" si="26"/>
        <v>75</v>
      </c>
      <c r="AF36" s="5">
        <f t="shared" si="26"/>
        <v>73</v>
      </c>
      <c r="AG36" s="5">
        <f t="shared" si="26"/>
        <v>78</v>
      </c>
      <c r="AH36" s="5">
        <f t="shared" ref="AH36:AT36" si="28">AH33-(AH34+AH35)</f>
        <v>92</v>
      </c>
      <c r="AI36" s="5">
        <f t="shared" si="28"/>
        <v>81</v>
      </c>
      <c r="AJ36" s="5">
        <f t="shared" si="28"/>
        <v>59</v>
      </c>
      <c r="AK36" s="5">
        <f t="shared" si="28"/>
        <v>59</v>
      </c>
      <c r="AL36" s="5">
        <f t="shared" si="28"/>
        <v>77</v>
      </c>
      <c r="AM36" s="5">
        <f t="shared" si="28"/>
        <v>81</v>
      </c>
      <c r="AN36" s="5">
        <f t="shared" si="28"/>
        <v>68</v>
      </c>
      <c r="AO36" s="5">
        <f t="shared" si="28"/>
        <v>76</v>
      </c>
      <c r="AP36" s="5">
        <f t="shared" si="28"/>
        <v>63</v>
      </c>
      <c r="AQ36" s="5">
        <f t="shared" si="28"/>
        <v>95</v>
      </c>
      <c r="AR36" s="5">
        <f t="shared" si="28"/>
        <v>72</v>
      </c>
      <c r="AS36" s="5">
        <f t="shared" si="28"/>
        <v>88</v>
      </c>
      <c r="AT36" s="5">
        <f t="shared" si="28"/>
        <v>87</v>
      </c>
      <c r="AU36" s="5">
        <f t="shared" si="26"/>
        <v>114</v>
      </c>
      <c r="AV36" s="5">
        <f>SUM(E36:AU36)</f>
        <v>3206</v>
      </c>
    </row>
    <row r="37" spans="1:48" x14ac:dyDescent="0.4">
      <c r="A37" s="61"/>
      <c r="B37" s="69"/>
      <c r="C37" s="69"/>
      <c r="D37" s="69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26"/>
      <c r="AV37" s="28"/>
    </row>
    <row r="38" spans="1:48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5"/>
      <c r="U38" s="5"/>
      <c r="V38" s="5"/>
      <c r="W38" s="5"/>
      <c r="X38" s="5"/>
      <c r="Y38" s="5"/>
      <c r="Z38" s="5"/>
      <c r="AA38" s="5"/>
      <c r="AB38" s="15"/>
      <c r="AC38" s="15"/>
      <c r="AD38" s="15"/>
      <c r="AE38" s="15"/>
      <c r="AF38" s="15"/>
      <c r="AG38" s="15"/>
      <c r="AH38" s="5"/>
      <c r="AI38" s="5"/>
      <c r="AJ38" s="5"/>
      <c r="AK38" s="5"/>
      <c r="AL38" s="5"/>
      <c r="AM38" s="5"/>
      <c r="AN38" s="5"/>
      <c r="AO38" s="5"/>
      <c r="AP38" s="15"/>
      <c r="AQ38" s="15"/>
      <c r="AR38" s="15"/>
      <c r="AS38" s="15"/>
      <c r="AT38" s="15"/>
      <c r="AU38" s="15"/>
      <c r="AV38" s="28"/>
    </row>
    <row r="39" spans="1:48" x14ac:dyDescent="0.4">
      <c r="A39" s="11"/>
      <c r="B39" s="72" t="s">
        <v>44</v>
      </c>
      <c r="C39" s="68"/>
      <c r="D39" s="6" t="s">
        <v>23</v>
      </c>
      <c r="E39" s="6">
        <v>1</v>
      </c>
      <c r="F39" s="6">
        <v>0</v>
      </c>
      <c r="G39" s="6">
        <v>1</v>
      </c>
      <c r="H39" s="6">
        <v>0</v>
      </c>
      <c r="I39" s="6">
        <v>0</v>
      </c>
      <c r="J39" s="6">
        <v>2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3</v>
      </c>
      <c r="Y39" s="6">
        <v>0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6">
        <v>1</v>
      </c>
      <c r="AG39" s="6">
        <v>0</v>
      </c>
      <c r="AH39" s="6">
        <v>0</v>
      </c>
      <c r="AI39" s="6">
        <v>1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1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1</v>
      </c>
      <c r="AV39" s="5">
        <f>SUM(E39:AU39)</f>
        <v>13</v>
      </c>
    </row>
    <row r="40" spans="1:48" x14ac:dyDescent="0.4">
      <c r="A40" s="12"/>
      <c r="B40" s="73"/>
      <c r="C40" s="74"/>
      <c r="D40" s="6" t="s">
        <v>24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2</v>
      </c>
      <c r="AB40" s="6">
        <v>0</v>
      </c>
      <c r="AC40" s="6">
        <v>0</v>
      </c>
      <c r="AD40" s="6">
        <v>0</v>
      </c>
      <c r="AE40" s="6">
        <v>0</v>
      </c>
      <c r="AF40" s="6">
        <v>1</v>
      </c>
      <c r="AG40" s="6">
        <v>0</v>
      </c>
      <c r="AH40" s="6">
        <v>1</v>
      </c>
      <c r="AI40" s="6">
        <v>1</v>
      </c>
      <c r="AJ40" s="6">
        <v>0</v>
      </c>
      <c r="AK40" s="6">
        <v>0</v>
      </c>
      <c r="AL40" s="6">
        <v>0</v>
      </c>
      <c r="AM40" s="6">
        <v>1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1</v>
      </c>
      <c r="AV40" s="5">
        <f>SUM(E40:AU40)</f>
        <v>13</v>
      </c>
    </row>
    <row r="41" spans="1:48" x14ac:dyDescent="0.4">
      <c r="A41" s="14"/>
      <c r="B41" s="71"/>
      <c r="C41" s="75"/>
      <c r="D41" s="5" t="s">
        <v>25</v>
      </c>
      <c r="E41" s="5">
        <f t="shared" ref="E41:AU41" si="29">SUM(E39:E40)</f>
        <v>2</v>
      </c>
      <c r="F41" s="5">
        <f t="shared" ref="F41:S41" si="30">SUM(F39:F40)</f>
        <v>0</v>
      </c>
      <c r="G41" s="5">
        <f t="shared" si="30"/>
        <v>1</v>
      </c>
      <c r="H41" s="5">
        <f t="shared" si="30"/>
        <v>0</v>
      </c>
      <c r="I41" s="5">
        <f t="shared" si="30"/>
        <v>0</v>
      </c>
      <c r="J41" s="5">
        <f t="shared" si="30"/>
        <v>2</v>
      </c>
      <c r="K41" s="5">
        <f t="shared" si="30"/>
        <v>0</v>
      </c>
      <c r="L41" s="5">
        <f t="shared" si="30"/>
        <v>0</v>
      </c>
      <c r="M41" s="5">
        <f t="shared" si="30"/>
        <v>1</v>
      </c>
      <c r="N41" s="5">
        <f t="shared" si="30"/>
        <v>0</v>
      </c>
      <c r="O41" s="5">
        <f t="shared" si="30"/>
        <v>0</v>
      </c>
      <c r="P41" s="5">
        <f t="shared" si="30"/>
        <v>2</v>
      </c>
      <c r="Q41" s="5">
        <f t="shared" si="30"/>
        <v>0</v>
      </c>
      <c r="R41" s="5">
        <f t="shared" si="30"/>
        <v>0</v>
      </c>
      <c r="S41" s="5">
        <f t="shared" si="30"/>
        <v>0</v>
      </c>
      <c r="T41" s="5">
        <f t="shared" si="29"/>
        <v>0</v>
      </c>
      <c r="U41" s="5">
        <f t="shared" si="29"/>
        <v>1</v>
      </c>
      <c r="V41" s="5">
        <f t="shared" si="29"/>
        <v>0</v>
      </c>
      <c r="W41" s="5">
        <f t="shared" si="29"/>
        <v>0</v>
      </c>
      <c r="X41" s="5">
        <f t="shared" si="29"/>
        <v>5</v>
      </c>
      <c r="Y41" s="5">
        <f t="shared" si="29"/>
        <v>0</v>
      </c>
      <c r="Z41" s="5">
        <f t="shared" si="29"/>
        <v>0</v>
      </c>
      <c r="AA41" s="5">
        <f t="shared" si="29"/>
        <v>3</v>
      </c>
      <c r="AB41" s="5">
        <f t="shared" si="29"/>
        <v>0</v>
      </c>
      <c r="AC41" s="5">
        <f t="shared" si="29"/>
        <v>0</v>
      </c>
      <c r="AD41" s="5">
        <f t="shared" si="29"/>
        <v>0</v>
      </c>
      <c r="AE41" s="5">
        <f t="shared" si="29"/>
        <v>0</v>
      </c>
      <c r="AF41" s="5">
        <f t="shared" si="29"/>
        <v>2</v>
      </c>
      <c r="AG41" s="5">
        <f t="shared" si="29"/>
        <v>0</v>
      </c>
      <c r="AH41" s="5">
        <f t="shared" ref="AH41:AT41" si="31">SUM(AH39:AH40)</f>
        <v>1</v>
      </c>
      <c r="AI41" s="5">
        <f t="shared" si="31"/>
        <v>2</v>
      </c>
      <c r="AJ41" s="5">
        <f t="shared" si="31"/>
        <v>0</v>
      </c>
      <c r="AK41" s="5">
        <f t="shared" si="31"/>
        <v>0</v>
      </c>
      <c r="AL41" s="5">
        <f t="shared" si="31"/>
        <v>0</v>
      </c>
      <c r="AM41" s="5">
        <f t="shared" si="31"/>
        <v>1</v>
      </c>
      <c r="AN41" s="5">
        <f t="shared" si="31"/>
        <v>0</v>
      </c>
      <c r="AO41" s="5">
        <f t="shared" si="31"/>
        <v>1</v>
      </c>
      <c r="AP41" s="5">
        <f t="shared" si="31"/>
        <v>0</v>
      </c>
      <c r="AQ41" s="5">
        <f t="shared" si="31"/>
        <v>0</v>
      </c>
      <c r="AR41" s="5">
        <f t="shared" si="31"/>
        <v>0</v>
      </c>
      <c r="AS41" s="5">
        <f t="shared" si="31"/>
        <v>0</v>
      </c>
      <c r="AT41" s="5">
        <f t="shared" si="31"/>
        <v>0</v>
      </c>
      <c r="AU41" s="5">
        <f t="shared" si="29"/>
        <v>2</v>
      </c>
      <c r="AV41" s="5">
        <f>SUM(E41:AU41)</f>
        <v>26</v>
      </c>
    </row>
    <row r="42" spans="1:48" x14ac:dyDescent="0.4">
      <c r="A42" s="70"/>
      <c r="B42" s="71"/>
      <c r="C42" s="71"/>
      <c r="D42" s="75"/>
      <c r="E42" s="61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10"/>
      <c r="AV42" s="5"/>
    </row>
    <row r="43" spans="1:48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5"/>
      <c r="AB43" s="15"/>
      <c r="AC43" s="5"/>
      <c r="AD43" s="15"/>
      <c r="AE43" s="5"/>
      <c r="AF43" s="15"/>
      <c r="AG43" s="5"/>
      <c r="AH43" s="5"/>
      <c r="AI43" s="5"/>
      <c r="AJ43" s="5"/>
      <c r="AK43" s="5"/>
      <c r="AL43" s="5"/>
      <c r="AM43" s="5"/>
      <c r="AN43" s="5"/>
      <c r="AO43" s="5"/>
      <c r="AP43" s="15"/>
      <c r="AQ43" s="5"/>
      <c r="AR43" s="15"/>
      <c r="AS43" s="5"/>
      <c r="AT43" s="15"/>
      <c r="AU43" s="15"/>
      <c r="AV43" s="5"/>
    </row>
    <row r="44" spans="1:48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6"/>
      <c r="AB44" s="10"/>
      <c r="AC44" s="6"/>
      <c r="AD44" s="10"/>
      <c r="AE44" s="6"/>
      <c r="AF44" s="10"/>
      <c r="AG44" s="6"/>
      <c r="AH44" s="6"/>
      <c r="AI44" s="6"/>
      <c r="AJ44" s="6"/>
      <c r="AK44" s="6"/>
      <c r="AL44" s="6"/>
      <c r="AM44" s="6"/>
      <c r="AN44" s="6"/>
      <c r="AO44" s="6"/>
      <c r="AP44" s="10"/>
      <c r="AQ44" s="6"/>
      <c r="AR44" s="10"/>
      <c r="AS44" s="6"/>
      <c r="AT44" s="10"/>
      <c r="AU44" s="10"/>
      <c r="AV44" s="5"/>
    </row>
    <row r="45" spans="1:48" x14ac:dyDescent="0.4">
      <c r="A45" s="11" t="s">
        <v>48</v>
      </c>
      <c r="B45" s="17" t="s">
        <v>28</v>
      </c>
      <c r="C45" s="59" t="s">
        <v>49</v>
      </c>
      <c r="D45" s="60"/>
      <c r="E45" s="6">
        <v>6</v>
      </c>
      <c r="F45" s="6">
        <v>2</v>
      </c>
      <c r="G45" s="6">
        <v>1</v>
      </c>
      <c r="H45" s="6">
        <v>0</v>
      </c>
      <c r="I45" s="6">
        <v>5</v>
      </c>
      <c r="J45" s="6">
        <v>2</v>
      </c>
      <c r="K45" s="6">
        <v>4</v>
      </c>
      <c r="L45" s="6">
        <v>5</v>
      </c>
      <c r="M45" s="6">
        <v>8</v>
      </c>
      <c r="N45" s="6">
        <v>8</v>
      </c>
      <c r="O45" s="6">
        <v>3</v>
      </c>
      <c r="P45" s="6">
        <v>5</v>
      </c>
      <c r="Q45" s="6">
        <v>3</v>
      </c>
      <c r="R45" s="6">
        <v>4</v>
      </c>
      <c r="S45" s="6">
        <v>5</v>
      </c>
      <c r="T45" s="6">
        <v>8</v>
      </c>
      <c r="U45" s="6">
        <v>3</v>
      </c>
      <c r="V45" s="6">
        <v>20</v>
      </c>
      <c r="W45" s="6">
        <v>6</v>
      </c>
      <c r="X45" s="6">
        <v>6</v>
      </c>
      <c r="Y45" s="6">
        <v>4</v>
      </c>
      <c r="Z45" s="6">
        <v>13</v>
      </c>
      <c r="AA45" s="6">
        <v>9</v>
      </c>
      <c r="AB45" s="6">
        <v>7</v>
      </c>
      <c r="AC45" s="6">
        <v>4</v>
      </c>
      <c r="AD45" s="6">
        <v>9</v>
      </c>
      <c r="AE45" s="6">
        <v>9</v>
      </c>
      <c r="AF45" s="6">
        <v>13</v>
      </c>
      <c r="AG45" s="6">
        <v>3</v>
      </c>
      <c r="AH45" s="6">
        <v>6</v>
      </c>
      <c r="AI45" s="6">
        <v>4</v>
      </c>
      <c r="AJ45" s="6">
        <v>13</v>
      </c>
      <c r="AK45" s="6">
        <v>9</v>
      </c>
      <c r="AL45" s="6">
        <v>0</v>
      </c>
      <c r="AM45" s="6">
        <v>4</v>
      </c>
      <c r="AN45" s="6">
        <v>4</v>
      </c>
      <c r="AO45" s="6">
        <v>5</v>
      </c>
      <c r="AP45" s="6">
        <v>1</v>
      </c>
      <c r="AQ45" s="6">
        <v>0</v>
      </c>
      <c r="AR45" s="6">
        <v>2</v>
      </c>
      <c r="AS45" s="6">
        <v>2</v>
      </c>
      <c r="AT45" s="6">
        <v>2</v>
      </c>
      <c r="AU45" s="6">
        <v>1</v>
      </c>
      <c r="AV45" s="5">
        <f t="shared" ref="AV45:AV51" si="32">SUM(E45:AU45)</f>
        <v>228</v>
      </c>
    </row>
    <row r="46" spans="1:48" x14ac:dyDescent="0.4">
      <c r="A46" s="11" t="s">
        <v>50</v>
      </c>
      <c r="B46" s="46">
        <v>1</v>
      </c>
      <c r="C46" s="24" t="s">
        <v>114</v>
      </c>
      <c r="D46" s="47"/>
      <c r="E46" s="6">
        <v>2</v>
      </c>
      <c r="F46" s="6">
        <v>2</v>
      </c>
      <c r="G46" s="6">
        <v>2</v>
      </c>
      <c r="H46" s="6">
        <v>1</v>
      </c>
      <c r="I46" s="6">
        <v>4</v>
      </c>
      <c r="J46" s="6">
        <v>3</v>
      </c>
      <c r="K46" s="6">
        <v>7</v>
      </c>
      <c r="L46" s="6">
        <v>13</v>
      </c>
      <c r="M46" s="6">
        <v>13</v>
      </c>
      <c r="N46" s="6">
        <v>21</v>
      </c>
      <c r="O46" s="6">
        <v>5</v>
      </c>
      <c r="P46" s="6">
        <v>8</v>
      </c>
      <c r="Q46" s="6">
        <v>2</v>
      </c>
      <c r="R46" s="6">
        <v>10</v>
      </c>
      <c r="S46" s="6">
        <v>4</v>
      </c>
      <c r="T46" s="6">
        <v>3</v>
      </c>
      <c r="U46" s="6">
        <v>3</v>
      </c>
      <c r="V46" s="6">
        <v>26</v>
      </c>
      <c r="W46" s="6">
        <v>11</v>
      </c>
      <c r="X46" s="6">
        <v>4</v>
      </c>
      <c r="Y46" s="6">
        <v>8</v>
      </c>
      <c r="Z46" s="6">
        <v>7</v>
      </c>
      <c r="AA46" s="6">
        <v>3</v>
      </c>
      <c r="AB46" s="6">
        <v>1</v>
      </c>
      <c r="AC46" s="6">
        <v>2</v>
      </c>
      <c r="AD46" s="6">
        <v>10</v>
      </c>
      <c r="AE46" s="6">
        <v>17</v>
      </c>
      <c r="AF46" s="6">
        <v>18</v>
      </c>
      <c r="AG46" s="6">
        <v>9</v>
      </c>
      <c r="AH46" s="6">
        <v>6</v>
      </c>
      <c r="AI46" s="6">
        <v>5</v>
      </c>
      <c r="AJ46" s="6">
        <v>7</v>
      </c>
      <c r="AK46" s="6">
        <v>3</v>
      </c>
      <c r="AL46" s="6">
        <v>4</v>
      </c>
      <c r="AM46" s="6">
        <v>5</v>
      </c>
      <c r="AN46" s="6">
        <v>13</v>
      </c>
      <c r="AO46" s="6">
        <v>3</v>
      </c>
      <c r="AP46" s="6">
        <v>2</v>
      </c>
      <c r="AQ46" s="6">
        <v>1</v>
      </c>
      <c r="AR46" s="6">
        <v>2</v>
      </c>
      <c r="AS46" s="6">
        <v>3</v>
      </c>
      <c r="AT46" s="6">
        <v>8</v>
      </c>
      <c r="AU46" s="6">
        <v>2</v>
      </c>
      <c r="AV46" s="5">
        <f t="shared" si="32"/>
        <v>283</v>
      </c>
    </row>
    <row r="47" spans="1:48" x14ac:dyDescent="0.4">
      <c r="A47" s="7"/>
      <c r="B47" s="46">
        <v>2</v>
      </c>
      <c r="C47" s="24" t="s">
        <v>115</v>
      </c>
      <c r="D47" s="47"/>
      <c r="E47" s="6">
        <v>0</v>
      </c>
      <c r="F47" s="6">
        <v>2</v>
      </c>
      <c r="G47" s="6">
        <v>0</v>
      </c>
      <c r="H47" s="6">
        <v>5</v>
      </c>
      <c r="I47" s="6">
        <v>0</v>
      </c>
      <c r="J47" s="6">
        <v>0</v>
      </c>
      <c r="K47" s="6">
        <v>4</v>
      </c>
      <c r="L47" s="6">
        <v>1</v>
      </c>
      <c r="M47" s="6">
        <v>3</v>
      </c>
      <c r="N47" s="6">
        <v>0</v>
      </c>
      <c r="O47" s="6">
        <v>0</v>
      </c>
      <c r="P47" s="6">
        <v>5</v>
      </c>
      <c r="Q47" s="6">
        <v>4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5</v>
      </c>
      <c r="X47" s="6">
        <v>4</v>
      </c>
      <c r="Y47" s="6">
        <v>15</v>
      </c>
      <c r="Z47" s="6">
        <v>7</v>
      </c>
      <c r="AA47" s="6">
        <v>7</v>
      </c>
      <c r="AB47" s="6">
        <v>2</v>
      </c>
      <c r="AC47" s="6">
        <v>2</v>
      </c>
      <c r="AD47" s="6">
        <v>13</v>
      </c>
      <c r="AE47" s="6">
        <v>12</v>
      </c>
      <c r="AF47" s="6">
        <v>1</v>
      </c>
      <c r="AG47" s="6">
        <v>6</v>
      </c>
      <c r="AH47" s="6">
        <v>4</v>
      </c>
      <c r="AI47" s="6">
        <v>1</v>
      </c>
      <c r="AJ47" s="6">
        <v>0</v>
      </c>
      <c r="AK47" s="6">
        <v>4</v>
      </c>
      <c r="AL47" s="6">
        <v>1</v>
      </c>
      <c r="AM47" s="6">
        <v>2</v>
      </c>
      <c r="AN47" s="6">
        <v>2</v>
      </c>
      <c r="AO47" s="6">
        <v>0</v>
      </c>
      <c r="AP47" s="6">
        <v>0</v>
      </c>
      <c r="AQ47" s="6">
        <v>1</v>
      </c>
      <c r="AR47" s="6">
        <v>0</v>
      </c>
      <c r="AS47" s="6">
        <v>0</v>
      </c>
      <c r="AT47" s="6">
        <v>2</v>
      </c>
      <c r="AU47" s="6">
        <v>2</v>
      </c>
      <c r="AV47" s="5">
        <f t="shared" si="32"/>
        <v>117</v>
      </c>
    </row>
    <row r="48" spans="1:48" x14ac:dyDescent="0.4">
      <c r="A48" s="7"/>
      <c r="B48" s="46">
        <v>3</v>
      </c>
      <c r="C48" s="24" t="s">
        <v>116</v>
      </c>
      <c r="D48" s="47"/>
      <c r="E48" s="6">
        <v>2</v>
      </c>
      <c r="F48" s="6">
        <v>1</v>
      </c>
      <c r="G48" s="6">
        <v>0</v>
      </c>
      <c r="H48" s="6">
        <v>2</v>
      </c>
      <c r="I48" s="6">
        <v>0</v>
      </c>
      <c r="J48" s="6">
        <v>0</v>
      </c>
      <c r="K48" s="6">
        <v>0</v>
      </c>
      <c r="L48" s="6">
        <v>0</v>
      </c>
      <c r="M48" s="6">
        <v>2</v>
      </c>
      <c r="N48" s="6">
        <v>1</v>
      </c>
      <c r="O48" s="6">
        <v>0</v>
      </c>
      <c r="P48" s="6">
        <v>1</v>
      </c>
      <c r="Q48" s="6">
        <v>2</v>
      </c>
      <c r="R48" s="6">
        <v>0</v>
      </c>
      <c r="S48" s="6">
        <v>0</v>
      </c>
      <c r="T48" s="6">
        <v>2</v>
      </c>
      <c r="U48" s="6">
        <v>2</v>
      </c>
      <c r="V48" s="6">
        <v>1</v>
      </c>
      <c r="W48" s="6">
        <v>0</v>
      </c>
      <c r="X48" s="6">
        <v>0</v>
      </c>
      <c r="Y48" s="6">
        <v>1</v>
      </c>
      <c r="Z48" s="6">
        <v>2</v>
      </c>
      <c r="AA48" s="6">
        <v>1</v>
      </c>
      <c r="AB48" s="6">
        <v>2</v>
      </c>
      <c r="AC48" s="6">
        <v>1</v>
      </c>
      <c r="AD48" s="6">
        <v>1</v>
      </c>
      <c r="AE48" s="6">
        <v>0</v>
      </c>
      <c r="AF48" s="6">
        <v>2</v>
      </c>
      <c r="AG48" s="6">
        <v>3</v>
      </c>
      <c r="AH48" s="6">
        <v>0</v>
      </c>
      <c r="AI48" s="6">
        <v>4</v>
      </c>
      <c r="AJ48" s="6">
        <v>1</v>
      </c>
      <c r="AK48" s="6">
        <v>0</v>
      </c>
      <c r="AL48" s="6">
        <v>1</v>
      </c>
      <c r="AM48" s="6">
        <v>1</v>
      </c>
      <c r="AN48" s="6">
        <v>1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2</v>
      </c>
      <c r="AU48" s="6">
        <v>0</v>
      </c>
      <c r="AV48" s="5">
        <f t="shared" si="32"/>
        <v>39</v>
      </c>
    </row>
    <row r="49" spans="1:48" x14ac:dyDescent="0.4">
      <c r="A49" s="7"/>
      <c r="B49" s="46">
        <v>4</v>
      </c>
      <c r="C49" s="24" t="s">
        <v>117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3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2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1</v>
      </c>
      <c r="AD49" s="6">
        <v>0</v>
      </c>
      <c r="AE49" s="6">
        <v>0</v>
      </c>
      <c r="AF49" s="6">
        <v>0</v>
      </c>
      <c r="AG49" s="6">
        <v>2</v>
      </c>
      <c r="AH49" s="6">
        <v>1</v>
      </c>
      <c r="AI49" s="6">
        <v>2</v>
      </c>
      <c r="AJ49" s="6">
        <v>1</v>
      </c>
      <c r="AK49" s="6">
        <v>0</v>
      </c>
      <c r="AL49" s="6">
        <v>1</v>
      </c>
      <c r="AM49" s="6">
        <v>1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5">
        <f t="shared" si="32"/>
        <v>15</v>
      </c>
    </row>
    <row r="50" spans="1:48" x14ac:dyDescent="0.4">
      <c r="A50" s="7"/>
      <c r="B50" s="46">
        <v>5</v>
      </c>
      <c r="C50" s="24" t="s">
        <v>118</v>
      </c>
      <c r="D50" s="47"/>
      <c r="E50" s="6">
        <v>0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1</v>
      </c>
      <c r="AR50" s="6">
        <v>1</v>
      </c>
      <c r="AS50" s="6">
        <v>0</v>
      </c>
      <c r="AT50" s="6">
        <v>0</v>
      </c>
      <c r="AU50" s="6">
        <v>0</v>
      </c>
      <c r="AV50" s="5">
        <f t="shared" si="32"/>
        <v>9</v>
      </c>
    </row>
    <row r="51" spans="1:48" x14ac:dyDescent="0.4">
      <c r="A51" s="7"/>
      <c r="B51" s="46">
        <v>6</v>
      </c>
      <c r="C51" s="24" t="s">
        <v>119</v>
      </c>
      <c r="D51" s="47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1</v>
      </c>
      <c r="V51" s="6">
        <v>0</v>
      </c>
      <c r="W51" s="6">
        <v>1</v>
      </c>
      <c r="X51" s="6">
        <v>0</v>
      </c>
      <c r="Y51" s="6">
        <v>2</v>
      </c>
      <c r="Z51" s="6">
        <v>1</v>
      </c>
      <c r="AA51" s="6">
        <v>2</v>
      </c>
      <c r="AB51" s="6">
        <v>0</v>
      </c>
      <c r="AC51" s="6">
        <v>1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4</v>
      </c>
      <c r="AP51" s="6">
        <v>0</v>
      </c>
      <c r="AQ51" s="6">
        <v>0</v>
      </c>
      <c r="AR51" s="6">
        <v>0</v>
      </c>
      <c r="AS51" s="6">
        <v>2</v>
      </c>
      <c r="AT51" s="6">
        <v>0</v>
      </c>
      <c r="AU51" s="6">
        <v>0</v>
      </c>
      <c r="AV51" s="5">
        <f t="shared" si="32"/>
        <v>16</v>
      </c>
    </row>
    <row r="52" spans="1:48" x14ac:dyDescent="0.4">
      <c r="A52" s="6" t="s">
        <v>26</v>
      </c>
      <c r="B52" s="53" t="s">
        <v>51</v>
      </c>
      <c r="C52" s="69"/>
      <c r="D52" s="60"/>
      <c r="E52" s="5">
        <f t="shared" ref="E52:AV52" si="33">SUM(E45:E51)</f>
        <v>10</v>
      </c>
      <c r="F52" s="5">
        <f t="shared" si="33"/>
        <v>8</v>
      </c>
      <c r="G52" s="5">
        <f t="shared" si="33"/>
        <v>3</v>
      </c>
      <c r="H52" s="5">
        <f t="shared" si="33"/>
        <v>8</v>
      </c>
      <c r="I52" s="5">
        <f t="shared" si="33"/>
        <v>9</v>
      </c>
      <c r="J52" s="5">
        <f t="shared" si="33"/>
        <v>8</v>
      </c>
      <c r="K52" s="5">
        <f t="shared" si="33"/>
        <v>15</v>
      </c>
      <c r="L52" s="5">
        <f t="shared" si="33"/>
        <v>19</v>
      </c>
      <c r="M52" s="5">
        <f t="shared" si="33"/>
        <v>26</v>
      </c>
      <c r="N52" s="5">
        <f t="shared" si="33"/>
        <v>32</v>
      </c>
      <c r="O52" s="5">
        <f t="shared" si="33"/>
        <v>8</v>
      </c>
      <c r="P52" s="5">
        <f t="shared" si="33"/>
        <v>19</v>
      </c>
      <c r="Q52" s="5">
        <f t="shared" si="33"/>
        <v>11</v>
      </c>
      <c r="R52" s="5">
        <f t="shared" si="33"/>
        <v>15</v>
      </c>
      <c r="S52" s="5">
        <f t="shared" si="33"/>
        <v>11</v>
      </c>
      <c r="T52" s="5">
        <f t="shared" si="33"/>
        <v>13</v>
      </c>
      <c r="U52" s="5">
        <f t="shared" si="33"/>
        <v>9</v>
      </c>
      <c r="V52" s="5">
        <f t="shared" si="33"/>
        <v>47</v>
      </c>
      <c r="W52" s="5">
        <f t="shared" si="33"/>
        <v>25</v>
      </c>
      <c r="X52" s="5">
        <f t="shared" si="33"/>
        <v>14</v>
      </c>
      <c r="Y52" s="5">
        <f t="shared" si="33"/>
        <v>30</v>
      </c>
      <c r="Z52" s="5">
        <f t="shared" si="33"/>
        <v>30</v>
      </c>
      <c r="AA52" s="5">
        <f t="shared" si="33"/>
        <v>22</v>
      </c>
      <c r="AB52" s="5">
        <f t="shared" si="33"/>
        <v>12</v>
      </c>
      <c r="AC52" s="5">
        <f t="shared" si="33"/>
        <v>11</v>
      </c>
      <c r="AD52" s="5">
        <f t="shared" si="33"/>
        <v>33</v>
      </c>
      <c r="AE52" s="5">
        <f t="shared" si="33"/>
        <v>39</v>
      </c>
      <c r="AF52" s="5">
        <f t="shared" si="33"/>
        <v>36</v>
      </c>
      <c r="AG52" s="5">
        <f t="shared" si="33"/>
        <v>23</v>
      </c>
      <c r="AH52" s="5">
        <f t="shared" si="33"/>
        <v>17</v>
      </c>
      <c r="AI52" s="5">
        <f t="shared" si="33"/>
        <v>16</v>
      </c>
      <c r="AJ52" s="5">
        <f t="shared" si="33"/>
        <v>22</v>
      </c>
      <c r="AK52" s="5">
        <f t="shared" si="33"/>
        <v>17</v>
      </c>
      <c r="AL52" s="5">
        <f t="shared" si="33"/>
        <v>7</v>
      </c>
      <c r="AM52" s="5">
        <f t="shared" si="33"/>
        <v>13</v>
      </c>
      <c r="AN52" s="5">
        <f t="shared" si="33"/>
        <v>20</v>
      </c>
      <c r="AO52" s="5">
        <f t="shared" si="33"/>
        <v>12</v>
      </c>
      <c r="AP52" s="5">
        <f t="shared" si="33"/>
        <v>3</v>
      </c>
      <c r="AQ52" s="5">
        <f t="shared" si="33"/>
        <v>3</v>
      </c>
      <c r="AR52" s="5">
        <f t="shared" si="33"/>
        <v>5</v>
      </c>
      <c r="AS52" s="5">
        <f t="shared" si="33"/>
        <v>7</v>
      </c>
      <c r="AT52" s="5">
        <f t="shared" si="33"/>
        <v>14</v>
      </c>
      <c r="AU52" s="5">
        <f t="shared" si="33"/>
        <v>5</v>
      </c>
      <c r="AV52" s="5">
        <f t="shared" si="33"/>
        <v>707</v>
      </c>
    </row>
    <row r="53" spans="1:48" x14ac:dyDescent="0.4">
      <c r="A53" s="70"/>
      <c r="B53" s="71"/>
      <c r="C53" s="71"/>
      <c r="D53" s="71"/>
      <c r="E53" s="71"/>
      <c r="AV53" s="5"/>
    </row>
    <row r="54" spans="1:48" x14ac:dyDescent="0.4">
      <c r="A54" s="11" t="s">
        <v>48</v>
      </c>
      <c r="B54" s="17" t="s">
        <v>30</v>
      </c>
      <c r="C54" s="59" t="s">
        <v>52</v>
      </c>
      <c r="D54" s="60"/>
      <c r="E54" s="6">
        <v>10</v>
      </c>
      <c r="F54" s="6">
        <v>7</v>
      </c>
      <c r="G54" s="6">
        <v>15</v>
      </c>
      <c r="H54" s="6">
        <v>0</v>
      </c>
      <c r="I54" s="6">
        <v>12</v>
      </c>
      <c r="J54" s="6">
        <v>3</v>
      </c>
      <c r="K54" s="6">
        <v>3</v>
      </c>
      <c r="L54" s="6">
        <v>8</v>
      </c>
      <c r="M54" s="6">
        <v>10</v>
      </c>
      <c r="N54" s="6">
        <v>13</v>
      </c>
      <c r="O54" s="6">
        <v>24</v>
      </c>
      <c r="P54" s="6">
        <v>18</v>
      </c>
      <c r="Q54" s="6">
        <v>13</v>
      </c>
      <c r="R54" s="6">
        <v>16</v>
      </c>
      <c r="S54" s="6">
        <v>11</v>
      </c>
      <c r="T54" s="6">
        <v>12</v>
      </c>
      <c r="U54" s="6">
        <v>14</v>
      </c>
      <c r="V54" s="6">
        <v>7</v>
      </c>
      <c r="W54" s="6">
        <v>21</v>
      </c>
      <c r="X54" s="6">
        <v>15</v>
      </c>
      <c r="Y54" s="6">
        <v>14</v>
      </c>
      <c r="Z54" s="6">
        <v>12</v>
      </c>
      <c r="AA54" s="6">
        <v>16</v>
      </c>
      <c r="AB54" s="6">
        <v>7</v>
      </c>
      <c r="AC54" s="6">
        <v>14</v>
      </c>
      <c r="AD54" s="6">
        <v>12</v>
      </c>
      <c r="AE54" s="6">
        <v>10</v>
      </c>
      <c r="AF54" s="6">
        <v>10</v>
      </c>
      <c r="AG54" s="6">
        <v>8</v>
      </c>
      <c r="AH54" s="6">
        <v>8</v>
      </c>
      <c r="AI54" s="6">
        <v>10</v>
      </c>
      <c r="AJ54" s="6">
        <v>12</v>
      </c>
      <c r="AK54" s="6">
        <v>8</v>
      </c>
      <c r="AL54" s="6">
        <v>7</v>
      </c>
      <c r="AM54" s="6">
        <v>5</v>
      </c>
      <c r="AN54" s="6">
        <v>5</v>
      </c>
      <c r="AO54" s="6">
        <v>5</v>
      </c>
      <c r="AP54" s="6">
        <v>3</v>
      </c>
      <c r="AQ54" s="6">
        <v>5</v>
      </c>
      <c r="AR54" s="6">
        <v>7</v>
      </c>
      <c r="AS54" s="6">
        <v>6</v>
      </c>
      <c r="AT54" s="6">
        <v>6</v>
      </c>
      <c r="AU54" s="6">
        <v>9</v>
      </c>
      <c r="AV54" s="5">
        <f t="shared" ref="AV54:AV60" si="34">SUM(E54:AU54)</f>
        <v>431</v>
      </c>
    </row>
    <row r="55" spans="1:48" x14ac:dyDescent="0.4">
      <c r="A55" s="11" t="s">
        <v>50</v>
      </c>
      <c r="B55" s="46">
        <v>1</v>
      </c>
      <c r="C55" s="24" t="s">
        <v>120</v>
      </c>
      <c r="D55" s="47"/>
      <c r="E55" s="6">
        <v>5</v>
      </c>
      <c r="F55" s="6">
        <v>4</v>
      </c>
      <c r="G55" s="6">
        <v>6</v>
      </c>
      <c r="H55" s="6">
        <v>3</v>
      </c>
      <c r="I55" s="6">
        <v>7</v>
      </c>
      <c r="J55" s="6">
        <v>4</v>
      </c>
      <c r="K55" s="6">
        <v>4</v>
      </c>
      <c r="L55" s="6">
        <v>6</v>
      </c>
      <c r="M55" s="6">
        <v>4</v>
      </c>
      <c r="N55" s="6">
        <v>3</v>
      </c>
      <c r="O55" s="6">
        <v>7</v>
      </c>
      <c r="P55" s="6">
        <v>8</v>
      </c>
      <c r="Q55" s="6">
        <v>5</v>
      </c>
      <c r="R55" s="6">
        <v>7</v>
      </c>
      <c r="S55" s="6">
        <v>6</v>
      </c>
      <c r="T55" s="6">
        <v>5</v>
      </c>
      <c r="U55" s="6">
        <v>5</v>
      </c>
      <c r="V55" s="6">
        <v>11</v>
      </c>
      <c r="W55" s="6">
        <v>8</v>
      </c>
      <c r="X55" s="6">
        <v>4</v>
      </c>
      <c r="Y55" s="6">
        <v>5</v>
      </c>
      <c r="Z55" s="6">
        <v>7</v>
      </c>
      <c r="AA55" s="6">
        <v>4</v>
      </c>
      <c r="AB55" s="6">
        <v>7</v>
      </c>
      <c r="AC55" s="6">
        <v>2</v>
      </c>
      <c r="AD55" s="6">
        <v>5</v>
      </c>
      <c r="AE55" s="6">
        <v>6</v>
      </c>
      <c r="AF55" s="6">
        <v>5</v>
      </c>
      <c r="AG55" s="6">
        <v>4</v>
      </c>
      <c r="AH55" s="6">
        <v>3</v>
      </c>
      <c r="AI55" s="6">
        <v>9</v>
      </c>
      <c r="AJ55" s="6">
        <v>4</v>
      </c>
      <c r="AK55" s="6">
        <v>9</v>
      </c>
      <c r="AL55" s="6">
        <v>3</v>
      </c>
      <c r="AM55" s="6">
        <v>6</v>
      </c>
      <c r="AN55" s="6">
        <v>3</v>
      </c>
      <c r="AO55" s="6">
        <v>4</v>
      </c>
      <c r="AP55" s="6">
        <v>2</v>
      </c>
      <c r="AQ55" s="6">
        <v>4</v>
      </c>
      <c r="AR55" s="6">
        <v>2</v>
      </c>
      <c r="AS55" s="6">
        <v>9</v>
      </c>
      <c r="AT55" s="6">
        <v>10</v>
      </c>
      <c r="AU55" s="6">
        <v>3</v>
      </c>
      <c r="AV55" s="5">
        <f t="shared" si="34"/>
        <v>228</v>
      </c>
    </row>
    <row r="56" spans="1:48" x14ac:dyDescent="0.4">
      <c r="A56" s="7"/>
      <c r="B56" s="46">
        <v>2</v>
      </c>
      <c r="C56" s="24" t="s">
        <v>121</v>
      </c>
      <c r="D56" s="47"/>
      <c r="E56" s="6">
        <v>0</v>
      </c>
      <c r="F56" s="6">
        <v>4</v>
      </c>
      <c r="G56" s="6">
        <v>2</v>
      </c>
      <c r="H56" s="6">
        <v>1</v>
      </c>
      <c r="I56" s="6">
        <v>2</v>
      </c>
      <c r="J56" s="6">
        <v>1</v>
      </c>
      <c r="K56" s="6">
        <v>2</v>
      </c>
      <c r="L56" s="6">
        <v>3</v>
      </c>
      <c r="M56" s="6">
        <v>4</v>
      </c>
      <c r="N56" s="6">
        <v>3</v>
      </c>
      <c r="O56" s="6">
        <v>2</v>
      </c>
      <c r="P56" s="6">
        <v>0</v>
      </c>
      <c r="Q56" s="6">
        <v>4</v>
      </c>
      <c r="R56" s="6">
        <v>1</v>
      </c>
      <c r="S56" s="6">
        <v>1</v>
      </c>
      <c r="T56" s="6">
        <v>2</v>
      </c>
      <c r="U56" s="6">
        <v>3</v>
      </c>
      <c r="V56" s="6">
        <v>2</v>
      </c>
      <c r="W56" s="6">
        <v>4</v>
      </c>
      <c r="X56" s="6">
        <v>2</v>
      </c>
      <c r="Y56" s="6">
        <v>3</v>
      </c>
      <c r="Z56" s="6">
        <v>2</v>
      </c>
      <c r="AA56" s="6">
        <v>5</v>
      </c>
      <c r="AB56" s="6">
        <v>8</v>
      </c>
      <c r="AC56" s="6">
        <v>5</v>
      </c>
      <c r="AD56" s="6">
        <v>2</v>
      </c>
      <c r="AE56" s="6">
        <v>1</v>
      </c>
      <c r="AF56" s="6">
        <v>4</v>
      </c>
      <c r="AG56" s="6">
        <v>5</v>
      </c>
      <c r="AH56" s="6">
        <v>1</v>
      </c>
      <c r="AI56" s="6">
        <v>2</v>
      </c>
      <c r="AJ56" s="6">
        <v>2</v>
      </c>
      <c r="AK56" s="6">
        <v>1</v>
      </c>
      <c r="AL56" s="6">
        <v>2</v>
      </c>
      <c r="AM56" s="6">
        <v>1</v>
      </c>
      <c r="AN56" s="6">
        <v>1</v>
      </c>
      <c r="AO56" s="6">
        <v>3</v>
      </c>
      <c r="AP56" s="6">
        <v>0</v>
      </c>
      <c r="AQ56" s="6">
        <v>3</v>
      </c>
      <c r="AR56" s="6">
        <v>2</v>
      </c>
      <c r="AS56" s="6">
        <v>1</v>
      </c>
      <c r="AT56" s="6">
        <v>3</v>
      </c>
      <c r="AU56" s="6">
        <v>2</v>
      </c>
      <c r="AV56" s="5">
        <f t="shared" si="34"/>
        <v>102</v>
      </c>
    </row>
    <row r="57" spans="1:48" x14ac:dyDescent="0.4">
      <c r="A57" s="7"/>
      <c r="B57" s="46">
        <v>3</v>
      </c>
      <c r="C57" s="24" t="s">
        <v>122</v>
      </c>
      <c r="D57" s="47"/>
      <c r="E57" s="6">
        <v>2</v>
      </c>
      <c r="F57" s="6">
        <v>1</v>
      </c>
      <c r="G57" s="6">
        <v>7</v>
      </c>
      <c r="H57" s="6">
        <v>0</v>
      </c>
      <c r="I57" s="6">
        <v>3</v>
      </c>
      <c r="J57" s="6">
        <v>1</v>
      </c>
      <c r="K57" s="6">
        <v>0</v>
      </c>
      <c r="L57" s="6">
        <v>7</v>
      </c>
      <c r="M57" s="6">
        <v>5</v>
      </c>
      <c r="N57" s="6">
        <v>6</v>
      </c>
      <c r="O57" s="6">
        <v>3</v>
      </c>
      <c r="P57" s="6">
        <v>1</v>
      </c>
      <c r="Q57" s="6">
        <v>1</v>
      </c>
      <c r="R57" s="6">
        <v>1</v>
      </c>
      <c r="S57" s="6">
        <v>2</v>
      </c>
      <c r="T57" s="6">
        <v>1</v>
      </c>
      <c r="U57" s="6">
        <v>1</v>
      </c>
      <c r="V57" s="6">
        <v>3</v>
      </c>
      <c r="W57" s="6">
        <v>0</v>
      </c>
      <c r="X57" s="6">
        <v>1</v>
      </c>
      <c r="Y57" s="6">
        <v>3</v>
      </c>
      <c r="Z57" s="6">
        <v>1</v>
      </c>
      <c r="AA57" s="6">
        <v>1</v>
      </c>
      <c r="AB57" s="6">
        <v>1</v>
      </c>
      <c r="AC57" s="6">
        <v>1</v>
      </c>
      <c r="AD57" s="6">
        <v>3</v>
      </c>
      <c r="AE57" s="6">
        <v>1</v>
      </c>
      <c r="AF57" s="6">
        <v>1</v>
      </c>
      <c r="AG57" s="6">
        <v>4</v>
      </c>
      <c r="AH57" s="6">
        <v>2</v>
      </c>
      <c r="AI57" s="6">
        <v>6</v>
      </c>
      <c r="AJ57" s="6">
        <v>2</v>
      </c>
      <c r="AK57" s="6">
        <v>1</v>
      </c>
      <c r="AL57" s="6">
        <v>2</v>
      </c>
      <c r="AM57" s="6">
        <v>3</v>
      </c>
      <c r="AN57" s="6">
        <v>4</v>
      </c>
      <c r="AO57" s="6">
        <v>1</v>
      </c>
      <c r="AP57" s="6">
        <v>0</v>
      </c>
      <c r="AQ57" s="6">
        <v>2</v>
      </c>
      <c r="AR57" s="6">
        <v>2</v>
      </c>
      <c r="AS57" s="6">
        <v>1</v>
      </c>
      <c r="AT57" s="6">
        <v>5</v>
      </c>
      <c r="AU57" s="6">
        <v>3</v>
      </c>
      <c r="AV57" s="5">
        <f t="shared" si="34"/>
        <v>96</v>
      </c>
    </row>
    <row r="58" spans="1:48" x14ac:dyDescent="0.4">
      <c r="A58" s="7"/>
      <c r="B58" s="46">
        <v>4</v>
      </c>
      <c r="C58" s="24" t="s">
        <v>123</v>
      </c>
      <c r="D58" s="47"/>
      <c r="E58" s="6">
        <v>2</v>
      </c>
      <c r="F58" s="6">
        <v>1</v>
      </c>
      <c r="G58" s="6">
        <v>2</v>
      </c>
      <c r="H58" s="6">
        <v>2</v>
      </c>
      <c r="I58" s="6">
        <v>2</v>
      </c>
      <c r="J58" s="6">
        <v>0</v>
      </c>
      <c r="K58" s="6">
        <v>0</v>
      </c>
      <c r="L58" s="6">
        <v>0</v>
      </c>
      <c r="M58" s="6">
        <v>2</v>
      </c>
      <c r="N58" s="6">
        <v>3</v>
      </c>
      <c r="O58" s="6">
        <v>3</v>
      </c>
      <c r="P58" s="6">
        <v>0</v>
      </c>
      <c r="Q58" s="6">
        <v>5</v>
      </c>
      <c r="R58" s="6">
        <v>0</v>
      </c>
      <c r="S58" s="6">
        <v>1</v>
      </c>
      <c r="T58" s="6">
        <v>2</v>
      </c>
      <c r="U58" s="6">
        <v>1</v>
      </c>
      <c r="V58" s="6">
        <v>1</v>
      </c>
      <c r="W58" s="6">
        <v>0</v>
      </c>
      <c r="X58" s="6">
        <v>1</v>
      </c>
      <c r="Y58" s="6">
        <v>1</v>
      </c>
      <c r="Z58" s="6">
        <v>0</v>
      </c>
      <c r="AA58" s="6">
        <v>2</v>
      </c>
      <c r="AB58" s="6">
        <v>0</v>
      </c>
      <c r="AC58" s="6">
        <v>0</v>
      </c>
      <c r="AD58" s="6">
        <v>0</v>
      </c>
      <c r="AE58" s="6">
        <v>0</v>
      </c>
      <c r="AF58" s="6">
        <v>2</v>
      </c>
      <c r="AG58" s="6">
        <v>1</v>
      </c>
      <c r="AH58" s="6">
        <v>2</v>
      </c>
      <c r="AI58" s="6">
        <v>1</v>
      </c>
      <c r="AJ58" s="6">
        <v>0</v>
      </c>
      <c r="AK58" s="6">
        <v>0</v>
      </c>
      <c r="AL58" s="6">
        <v>0</v>
      </c>
      <c r="AM58" s="6">
        <v>0</v>
      </c>
      <c r="AN58" s="6">
        <v>1</v>
      </c>
      <c r="AO58" s="6">
        <v>1</v>
      </c>
      <c r="AP58" s="6">
        <v>0</v>
      </c>
      <c r="AQ58" s="6">
        <v>0</v>
      </c>
      <c r="AR58" s="6">
        <v>0</v>
      </c>
      <c r="AS58" s="6">
        <v>3</v>
      </c>
      <c r="AT58" s="6">
        <v>0</v>
      </c>
      <c r="AU58" s="6">
        <v>0</v>
      </c>
      <c r="AV58" s="5">
        <f t="shared" si="34"/>
        <v>42</v>
      </c>
    </row>
    <row r="59" spans="1:48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6">
        <v>1</v>
      </c>
      <c r="L59" s="6">
        <v>1</v>
      </c>
      <c r="M59" s="6">
        <v>0</v>
      </c>
      <c r="N59" s="6">
        <v>0</v>
      </c>
      <c r="O59" s="6">
        <v>0</v>
      </c>
      <c r="P59" s="6">
        <v>0</v>
      </c>
      <c r="Q59" s="6">
        <v>2</v>
      </c>
      <c r="R59" s="6">
        <v>1</v>
      </c>
      <c r="S59" s="6">
        <v>2</v>
      </c>
      <c r="T59" s="6">
        <v>0</v>
      </c>
      <c r="U59" s="6">
        <v>2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2</v>
      </c>
      <c r="AB59" s="6">
        <v>1</v>
      </c>
      <c r="AC59" s="6">
        <v>0</v>
      </c>
      <c r="AD59" s="6">
        <v>1</v>
      </c>
      <c r="AE59" s="6">
        <v>0</v>
      </c>
      <c r="AF59" s="6">
        <v>2</v>
      </c>
      <c r="AG59" s="6">
        <v>2</v>
      </c>
      <c r="AH59" s="6">
        <v>0</v>
      </c>
      <c r="AI59" s="6">
        <v>1</v>
      </c>
      <c r="AJ59" s="6">
        <v>0</v>
      </c>
      <c r="AK59" s="6">
        <v>1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5">
        <f t="shared" si="34"/>
        <v>25</v>
      </c>
    </row>
    <row r="60" spans="1:48" ht="13.15" customHeight="1" x14ac:dyDescent="0.4">
      <c r="A60" s="7"/>
      <c r="B60" s="46">
        <v>6</v>
      </c>
      <c r="C60" s="24" t="s">
        <v>125</v>
      </c>
      <c r="D60" s="47"/>
      <c r="E60" s="6">
        <v>7</v>
      </c>
      <c r="F60" s="6">
        <v>2</v>
      </c>
      <c r="G60" s="6">
        <v>2</v>
      </c>
      <c r="H60" s="6">
        <v>5</v>
      </c>
      <c r="I60" s="6">
        <v>3</v>
      </c>
      <c r="J60" s="6">
        <v>0</v>
      </c>
      <c r="K60" s="6">
        <v>0</v>
      </c>
      <c r="L60" s="6">
        <v>1</v>
      </c>
      <c r="M60" s="6">
        <v>0</v>
      </c>
      <c r="N60" s="6">
        <v>1</v>
      </c>
      <c r="O60" s="6">
        <v>1</v>
      </c>
      <c r="P60" s="6">
        <v>1</v>
      </c>
      <c r="Q60" s="6">
        <v>1</v>
      </c>
      <c r="R60" s="6">
        <v>0</v>
      </c>
      <c r="S60" s="6">
        <v>2</v>
      </c>
      <c r="T60" s="6">
        <v>1</v>
      </c>
      <c r="U60" s="6">
        <v>1</v>
      </c>
      <c r="V60" s="6">
        <v>7</v>
      </c>
      <c r="W60" s="6">
        <v>12</v>
      </c>
      <c r="X60" s="6">
        <v>19</v>
      </c>
      <c r="Y60" s="6">
        <v>3</v>
      </c>
      <c r="Z60" s="6">
        <v>7</v>
      </c>
      <c r="AA60" s="6">
        <v>6</v>
      </c>
      <c r="AB60" s="6">
        <v>4</v>
      </c>
      <c r="AC60" s="6">
        <v>0</v>
      </c>
      <c r="AD60" s="6">
        <v>4</v>
      </c>
      <c r="AE60" s="6">
        <v>4</v>
      </c>
      <c r="AF60" s="6">
        <v>4</v>
      </c>
      <c r="AG60" s="6">
        <v>2</v>
      </c>
      <c r="AH60" s="6">
        <v>0</v>
      </c>
      <c r="AI60" s="6">
        <v>5</v>
      </c>
      <c r="AJ60" s="6">
        <v>3</v>
      </c>
      <c r="AK60" s="6">
        <v>10</v>
      </c>
      <c r="AL60" s="6">
        <v>2</v>
      </c>
      <c r="AM60" s="6">
        <v>1</v>
      </c>
      <c r="AN60" s="6">
        <v>6</v>
      </c>
      <c r="AO60" s="6">
        <v>0</v>
      </c>
      <c r="AP60" s="6">
        <v>0</v>
      </c>
      <c r="AQ60" s="6">
        <v>1</v>
      </c>
      <c r="AR60" s="6">
        <v>2</v>
      </c>
      <c r="AS60" s="6">
        <v>2</v>
      </c>
      <c r="AT60" s="6">
        <v>1</v>
      </c>
      <c r="AU60" s="6">
        <v>0</v>
      </c>
      <c r="AV60" s="5">
        <f t="shared" si="34"/>
        <v>133</v>
      </c>
    </row>
    <row r="61" spans="1:48" x14ac:dyDescent="0.4">
      <c r="A61" s="6" t="s">
        <v>26</v>
      </c>
      <c r="B61" s="53" t="s">
        <v>51</v>
      </c>
      <c r="C61" s="69"/>
      <c r="D61" s="60"/>
      <c r="E61" s="5">
        <f t="shared" ref="E61:AV61" si="35">SUM(E54:E60)</f>
        <v>26</v>
      </c>
      <c r="F61" s="5">
        <f t="shared" si="35"/>
        <v>19</v>
      </c>
      <c r="G61" s="5">
        <f t="shared" si="35"/>
        <v>35</v>
      </c>
      <c r="H61" s="5">
        <f t="shared" si="35"/>
        <v>11</v>
      </c>
      <c r="I61" s="5">
        <f t="shared" si="35"/>
        <v>29</v>
      </c>
      <c r="J61" s="5">
        <f t="shared" si="35"/>
        <v>9</v>
      </c>
      <c r="K61" s="5">
        <f t="shared" si="35"/>
        <v>10</v>
      </c>
      <c r="L61" s="5">
        <f t="shared" si="35"/>
        <v>26</v>
      </c>
      <c r="M61" s="5">
        <f t="shared" si="35"/>
        <v>25</v>
      </c>
      <c r="N61" s="5">
        <f t="shared" si="35"/>
        <v>29</v>
      </c>
      <c r="O61" s="5">
        <f t="shared" si="35"/>
        <v>40</v>
      </c>
      <c r="P61" s="5">
        <f t="shared" si="35"/>
        <v>28</v>
      </c>
      <c r="Q61" s="5">
        <f t="shared" si="35"/>
        <v>31</v>
      </c>
      <c r="R61" s="5">
        <f t="shared" si="35"/>
        <v>26</v>
      </c>
      <c r="S61" s="5">
        <f t="shared" si="35"/>
        <v>25</v>
      </c>
      <c r="T61" s="5">
        <f t="shared" si="35"/>
        <v>23</v>
      </c>
      <c r="U61" s="5">
        <f t="shared" si="35"/>
        <v>27</v>
      </c>
      <c r="V61" s="5">
        <f t="shared" si="35"/>
        <v>32</v>
      </c>
      <c r="W61" s="5">
        <f t="shared" si="35"/>
        <v>46</v>
      </c>
      <c r="X61" s="5">
        <f t="shared" si="35"/>
        <v>43</v>
      </c>
      <c r="Y61" s="5">
        <f t="shared" si="35"/>
        <v>30</v>
      </c>
      <c r="Z61" s="5">
        <f t="shared" si="35"/>
        <v>30</v>
      </c>
      <c r="AA61" s="5">
        <f t="shared" si="35"/>
        <v>36</v>
      </c>
      <c r="AB61" s="5">
        <f t="shared" si="35"/>
        <v>28</v>
      </c>
      <c r="AC61" s="5">
        <f t="shared" si="35"/>
        <v>22</v>
      </c>
      <c r="AD61" s="5">
        <f t="shared" si="35"/>
        <v>27</v>
      </c>
      <c r="AE61" s="5">
        <f t="shared" si="35"/>
        <v>22</v>
      </c>
      <c r="AF61" s="5">
        <f t="shared" si="35"/>
        <v>28</v>
      </c>
      <c r="AG61" s="5">
        <f t="shared" si="35"/>
        <v>26</v>
      </c>
      <c r="AH61" s="5">
        <f t="shared" si="35"/>
        <v>16</v>
      </c>
      <c r="AI61" s="5">
        <f t="shared" si="35"/>
        <v>34</v>
      </c>
      <c r="AJ61" s="5">
        <f t="shared" si="35"/>
        <v>23</v>
      </c>
      <c r="AK61" s="5">
        <f t="shared" si="35"/>
        <v>30</v>
      </c>
      <c r="AL61" s="5">
        <f t="shared" si="35"/>
        <v>16</v>
      </c>
      <c r="AM61" s="5">
        <f t="shared" si="35"/>
        <v>16</v>
      </c>
      <c r="AN61" s="5">
        <f t="shared" si="35"/>
        <v>20</v>
      </c>
      <c r="AO61" s="5">
        <f t="shared" si="35"/>
        <v>14</v>
      </c>
      <c r="AP61" s="5">
        <f t="shared" si="35"/>
        <v>5</v>
      </c>
      <c r="AQ61" s="5">
        <f t="shared" si="35"/>
        <v>15</v>
      </c>
      <c r="AR61" s="5">
        <f t="shared" si="35"/>
        <v>15</v>
      </c>
      <c r="AS61" s="5">
        <f t="shared" si="35"/>
        <v>22</v>
      </c>
      <c r="AT61" s="5">
        <f t="shared" si="35"/>
        <v>25</v>
      </c>
      <c r="AU61" s="5">
        <f t="shared" si="35"/>
        <v>17</v>
      </c>
      <c r="AV61" s="5">
        <f t="shared" si="35"/>
        <v>1057</v>
      </c>
    </row>
    <row r="62" spans="1:48" x14ac:dyDescent="0.4">
      <c r="A62" s="70"/>
      <c r="B62" s="71"/>
      <c r="C62" s="71"/>
      <c r="D62" s="71"/>
      <c r="E62" s="71"/>
    </row>
    <row r="63" spans="1:48" x14ac:dyDescent="0.4">
      <c r="A63" s="11" t="s">
        <v>48</v>
      </c>
      <c r="B63" s="17" t="s">
        <v>32</v>
      </c>
      <c r="C63" s="59" t="s">
        <v>53</v>
      </c>
      <c r="D63" s="60"/>
      <c r="E63" s="6">
        <v>34</v>
      </c>
      <c r="F63" s="6">
        <v>8</v>
      </c>
      <c r="G63" s="6">
        <v>8</v>
      </c>
      <c r="H63" s="6">
        <v>0</v>
      </c>
      <c r="I63" s="6">
        <v>16</v>
      </c>
      <c r="J63" s="6">
        <v>3</v>
      </c>
      <c r="K63" s="6">
        <v>8</v>
      </c>
      <c r="L63" s="6">
        <v>15</v>
      </c>
      <c r="M63" s="6">
        <v>10</v>
      </c>
      <c r="N63" s="6">
        <v>14</v>
      </c>
      <c r="O63" s="6">
        <v>10</v>
      </c>
      <c r="P63" s="6">
        <v>4</v>
      </c>
      <c r="Q63" s="6">
        <v>12</v>
      </c>
      <c r="R63" s="6">
        <v>9</v>
      </c>
      <c r="S63" s="6">
        <v>5</v>
      </c>
      <c r="T63" s="6">
        <v>6</v>
      </c>
      <c r="U63" s="6">
        <v>7</v>
      </c>
      <c r="V63" s="6">
        <v>10</v>
      </c>
      <c r="W63" s="6">
        <v>4</v>
      </c>
      <c r="X63" s="6">
        <v>9</v>
      </c>
      <c r="Y63" s="6">
        <v>3</v>
      </c>
      <c r="Z63" s="6">
        <v>5</v>
      </c>
      <c r="AA63" s="6">
        <v>6</v>
      </c>
      <c r="AB63" s="6">
        <v>7</v>
      </c>
      <c r="AC63" s="6">
        <v>6</v>
      </c>
      <c r="AD63" s="6">
        <v>8</v>
      </c>
      <c r="AE63" s="6">
        <v>8</v>
      </c>
      <c r="AF63" s="6">
        <v>10</v>
      </c>
      <c r="AG63" s="6">
        <v>7</v>
      </c>
      <c r="AH63" s="6">
        <v>3</v>
      </c>
      <c r="AI63" s="6">
        <v>11</v>
      </c>
      <c r="AJ63" s="6">
        <v>17</v>
      </c>
      <c r="AK63" s="6">
        <v>9</v>
      </c>
      <c r="AL63" s="6">
        <v>3</v>
      </c>
      <c r="AM63" s="6">
        <v>8</v>
      </c>
      <c r="AN63" s="6">
        <v>3</v>
      </c>
      <c r="AO63" s="6">
        <v>1</v>
      </c>
      <c r="AP63" s="6">
        <v>5</v>
      </c>
      <c r="AQ63" s="6">
        <v>2</v>
      </c>
      <c r="AR63" s="6">
        <v>1</v>
      </c>
      <c r="AS63" s="6">
        <v>2</v>
      </c>
      <c r="AT63" s="6">
        <v>5</v>
      </c>
      <c r="AU63" s="6">
        <v>6</v>
      </c>
      <c r="AV63" s="5">
        <f t="shared" ref="AV63:AV69" si="36">SUM(E63:AU63)</f>
        <v>328</v>
      </c>
    </row>
    <row r="64" spans="1:48" x14ac:dyDescent="0.4">
      <c r="A64" s="11" t="s">
        <v>50</v>
      </c>
      <c r="B64" s="46">
        <v>1</v>
      </c>
      <c r="C64" s="24" t="s">
        <v>126</v>
      </c>
      <c r="D64" s="47"/>
      <c r="E64" s="6">
        <v>96</v>
      </c>
      <c r="F64" s="6">
        <v>27</v>
      </c>
      <c r="G64" s="6">
        <v>23</v>
      </c>
      <c r="H64" s="6">
        <v>25</v>
      </c>
      <c r="I64" s="6">
        <v>40</v>
      </c>
      <c r="J64" s="6">
        <v>8</v>
      </c>
      <c r="K64" s="6">
        <v>25</v>
      </c>
      <c r="L64" s="6">
        <v>21</v>
      </c>
      <c r="M64" s="6">
        <v>23</v>
      </c>
      <c r="N64" s="6">
        <v>37</v>
      </c>
      <c r="O64" s="6">
        <v>53</v>
      </c>
      <c r="P64" s="6">
        <v>46</v>
      </c>
      <c r="Q64" s="6">
        <v>61</v>
      </c>
      <c r="R64" s="6">
        <v>42</v>
      </c>
      <c r="S64" s="6">
        <v>10</v>
      </c>
      <c r="T64" s="6">
        <v>26</v>
      </c>
      <c r="U64" s="6">
        <v>24</v>
      </c>
      <c r="V64" s="6">
        <v>29</v>
      </c>
      <c r="W64" s="6">
        <v>15</v>
      </c>
      <c r="X64" s="6">
        <v>18</v>
      </c>
      <c r="Y64" s="6">
        <v>26</v>
      </c>
      <c r="Z64" s="6">
        <v>32</v>
      </c>
      <c r="AA64" s="6">
        <v>19</v>
      </c>
      <c r="AB64" s="6">
        <v>14</v>
      </c>
      <c r="AC64" s="6">
        <v>13</v>
      </c>
      <c r="AD64" s="6">
        <v>33</v>
      </c>
      <c r="AE64" s="6">
        <v>36</v>
      </c>
      <c r="AF64" s="6">
        <v>22</v>
      </c>
      <c r="AG64" s="6">
        <v>33</v>
      </c>
      <c r="AH64" s="6">
        <v>11</v>
      </c>
      <c r="AI64" s="6">
        <v>31</v>
      </c>
      <c r="AJ64" s="6">
        <v>39</v>
      </c>
      <c r="AK64" s="6">
        <v>30</v>
      </c>
      <c r="AL64" s="6">
        <v>5</v>
      </c>
      <c r="AM64" s="6">
        <v>8</v>
      </c>
      <c r="AN64" s="6">
        <v>17</v>
      </c>
      <c r="AO64" s="6">
        <v>15</v>
      </c>
      <c r="AP64" s="6">
        <v>11</v>
      </c>
      <c r="AQ64" s="6">
        <v>8</v>
      </c>
      <c r="AR64" s="6">
        <v>6</v>
      </c>
      <c r="AS64" s="6">
        <v>21</v>
      </c>
      <c r="AT64" s="6">
        <v>15</v>
      </c>
      <c r="AU64" s="6">
        <v>15</v>
      </c>
      <c r="AV64" s="5">
        <f t="shared" si="36"/>
        <v>1109</v>
      </c>
    </row>
    <row r="65" spans="1:48" x14ac:dyDescent="0.4">
      <c r="A65" s="7"/>
      <c r="B65" s="46">
        <v>2</v>
      </c>
      <c r="C65" s="24" t="s">
        <v>127</v>
      </c>
      <c r="D65" s="47"/>
      <c r="E65" s="6">
        <v>6</v>
      </c>
      <c r="F65" s="6">
        <v>1</v>
      </c>
      <c r="G65" s="6">
        <v>3</v>
      </c>
      <c r="H65" s="6">
        <v>5</v>
      </c>
      <c r="I65" s="6">
        <v>2</v>
      </c>
      <c r="J65" s="6">
        <v>1</v>
      </c>
      <c r="K65" s="6">
        <v>2</v>
      </c>
      <c r="L65" s="6">
        <v>2</v>
      </c>
      <c r="M65" s="6">
        <v>3</v>
      </c>
      <c r="N65" s="6">
        <v>2</v>
      </c>
      <c r="O65" s="6">
        <v>0</v>
      </c>
      <c r="P65" s="6">
        <v>6</v>
      </c>
      <c r="Q65" s="6">
        <v>6</v>
      </c>
      <c r="R65" s="6">
        <v>3</v>
      </c>
      <c r="S65" s="6">
        <v>2</v>
      </c>
      <c r="T65" s="6">
        <v>2</v>
      </c>
      <c r="U65" s="6">
        <v>5</v>
      </c>
      <c r="V65" s="6">
        <v>4</v>
      </c>
      <c r="W65" s="6">
        <v>2</v>
      </c>
      <c r="X65" s="6">
        <v>2</v>
      </c>
      <c r="Y65" s="6">
        <v>2</v>
      </c>
      <c r="Z65" s="6">
        <v>3</v>
      </c>
      <c r="AA65" s="6">
        <v>1</v>
      </c>
      <c r="AB65" s="6">
        <v>1</v>
      </c>
      <c r="AC65" s="6">
        <v>2</v>
      </c>
      <c r="AD65" s="6">
        <v>1</v>
      </c>
      <c r="AE65" s="6">
        <v>3</v>
      </c>
      <c r="AF65" s="6">
        <v>0</v>
      </c>
      <c r="AG65" s="6">
        <v>2</v>
      </c>
      <c r="AH65" s="6">
        <v>1</v>
      </c>
      <c r="AI65" s="6">
        <v>2</v>
      </c>
      <c r="AJ65" s="6">
        <v>3</v>
      </c>
      <c r="AK65" s="6">
        <v>3</v>
      </c>
      <c r="AL65" s="6">
        <v>5</v>
      </c>
      <c r="AM65" s="6">
        <v>7</v>
      </c>
      <c r="AN65" s="6">
        <v>1</v>
      </c>
      <c r="AO65" s="6">
        <v>3</v>
      </c>
      <c r="AP65" s="6">
        <v>0</v>
      </c>
      <c r="AQ65" s="6">
        <v>2</v>
      </c>
      <c r="AR65" s="6">
        <v>2</v>
      </c>
      <c r="AS65" s="6">
        <v>0</v>
      </c>
      <c r="AT65" s="6">
        <v>1</v>
      </c>
      <c r="AU65" s="6">
        <v>0</v>
      </c>
      <c r="AV65" s="5">
        <f t="shared" si="36"/>
        <v>104</v>
      </c>
    </row>
    <row r="66" spans="1:48" x14ac:dyDescent="0.4">
      <c r="A66" s="7"/>
      <c r="B66" s="46">
        <v>3</v>
      </c>
      <c r="C66" s="24" t="s">
        <v>128</v>
      </c>
      <c r="D66" s="47"/>
      <c r="E66" s="6">
        <v>3</v>
      </c>
      <c r="F66" s="6">
        <v>0</v>
      </c>
      <c r="G66" s="6">
        <v>1</v>
      </c>
      <c r="H66" s="6">
        <v>0</v>
      </c>
      <c r="I66" s="6">
        <v>1</v>
      </c>
      <c r="J66" s="6">
        <v>0</v>
      </c>
      <c r="K66" s="6">
        <v>1</v>
      </c>
      <c r="L66" s="6">
        <v>3</v>
      </c>
      <c r="M66" s="6">
        <v>0</v>
      </c>
      <c r="N66" s="6">
        <v>1</v>
      </c>
      <c r="O66" s="6">
        <v>1</v>
      </c>
      <c r="P66" s="6">
        <v>1</v>
      </c>
      <c r="Q66" s="6">
        <v>2</v>
      </c>
      <c r="R66" s="6">
        <v>3</v>
      </c>
      <c r="S66" s="6">
        <v>1</v>
      </c>
      <c r="T66" s="6">
        <v>1</v>
      </c>
      <c r="U66" s="6">
        <v>2</v>
      </c>
      <c r="V66" s="6">
        <v>3</v>
      </c>
      <c r="W66" s="6">
        <v>1</v>
      </c>
      <c r="X66" s="6">
        <v>1</v>
      </c>
      <c r="Y66" s="6">
        <v>1</v>
      </c>
      <c r="Z66" s="6">
        <v>2</v>
      </c>
      <c r="AA66" s="6">
        <v>0</v>
      </c>
      <c r="AB66" s="6">
        <v>0</v>
      </c>
      <c r="AC66" s="6">
        <v>1</v>
      </c>
      <c r="AD66" s="6">
        <v>0</v>
      </c>
      <c r="AE66" s="6">
        <v>1</v>
      </c>
      <c r="AF66" s="6">
        <v>1</v>
      </c>
      <c r="AG66" s="6">
        <v>0</v>
      </c>
      <c r="AH66" s="6">
        <v>1</v>
      </c>
      <c r="AI66" s="6">
        <v>1</v>
      </c>
      <c r="AJ66" s="6">
        <v>2</v>
      </c>
      <c r="AK66" s="6">
        <v>2</v>
      </c>
      <c r="AL66" s="6">
        <v>0</v>
      </c>
      <c r="AM66" s="6">
        <v>1</v>
      </c>
      <c r="AN66" s="6">
        <v>0</v>
      </c>
      <c r="AO66" s="6">
        <v>0</v>
      </c>
      <c r="AP66" s="6">
        <v>0</v>
      </c>
      <c r="AQ66" s="6">
        <v>1</v>
      </c>
      <c r="AR66" s="6">
        <v>0</v>
      </c>
      <c r="AS66" s="6">
        <v>0</v>
      </c>
      <c r="AT66" s="6">
        <v>0</v>
      </c>
      <c r="AU66" s="6">
        <v>1</v>
      </c>
      <c r="AV66" s="5">
        <f t="shared" si="36"/>
        <v>41</v>
      </c>
    </row>
    <row r="67" spans="1:48" x14ac:dyDescent="0.4">
      <c r="A67" s="7"/>
      <c r="B67" s="46">
        <v>4</v>
      </c>
      <c r="C67" s="24" t="s">
        <v>129</v>
      </c>
      <c r="D67" s="47"/>
      <c r="E67" s="6">
        <v>0</v>
      </c>
      <c r="F67" s="6">
        <v>1</v>
      </c>
      <c r="G67" s="6">
        <v>3</v>
      </c>
      <c r="H67" s="6">
        <v>0</v>
      </c>
      <c r="I67" s="6">
        <v>0</v>
      </c>
      <c r="J67" s="6">
        <v>3</v>
      </c>
      <c r="K67" s="6">
        <v>0</v>
      </c>
      <c r="L67" s="6">
        <v>0</v>
      </c>
      <c r="M67" s="6">
        <v>0</v>
      </c>
      <c r="N67" s="6">
        <v>0</v>
      </c>
      <c r="O67" s="6">
        <v>2</v>
      </c>
      <c r="P67" s="6">
        <v>0</v>
      </c>
      <c r="Q67" s="6">
        <v>1</v>
      </c>
      <c r="R67" s="6">
        <v>2</v>
      </c>
      <c r="S67" s="6">
        <v>1</v>
      </c>
      <c r="T67" s="6">
        <v>0</v>
      </c>
      <c r="U67" s="6">
        <v>0</v>
      </c>
      <c r="V67" s="6">
        <v>1</v>
      </c>
      <c r="W67" s="6">
        <v>1</v>
      </c>
      <c r="X67" s="6">
        <v>1</v>
      </c>
      <c r="Y67" s="6">
        <v>0</v>
      </c>
      <c r="Z67" s="6">
        <v>1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1</v>
      </c>
      <c r="AG67" s="6">
        <v>1</v>
      </c>
      <c r="AH67" s="6">
        <v>0</v>
      </c>
      <c r="AI67" s="6">
        <v>1</v>
      </c>
      <c r="AJ67" s="6">
        <v>0</v>
      </c>
      <c r="AK67" s="6">
        <v>0</v>
      </c>
      <c r="AL67" s="6">
        <v>0</v>
      </c>
      <c r="AM67" s="6">
        <v>0</v>
      </c>
      <c r="AN67" s="6">
        <v>1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1</v>
      </c>
      <c r="AV67" s="5">
        <f t="shared" si="36"/>
        <v>23</v>
      </c>
    </row>
    <row r="68" spans="1:48" ht="13.15" customHeight="1" x14ac:dyDescent="0.4">
      <c r="A68" s="7"/>
      <c r="B68" s="46">
        <v>5</v>
      </c>
      <c r="C68" s="24" t="s">
        <v>130</v>
      </c>
      <c r="D68" s="47"/>
      <c r="E68" s="6">
        <v>0</v>
      </c>
      <c r="F68" s="6">
        <v>3</v>
      </c>
      <c r="G68" s="6">
        <v>1</v>
      </c>
      <c r="H68" s="6">
        <v>1</v>
      </c>
      <c r="I68" s="6">
        <v>0</v>
      </c>
      <c r="J68" s="6">
        <v>2</v>
      </c>
      <c r="K68" s="6">
        <v>0</v>
      </c>
      <c r="L68" s="6">
        <v>0</v>
      </c>
      <c r="M68" s="6">
        <v>0</v>
      </c>
      <c r="N68" s="6">
        <v>3</v>
      </c>
      <c r="O68" s="6">
        <v>0</v>
      </c>
      <c r="P68" s="6">
        <v>0</v>
      </c>
      <c r="Q68" s="6">
        <v>2</v>
      </c>
      <c r="R68" s="6">
        <v>3</v>
      </c>
      <c r="S68" s="6">
        <v>0</v>
      </c>
      <c r="T68" s="6">
        <v>0</v>
      </c>
      <c r="U68" s="6">
        <v>0</v>
      </c>
      <c r="V68" s="6">
        <v>0</v>
      </c>
      <c r="W68" s="6">
        <v>1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1</v>
      </c>
      <c r="AI68" s="6">
        <v>1</v>
      </c>
      <c r="AJ68" s="6">
        <v>0</v>
      </c>
      <c r="AK68" s="6">
        <v>0</v>
      </c>
      <c r="AL68" s="6">
        <v>1</v>
      </c>
      <c r="AM68" s="6">
        <v>1</v>
      </c>
      <c r="AN68" s="6">
        <v>4</v>
      </c>
      <c r="AO68" s="6">
        <v>1</v>
      </c>
      <c r="AP68" s="6">
        <v>0</v>
      </c>
      <c r="AQ68" s="6">
        <v>1</v>
      </c>
      <c r="AR68" s="6">
        <v>0</v>
      </c>
      <c r="AS68" s="6">
        <v>1</v>
      </c>
      <c r="AT68" s="6">
        <v>0</v>
      </c>
      <c r="AU68" s="6">
        <v>0</v>
      </c>
      <c r="AV68" s="5">
        <f t="shared" si="36"/>
        <v>28</v>
      </c>
    </row>
    <row r="69" spans="1:48" x14ac:dyDescent="0.4">
      <c r="A69" s="7"/>
      <c r="B69" s="46">
        <v>6</v>
      </c>
      <c r="C69" s="24" t="s">
        <v>131</v>
      </c>
      <c r="D69" s="47"/>
      <c r="E69" s="6">
        <v>0</v>
      </c>
      <c r="F69" s="6">
        <v>1</v>
      </c>
      <c r="G69" s="6">
        <v>1</v>
      </c>
      <c r="H69" s="6">
        <v>0</v>
      </c>
      <c r="I69" s="6">
        <v>0</v>
      </c>
      <c r="J69" s="6">
        <v>2</v>
      </c>
      <c r="K69" s="6">
        <v>1</v>
      </c>
      <c r="L69" s="6">
        <v>0</v>
      </c>
      <c r="M69" s="6">
        <v>1</v>
      </c>
      <c r="N69" s="6">
        <v>1</v>
      </c>
      <c r="O69" s="6">
        <v>1</v>
      </c>
      <c r="P69" s="6">
        <v>1</v>
      </c>
      <c r="Q69" s="6">
        <v>0</v>
      </c>
      <c r="R69" s="6">
        <v>1</v>
      </c>
      <c r="S69" s="6">
        <v>2</v>
      </c>
      <c r="T69" s="6">
        <v>0</v>
      </c>
      <c r="U69" s="6">
        <v>2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1</v>
      </c>
      <c r="AE69" s="6">
        <v>0</v>
      </c>
      <c r="AF69" s="6">
        <v>2</v>
      </c>
      <c r="AG69" s="6">
        <v>0</v>
      </c>
      <c r="AH69" s="6">
        <v>0</v>
      </c>
      <c r="AI69" s="6">
        <v>1</v>
      </c>
      <c r="AJ69" s="6">
        <v>0</v>
      </c>
      <c r="AK69" s="6">
        <v>1</v>
      </c>
      <c r="AL69" s="6">
        <v>0</v>
      </c>
      <c r="AM69" s="6">
        <v>1</v>
      </c>
      <c r="AN69" s="6">
        <v>2</v>
      </c>
      <c r="AO69" s="6">
        <v>0</v>
      </c>
      <c r="AP69" s="6">
        <v>0</v>
      </c>
      <c r="AQ69" s="6">
        <v>1</v>
      </c>
      <c r="AR69" s="6">
        <v>0</v>
      </c>
      <c r="AS69" s="6">
        <v>1</v>
      </c>
      <c r="AT69" s="6">
        <v>2</v>
      </c>
      <c r="AU69" s="6">
        <v>0</v>
      </c>
      <c r="AV69" s="5">
        <f t="shared" si="36"/>
        <v>26</v>
      </c>
    </row>
    <row r="70" spans="1:48" x14ac:dyDescent="0.4">
      <c r="A70" s="6" t="s">
        <v>26</v>
      </c>
      <c r="B70" s="53" t="s">
        <v>51</v>
      </c>
      <c r="C70" s="69"/>
      <c r="D70" s="60"/>
      <c r="E70" s="5">
        <f t="shared" ref="E70:AV70" si="37">SUM(E63:E69)</f>
        <v>139</v>
      </c>
      <c r="F70" s="5">
        <f t="shared" si="37"/>
        <v>41</v>
      </c>
      <c r="G70" s="5">
        <f t="shared" si="37"/>
        <v>40</v>
      </c>
      <c r="H70" s="5">
        <f t="shared" si="37"/>
        <v>31</v>
      </c>
      <c r="I70" s="5">
        <f t="shared" si="37"/>
        <v>59</v>
      </c>
      <c r="J70" s="5">
        <f t="shared" si="37"/>
        <v>19</v>
      </c>
      <c r="K70" s="5">
        <f t="shared" si="37"/>
        <v>37</v>
      </c>
      <c r="L70" s="5">
        <f t="shared" si="37"/>
        <v>41</v>
      </c>
      <c r="M70" s="5">
        <f t="shared" si="37"/>
        <v>37</v>
      </c>
      <c r="N70" s="5">
        <f t="shared" si="37"/>
        <v>58</v>
      </c>
      <c r="O70" s="5">
        <f t="shared" si="37"/>
        <v>67</v>
      </c>
      <c r="P70" s="5">
        <f t="shared" si="37"/>
        <v>58</v>
      </c>
      <c r="Q70" s="5">
        <f t="shared" si="37"/>
        <v>84</v>
      </c>
      <c r="R70" s="5">
        <f t="shared" si="37"/>
        <v>63</v>
      </c>
      <c r="S70" s="5">
        <f t="shared" si="37"/>
        <v>21</v>
      </c>
      <c r="T70" s="5">
        <f t="shared" si="37"/>
        <v>35</v>
      </c>
      <c r="U70" s="5">
        <f t="shared" si="37"/>
        <v>40</v>
      </c>
      <c r="V70" s="5">
        <f t="shared" si="37"/>
        <v>47</v>
      </c>
      <c r="W70" s="5">
        <f t="shared" si="37"/>
        <v>24</v>
      </c>
      <c r="X70" s="5">
        <f t="shared" si="37"/>
        <v>31</v>
      </c>
      <c r="Y70" s="5">
        <f t="shared" si="37"/>
        <v>32</v>
      </c>
      <c r="Z70" s="5">
        <f t="shared" si="37"/>
        <v>43</v>
      </c>
      <c r="AA70" s="5">
        <f t="shared" si="37"/>
        <v>27</v>
      </c>
      <c r="AB70" s="5">
        <f t="shared" si="37"/>
        <v>22</v>
      </c>
      <c r="AC70" s="5">
        <f t="shared" si="37"/>
        <v>22</v>
      </c>
      <c r="AD70" s="5">
        <f t="shared" si="37"/>
        <v>43</v>
      </c>
      <c r="AE70" s="5">
        <f t="shared" si="37"/>
        <v>49</v>
      </c>
      <c r="AF70" s="5">
        <f t="shared" si="37"/>
        <v>36</v>
      </c>
      <c r="AG70" s="5">
        <f t="shared" si="37"/>
        <v>43</v>
      </c>
      <c r="AH70" s="5">
        <f t="shared" si="37"/>
        <v>17</v>
      </c>
      <c r="AI70" s="5">
        <f t="shared" si="37"/>
        <v>48</v>
      </c>
      <c r="AJ70" s="5">
        <f t="shared" si="37"/>
        <v>61</v>
      </c>
      <c r="AK70" s="5">
        <f t="shared" si="37"/>
        <v>45</v>
      </c>
      <c r="AL70" s="5">
        <f t="shared" si="37"/>
        <v>14</v>
      </c>
      <c r="AM70" s="5">
        <f t="shared" si="37"/>
        <v>26</v>
      </c>
      <c r="AN70" s="5">
        <f t="shared" si="37"/>
        <v>28</v>
      </c>
      <c r="AO70" s="5">
        <f t="shared" si="37"/>
        <v>20</v>
      </c>
      <c r="AP70" s="5">
        <f t="shared" si="37"/>
        <v>16</v>
      </c>
      <c r="AQ70" s="5">
        <f t="shared" si="37"/>
        <v>15</v>
      </c>
      <c r="AR70" s="5">
        <f t="shared" si="37"/>
        <v>9</v>
      </c>
      <c r="AS70" s="5">
        <f t="shared" si="37"/>
        <v>25</v>
      </c>
      <c r="AT70" s="5">
        <f t="shared" si="37"/>
        <v>23</v>
      </c>
      <c r="AU70" s="5">
        <f t="shared" si="37"/>
        <v>23</v>
      </c>
      <c r="AV70" s="5">
        <f t="shared" si="37"/>
        <v>1659</v>
      </c>
    </row>
    <row r="71" spans="1:48" x14ac:dyDescent="0.4">
      <c r="A71" s="70"/>
      <c r="B71" s="71"/>
      <c r="C71" s="71"/>
      <c r="D71" s="71"/>
      <c r="E71" s="71"/>
    </row>
    <row r="72" spans="1:48" x14ac:dyDescent="0.4">
      <c r="A72" s="11" t="s">
        <v>48</v>
      </c>
      <c r="B72" s="17" t="s">
        <v>34</v>
      </c>
      <c r="C72" s="59" t="s">
        <v>54</v>
      </c>
      <c r="D72" s="60"/>
      <c r="E72" s="6">
        <v>1</v>
      </c>
      <c r="F72" s="6">
        <v>2</v>
      </c>
      <c r="G72" s="6">
        <v>0</v>
      </c>
      <c r="H72" s="6">
        <v>0</v>
      </c>
      <c r="I72" s="6">
        <v>4</v>
      </c>
      <c r="J72" s="6">
        <v>2</v>
      </c>
      <c r="K72" s="6">
        <v>4</v>
      </c>
      <c r="L72" s="6">
        <v>4</v>
      </c>
      <c r="M72" s="6">
        <v>2</v>
      </c>
      <c r="N72" s="6">
        <v>2</v>
      </c>
      <c r="O72" s="6">
        <v>2</v>
      </c>
      <c r="P72" s="6">
        <v>1</v>
      </c>
      <c r="Q72" s="6">
        <v>2</v>
      </c>
      <c r="R72" s="6">
        <v>5</v>
      </c>
      <c r="S72" s="6">
        <v>1</v>
      </c>
      <c r="T72" s="6">
        <v>6</v>
      </c>
      <c r="U72" s="6">
        <v>6</v>
      </c>
      <c r="V72" s="6">
        <v>4</v>
      </c>
      <c r="W72" s="6">
        <v>5</v>
      </c>
      <c r="X72" s="6">
        <v>7</v>
      </c>
      <c r="Y72" s="6">
        <v>6</v>
      </c>
      <c r="Z72" s="6">
        <v>3</v>
      </c>
      <c r="AA72" s="6">
        <v>5</v>
      </c>
      <c r="AB72" s="6">
        <v>10</v>
      </c>
      <c r="AC72" s="6">
        <v>2</v>
      </c>
      <c r="AD72" s="6">
        <v>3</v>
      </c>
      <c r="AE72" s="6">
        <v>2</v>
      </c>
      <c r="AF72" s="6">
        <v>3</v>
      </c>
      <c r="AG72" s="6">
        <v>7</v>
      </c>
      <c r="AH72" s="6">
        <v>3</v>
      </c>
      <c r="AI72" s="6">
        <v>3</v>
      </c>
      <c r="AJ72" s="6">
        <v>9</v>
      </c>
      <c r="AK72" s="6">
        <v>9</v>
      </c>
      <c r="AL72" s="6">
        <v>4</v>
      </c>
      <c r="AM72" s="6">
        <v>15</v>
      </c>
      <c r="AN72" s="6">
        <v>1</v>
      </c>
      <c r="AO72" s="6">
        <v>9</v>
      </c>
      <c r="AP72" s="6">
        <v>1</v>
      </c>
      <c r="AQ72" s="6">
        <v>7</v>
      </c>
      <c r="AR72" s="6">
        <v>6</v>
      </c>
      <c r="AS72" s="6">
        <v>10</v>
      </c>
      <c r="AT72" s="6">
        <v>4</v>
      </c>
      <c r="AU72" s="6">
        <v>3</v>
      </c>
      <c r="AV72" s="5">
        <f t="shared" ref="AV72:AV78" si="38">SUM(E72:AU72)</f>
        <v>185</v>
      </c>
    </row>
    <row r="73" spans="1:48" x14ac:dyDescent="0.4">
      <c r="A73" s="11" t="s">
        <v>50</v>
      </c>
      <c r="B73" s="46">
        <v>1</v>
      </c>
      <c r="C73" s="24" t="s">
        <v>132</v>
      </c>
      <c r="D73" s="47"/>
      <c r="E73" s="6">
        <v>4</v>
      </c>
      <c r="F73" s="6">
        <v>3</v>
      </c>
      <c r="G73" s="6">
        <v>2</v>
      </c>
      <c r="H73" s="6">
        <v>2</v>
      </c>
      <c r="I73" s="6">
        <v>15</v>
      </c>
      <c r="J73" s="6">
        <v>4</v>
      </c>
      <c r="K73" s="6">
        <v>5</v>
      </c>
      <c r="L73" s="6">
        <v>8</v>
      </c>
      <c r="M73" s="6">
        <v>5</v>
      </c>
      <c r="N73" s="6">
        <v>17</v>
      </c>
      <c r="O73" s="6">
        <v>1</v>
      </c>
      <c r="P73" s="6">
        <v>5</v>
      </c>
      <c r="Q73" s="6">
        <v>6</v>
      </c>
      <c r="R73" s="6">
        <v>12</v>
      </c>
      <c r="S73" s="6">
        <v>4</v>
      </c>
      <c r="T73" s="6">
        <v>1</v>
      </c>
      <c r="U73" s="6">
        <v>2</v>
      </c>
      <c r="V73" s="6">
        <v>9</v>
      </c>
      <c r="W73" s="6">
        <v>42</v>
      </c>
      <c r="X73" s="6">
        <v>46</v>
      </c>
      <c r="Y73" s="6">
        <v>15</v>
      </c>
      <c r="Z73" s="6">
        <v>7</v>
      </c>
      <c r="AA73" s="6">
        <v>29</v>
      </c>
      <c r="AB73" s="6">
        <v>41</v>
      </c>
      <c r="AC73" s="6">
        <v>29</v>
      </c>
      <c r="AD73" s="6">
        <v>17</v>
      </c>
      <c r="AE73" s="6">
        <v>7</v>
      </c>
      <c r="AF73" s="6">
        <v>46</v>
      </c>
      <c r="AG73" s="6">
        <v>13</v>
      </c>
      <c r="AH73" s="6">
        <v>10</v>
      </c>
      <c r="AI73" s="6">
        <v>8</v>
      </c>
      <c r="AJ73" s="6">
        <v>3</v>
      </c>
      <c r="AK73" s="6">
        <v>0</v>
      </c>
      <c r="AL73" s="6">
        <v>1</v>
      </c>
      <c r="AM73" s="6">
        <v>1</v>
      </c>
      <c r="AN73" s="6">
        <v>1</v>
      </c>
      <c r="AO73" s="6">
        <v>0</v>
      </c>
      <c r="AP73" s="6">
        <v>3</v>
      </c>
      <c r="AQ73" s="6">
        <v>2</v>
      </c>
      <c r="AR73" s="6">
        <v>2</v>
      </c>
      <c r="AS73" s="6">
        <v>1</v>
      </c>
      <c r="AT73" s="6">
        <v>0</v>
      </c>
      <c r="AU73" s="6">
        <v>3</v>
      </c>
      <c r="AV73" s="5">
        <f t="shared" si="38"/>
        <v>432</v>
      </c>
    </row>
    <row r="74" spans="1:48" x14ac:dyDescent="0.4">
      <c r="A74" s="7"/>
      <c r="B74" s="46">
        <v>2</v>
      </c>
      <c r="C74" s="24" t="s">
        <v>133</v>
      </c>
      <c r="D74" s="47"/>
      <c r="E74" s="6">
        <v>0</v>
      </c>
      <c r="F74" s="6">
        <v>1</v>
      </c>
      <c r="G74" s="6">
        <v>3</v>
      </c>
      <c r="H74" s="6">
        <v>1</v>
      </c>
      <c r="I74" s="6">
        <v>4</v>
      </c>
      <c r="J74" s="6">
        <v>5</v>
      </c>
      <c r="K74" s="6">
        <v>4</v>
      </c>
      <c r="L74" s="6">
        <v>8</v>
      </c>
      <c r="M74" s="6">
        <v>8</v>
      </c>
      <c r="N74" s="6">
        <v>15</v>
      </c>
      <c r="O74" s="6">
        <v>7</v>
      </c>
      <c r="P74" s="6">
        <v>6</v>
      </c>
      <c r="Q74" s="6">
        <v>7</v>
      </c>
      <c r="R74" s="6">
        <v>4</v>
      </c>
      <c r="S74" s="6">
        <v>1</v>
      </c>
      <c r="T74" s="6">
        <v>2</v>
      </c>
      <c r="U74" s="6">
        <v>24</v>
      </c>
      <c r="V74" s="6">
        <v>9</v>
      </c>
      <c r="W74" s="6">
        <v>1</v>
      </c>
      <c r="X74" s="6">
        <v>4</v>
      </c>
      <c r="Y74" s="6">
        <v>14</v>
      </c>
      <c r="Z74" s="6">
        <v>9</v>
      </c>
      <c r="AA74" s="6">
        <v>22</v>
      </c>
      <c r="AB74" s="6">
        <v>19</v>
      </c>
      <c r="AC74" s="6">
        <v>13</v>
      </c>
      <c r="AD74" s="6">
        <v>5</v>
      </c>
      <c r="AE74" s="6">
        <v>4</v>
      </c>
      <c r="AF74" s="6">
        <v>12</v>
      </c>
      <c r="AG74" s="6">
        <v>27</v>
      </c>
      <c r="AH74" s="6">
        <v>12</v>
      </c>
      <c r="AI74" s="6">
        <v>21</v>
      </c>
      <c r="AJ74" s="6">
        <v>37</v>
      </c>
      <c r="AK74" s="6">
        <v>69</v>
      </c>
      <c r="AL74" s="6">
        <v>71</v>
      </c>
      <c r="AM74" s="6">
        <v>43</v>
      </c>
      <c r="AN74" s="6">
        <v>81</v>
      </c>
      <c r="AO74" s="6">
        <v>64</v>
      </c>
      <c r="AP74" s="6">
        <v>124</v>
      </c>
      <c r="AQ74" s="6">
        <v>100</v>
      </c>
      <c r="AR74" s="6">
        <v>86</v>
      </c>
      <c r="AS74" s="6">
        <v>90</v>
      </c>
      <c r="AT74" s="6">
        <v>100</v>
      </c>
      <c r="AU74" s="6">
        <v>80</v>
      </c>
      <c r="AV74" s="5">
        <f t="shared" si="38"/>
        <v>1217</v>
      </c>
    </row>
    <row r="75" spans="1:48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1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1</v>
      </c>
      <c r="Q75" s="6">
        <v>0</v>
      </c>
      <c r="R75" s="6">
        <v>2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1</v>
      </c>
      <c r="AA75" s="6">
        <v>1</v>
      </c>
      <c r="AB75" s="6">
        <v>0</v>
      </c>
      <c r="AC75" s="6">
        <v>2</v>
      </c>
      <c r="AD75" s="6">
        <v>0</v>
      </c>
      <c r="AE75" s="6">
        <v>0</v>
      </c>
      <c r="AF75" s="6">
        <v>1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0</v>
      </c>
      <c r="AM75" s="6">
        <v>0</v>
      </c>
      <c r="AN75" s="6">
        <v>1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5">
        <f t="shared" si="38"/>
        <v>14</v>
      </c>
    </row>
    <row r="76" spans="1:48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6">
        <v>1</v>
      </c>
      <c r="AA76" s="6">
        <v>1</v>
      </c>
      <c r="AB76" s="6">
        <v>0</v>
      </c>
      <c r="AC76" s="6">
        <v>0</v>
      </c>
      <c r="AD76" s="6">
        <v>1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1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1</v>
      </c>
      <c r="AV76" s="5">
        <f t="shared" si="38"/>
        <v>9</v>
      </c>
    </row>
    <row r="77" spans="1:48" x14ac:dyDescent="0.4">
      <c r="A77" s="7"/>
      <c r="B77" s="46">
        <v>5</v>
      </c>
      <c r="C77" s="24" t="s">
        <v>136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1</v>
      </c>
      <c r="U77" s="6">
        <v>0</v>
      </c>
      <c r="V77" s="6">
        <v>0</v>
      </c>
      <c r="W77" s="6">
        <v>2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1</v>
      </c>
      <c r="AS77" s="6">
        <v>0</v>
      </c>
      <c r="AT77" s="6">
        <v>0</v>
      </c>
      <c r="AU77" s="6">
        <v>0</v>
      </c>
      <c r="AV77" s="5">
        <f t="shared" si="38"/>
        <v>6</v>
      </c>
    </row>
    <row r="78" spans="1:48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1</v>
      </c>
      <c r="AU78" s="6">
        <v>0</v>
      </c>
      <c r="AV78" s="5">
        <f t="shared" si="38"/>
        <v>5</v>
      </c>
    </row>
    <row r="79" spans="1:48" x14ac:dyDescent="0.4">
      <c r="A79" s="6" t="s">
        <v>26</v>
      </c>
      <c r="B79" s="53" t="s">
        <v>51</v>
      </c>
      <c r="C79" s="69"/>
      <c r="D79" s="60"/>
      <c r="E79" s="5">
        <f t="shared" ref="E79:AV79" si="39">SUM(E72:E78)</f>
        <v>5</v>
      </c>
      <c r="F79" s="5">
        <f t="shared" si="39"/>
        <v>6</v>
      </c>
      <c r="G79" s="5">
        <f t="shared" si="39"/>
        <v>7</v>
      </c>
      <c r="H79" s="5">
        <f t="shared" si="39"/>
        <v>3</v>
      </c>
      <c r="I79" s="5">
        <f t="shared" si="39"/>
        <v>25</v>
      </c>
      <c r="J79" s="5">
        <f t="shared" si="39"/>
        <v>11</v>
      </c>
      <c r="K79" s="5">
        <f t="shared" si="39"/>
        <v>14</v>
      </c>
      <c r="L79" s="5">
        <f t="shared" si="39"/>
        <v>20</v>
      </c>
      <c r="M79" s="5">
        <f t="shared" si="39"/>
        <v>16</v>
      </c>
      <c r="N79" s="5">
        <f t="shared" si="39"/>
        <v>34</v>
      </c>
      <c r="O79" s="5">
        <f t="shared" si="39"/>
        <v>10</v>
      </c>
      <c r="P79" s="5">
        <f t="shared" si="39"/>
        <v>13</v>
      </c>
      <c r="Q79" s="5">
        <f t="shared" si="39"/>
        <v>16</v>
      </c>
      <c r="R79" s="5">
        <f t="shared" si="39"/>
        <v>23</v>
      </c>
      <c r="S79" s="5">
        <f t="shared" si="39"/>
        <v>6</v>
      </c>
      <c r="T79" s="5">
        <f t="shared" si="39"/>
        <v>10</v>
      </c>
      <c r="U79" s="5">
        <f t="shared" si="39"/>
        <v>32</v>
      </c>
      <c r="V79" s="5">
        <f t="shared" si="39"/>
        <v>24</v>
      </c>
      <c r="W79" s="5">
        <f t="shared" si="39"/>
        <v>50</v>
      </c>
      <c r="X79" s="5">
        <f t="shared" si="39"/>
        <v>57</v>
      </c>
      <c r="Y79" s="5">
        <f t="shared" si="39"/>
        <v>36</v>
      </c>
      <c r="Z79" s="5">
        <f t="shared" si="39"/>
        <v>21</v>
      </c>
      <c r="AA79" s="5">
        <f t="shared" si="39"/>
        <v>58</v>
      </c>
      <c r="AB79" s="5">
        <f t="shared" si="39"/>
        <v>70</v>
      </c>
      <c r="AC79" s="5">
        <f t="shared" si="39"/>
        <v>46</v>
      </c>
      <c r="AD79" s="5">
        <f t="shared" si="39"/>
        <v>26</v>
      </c>
      <c r="AE79" s="5">
        <f t="shared" si="39"/>
        <v>15</v>
      </c>
      <c r="AF79" s="5">
        <f t="shared" si="39"/>
        <v>62</v>
      </c>
      <c r="AG79" s="5">
        <f t="shared" si="39"/>
        <v>48</v>
      </c>
      <c r="AH79" s="5">
        <f t="shared" si="39"/>
        <v>25</v>
      </c>
      <c r="AI79" s="5">
        <f t="shared" si="39"/>
        <v>32</v>
      </c>
      <c r="AJ79" s="5">
        <f t="shared" si="39"/>
        <v>51</v>
      </c>
      <c r="AK79" s="5">
        <f t="shared" si="39"/>
        <v>78</v>
      </c>
      <c r="AL79" s="5">
        <f t="shared" si="39"/>
        <v>76</v>
      </c>
      <c r="AM79" s="5">
        <f t="shared" si="39"/>
        <v>60</v>
      </c>
      <c r="AN79" s="5">
        <f t="shared" si="39"/>
        <v>84</v>
      </c>
      <c r="AO79" s="5">
        <f t="shared" si="39"/>
        <v>73</v>
      </c>
      <c r="AP79" s="5">
        <f t="shared" si="39"/>
        <v>128</v>
      </c>
      <c r="AQ79" s="5">
        <f t="shared" si="39"/>
        <v>109</v>
      </c>
      <c r="AR79" s="5">
        <f t="shared" si="39"/>
        <v>95</v>
      </c>
      <c r="AS79" s="5">
        <f t="shared" si="39"/>
        <v>101</v>
      </c>
      <c r="AT79" s="5">
        <f t="shared" si="39"/>
        <v>105</v>
      </c>
      <c r="AU79" s="5">
        <f t="shared" si="39"/>
        <v>87</v>
      </c>
      <c r="AV79" s="5">
        <f t="shared" si="39"/>
        <v>1868</v>
      </c>
    </row>
    <row r="80" spans="1:48" x14ac:dyDescent="0.4">
      <c r="A80" s="70"/>
      <c r="B80" s="71"/>
      <c r="C80" s="71"/>
      <c r="D80" s="71"/>
      <c r="E80" s="71"/>
    </row>
    <row r="81" spans="1:48" x14ac:dyDescent="0.4">
      <c r="A81" s="11" t="s">
        <v>48</v>
      </c>
      <c r="B81" s="17" t="s">
        <v>55</v>
      </c>
      <c r="C81" s="59" t="s">
        <v>56</v>
      </c>
      <c r="D81" s="60"/>
      <c r="E81" s="6">
        <v>0</v>
      </c>
      <c r="F81" s="6">
        <v>0</v>
      </c>
      <c r="G81" s="6">
        <v>3</v>
      </c>
      <c r="H81" s="6">
        <v>0</v>
      </c>
      <c r="I81" s="6">
        <v>0</v>
      </c>
      <c r="J81" s="6">
        <v>4</v>
      </c>
      <c r="K81" s="6">
        <v>1</v>
      </c>
      <c r="L81" s="6">
        <v>0</v>
      </c>
      <c r="M81" s="6">
        <v>1</v>
      </c>
      <c r="N81" s="6">
        <v>3</v>
      </c>
      <c r="O81" s="6">
        <v>1</v>
      </c>
      <c r="P81" s="6">
        <v>1</v>
      </c>
      <c r="Q81" s="6">
        <v>1</v>
      </c>
      <c r="R81" s="6">
        <v>1</v>
      </c>
      <c r="S81" s="6">
        <v>0</v>
      </c>
      <c r="T81" s="6">
        <v>1</v>
      </c>
      <c r="U81" s="6">
        <v>0</v>
      </c>
      <c r="V81" s="6">
        <v>2</v>
      </c>
      <c r="W81" s="6">
        <v>0</v>
      </c>
      <c r="X81" s="6">
        <v>1</v>
      </c>
      <c r="Y81" s="6">
        <v>2</v>
      </c>
      <c r="Z81" s="6">
        <v>1</v>
      </c>
      <c r="AA81" s="6">
        <v>0</v>
      </c>
      <c r="AB81" s="6">
        <v>1</v>
      </c>
      <c r="AC81" s="6">
        <v>1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2</v>
      </c>
      <c r="AL81" s="6">
        <v>0</v>
      </c>
      <c r="AM81" s="6">
        <v>1</v>
      </c>
      <c r="AN81" s="6">
        <v>1</v>
      </c>
      <c r="AO81" s="6">
        <v>3</v>
      </c>
      <c r="AP81" s="6">
        <v>0</v>
      </c>
      <c r="AQ81" s="6">
        <v>1</v>
      </c>
      <c r="AR81" s="6">
        <v>0</v>
      </c>
      <c r="AS81" s="6">
        <v>0</v>
      </c>
      <c r="AT81" s="6">
        <v>2</v>
      </c>
      <c r="AU81" s="6">
        <v>1</v>
      </c>
      <c r="AV81" s="5">
        <f t="shared" ref="AV81:AV87" si="40">SUM(E81:AU81)</f>
        <v>36</v>
      </c>
    </row>
    <row r="82" spans="1:48" x14ac:dyDescent="0.4">
      <c r="A82" s="11" t="s">
        <v>50</v>
      </c>
      <c r="B82" s="46">
        <v>1</v>
      </c>
      <c r="C82" s="24" t="s">
        <v>138</v>
      </c>
      <c r="D82" s="47"/>
      <c r="E82" s="6">
        <v>1</v>
      </c>
      <c r="F82" s="6">
        <v>1</v>
      </c>
      <c r="G82" s="6">
        <v>0</v>
      </c>
      <c r="H82" s="6">
        <v>0</v>
      </c>
      <c r="I82" s="6">
        <v>1</v>
      </c>
      <c r="J82" s="6">
        <v>2</v>
      </c>
      <c r="K82" s="6">
        <v>3</v>
      </c>
      <c r="L82" s="6">
        <v>9</v>
      </c>
      <c r="M82" s="6">
        <v>7</v>
      </c>
      <c r="N82" s="6">
        <v>1</v>
      </c>
      <c r="O82" s="6">
        <v>1</v>
      </c>
      <c r="P82" s="6">
        <v>0</v>
      </c>
      <c r="Q82" s="6">
        <v>3</v>
      </c>
      <c r="R82" s="6">
        <v>1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  <c r="X82" s="6">
        <v>1</v>
      </c>
      <c r="Y82" s="6">
        <v>0</v>
      </c>
      <c r="Z82" s="6">
        <v>1</v>
      </c>
      <c r="AA82" s="6">
        <v>0</v>
      </c>
      <c r="AB82" s="6">
        <v>0</v>
      </c>
      <c r="AC82" s="6">
        <v>2</v>
      </c>
      <c r="AD82" s="6">
        <v>1</v>
      </c>
      <c r="AE82" s="6">
        <v>0</v>
      </c>
      <c r="AF82" s="6">
        <v>6</v>
      </c>
      <c r="AG82" s="6">
        <v>0</v>
      </c>
      <c r="AH82" s="6">
        <v>1</v>
      </c>
      <c r="AI82" s="6">
        <v>1</v>
      </c>
      <c r="AJ82" s="6">
        <v>3</v>
      </c>
      <c r="AK82" s="6">
        <v>2</v>
      </c>
      <c r="AL82" s="6">
        <v>0</v>
      </c>
      <c r="AM82" s="6">
        <v>2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5">
        <f t="shared" si="40"/>
        <v>51</v>
      </c>
    </row>
    <row r="83" spans="1:48" x14ac:dyDescent="0.4">
      <c r="A83" s="7"/>
      <c r="B83" s="46">
        <v>2</v>
      </c>
      <c r="C83" s="24" t="s">
        <v>139</v>
      </c>
      <c r="D83" s="47"/>
      <c r="E83" s="6">
        <v>0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1</v>
      </c>
      <c r="AB83" s="6">
        <v>0</v>
      </c>
      <c r="AC83" s="6">
        <v>1</v>
      </c>
      <c r="AD83" s="6">
        <v>0</v>
      </c>
      <c r="AE83" s="6">
        <v>0</v>
      </c>
      <c r="AF83" s="6">
        <v>0</v>
      </c>
      <c r="AG83" s="6">
        <v>1</v>
      </c>
      <c r="AH83" s="6">
        <v>0</v>
      </c>
      <c r="AI83" s="6">
        <v>0</v>
      </c>
      <c r="AJ83" s="6">
        <v>2</v>
      </c>
      <c r="AK83" s="6">
        <v>1</v>
      </c>
      <c r="AL83" s="6">
        <v>0</v>
      </c>
      <c r="AM83" s="6">
        <v>0</v>
      </c>
      <c r="AN83" s="6">
        <v>1</v>
      </c>
      <c r="AO83" s="6">
        <v>0</v>
      </c>
      <c r="AP83" s="6">
        <v>2</v>
      </c>
      <c r="AQ83" s="6">
        <v>0</v>
      </c>
      <c r="AR83" s="6">
        <v>0</v>
      </c>
      <c r="AS83" s="6">
        <v>0</v>
      </c>
      <c r="AT83" s="6">
        <v>1</v>
      </c>
      <c r="AU83" s="6">
        <v>0</v>
      </c>
      <c r="AV83" s="5">
        <f t="shared" si="40"/>
        <v>13</v>
      </c>
    </row>
    <row r="84" spans="1:48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2</v>
      </c>
      <c r="K84" s="6">
        <v>0</v>
      </c>
      <c r="L84" s="6">
        <v>3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6">
        <v>2</v>
      </c>
      <c r="U84" s="6">
        <v>0</v>
      </c>
      <c r="V84" s="6">
        <v>0</v>
      </c>
      <c r="W84" s="6">
        <v>0</v>
      </c>
      <c r="X84" s="6">
        <v>2</v>
      </c>
      <c r="Y84" s="6">
        <v>0</v>
      </c>
      <c r="Z84" s="6">
        <v>1</v>
      </c>
      <c r="AA84" s="6">
        <v>2</v>
      </c>
      <c r="AB84" s="6">
        <v>0</v>
      </c>
      <c r="AC84" s="6">
        <v>0</v>
      </c>
      <c r="AD84" s="6">
        <v>1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  <c r="AJ84" s="6">
        <v>1</v>
      </c>
      <c r="AK84" s="6">
        <v>0</v>
      </c>
      <c r="AL84" s="6">
        <v>1</v>
      </c>
      <c r="AM84" s="6">
        <v>0</v>
      </c>
      <c r="AN84" s="6">
        <v>0</v>
      </c>
      <c r="AO84" s="6">
        <v>1</v>
      </c>
      <c r="AP84" s="6">
        <v>3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5">
        <f t="shared" si="40"/>
        <v>22</v>
      </c>
    </row>
    <row r="85" spans="1:48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2</v>
      </c>
      <c r="Q85" s="6">
        <v>0</v>
      </c>
      <c r="R85" s="6">
        <v>0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2</v>
      </c>
      <c r="AJ85" s="6">
        <v>2</v>
      </c>
      <c r="AK85" s="6">
        <v>0</v>
      </c>
      <c r="AL85" s="6">
        <v>0</v>
      </c>
      <c r="AM85" s="6">
        <v>2</v>
      </c>
      <c r="AN85" s="6">
        <v>0</v>
      </c>
      <c r="AO85" s="6">
        <v>0</v>
      </c>
      <c r="AP85" s="6">
        <v>0</v>
      </c>
      <c r="AQ85" s="6">
        <v>1</v>
      </c>
      <c r="AR85" s="6">
        <v>0</v>
      </c>
      <c r="AS85" s="6">
        <v>2</v>
      </c>
      <c r="AT85" s="6">
        <v>0</v>
      </c>
      <c r="AU85" s="6">
        <v>0</v>
      </c>
      <c r="AV85" s="5">
        <f t="shared" si="40"/>
        <v>13</v>
      </c>
    </row>
    <row r="86" spans="1:48" x14ac:dyDescent="0.4">
      <c r="A86" s="7"/>
      <c r="B86" s="46">
        <v>5</v>
      </c>
      <c r="C86" s="24" t="s">
        <v>142</v>
      </c>
      <c r="D86" s="47"/>
      <c r="E86" s="6">
        <v>1</v>
      </c>
      <c r="F86" s="6">
        <v>2</v>
      </c>
      <c r="G86" s="6">
        <v>4</v>
      </c>
      <c r="H86" s="6">
        <v>0</v>
      </c>
      <c r="I86" s="6">
        <v>0</v>
      </c>
      <c r="J86" s="6">
        <v>2</v>
      </c>
      <c r="K86" s="6">
        <v>1</v>
      </c>
      <c r="L86" s="6">
        <v>0</v>
      </c>
      <c r="M86" s="6">
        <v>2</v>
      </c>
      <c r="N86" s="6">
        <v>1</v>
      </c>
      <c r="O86" s="6">
        <v>1</v>
      </c>
      <c r="P86" s="6">
        <v>8</v>
      </c>
      <c r="Q86" s="6">
        <v>7</v>
      </c>
      <c r="R86" s="6">
        <v>0</v>
      </c>
      <c r="S86" s="6">
        <v>9</v>
      </c>
      <c r="T86" s="6">
        <v>5</v>
      </c>
      <c r="U86" s="6">
        <v>4</v>
      </c>
      <c r="V86" s="6">
        <v>0</v>
      </c>
      <c r="W86" s="6">
        <v>1</v>
      </c>
      <c r="X86" s="6">
        <v>0</v>
      </c>
      <c r="Y86" s="6">
        <v>2</v>
      </c>
      <c r="Z86" s="6">
        <v>1</v>
      </c>
      <c r="AA86" s="6">
        <v>0</v>
      </c>
      <c r="AB86" s="6">
        <v>3</v>
      </c>
      <c r="AC86" s="6">
        <v>10</v>
      </c>
      <c r="AD86" s="6">
        <v>3</v>
      </c>
      <c r="AE86" s="6">
        <v>0</v>
      </c>
      <c r="AF86" s="6">
        <v>0</v>
      </c>
      <c r="AG86" s="6">
        <v>3</v>
      </c>
      <c r="AH86" s="6">
        <v>0</v>
      </c>
      <c r="AI86" s="6">
        <v>1</v>
      </c>
      <c r="AJ86" s="6">
        <v>1</v>
      </c>
      <c r="AK86" s="6">
        <v>1</v>
      </c>
      <c r="AL86" s="6">
        <v>4</v>
      </c>
      <c r="AM86" s="6">
        <v>5</v>
      </c>
      <c r="AN86" s="6">
        <v>5</v>
      </c>
      <c r="AO86" s="6">
        <v>0</v>
      </c>
      <c r="AP86" s="6">
        <v>4</v>
      </c>
      <c r="AQ86" s="6">
        <v>0</v>
      </c>
      <c r="AR86" s="6">
        <v>2</v>
      </c>
      <c r="AS86" s="6">
        <v>4</v>
      </c>
      <c r="AT86" s="6">
        <v>0</v>
      </c>
      <c r="AU86" s="6">
        <v>6</v>
      </c>
      <c r="AV86" s="5">
        <f t="shared" si="40"/>
        <v>103</v>
      </c>
    </row>
    <row r="87" spans="1:48" x14ac:dyDescent="0.4">
      <c r="A87" s="7"/>
      <c r="B87" s="46">
        <v>6</v>
      </c>
      <c r="C87" s="24" t="s">
        <v>143</v>
      </c>
      <c r="D87" s="47"/>
      <c r="E87" s="6">
        <v>0</v>
      </c>
      <c r="F87" s="6">
        <v>0</v>
      </c>
      <c r="G87" s="6">
        <v>0</v>
      </c>
      <c r="H87" s="6">
        <v>3</v>
      </c>
      <c r="I87" s="6">
        <v>0</v>
      </c>
      <c r="J87" s="6">
        <v>0</v>
      </c>
      <c r="K87" s="6">
        <v>1</v>
      </c>
      <c r="L87" s="6">
        <v>7</v>
      </c>
      <c r="M87" s="6">
        <v>1</v>
      </c>
      <c r="N87" s="6">
        <v>2</v>
      </c>
      <c r="O87" s="6">
        <v>1</v>
      </c>
      <c r="P87" s="6">
        <v>1</v>
      </c>
      <c r="Q87" s="6">
        <v>0</v>
      </c>
      <c r="R87" s="6">
        <v>6</v>
      </c>
      <c r="S87" s="6">
        <v>1</v>
      </c>
      <c r="T87" s="6">
        <v>3</v>
      </c>
      <c r="U87" s="6">
        <v>11</v>
      </c>
      <c r="V87" s="6">
        <v>0</v>
      </c>
      <c r="W87" s="6">
        <v>1</v>
      </c>
      <c r="X87" s="6">
        <v>3</v>
      </c>
      <c r="Y87" s="6">
        <v>11</v>
      </c>
      <c r="Z87" s="6">
        <v>0</v>
      </c>
      <c r="AA87" s="6">
        <v>1</v>
      </c>
      <c r="AB87" s="6">
        <v>0</v>
      </c>
      <c r="AC87" s="6">
        <v>1</v>
      </c>
      <c r="AD87" s="6">
        <v>0</v>
      </c>
      <c r="AE87" s="6">
        <v>0</v>
      </c>
      <c r="AF87" s="6">
        <v>2</v>
      </c>
      <c r="AG87" s="6">
        <v>1</v>
      </c>
      <c r="AH87" s="6">
        <v>2</v>
      </c>
      <c r="AI87" s="6">
        <v>9</v>
      </c>
      <c r="AJ87" s="6">
        <v>8</v>
      </c>
      <c r="AK87" s="6">
        <v>4</v>
      </c>
      <c r="AL87" s="6">
        <v>0</v>
      </c>
      <c r="AM87" s="6">
        <v>2</v>
      </c>
      <c r="AN87" s="6">
        <v>4</v>
      </c>
      <c r="AO87" s="6">
        <v>3</v>
      </c>
      <c r="AP87" s="6">
        <v>1</v>
      </c>
      <c r="AQ87" s="6">
        <v>0</v>
      </c>
      <c r="AR87" s="6">
        <v>3</v>
      </c>
      <c r="AS87" s="6">
        <v>6</v>
      </c>
      <c r="AT87" s="6">
        <v>1</v>
      </c>
      <c r="AU87" s="6">
        <v>2</v>
      </c>
      <c r="AV87" s="5">
        <f t="shared" si="40"/>
        <v>102</v>
      </c>
    </row>
    <row r="88" spans="1:48" x14ac:dyDescent="0.4">
      <c r="A88" s="6" t="s">
        <v>26</v>
      </c>
      <c r="B88" s="53" t="s">
        <v>51</v>
      </c>
      <c r="C88" s="69"/>
      <c r="D88" s="60"/>
      <c r="E88" s="5">
        <f t="shared" ref="E88:AV88" si="41">SUM(E81:E87)</f>
        <v>2</v>
      </c>
      <c r="F88" s="5">
        <f t="shared" si="41"/>
        <v>3</v>
      </c>
      <c r="G88" s="5">
        <f t="shared" si="41"/>
        <v>8</v>
      </c>
      <c r="H88" s="5">
        <f t="shared" si="41"/>
        <v>3</v>
      </c>
      <c r="I88" s="5">
        <f t="shared" si="41"/>
        <v>2</v>
      </c>
      <c r="J88" s="5">
        <f t="shared" si="41"/>
        <v>10</v>
      </c>
      <c r="K88" s="5">
        <f t="shared" si="41"/>
        <v>7</v>
      </c>
      <c r="L88" s="5">
        <f t="shared" si="41"/>
        <v>19</v>
      </c>
      <c r="M88" s="5">
        <f t="shared" si="41"/>
        <v>11</v>
      </c>
      <c r="N88" s="5">
        <f t="shared" si="41"/>
        <v>8</v>
      </c>
      <c r="O88" s="5">
        <f t="shared" si="41"/>
        <v>4</v>
      </c>
      <c r="P88" s="5">
        <f t="shared" si="41"/>
        <v>12</v>
      </c>
      <c r="Q88" s="5">
        <f t="shared" si="41"/>
        <v>11</v>
      </c>
      <c r="R88" s="5">
        <f t="shared" si="41"/>
        <v>8</v>
      </c>
      <c r="S88" s="5">
        <f t="shared" si="41"/>
        <v>12</v>
      </c>
      <c r="T88" s="5">
        <f t="shared" si="41"/>
        <v>11</v>
      </c>
      <c r="U88" s="5">
        <f t="shared" si="41"/>
        <v>17</v>
      </c>
      <c r="V88" s="5">
        <f t="shared" si="41"/>
        <v>2</v>
      </c>
      <c r="W88" s="5">
        <f t="shared" si="41"/>
        <v>2</v>
      </c>
      <c r="X88" s="5">
        <f t="shared" si="41"/>
        <v>7</v>
      </c>
      <c r="Y88" s="5">
        <f t="shared" si="41"/>
        <v>15</v>
      </c>
      <c r="Z88" s="5">
        <f t="shared" si="41"/>
        <v>4</v>
      </c>
      <c r="AA88" s="5">
        <f t="shared" si="41"/>
        <v>4</v>
      </c>
      <c r="AB88" s="5">
        <f t="shared" si="41"/>
        <v>4</v>
      </c>
      <c r="AC88" s="5">
        <f t="shared" si="41"/>
        <v>15</v>
      </c>
      <c r="AD88" s="5">
        <f t="shared" si="41"/>
        <v>5</v>
      </c>
      <c r="AE88" s="5">
        <f t="shared" si="41"/>
        <v>0</v>
      </c>
      <c r="AF88" s="5">
        <f t="shared" si="41"/>
        <v>8</v>
      </c>
      <c r="AG88" s="5">
        <f t="shared" si="41"/>
        <v>5</v>
      </c>
      <c r="AH88" s="5">
        <f t="shared" si="41"/>
        <v>3</v>
      </c>
      <c r="AI88" s="5">
        <f t="shared" si="41"/>
        <v>14</v>
      </c>
      <c r="AJ88" s="5">
        <f t="shared" si="41"/>
        <v>17</v>
      </c>
      <c r="AK88" s="5">
        <f t="shared" si="41"/>
        <v>10</v>
      </c>
      <c r="AL88" s="5">
        <f t="shared" si="41"/>
        <v>5</v>
      </c>
      <c r="AM88" s="5">
        <f t="shared" si="41"/>
        <v>12</v>
      </c>
      <c r="AN88" s="5">
        <f t="shared" si="41"/>
        <v>11</v>
      </c>
      <c r="AO88" s="5">
        <f t="shared" si="41"/>
        <v>7</v>
      </c>
      <c r="AP88" s="5">
        <f t="shared" si="41"/>
        <v>10</v>
      </c>
      <c r="AQ88" s="5">
        <f t="shared" si="41"/>
        <v>2</v>
      </c>
      <c r="AR88" s="5">
        <f t="shared" si="41"/>
        <v>5</v>
      </c>
      <c r="AS88" s="5">
        <f t="shared" si="41"/>
        <v>12</v>
      </c>
      <c r="AT88" s="5">
        <f t="shared" si="41"/>
        <v>4</v>
      </c>
      <c r="AU88" s="5">
        <f t="shared" si="41"/>
        <v>9</v>
      </c>
      <c r="AV88" s="5">
        <f t="shared" si="41"/>
        <v>340</v>
      </c>
    </row>
    <row r="89" spans="1:48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2</v>
      </c>
      <c r="K90" s="6">
        <v>2</v>
      </c>
      <c r="L90" s="6">
        <v>0</v>
      </c>
      <c r="M90" s="6">
        <v>2</v>
      </c>
      <c r="N90" s="6">
        <v>1</v>
      </c>
      <c r="O90" s="6">
        <v>0</v>
      </c>
      <c r="P90" s="6">
        <v>0</v>
      </c>
      <c r="Q90" s="6">
        <v>1</v>
      </c>
      <c r="R90" s="6">
        <v>1</v>
      </c>
      <c r="S90" s="6">
        <v>1</v>
      </c>
      <c r="T90" s="6">
        <v>0</v>
      </c>
      <c r="U90" s="6">
        <v>2</v>
      </c>
      <c r="V90" s="6">
        <v>0</v>
      </c>
      <c r="W90" s="6">
        <v>0</v>
      </c>
      <c r="X90" s="6">
        <v>2</v>
      </c>
      <c r="Y90" s="6">
        <v>2</v>
      </c>
      <c r="Z90" s="6">
        <v>0</v>
      </c>
      <c r="AA90" s="6">
        <v>1</v>
      </c>
      <c r="AB90" s="6">
        <v>1</v>
      </c>
      <c r="AC90" s="6">
        <v>0</v>
      </c>
      <c r="AD90" s="6">
        <v>0</v>
      </c>
      <c r="AE90" s="6">
        <v>0</v>
      </c>
      <c r="AF90" s="6">
        <v>2</v>
      </c>
      <c r="AG90" s="6">
        <v>0</v>
      </c>
      <c r="AH90" s="6">
        <v>0</v>
      </c>
      <c r="AI90" s="6">
        <v>1</v>
      </c>
      <c r="AJ90" s="6">
        <v>1</v>
      </c>
      <c r="AK90" s="6">
        <v>2</v>
      </c>
      <c r="AL90" s="6">
        <v>0</v>
      </c>
      <c r="AM90" s="6">
        <v>1</v>
      </c>
      <c r="AN90" s="6">
        <v>1</v>
      </c>
      <c r="AO90" s="6">
        <v>0</v>
      </c>
      <c r="AP90" s="6">
        <v>0</v>
      </c>
      <c r="AQ90" s="6">
        <v>1</v>
      </c>
      <c r="AR90" s="6">
        <v>1</v>
      </c>
      <c r="AS90" s="6">
        <v>0</v>
      </c>
      <c r="AT90" s="6">
        <v>0</v>
      </c>
      <c r="AU90" s="6">
        <v>0</v>
      </c>
      <c r="AV90" s="5">
        <f>SUM(E90:AU90)</f>
        <v>29</v>
      </c>
    </row>
    <row r="91" spans="1:48" ht="13.15" customHeight="1" x14ac:dyDescent="0.4">
      <c r="A91" s="6" t="s">
        <v>26</v>
      </c>
      <c r="B91" s="53" t="s">
        <v>51</v>
      </c>
      <c r="C91" s="54"/>
      <c r="D91" s="55"/>
      <c r="E91" s="5">
        <f t="shared" ref="E91:AV91" si="42">SUM(E90:E90)</f>
        <v>0</v>
      </c>
      <c r="F91" s="5">
        <f t="shared" si="42"/>
        <v>0</v>
      </c>
      <c r="G91" s="5">
        <f t="shared" si="42"/>
        <v>0</v>
      </c>
      <c r="H91" s="5">
        <f t="shared" si="42"/>
        <v>0</v>
      </c>
      <c r="I91" s="5">
        <f t="shared" si="42"/>
        <v>1</v>
      </c>
      <c r="J91" s="5">
        <f t="shared" si="42"/>
        <v>2</v>
      </c>
      <c r="K91" s="5">
        <f t="shared" si="42"/>
        <v>2</v>
      </c>
      <c r="L91" s="5">
        <f t="shared" si="42"/>
        <v>0</v>
      </c>
      <c r="M91" s="5">
        <f t="shared" si="42"/>
        <v>2</v>
      </c>
      <c r="N91" s="5">
        <f t="shared" si="42"/>
        <v>1</v>
      </c>
      <c r="O91" s="5">
        <f t="shared" si="42"/>
        <v>0</v>
      </c>
      <c r="P91" s="5">
        <f t="shared" si="42"/>
        <v>0</v>
      </c>
      <c r="Q91" s="5">
        <f t="shared" si="42"/>
        <v>1</v>
      </c>
      <c r="R91" s="5">
        <f t="shared" si="42"/>
        <v>1</v>
      </c>
      <c r="S91" s="5">
        <f t="shared" si="42"/>
        <v>1</v>
      </c>
      <c r="T91" s="5">
        <f t="shared" si="42"/>
        <v>0</v>
      </c>
      <c r="U91" s="5">
        <f t="shared" si="42"/>
        <v>2</v>
      </c>
      <c r="V91" s="5">
        <f t="shared" si="42"/>
        <v>0</v>
      </c>
      <c r="W91" s="5">
        <f t="shared" si="42"/>
        <v>0</v>
      </c>
      <c r="X91" s="5">
        <f t="shared" si="42"/>
        <v>2</v>
      </c>
      <c r="Y91" s="5">
        <f t="shared" si="42"/>
        <v>2</v>
      </c>
      <c r="Z91" s="5">
        <f t="shared" si="42"/>
        <v>0</v>
      </c>
      <c r="AA91" s="5">
        <f t="shared" si="42"/>
        <v>1</v>
      </c>
      <c r="AB91" s="5">
        <f t="shared" si="42"/>
        <v>1</v>
      </c>
      <c r="AC91" s="5">
        <f t="shared" si="42"/>
        <v>0</v>
      </c>
      <c r="AD91" s="5">
        <f t="shared" si="42"/>
        <v>0</v>
      </c>
      <c r="AE91" s="5">
        <f t="shared" si="42"/>
        <v>0</v>
      </c>
      <c r="AF91" s="5">
        <f t="shared" si="42"/>
        <v>2</v>
      </c>
      <c r="AG91" s="5">
        <f t="shared" si="42"/>
        <v>0</v>
      </c>
      <c r="AH91" s="5">
        <f t="shared" si="42"/>
        <v>0</v>
      </c>
      <c r="AI91" s="5">
        <f t="shared" si="42"/>
        <v>1</v>
      </c>
      <c r="AJ91" s="5">
        <f t="shared" si="42"/>
        <v>1</v>
      </c>
      <c r="AK91" s="5">
        <f t="shared" si="42"/>
        <v>2</v>
      </c>
      <c r="AL91" s="5">
        <f t="shared" si="42"/>
        <v>0</v>
      </c>
      <c r="AM91" s="5">
        <f t="shared" si="42"/>
        <v>1</v>
      </c>
      <c r="AN91" s="5">
        <f t="shared" si="42"/>
        <v>1</v>
      </c>
      <c r="AO91" s="5">
        <f t="shared" si="42"/>
        <v>0</v>
      </c>
      <c r="AP91" s="5">
        <f t="shared" si="42"/>
        <v>0</v>
      </c>
      <c r="AQ91" s="5">
        <f t="shared" si="42"/>
        <v>1</v>
      </c>
      <c r="AR91" s="5">
        <f t="shared" si="42"/>
        <v>1</v>
      </c>
      <c r="AS91" s="5">
        <f t="shared" si="42"/>
        <v>0</v>
      </c>
      <c r="AT91" s="5">
        <f t="shared" si="42"/>
        <v>0</v>
      </c>
      <c r="AU91" s="5">
        <f t="shared" si="42"/>
        <v>0</v>
      </c>
      <c r="AV91" s="5">
        <f t="shared" si="42"/>
        <v>29</v>
      </c>
    </row>
    <row r="92" spans="1:48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5"/>
    </row>
    <row r="93" spans="1:48" x14ac:dyDescent="0.4">
      <c r="A93" s="11" t="s">
        <v>48</v>
      </c>
      <c r="B93" s="17" t="s">
        <v>59</v>
      </c>
      <c r="C93" s="59" t="s">
        <v>60</v>
      </c>
      <c r="D93" s="60"/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1</v>
      </c>
      <c r="S93" s="6">
        <v>1</v>
      </c>
      <c r="T93" s="6">
        <v>0</v>
      </c>
      <c r="U93" s="6">
        <v>0</v>
      </c>
      <c r="V93" s="6">
        <v>1</v>
      </c>
      <c r="W93" s="6">
        <v>0</v>
      </c>
      <c r="X93" s="6">
        <v>1</v>
      </c>
      <c r="Y93" s="6">
        <v>0</v>
      </c>
      <c r="Z93" s="6">
        <v>2</v>
      </c>
      <c r="AA93" s="6">
        <v>0</v>
      </c>
      <c r="AB93" s="6">
        <v>0</v>
      </c>
      <c r="AC93" s="6">
        <v>0</v>
      </c>
      <c r="AD93" s="6">
        <v>1</v>
      </c>
      <c r="AE93" s="6">
        <v>0</v>
      </c>
      <c r="AF93" s="6">
        <v>2</v>
      </c>
      <c r="AG93" s="6">
        <v>1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4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5">
        <f>SUM(E93:AU93)</f>
        <v>17</v>
      </c>
    </row>
    <row r="94" spans="1:48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1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1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5">
        <f>SUM(E94:AU94)</f>
        <v>3</v>
      </c>
    </row>
    <row r="95" spans="1:48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2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1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1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1</v>
      </c>
      <c r="AQ95" s="6">
        <v>0</v>
      </c>
      <c r="AR95" s="6">
        <v>0</v>
      </c>
      <c r="AS95" s="6">
        <v>0</v>
      </c>
      <c r="AT95" s="6">
        <v>1</v>
      </c>
      <c r="AU95" s="6">
        <v>0</v>
      </c>
      <c r="AV95" s="5">
        <f>SUM(E95:AU95)</f>
        <v>8</v>
      </c>
    </row>
    <row r="96" spans="1:48" x14ac:dyDescent="0.4">
      <c r="A96" s="7"/>
      <c r="B96" s="46">
        <v>3</v>
      </c>
      <c r="C96" s="24" t="s">
        <v>146</v>
      </c>
      <c r="D96" s="47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2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5">
        <f>SUM(E96:AU96)</f>
        <v>3</v>
      </c>
    </row>
    <row r="97" spans="1:48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1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1</v>
      </c>
      <c r="AQ97" s="6">
        <v>0</v>
      </c>
      <c r="AR97" s="6">
        <v>2</v>
      </c>
      <c r="AS97" s="6">
        <v>0</v>
      </c>
      <c r="AT97" s="6">
        <v>0</v>
      </c>
      <c r="AU97" s="6">
        <v>0</v>
      </c>
      <c r="AV97" s="5">
        <f>SUM(E97:AU97)</f>
        <v>7</v>
      </c>
    </row>
    <row r="98" spans="1:48" x14ac:dyDescent="0.4">
      <c r="A98" s="6" t="s">
        <v>26</v>
      </c>
      <c r="B98" s="53" t="s">
        <v>51</v>
      </c>
      <c r="C98" s="54"/>
      <c r="D98" s="55"/>
      <c r="E98" s="5">
        <f t="shared" ref="E98:AV98" si="43">SUM(E93:E97)</f>
        <v>2</v>
      </c>
      <c r="F98" s="5">
        <f t="shared" si="43"/>
        <v>0</v>
      </c>
      <c r="G98" s="5">
        <f t="shared" si="43"/>
        <v>0</v>
      </c>
      <c r="H98" s="5">
        <f t="shared" si="43"/>
        <v>0</v>
      </c>
      <c r="I98" s="5">
        <f t="shared" si="43"/>
        <v>0</v>
      </c>
      <c r="J98" s="5">
        <f t="shared" si="43"/>
        <v>0</v>
      </c>
      <c r="K98" s="5">
        <f t="shared" si="43"/>
        <v>3</v>
      </c>
      <c r="L98" s="5">
        <f t="shared" si="43"/>
        <v>3</v>
      </c>
      <c r="M98" s="5">
        <f t="shared" si="43"/>
        <v>0</v>
      </c>
      <c r="N98" s="5">
        <f t="shared" si="43"/>
        <v>1</v>
      </c>
      <c r="O98" s="5">
        <f t="shared" si="43"/>
        <v>4</v>
      </c>
      <c r="P98" s="5">
        <f t="shared" si="43"/>
        <v>0</v>
      </c>
      <c r="Q98" s="5">
        <f t="shared" si="43"/>
        <v>0</v>
      </c>
      <c r="R98" s="5">
        <f t="shared" si="43"/>
        <v>1</v>
      </c>
      <c r="S98" s="5">
        <f t="shared" si="43"/>
        <v>2</v>
      </c>
      <c r="T98" s="5">
        <f t="shared" si="43"/>
        <v>1</v>
      </c>
      <c r="U98" s="5">
        <f t="shared" si="43"/>
        <v>0</v>
      </c>
      <c r="V98" s="5">
        <f t="shared" si="43"/>
        <v>1</v>
      </c>
      <c r="W98" s="5">
        <f t="shared" si="43"/>
        <v>0</v>
      </c>
      <c r="X98" s="5">
        <f t="shared" si="43"/>
        <v>1</v>
      </c>
      <c r="Y98" s="5">
        <f t="shared" si="43"/>
        <v>0</v>
      </c>
      <c r="Z98" s="5">
        <f t="shared" si="43"/>
        <v>3</v>
      </c>
      <c r="AA98" s="5">
        <f t="shared" si="43"/>
        <v>0</v>
      </c>
      <c r="AB98" s="5">
        <f t="shared" si="43"/>
        <v>1</v>
      </c>
      <c r="AC98" s="5">
        <f t="shared" si="43"/>
        <v>0</v>
      </c>
      <c r="AD98" s="5">
        <f t="shared" si="43"/>
        <v>1</v>
      </c>
      <c r="AE98" s="5">
        <f t="shared" si="43"/>
        <v>0</v>
      </c>
      <c r="AF98" s="5">
        <f t="shared" si="43"/>
        <v>2</v>
      </c>
      <c r="AG98" s="5">
        <f t="shared" si="43"/>
        <v>1</v>
      </c>
      <c r="AH98" s="5">
        <f t="shared" si="43"/>
        <v>1</v>
      </c>
      <c r="AI98" s="5">
        <f t="shared" si="43"/>
        <v>1</v>
      </c>
      <c r="AJ98" s="5">
        <f t="shared" si="43"/>
        <v>0</v>
      </c>
      <c r="AK98" s="5">
        <f t="shared" si="43"/>
        <v>0</v>
      </c>
      <c r="AL98" s="5">
        <f t="shared" si="43"/>
        <v>0</v>
      </c>
      <c r="AM98" s="5">
        <f t="shared" si="43"/>
        <v>0</v>
      </c>
      <c r="AN98" s="5">
        <f t="shared" si="43"/>
        <v>0</v>
      </c>
      <c r="AO98" s="5">
        <f t="shared" si="43"/>
        <v>4</v>
      </c>
      <c r="AP98" s="5">
        <f t="shared" si="43"/>
        <v>2</v>
      </c>
      <c r="AQ98" s="5">
        <f t="shared" si="43"/>
        <v>0</v>
      </c>
      <c r="AR98" s="5">
        <f t="shared" si="43"/>
        <v>2</v>
      </c>
      <c r="AS98" s="5">
        <f t="shared" si="43"/>
        <v>0</v>
      </c>
      <c r="AT98" s="5">
        <f t="shared" si="43"/>
        <v>1</v>
      </c>
      <c r="AU98" s="5">
        <f t="shared" si="43"/>
        <v>0</v>
      </c>
      <c r="AV98" s="5">
        <f t="shared" si="43"/>
        <v>38</v>
      </c>
    </row>
    <row r="99" spans="1:48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x14ac:dyDescent="0.4">
      <c r="A100" s="11" t="s">
        <v>48</v>
      </c>
      <c r="B100" s="17" t="s">
        <v>61</v>
      </c>
      <c r="C100" s="59" t="s">
        <v>62</v>
      </c>
      <c r="D100" s="60"/>
      <c r="E100" s="6">
        <v>0</v>
      </c>
      <c r="F100" s="6">
        <v>5</v>
      </c>
      <c r="G100" s="6">
        <v>1</v>
      </c>
      <c r="H100" s="6">
        <v>0</v>
      </c>
      <c r="I100" s="6">
        <v>2</v>
      </c>
      <c r="J100" s="6">
        <v>3</v>
      </c>
      <c r="K100" s="6">
        <v>8</v>
      </c>
      <c r="L100" s="6">
        <v>1</v>
      </c>
      <c r="M100" s="6">
        <v>2</v>
      </c>
      <c r="N100" s="6">
        <v>3</v>
      </c>
      <c r="O100" s="6">
        <v>4</v>
      </c>
      <c r="P100" s="6">
        <v>4</v>
      </c>
      <c r="Q100" s="6">
        <v>1</v>
      </c>
      <c r="R100" s="6">
        <v>2</v>
      </c>
      <c r="S100" s="6">
        <v>1</v>
      </c>
      <c r="T100" s="6">
        <v>6</v>
      </c>
      <c r="U100" s="6">
        <v>4</v>
      </c>
      <c r="V100" s="6">
        <v>0</v>
      </c>
      <c r="W100" s="6">
        <v>1</v>
      </c>
      <c r="X100" s="6">
        <v>3</v>
      </c>
      <c r="Y100" s="6">
        <v>3</v>
      </c>
      <c r="Z100" s="6">
        <v>0</v>
      </c>
      <c r="AA100" s="6">
        <v>0</v>
      </c>
      <c r="AB100" s="6">
        <v>0</v>
      </c>
      <c r="AC100" s="6">
        <v>1</v>
      </c>
      <c r="AD100" s="6">
        <v>0</v>
      </c>
      <c r="AE100" s="6">
        <v>4</v>
      </c>
      <c r="AF100" s="6">
        <v>2</v>
      </c>
      <c r="AG100" s="6">
        <v>0</v>
      </c>
      <c r="AH100" s="6">
        <v>9</v>
      </c>
      <c r="AI100" s="6">
        <v>4</v>
      </c>
      <c r="AJ100" s="6">
        <v>0</v>
      </c>
      <c r="AK100" s="6">
        <v>0</v>
      </c>
      <c r="AL100" s="6">
        <v>1</v>
      </c>
      <c r="AM100" s="6">
        <v>8</v>
      </c>
      <c r="AN100" s="6">
        <v>3</v>
      </c>
      <c r="AO100" s="6">
        <v>2</v>
      </c>
      <c r="AP100" s="6">
        <v>4</v>
      </c>
      <c r="AQ100" s="6">
        <v>0</v>
      </c>
      <c r="AR100" s="6">
        <v>4</v>
      </c>
      <c r="AS100" s="6">
        <v>2</v>
      </c>
      <c r="AT100" s="6">
        <v>0</v>
      </c>
      <c r="AU100" s="6">
        <v>2</v>
      </c>
      <c r="AV100" s="5">
        <f t="shared" ref="AV100:AV106" si="44">SUM(E100:AU100)</f>
        <v>100</v>
      </c>
    </row>
    <row r="101" spans="1:48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1</v>
      </c>
      <c r="F101" s="6">
        <v>41</v>
      </c>
      <c r="G101" s="6">
        <v>1</v>
      </c>
      <c r="H101" s="6">
        <v>1</v>
      </c>
      <c r="I101" s="6">
        <v>19</v>
      </c>
      <c r="J101" s="6">
        <v>22</v>
      </c>
      <c r="K101" s="6">
        <v>11</v>
      </c>
      <c r="L101" s="6">
        <v>4</v>
      </c>
      <c r="M101" s="6">
        <v>6</v>
      </c>
      <c r="N101" s="6">
        <v>6</v>
      </c>
      <c r="O101" s="6">
        <v>3</v>
      </c>
      <c r="P101" s="6">
        <v>8</v>
      </c>
      <c r="Q101" s="6">
        <v>8</v>
      </c>
      <c r="R101" s="6">
        <v>5</v>
      </c>
      <c r="S101" s="6">
        <v>4</v>
      </c>
      <c r="T101" s="6">
        <v>1</v>
      </c>
      <c r="U101" s="6">
        <v>8</v>
      </c>
      <c r="V101" s="6">
        <v>2</v>
      </c>
      <c r="W101" s="6">
        <v>3</v>
      </c>
      <c r="X101" s="6">
        <v>2</v>
      </c>
      <c r="Y101" s="6">
        <v>6</v>
      </c>
      <c r="Z101" s="6">
        <v>5</v>
      </c>
      <c r="AA101" s="6">
        <v>2</v>
      </c>
      <c r="AB101" s="6">
        <v>1</v>
      </c>
      <c r="AC101" s="6">
        <v>3</v>
      </c>
      <c r="AD101" s="6">
        <v>6</v>
      </c>
      <c r="AE101" s="6">
        <v>28</v>
      </c>
      <c r="AF101" s="6">
        <v>6</v>
      </c>
      <c r="AG101" s="6">
        <v>7</v>
      </c>
      <c r="AH101" s="6">
        <v>22</v>
      </c>
      <c r="AI101" s="6">
        <v>6</v>
      </c>
      <c r="AJ101" s="6">
        <v>4</v>
      </c>
      <c r="AK101" s="6">
        <v>2</v>
      </c>
      <c r="AL101" s="6">
        <v>2</v>
      </c>
      <c r="AM101" s="6">
        <v>3</v>
      </c>
      <c r="AN101" s="6">
        <v>4</v>
      </c>
      <c r="AO101" s="6">
        <v>7</v>
      </c>
      <c r="AP101" s="6">
        <v>3</v>
      </c>
      <c r="AQ101" s="6">
        <v>5</v>
      </c>
      <c r="AR101" s="6">
        <v>5</v>
      </c>
      <c r="AS101" s="6">
        <v>4</v>
      </c>
      <c r="AT101" s="6">
        <v>6</v>
      </c>
      <c r="AU101" s="6">
        <v>4</v>
      </c>
      <c r="AV101" s="5">
        <f t="shared" si="44"/>
        <v>297</v>
      </c>
    </row>
    <row r="102" spans="1:48" x14ac:dyDescent="0.4">
      <c r="A102" s="7"/>
      <c r="B102" s="46">
        <v>2</v>
      </c>
      <c r="C102" s="24" t="s">
        <v>149</v>
      </c>
      <c r="D102" s="47"/>
      <c r="E102" s="6">
        <v>1</v>
      </c>
      <c r="F102" s="6">
        <v>2</v>
      </c>
      <c r="G102" s="6">
        <v>1</v>
      </c>
      <c r="H102" s="6">
        <v>1</v>
      </c>
      <c r="I102" s="6">
        <v>0</v>
      </c>
      <c r="J102" s="6">
        <v>2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1</v>
      </c>
      <c r="U102" s="6">
        <v>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1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6">
        <v>0</v>
      </c>
      <c r="AM102" s="6">
        <v>2</v>
      </c>
      <c r="AN102" s="6">
        <v>1</v>
      </c>
      <c r="AO102" s="6">
        <v>0</v>
      </c>
      <c r="AP102" s="6">
        <v>1</v>
      </c>
      <c r="AQ102" s="6">
        <v>0</v>
      </c>
      <c r="AR102" s="6">
        <v>0</v>
      </c>
      <c r="AS102" s="6">
        <v>2</v>
      </c>
      <c r="AT102" s="6">
        <v>0</v>
      </c>
      <c r="AU102" s="6">
        <v>0</v>
      </c>
      <c r="AV102" s="5">
        <f t="shared" si="44"/>
        <v>19</v>
      </c>
    </row>
    <row r="103" spans="1:48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2</v>
      </c>
      <c r="J103" s="6">
        <v>3</v>
      </c>
      <c r="K103" s="6">
        <v>4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3</v>
      </c>
      <c r="T103" s="6">
        <v>0</v>
      </c>
      <c r="U103" s="6">
        <v>3</v>
      </c>
      <c r="V103" s="6">
        <v>1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1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1</v>
      </c>
      <c r="AJ103" s="6">
        <v>0</v>
      </c>
      <c r="AK103" s="6">
        <v>0</v>
      </c>
      <c r="AL103" s="6">
        <v>0</v>
      </c>
      <c r="AM103" s="6">
        <v>1</v>
      </c>
      <c r="AN103" s="6">
        <v>1</v>
      </c>
      <c r="AO103" s="6">
        <v>0</v>
      </c>
      <c r="AP103" s="6">
        <v>0</v>
      </c>
      <c r="AQ103" s="6">
        <v>1</v>
      </c>
      <c r="AR103" s="6">
        <v>1</v>
      </c>
      <c r="AS103" s="6">
        <v>0</v>
      </c>
      <c r="AT103" s="6">
        <v>0</v>
      </c>
      <c r="AU103" s="6">
        <v>0</v>
      </c>
      <c r="AV103" s="5">
        <f t="shared" si="44"/>
        <v>23</v>
      </c>
    </row>
    <row r="104" spans="1:48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1</v>
      </c>
      <c r="W104" s="6">
        <v>0</v>
      </c>
      <c r="X104" s="6">
        <v>1</v>
      </c>
      <c r="Y104" s="6">
        <v>0</v>
      </c>
      <c r="Z104" s="6">
        <v>0</v>
      </c>
      <c r="AA104" s="6">
        <v>0</v>
      </c>
      <c r="AB104" s="6">
        <v>0</v>
      </c>
      <c r="AC104" s="6">
        <v>1</v>
      </c>
      <c r="AD104" s="6">
        <v>0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1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5">
        <f t="shared" si="44"/>
        <v>7</v>
      </c>
    </row>
    <row r="105" spans="1:48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3</v>
      </c>
      <c r="U105" s="6">
        <v>5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1</v>
      </c>
      <c r="AP105" s="6">
        <v>0</v>
      </c>
      <c r="AQ105" s="6">
        <v>0</v>
      </c>
      <c r="AR105" s="6">
        <v>0</v>
      </c>
      <c r="AS105" s="6">
        <v>1</v>
      </c>
      <c r="AT105" s="6">
        <v>0</v>
      </c>
      <c r="AU105" s="6">
        <v>0</v>
      </c>
      <c r="AV105" s="5">
        <f t="shared" si="44"/>
        <v>14</v>
      </c>
    </row>
    <row r="106" spans="1:48" x14ac:dyDescent="0.4">
      <c r="A106" s="7"/>
      <c r="B106" s="46">
        <v>6</v>
      </c>
      <c r="C106" s="24" t="s">
        <v>153</v>
      </c>
      <c r="D106" s="47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4</v>
      </c>
      <c r="T106" s="6">
        <v>1</v>
      </c>
      <c r="U106" s="6">
        <v>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1</v>
      </c>
      <c r="AN106" s="6">
        <v>0</v>
      </c>
      <c r="AO106" s="6">
        <v>1</v>
      </c>
      <c r="AP106" s="6">
        <v>0</v>
      </c>
      <c r="AQ106" s="6">
        <v>2</v>
      </c>
      <c r="AR106" s="6">
        <v>0</v>
      </c>
      <c r="AS106" s="6">
        <v>0</v>
      </c>
      <c r="AT106" s="6">
        <v>0</v>
      </c>
      <c r="AU106" s="6">
        <v>0</v>
      </c>
      <c r="AV106" s="5">
        <f t="shared" si="44"/>
        <v>12</v>
      </c>
    </row>
    <row r="107" spans="1:48" x14ac:dyDescent="0.4">
      <c r="A107" s="6" t="s">
        <v>26</v>
      </c>
      <c r="B107" s="53" t="s">
        <v>51</v>
      </c>
      <c r="C107" s="54"/>
      <c r="D107" s="55"/>
      <c r="E107" s="5">
        <f t="shared" ref="E107:AV107" si="45">SUM(E100:E106)</f>
        <v>2</v>
      </c>
      <c r="F107" s="5">
        <f t="shared" si="45"/>
        <v>48</v>
      </c>
      <c r="G107" s="5">
        <f t="shared" si="45"/>
        <v>3</v>
      </c>
      <c r="H107" s="5">
        <f t="shared" si="45"/>
        <v>3</v>
      </c>
      <c r="I107" s="5">
        <f t="shared" si="45"/>
        <v>24</v>
      </c>
      <c r="J107" s="5">
        <f t="shared" si="45"/>
        <v>32</v>
      </c>
      <c r="K107" s="5">
        <f t="shared" si="45"/>
        <v>23</v>
      </c>
      <c r="L107" s="5">
        <f t="shared" si="45"/>
        <v>5</v>
      </c>
      <c r="M107" s="5">
        <f t="shared" si="45"/>
        <v>11</v>
      </c>
      <c r="N107" s="5">
        <f t="shared" si="45"/>
        <v>9</v>
      </c>
      <c r="O107" s="5">
        <f t="shared" si="45"/>
        <v>7</v>
      </c>
      <c r="P107" s="5">
        <f t="shared" si="45"/>
        <v>12</v>
      </c>
      <c r="Q107" s="5">
        <f t="shared" si="45"/>
        <v>11</v>
      </c>
      <c r="R107" s="5">
        <f t="shared" si="45"/>
        <v>8</v>
      </c>
      <c r="S107" s="5">
        <f t="shared" si="45"/>
        <v>12</v>
      </c>
      <c r="T107" s="5">
        <f t="shared" si="45"/>
        <v>12</v>
      </c>
      <c r="U107" s="5">
        <f t="shared" si="45"/>
        <v>22</v>
      </c>
      <c r="V107" s="5">
        <f t="shared" si="45"/>
        <v>4</v>
      </c>
      <c r="W107" s="5">
        <f t="shared" si="45"/>
        <v>4</v>
      </c>
      <c r="X107" s="5">
        <f t="shared" si="45"/>
        <v>6</v>
      </c>
      <c r="Y107" s="5">
        <f t="shared" si="45"/>
        <v>9</v>
      </c>
      <c r="Z107" s="5">
        <f t="shared" si="45"/>
        <v>5</v>
      </c>
      <c r="AA107" s="5">
        <f t="shared" si="45"/>
        <v>2</v>
      </c>
      <c r="AB107" s="5">
        <f t="shared" si="45"/>
        <v>1</v>
      </c>
      <c r="AC107" s="5">
        <f t="shared" si="45"/>
        <v>6</v>
      </c>
      <c r="AD107" s="5">
        <f t="shared" si="45"/>
        <v>6</v>
      </c>
      <c r="AE107" s="5">
        <f t="shared" si="45"/>
        <v>34</v>
      </c>
      <c r="AF107" s="5">
        <f t="shared" si="45"/>
        <v>9</v>
      </c>
      <c r="AG107" s="5">
        <f t="shared" si="45"/>
        <v>7</v>
      </c>
      <c r="AH107" s="5">
        <f t="shared" si="45"/>
        <v>32</v>
      </c>
      <c r="AI107" s="5">
        <f t="shared" si="45"/>
        <v>11</v>
      </c>
      <c r="AJ107" s="5">
        <f t="shared" si="45"/>
        <v>4</v>
      </c>
      <c r="AK107" s="5">
        <f t="shared" si="45"/>
        <v>2</v>
      </c>
      <c r="AL107" s="5">
        <f t="shared" si="45"/>
        <v>4</v>
      </c>
      <c r="AM107" s="5">
        <f t="shared" si="45"/>
        <v>15</v>
      </c>
      <c r="AN107" s="5">
        <f t="shared" si="45"/>
        <v>9</v>
      </c>
      <c r="AO107" s="5">
        <f t="shared" si="45"/>
        <v>11</v>
      </c>
      <c r="AP107" s="5">
        <f t="shared" si="45"/>
        <v>8</v>
      </c>
      <c r="AQ107" s="5">
        <f t="shared" si="45"/>
        <v>8</v>
      </c>
      <c r="AR107" s="5">
        <f t="shared" si="45"/>
        <v>10</v>
      </c>
      <c r="AS107" s="5">
        <f t="shared" si="45"/>
        <v>9</v>
      </c>
      <c r="AT107" s="5">
        <f t="shared" si="45"/>
        <v>6</v>
      </c>
      <c r="AU107" s="5">
        <f t="shared" si="45"/>
        <v>6</v>
      </c>
      <c r="AV107" s="5">
        <f t="shared" si="45"/>
        <v>472</v>
      </c>
    </row>
    <row r="108" spans="1:48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5">
        <f>SUM(E109:AU109)</f>
        <v>0</v>
      </c>
    </row>
    <row r="110" spans="1:48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5">
        <f>SUM(E110:AU110)</f>
        <v>1</v>
      </c>
    </row>
    <row r="111" spans="1:48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1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1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5">
        <f>SUM(E111:AU111)</f>
        <v>2</v>
      </c>
    </row>
    <row r="112" spans="1:48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1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1</v>
      </c>
      <c r="AR112" s="6">
        <v>0</v>
      </c>
      <c r="AS112" s="6">
        <v>0</v>
      </c>
      <c r="AT112" s="6">
        <v>0</v>
      </c>
      <c r="AU112" s="6">
        <v>0</v>
      </c>
      <c r="AV112" s="5">
        <f>SUM(E112:AU112)</f>
        <v>2</v>
      </c>
    </row>
    <row r="113" spans="1:48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AV113" si="46">SUM(E109:E112)</f>
        <v>0</v>
      </c>
      <c r="F113" s="5">
        <f t="shared" si="46"/>
        <v>0</v>
      </c>
      <c r="G113" s="5">
        <f t="shared" si="46"/>
        <v>0</v>
      </c>
      <c r="H113" s="5">
        <f t="shared" si="46"/>
        <v>0</v>
      </c>
      <c r="I113" s="5">
        <f t="shared" si="46"/>
        <v>0</v>
      </c>
      <c r="J113" s="5">
        <f t="shared" si="46"/>
        <v>0</v>
      </c>
      <c r="K113" s="5">
        <f t="shared" si="46"/>
        <v>0</v>
      </c>
      <c r="L113" s="5">
        <f t="shared" si="46"/>
        <v>0</v>
      </c>
      <c r="M113" s="5">
        <f t="shared" si="46"/>
        <v>0</v>
      </c>
      <c r="N113" s="5">
        <f t="shared" si="46"/>
        <v>0</v>
      </c>
      <c r="O113" s="5">
        <f t="shared" si="46"/>
        <v>0</v>
      </c>
      <c r="P113" s="5">
        <f t="shared" si="46"/>
        <v>0</v>
      </c>
      <c r="Q113" s="5">
        <f t="shared" si="46"/>
        <v>0</v>
      </c>
      <c r="R113" s="5">
        <f t="shared" si="46"/>
        <v>0</v>
      </c>
      <c r="S113" s="5">
        <f t="shared" si="46"/>
        <v>0</v>
      </c>
      <c r="T113" s="5">
        <f t="shared" si="46"/>
        <v>1</v>
      </c>
      <c r="U113" s="5">
        <f t="shared" si="46"/>
        <v>1</v>
      </c>
      <c r="V113" s="5">
        <f t="shared" si="46"/>
        <v>1</v>
      </c>
      <c r="W113" s="5">
        <f t="shared" si="46"/>
        <v>0</v>
      </c>
      <c r="X113" s="5">
        <f t="shared" si="46"/>
        <v>0</v>
      </c>
      <c r="Y113" s="5">
        <f t="shared" si="46"/>
        <v>0</v>
      </c>
      <c r="Z113" s="5">
        <f t="shared" si="46"/>
        <v>0</v>
      </c>
      <c r="AA113" s="5">
        <f t="shared" si="46"/>
        <v>0</v>
      </c>
      <c r="AB113" s="5">
        <f t="shared" si="46"/>
        <v>0</v>
      </c>
      <c r="AC113" s="5">
        <f t="shared" si="46"/>
        <v>0</v>
      </c>
      <c r="AD113" s="5">
        <f t="shared" si="46"/>
        <v>0</v>
      </c>
      <c r="AE113" s="5">
        <f t="shared" si="46"/>
        <v>0</v>
      </c>
      <c r="AF113" s="5">
        <f t="shared" si="46"/>
        <v>0</v>
      </c>
      <c r="AG113" s="5">
        <f t="shared" si="46"/>
        <v>0</v>
      </c>
      <c r="AH113" s="5">
        <f t="shared" si="46"/>
        <v>0</v>
      </c>
      <c r="AI113" s="5">
        <f t="shared" si="46"/>
        <v>1</v>
      </c>
      <c r="AJ113" s="5">
        <f t="shared" si="46"/>
        <v>0</v>
      </c>
      <c r="AK113" s="5">
        <f t="shared" si="46"/>
        <v>0</v>
      </c>
      <c r="AL113" s="5">
        <f t="shared" si="46"/>
        <v>0</v>
      </c>
      <c r="AM113" s="5">
        <f t="shared" si="46"/>
        <v>0</v>
      </c>
      <c r="AN113" s="5">
        <f t="shared" si="46"/>
        <v>0</v>
      </c>
      <c r="AO113" s="5">
        <f t="shared" si="46"/>
        <v>0</v>
      </c>
      <c r="AP113" s="5">
        <f t="shared" si="46"/>
        <v>0</v>
      </c>
      <c r="AQ113" s="5">
        <f t="shared" si="46"/>
        <v>1</v>
      </c>
      <c r="AR113" s="5">
        <f t="shared" si="46"/>
        <v>0</v>
      </c>
      <c r="AS113" s="5">
        <f t="shared" si="46"/>
        <v>0</v>
      </c>
      <c r="AT113" s="5">
        <f t="shared" si="46"/>
        <v>0</v>
      </c>
      <c r="AU113" s="5">
        <f t="shared" si="46"/>
        <v>0</v>
      </c>
      <c r="AV113" s="5">
        <f t="shared" si="46"/>
        <v>5</v>
      </c>
    </row>
    <row r="114" spans="1:48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5"/>
    </row>
    <row r="115" spans="1:48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3</v>
      </c>
      <c r="O115" s="6">
        <v>0</v>
      </c>
      <c r="P115" s="6">
        <v>0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3</v>
      </c>
      <c r="AA115" s="6">
        <v>1</v>
      </c>
      <c r="AB115" s="6">
        <v>1</v>
      </c>
      <c r="AC115" s="6">
        <v>2</v>
      </c>
      <c r="AD115" s="6">
        <v>1</v>
      </c>
      <c r="AE115" s="6">
        <v>2</v>
      </c>
      <c r="AF115" s="6">
        <v>0</v>
      </c>
      <c r="AG115" s="6">
        <v>0</v>
      </c>
      <c r="AH115" s="6">
        <v>0</v>
      </c>
      <c r="AI115" s="6">
        <v>0</v>
      </c>
      <c r="AJ115" s="6">
        <v>1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5">
        <f t="shared" ref="AV115:AV121" si="47">SUM(E115:AU115)</f>
        <v>18</v>
      </c>
    </row>
    <row r="116" spans="1:48" x14ac:dyDescent="0.4">
      <c r="A116" s="48" t="s">
        <v>50</v>
      </c>
      <c r="B116" s="46">
        <v>1</v>
      </c>
      <c r="C116" s="24" t="s">
        <v>157</v>
      </c>
      <c r="D116" s="47"/>
      <c r="E116" s="49">
        <v>2</v>
      </c>
      <c r="F116" s="6">
        <v>0</v>
      </c>
      <c r="G116" s="6">
        <v>2</v>
      </c>
      <c r="H116" s="6">
        <v>0</v>
      </c>
      <c r="I116" s="6">
        <v>0</v>
      </c>
      <c r="J116" s="6">
        <v>0</v>
      </c>
      <c r="K116" s="6">
        <v>0</v>
      </c>
      <c r="L116" s="6">
        <v>4</v>
      </c>
      <c r="M116" s="6">
        <v>5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1</v>
      </c>
      <c r="T116" s="6">
        <v>0</v>
      </c>
      <c r="U116" s="6">
        <v>0</v>
      </c>
      <c r="V116" s="6">
        <v>1</v>
      </c>
      <c r="W116" s="6">
        <v>0</v>
      </c>
      <c r="X116" s="6">
        <v>1</v>
      </c>
      <c r="Y116" s="6">
        <v>0</v>
      </c>
      <c r="Z116" s="6">
        <v>9</v>
      </c>
      <c r="AA116" s="6">
        <v>13</v>
      </c>
      <c r="AB116" s="6">
        <v>42</v>
      </c>
      <c r="AC116" s="6">
        <v>46</v>
      </c>
      <c r="AD116" s="6">
        <v>1</v>
      </c>
      <c r="AE116" s="6">
        <v>2</v>
      </c>
      <c r="AF116" s="6">
        <v>1</v>
      </c>
      <c r="AG116" s="6">
        <v>2</v>
      </c>
      <c r="AH116" s="6">
        <v>0</v>
      </c>
      <c r="AI116" s="6">
        <v>0</v>
      </c>
      <c r="AJ116" s="6">
        <v>6</v>
      </c>
      <c r="AK116" s="6">
        <v>9</v>
      </c>
      <c r="AL116" s="6">
        <v>0</v>
      </c>
      <c r="AM116" s="6">
        <v>0</v>
      </c>
      <c r="AN116" s="6">
        <v>1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1</v>
      </c>
      <c r="AV116" s="5">
        <f t="shared" si="47"/>
        <v>149</v>
      </c>
    </row>
    <row r="117" spans="1:48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3</v>
      </c>
      <c r="M117" s="6">
        <v>9</v>
      </c>
      <c r="N117" s="6">
        <v>12</v>
      </c>
      <c r="O117" s="6">
        <v>4</v>
      </c>
      <c r="P117" s="6">
        <v>10</v>
      </c>
      <c r="Q117" s="6">
        <v>0</v>
      </c>
      <c r="R117" s="6">
        <v>0</v>
      </c>
      <c r="S117" s="6">
        <v>3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1</v>
      </c>
      <c r="AC117" s="6">
        <v>0</v>
      </c>
      <c r="AD117" s="6">
        <v>0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1</v>
      </c>
      <c r="AP117" s="6">
        <v>0</v>
      </c>
      <c r="AQ117" s="6">
        <v>0</v>
      </c>
      <c r="AR117" s="6">
        <v>1</v>
      </c>
      <c r="AS117" s="6">
        <v>0</v>
      </c>
      <c r="AT117" s="6">
        <v>1</v>
      </c>
      <c r="AU117" s="6">
        <v>0</v>
      </c>
      <c r="AV117" s="5">
        <f t="shared" si="47"/>
        <v>47</v>
      </c>
    </row>
    <row r="118" spans="1:48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1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5">
        <f t="shared" si="47"/>
        <v>1</v>
      </c>
    </row>
    <row r="119" spans="1:48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1</v>
      </c>
      <c r="AD119" s="6">
        <v>0</v>
      </c>
      <c r="AE119" s="6">
        <v>0</v>
      </c>
      <c r="AF119" s="6">
        <v>0</v>
      </c>
      <c r="AG119" s="6">
        <v>1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5">
        <f t="shared" si="47"/>
        <v>4</v>
      </c>
    </row>
    <row r="120" spans="1:48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5">
        <f t="shared" si="47"/>
        <v>1</v>
      </c>
    </row>
    <row r="121" spans="1:48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5">
        <f t="shared" si="47"/>
        <v>0</v>
      </c>
    </row>
    <row r="122" spans="1:48" x14ac:dyDescent="0.4">
      <c r="A122" s="6" t="s">
        <v>26</v>
      </c>
      <c r="B122" s="64" t="s">
        <v>51</v>
      </c>
      <c r="C122" s="65"/>
      <c r="D122" s="66"/>
      <c r="E122" s="5">
        <f t="shared" ref="E122:AV122" si="48">SUM(E115:E121)</f>
        <v>2</v>
      </c>
      <c r="F122" s="5">
        <f t="shared" si="48"/>
        <v>2</v>
      </c>
      <c r="G122" s="5">
        <f t="shared" si="48"/>
        <v>4</v>
      </c>
      <c r="H122" s="5">
        <f t="shared" si="48"/>
        <v>0</v>
      </c>
      <c r="I122" s="5">
        <f t="shared" si="48"/>
        <v>0</v>
      </c>
      <c r="J122" s="5">
        <f t="shared" si="48"/>
        <v>0</v>
      </c>
      <c r="K122" s="5">
        <f t="shared" si="48"/>
        <v>0</v>
      </c>
      <c r="L122" s="5">
        <f t="shared" si="48"/>
        <v>7</v>
      </c>
      <c r="M122" s="5">
        <f t="shared" si="48"/>
        <v>15</v>
      </c>
      <c r="N122" s="5">
        <f t="shared" si="48"/>
        <v>16</v>
      </c>
      <c r="O122" s="5">
        <f t="shared" si="48"/>
        <v>4</v>
      </c>
      <c r="P122" s="5">
        <f t="shared" si="48"/>
        <v>10</v>
      </c>
      <c r="Q122" s="5">
        <f t="shared" si="48"/>
        <v>0</v>
      </c>
      <c r="R122" s="5">
        <f t="shared" si="48"/>
        <v>1</v>
      </c>
      <c r="S122" s="5">
        <f t="shared" si="48"/>
        <v>4</v>
      </c>
      <c r="T122" s="5">
        <f t="shared" si="48"/>
        <v>0</v>
      </c>
      <c r="U122" s="5">
        <f t="shared" si="48"/>
        <v>0</v>
      </c>
      <c r="V122" s="5">
        <f t="shared" si="48"/>
        <v>1</v>
      </c>
      <c r="W122" s="5">
        <f t="shared" si="48"/>
        <v>1</v>
      </c>
      <c r="X122" s="5">
        <f t="shared" si="48"/>
        <v>1</v>
      </c>
      <c r="Y122" s="5">
        <f t="shared" si="48"/>
        <v>0</v>
      </c>
      <c r="Z122" s="5">
        <f t="shared" si="48"/>
        <v>12</v>
      </c>
      <c r="AA122" s="5">
        <f t="shared" si="48"/>
        <v>15</v>
      </c>
      <c r="AB122" s="5">
        <f t="shared" si="48"/>
        <v>44</v>
      </c>
      <c r="AC122" s="5">
        <f t="shared" si="48"/>
        <v>49</v>
      </c>
      <c r="AD122" s="5">
        <f t="shared" si="48"/>
        <v>2</v>
      </c>
      <c r="AE122" s="5">
        <f t="shared" si="48"/>
        <v>5</v>
      </c>
      <c r="AF122" s="5">
        <f t="shared" si="48"/>
        <v>1</v>
      </c>
      <c r="AG122" s="5">
        <f t="shared" si="48"/>
        <v>3</v>
      </c>
      <c r="AH122" s="5">
        <f t="shared" si="48"/>
        <v>0</v>
      </c>
      <c r="AI122" s="5">
        <f t="shared" si="48"/>
        <v>0</v>
      </c>
      <c r="AJ122" s="5">
        <f t="shared" si="48"/>
        <v>7</v>
      </c>
      <c r="AK122" s="5">
        <f t="shared" si="48"/>
        <v>9</v>
      </c>
      <c r="AL122" s="5">
        <f t="shared" si="48"/>
        <v>0</v>
      </c>
      <c r="AM122" s="5">
        <f t="shared" si="48"/>
        <v>0</v>
      </c>
      <c r="AN122" s="5">
        <f t="shared" si="48"/>
        <v>1</v>
      </c>
      <c r="AO122" s="5">
        <f t="shared" si="48"/>
        <v>1</v>
      </c>
      <c r="AP122" s="5">
        <f t="shared" si="48"/>
        <v>0</v>
      </c>
      <c r="AQ122" s="5">
        <f t="shared" si="48"/>
        <v>0</v>
      </c>
      <c r="AR122" s="5">
        <f t="shared" si="48"/>
        <v>1</v>
      </c>
      <c r="AS122" s="5">
        <f t="shared" si="48"/>
        <v>0</v>
      </c>
      <c r="AT122" s="5">
        <f t="shared" si="48"/>
        <v>1</v>
      </c>
      <c r="AU122" s="5">
        <f t="shared" si="48"/>
        <v>1</v>
      </c>
      <c r="AV122" s="5">
        <f t="shared" si="48"/>
        <v>220</v>
      </c>
    </row>
    <row r="123" spans="1:48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spans="1:48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0</v>
      </c>
      <c r="P124" s="6">
        <v>0</v>
      </c>
      <c r="Q124" s="6">
        <v>2</v>
      </c>
      <c r="R124" s="6">
        <v>2</v>
      </c>
      <c r="S124" s="6">
        <v>0</v>
      </c>
      <c r="T124" s="6">
        <v>0</v>
      </c>
      <c r="U124" s="6">
        <v>0</v>
      </c>
      <c r="V124" s="6">
        <v>1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1</v>
      </c>
      <c r="AN124" s="6">
        <v>2</v>
      </c>
      <c r="AO124" s="6">
        <v>0</v>
      </c>
      <c r="AP124" s="6">
        <v>0</v>
      </c>
      <c r="AQ124" s="6">
        <v>0</v>
      </c>
      <c r="AR124" s="6">
        <v>0</v>
      </c>
      <c r="AS124" s="6">
        <v>1</v>
      </c>
      <c r="AT124" s="6">
        <v>0</v>
      </c>
      <c r="AU124" s="6">
        <v>1</v>
      </c>
      <c r="AV124" s="5">
        <f>SUM(E124:AU124)</f>
        <v>11</v>
      </c>
    </row>
    <row r="125" spans="1:48" x14ac:dyDescent="0.4">
      <c r="A125" s="6" t="s">
        <v>26</v>
      </c>
      <c r="B125" s="53" t="s">
        <v>51</v>
      </c>
      <c r="C125" s="54"/>
      <c r="D125" s="55"/>
      <c r="E125" s="5">
        <f t="shared" ref="E125:AV125" si="49">SUM(E124:E124)</f>
        <v>0</v>
      </c>
      <c r="F125" s="5">
        <f t="shared" si="49"/>
        <v>0</v>
      </c>
      <c r="G125" s="5">
        <f t="shared" si="49"/>
        <v>0</v>
      </c>
      <c r="H125" s="5">
        <f t="shared" si="49"/>
        <v>0</v>
      </c>
      <c r="I125" s="5">
        <f t="shared" si="49"/>
        <v>0</v>
      </c>
      <c r="J125" s="5">
        <f t="shared" si="49"/>
        <v>0</v>
      </c>
      <c r="K125" s="5">
        <f t="shared" si="49"/>
        <v>0</v>
      </c>
      <c r="L125" s="5">
        <f t="shared" si="49"/>
        <v>1</v>
      </c>
      <c r="M125" s="5">
        <f t="shared" si="49"/>
        <v>0</v>
      </c>
      <c r="N125" s="5">
        <f t="shared" si="49"/>
        <v>0</v>
      </c>
      <c r="O125" s="5">
        <f t="shared" si="49"/>
        <v>0</v>
      </c>
      <c r="P125" s="5">
        <f t="shared" si="49"/>
        <v>0</v>
      </c>
      <c r="Q125" s="5">
        <f t="shared" si="49"/>
        <v>2</v>
      </c>
      <c r="R125" s="5">
        <f t="shared" si="49"/>
        <v>2</v>
      </c>
      <c r="S125" s="5">
        <f t="shared" si="49"/>
        <v>0</v>
      </c>
      <c r="T125" s="5">
        <f t="shared" si="49"/>
        <v>0</v>
      </c>
      <c r="U125" s="5">
        <f t="shared" si="49"/>
        <v>0</v>
      </c>
      <c r="V125" s="5">
        <f t="shared" si="49"/>
        <v>1</v>
      </c>
      <c r="W125" s="5">
        <f t="shared" si="49"/>
        <v>0</v>
      </c>
      <c r="X125" s="5">
        <f t="shared" si="49"/>
        <v>0</v>
      </c>
      <c r="Y125" s="5">
        <f t="shared" si="49"/>
        <v>0</v>
      </c>
      <c r="Z125" s="5">
        <f t="shared" si="49"/>
        <v>0</v>
      </c>
      <c r="AA125" s="5">
        <f t="shared" si="49"/>
        <v>0</v>
      </c>
      <c r="AB125" s="5">
        <f t="shared" si="49"/>
        <v>0</v>
      </c>
      <c r="AC125" s="5">
        <f t="shared" si="49"/>
        <v>0</v>
      </c>
      <c r="AD125" s="5">
        <f t="shared" si="49"/>
        <v>0</v>
      </c>
      <c r="AE125" s="5">
        <f t="shared" si="49"/>
        <v>0</v>
      </c>
      <c r="AF125" s="5">
        <f t="shared" si="49"/>
        <v>0</v>
      </c>
      <c r="AG125" s="5">
        <f t="shared" si="49"/>
        <v>0</v>
      </c>
      <c r="AH125" s="5">
        <f t="shared" si="49"/>
        <v>0</v>
      </c>
      <c r="AI125" s="5">
        <f t="shared" si="49"/>
        <v>0</v>
      </c>
      <c r="AJ125" s="5">
        <f t="shared" si="49"/>
        <v>0</v>
      </c>
      <c r="AK125" s="5">
        <f t="shared" si="49"/>
        <v>0</v>
      </c>
      <c r="AL125" s="5">
        <f t="shared" si="49"/>
        <v>0</v>
      </c>
      <c r="AM125" s="5">
        <f t="shared" si="49"/>
        <v>1</v>
      </c>
      <c r="AN125" s="5">
        <f t="shared" si="49"/>
        <v>2</v>
      </c>
      <c r="AO125" s="5">
        <f t="shared" si="49"/>
        <v>0</v>
      </c>
      <c r="AP125" s="5">
        <f t="shared" si="49"/>
        <v>0</v>
      </c>
      <c r="AQ125" s="5">
        <f t="shared" si="49"/>
        <v>0</v>
      </c>
      <c r="AR125" s="5">
        <f t="shared" si="49"/>
        <v>0</v>
      </c>
      <c r="AS125" s="5">
        <f t="shared" si="49"/>
        <v>1</v>
      </c>
      <c r="AT125" s="5">
        <f t="shared" si="49"/>
        <v>0</v>
      </c>
      <c r="AU125" s="5">
        <f t="shared" si="49"/>
        <v>1</v>
      </c>
      <c r="AV125" s="5">
        <f t="shared" si="49"/>
        <v>11</v>
      </c>
    </row>
    <row r="126" spans="1:48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spans="1:48" x14ac:dyDescent="0.4">
      <c r="A127" s="11" t="s">
        <v>48</v>
      </c>
      <c r="B127" s="17" t="s">
        <v>69</v>
      </c>
      <c r="C127" s="59" t="s">
        <v>70</v>
      </c>
      <c r="D127" s="60"/>
      <c r="E127" s="6">
        <v>1</v>
      </c>
      <c r="F127" s="6">
        <v>1</v>
      </c>
      <c r="G127" s="6">
        <v>3</v>
      </c>
      <c r="H127" s="6">
        <v>0</v>
      </c>
      <c r="I127" s="6">
        <v>2</v>
      </c>
      <c r="J127" s="6">
        <v>0</v>
      </c>
      <c r="K127" s="6">
        <v>0</v>
      </c>
      <c r="L127" s="6">
        <v>1</v>
      </c>
      <c r="M127" s="6">
        <v>1</v>
      </c>
      <c r="N127" s="6">
        <v>2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2</v>
      </c>
      <c r="U127" s="6">
        <v>1</v>
      </c>
      <c r="V127" s="6">
        <v>1</v>
      </c>
      <c r="W127" s="6">
        <v>3</v>
      </c>
      <c r="X127" s="6">
        <v>0</v>
      </c>
      <c r="Y127" s="6">
        <v>4</v>
      </c>
      <c r="Z127" s="6">
        <v>2</v>
      </c>
      <c r="AA127" s="6">
        <v>0</v>
      </c>
      <c r="AB127" s="6">
        <v>2</v>
      </c>
      <c r="AC127" s="6">
        <v>2</v>
      </c>
      <c r="AD127" s="6">
        <v>1</v>
      </c>
      <c r="AE127" s="6">
        <v>0</v>
      </c>
      <c r="AF127" s="6">
        <v>2</v>
      </c>
      <c r="AG127" s="6">
        <v>0</v>
      </c>
      <c r="AH127" s="6">
        <v>3</v>
      </c>
      <c r="AI127" s="6">
        <v>0</v>
      </c>
      <c r="AJ127" s="6">
        <v>0</v>
      </c>
      <c r="AK127" s="6">
        <v>3</v>
      </c>
      <c r="AL127" s="6">
        <v>1</v>
      </c>
      <c r="AM127" s="6">
        <v>0</v>
      </c>
      <c r="AN127" s="6">
        <v>1</v>
      </c>
      <c r="AO127" s="6">
        <v>1</v>
      </c>
      <c r="AP127" s="6">
        <v>0</v>
      </c>
      <c r="AQ127" s="6">
        <v>0</v>
      </c>
      <c r="AR127" s="6">
        <v>1</v>
      </c>
      <c r="AS127" s="6">
        <v>1</v>
      </c>
      <c r="AT127" s="6">
        <v>1</v>
      </c>
      <c r="AU127" s="6">
        <v>1</v>
      </c>
      <c r="AV127" s="5">
        <f t="shared" ref="AV127:AV133" si="50">SUM(E127:AU127)</f>
        <v>49</v>
      </c>
    </row>
    <row r="128" spans="1:48" x14ac:dyDescent="0.4">
      <c r="A128" s="11" t="s">
        <v>50</v>
      </c>
      <c r="B128" s="46">
        <v>1</v>
      </c>
      <c r="C128" s="24" t="s">
        <v>163</v>
      </c>
      <c r="D128" s="47"/>
      <c r="E128" s="6">
        <v>0</v>
      </c>
      <c r="F128" s="6">
        <v>2</v>
      </c>
      <c r="G128" s="6">
        <v>1</v>
      </c>
      <c r="H128" s="6">
        <v>1</v>
      </c>
      <c r="I128" s="6">
        <v>1</v>
      </c>
      <c r="J128" s="6">
        <v>3</v>
      </c>
      <c r="K128" s="6">
        <v>5</v>
      </c>
      <c r="L128" s="6">
        <v>1</v>
      </c>
      <c r="M128" s="6">
        <v>1</v>
      </c>
      <c r="N128" s="6">
        <v>1</v>
      </c>
      <c r="O128" s="6">
        <v>0</v>
      </c>
      <c r="P128" s="6">
        <v>2</v>
      </c>
      <c r="Q128" s="6">
        <v>0</v>
      </c>
      <c r="R128" s="6">
        <v>0</v>
      </c>
      <c r="S128" s="6">
        <v>2</v>
      </c>
      <c r="T128" s="6">
        <v>0</v>
      </c>
      <c r="U128" s="6">
        <v>0</v>
      </c>
      <c r="V128" s="6">
        <v>1</v>
      </c>
      <c r="W128" s="6">
        <v>1</v>
      </c>
      <c r="X128" s="6">
        <v>4</v>
      </c>
      <c r="Y128" s="6">
        <v>12</v>
      </c>
      <c r="Z128" s="6">
        <v>14</v>
      </c>
      <c r="AA128" s="6">
        <v>0</v>
      </c>
      <c r="AB128" s="6">
        <v>0</v>
      </c>
      <c r="AC128" s="6">
        <v>4</v>
      </c>
      <c r="AD128" s="6">
        <v>14</v>
      </c>
      <c r="AE128" s="6">
        <v>10</v>
      </c>
      <c r="AF128" s="6">
        <v>0</v>
      </c>
      <c r="AG128" s="6">
        <v>3</v>
      </c>
      <c r="AH128" s="6">
        <v>1</v>
      </c>
      <c r="AI128" s="6">
        <v>1</v>
      </c>
      <c r="AJ128" s="6">
        <v>3</v>
      </c>
      <c r="AK128" s="6">
        <v>1</v>
      </c>
      <c r="AL128" s="6">
        <v>0</v>
      </c>
      <c r="AM128" s="6">
        <v>4</v>
      </c>
      <c r="AN128" s="6">
        <v>1</v>
      </c>
      <c r="AO128" s="6">
        <v>1</v>
      </c>
      <c r="AP128" s="6">
        <v>3</v>
      </c>
      <c r="AQ128" s="6">
        <v>2</v>
      </c>
      <c r="AR128" s="6">
        <v>0</v>
      </c>
      <c r="AS128" s="6">
        <v>0</v>
      </c>
      <c r="AT128" s="6">
        <v>5</v>
      </c>
      <c r="AU128" s="6">
        <v>0</v>
      </c>
      <c r="AV128" s="5">
        <f t="shared" si="50"/>
        <v>105</v>
      </c>
    </row>
    <row r="129" spans="1:48" x14ac:dyDescent="0.4">
      <c r="A129" s="7"/>
      <c r="B129" s="46">
        <v>2</v>
      </c>
      <c r="C129" s="24" t="s">
        <v>164</v>
      </c>
      <c r="D129" s="47"/>
      <c r="E129" s="6">
        <v>2</v>
      </c>
      <c r="F129" s="6">
        <v>4</v>
      </c>
      <c r="G129" s="6">
        <v>0</v>
      </c>
      <c r="H129" s="6">
        <v>0</v>
      </c>
      <c r="I129" s="6">
        <v>0</v>
      </c>
      <c r="J129" s="6">
        <v>1</v>
      </c>
      <c r="K129" s="6">
        <v>1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1</v>
      </c>
      <c r="AA129" s="6">
        <v>0</v>
      </c>
      <c r="AB129" s="6">
        <v>1</v>
      </c>
      <c r="AC129" s="6">
        <v>0</v>
      </c>
      <c r="AD129" s="6">
        <v>0</v>
      </c>
      <c r="AE129" s="6">
        <v>1</v>
      </c>
      <c r="AF129" s="6">
        <v>0</v>
      </c>
      <c r="AG129" s="6">
        <v>1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2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5">
        <f t="shared" si="50"/>
        <v>15</v>
      </c>
    </row>
    <row r="130" spans="1:48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0</v>
      </c>
      <c r="M130" s="6">
        <v>1</v>
      </c>
      <c r="N130" s="6">
        <v>1</v>
      </c>
      <c r="O130" s="6">
        <v>0</v>
      </c>
      <c r="P130" s="6">
        <v>0</v>
      </c>
      <c r="Q130" s="6">
        <v>0</v>
      </c>
      <c r="R130" s="6">
        <v>1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1</v>
      </c>
      <c r="AA130" s="6">
        <v>0</v>
      </c>
      <c r="AB130" s="6">
        <v>0</v>
      </c>
      <c r="AC130" s="6">
        <v>0</v>
      </c>
      <c r="AD130" s="6">
        <v>1</v>
      </c>
      <c r="AE130" s="6">
        <v>0</v>
      </c>
      <c r="AF130" s="6">
        <v>0</v>
      </c>
      <c r="AG130" s="6">
        <v>2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1</v>
      </c>
      <c r="AP130" s="6">
        <v>0</v>
      </c>
      <c r="AQ130" s="6">
        <v>0</v>
      </c>
      <c r="AR130" s="6">
        <v>0</v>
      </c>
      <c r="AS130" s="6">
        <v>0</v>
      </c>
      <c r="AT130" s="6">
        <v>1</v>
      </c>
      <c r="AU130" s="6">
        <v>0</v>
      </c>
      <c r="AV130" s="5">
        <f t="shared" si="50"/>
        <v>12</v>
      </c>
    </row>
    <row r="131" spans="1:48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  <c r="Q131" s="6">
        <v>2</v>
      </c>
      <c r="R131" s="6">
        <v>0</v>
      </c>
      <c r="S131" s="6">
        <v>0</v>
      </c>
      <c r="T131" s="6">
        <v>1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1</v>
      </c>
      <c r="AU131" s="6">
        <v>0</v>
      </c>
      <c r="AV131" s="5">
        <f t="shared" si="50"/>
        <v>5</v>
      </c>
    </row>
    <row r="132" spans="1:48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1</v>
      </c>
      <c r="T132" s="6">
        <v>2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1</v>
      </c>
      <c r="AC132" s="6">
        <v>1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1</v>
      </c>
      <c r="AJ132" s="6">
        <v>0</v>
      </c>
      <c r="AK132" s="6">
        <v>0</v>
      </c>
      <c r="AL132" s="6">
        <v>1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5">
        <f t="shared" si="50"/>
        <v>9</v>
      </c>
    </row>
    <row r="133" spans="1:48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1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1</v>
      </c>
      <c r="Z133" s="6">
        <v>0</v>
      </c>
      <c r="AA133" s="6">
        <v>0</v>
      </c>
      <c r="AB133" s="6">
        <v>0</v>
      </c>
      <c r="AC133" s="6">
        <v>1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1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5">
        <f t="shared" si="50"/>
        <v>5</v>
      </c>
    </row>
    <row r="134" spans="1:48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AV134" si="51">SUM(E127:E133)</f>
        <v>3</v>
      </c>
      <c r="F134" s="5">
        <f t="shared" si="51"/>
        <v>7</v>
      </c>
      <c r="G134" s="5">
        <f t="shared" si="51"/>
        <v>6</v>
      </c>
      <c r="H134" s="5">
        <f t="shared" si="51"/>
        <v>1</v>
      </c>
      <c r="I134" s="5">
        <f t="shared" si="51"/>
        <v>4</v>
      </c>
      <c r="J134" s="5">
        <f t="shared" si="51"/>
        <v>5</v>
      </c>
      <c r="K134" s="5">
        <f t="shared" si="51"/>
        <v>7</v>
      </c>
      <c r="L134" s="5">
        <f t="shared" si="51"/>
        <v>2</v>
      </c>
      <c r="M134" s="5">
        <f t="shared" si="51"/>
        <v>4</v>
      </c>
      <c r="N134" s="5">
        <f t="shared" si="51"/>
        <v>4</v>
      </c>
      <c r="O134" s="5">
        <f t="shared" si="51"/>
        <v>1</v>
      </c>
      <c r="P134" s="5">
        <f t="shared" si="51"/>
        <v>4</v>
      </c>
      <c r="Q134" s="5">
        <f t="shared" si="51"/>
        <v>3</v>
      </c>
      <c r="R134" s="5">
        <f t="shared" si="51"/>
        <v>2</v>
      </c>
      <c r="S134" s="5">
        <f t="shared" si="51"/>
        <v>6</v>
      </c>
      <c r="T134" s="5">
        <f t="shared" si="51"/>
        <v>5</v>
      </c>
      <c r="U134" s="5">
        <f t="shared" si="51"/>
        <v>1</v>
      </c>
      <c r="V134" s="5">
        <f t="shared" si="51"/>
        <v>2</v>
      </c>
      <c r="W134" s="5">
        <f t="shared" si="51"/>
        <v>4</v>
      </c>
      <c r="X134" s="5">
        <f t="shared" si="51"/>
        <v>4</v>
      </c>
      <c r="Y134" s="5">
        <f t="shared" si="51"/>
        <v>17</v>
      </c>
      <c r="Z134" s="5">
        <f t="shared" si="51"/>
        <v>18</v>
      </c>
      <c r="AA134" s="5">
        <f t="shared" si="51"/>
        <v>0</v>
      </c>
      <c r="AB134" s="5">
        <f t="shared" si="51"/>
        <v>4</v>
      </c>
      <c r="AC134" s="5">
        <f t="shared" si="51"/>
        <v>8</v>
      </c>
      <c r="AD134" s="5">
        <f t="shared" si="51"/>
        <v>16</v>
      </c>
      <c r="AE134" s="5">
        <f t="shared" si="51"/>
        <v>11</v>
      </c>
      <c r="AF134" s="5">
        <f t="shared" si="51"/>
        <v>2</v>
      </c>
      <c r="AG134" s="5">
        <f t="shared" si="51"/>
        <v>6</v>
      </c>
      <c r="AH134" s="5">
        <f t="shared" si="51"/>
        <v>4</v>
      </c>
      <c r="AI134" s="5">
        <f t="shared" si="51"/>
        <v>3</v>
      </c>
      <c r="AJ134" s="5">
        <f t="shared" si="51"/>
        <v>3</v>
      </c>
      <c r="AK134" s="5">
        <f t="shared" si="51"/>
        <v>4</v>
      </c>
      <c r="AL134" s="5">
        <f t="shared" si="51"/>
        <v>2</v>
      </c>
      <c r="AM134" s="5">
        <f t="shared" si="51"/>
        <v>4</v>
      </c>
      <c r="AN134" s="5">
        <f t="shared" si="51"/>
        <v>4</v>
      </c>
      <c r="AO134" s="5">
        <f t="shared" si="51"/>
        <v>3</v>
      </c>
      <c r="AP134" s="5">
        <f t="shared" si="51"/>
        <v>3</v>
      </c>
      <c r="AQ134" s="5">
        <f t="shared" si="51"/>
        <v>2</v>
      </c>
      <c r="AR134" s="5">
        <f t="shared" si="51"/>
        <v>1</v>
      </c>
      <c r="AS134" s="5">
        <f t="shared" si="51"/>
        <v>1</v>
      </c>
      <c r="AT134" s="5">
        <f t="shared" si="51"/>
        <v>8</v>
      </c>
      <c r="AU134" s="5">
        <f t="shared" si="51"/>
        <v>1</v>
      </c>
      <c r="AV134" s="5">
        <f t="shared" si="51"/>
        <v>200</v>
      </c>
    </row>
    <row r="135" spans="1:48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T135" s="18"/>
      <c r="U135" s="18"/>
      <c r="V135" s="18"/>
      <c r="W135" s="18"/>
      <c r="X135" s="18"/>
      <c r="Y135" s="18"/>
      <c r="Z135" s="18"/>
      <c r="AA135" s="18"/>
      <c r="AB135" s="18"/>
      <c r="AH135" s="18"/>
      <c r="AI135" s="18"/>
      <c r="AJ135" s="18"/>
      <c r="AK135" s="18"/>
      <c r="AL135" s="18"/>
      <c r="AM135" s="18"/>
      <c r="AN135" s="18"/>
      <c r="AO135" s="18"/>
      <c r="AP135" s="18"/>
      <c r="AV135" s="5"/>
    </row>
    <row r="136" spans="1:48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1</v>
      </c>
      <c r="Y136" s="6">
        <v>0</v>
      </c>
      <c r="Z136" s="6">
        <v>0</v>
      </c>
      <c r="AA136" s="6">
        <v>1</v>
      </c>
      <c r="AB136" s="6">
        <v>0</v>
      </c>
      <c r="AC136" s="6">
        <v>0</v>
      </c>
      <c r="AD136" s="6">
        <v>0</v>
      </c>
      <c r="AE136" s="6">
        <v>0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1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5">
        <f t="shared" ref="AV136:AV141" si="52">SUM(E136:AU136)</f>
        <v>7</v>
      </c>
    </row>
    <row r="137" spans="1:48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1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5">
        <f t="shared" si="52"/>
        <v>2</v>
      </c>
    </row>
    <row r="138" spans="1:48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1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1</v>
      </c>
      <c r="Z138" s="6">
        <v>2</v>
      </c>
      <c r="AA138" s="6">
        <v>8</v>
      </c>
      <c r="AB138" s="6">
        <v>4</v>
      </c>
      <c r="AC138" s="6">
        <v>4</v>
      </c>
      <c r="AD138" s="6">
        <v>0</v>
      </c>
      <c r="AE138" s="6">
        <v>0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5">
        <f t="shared" si="52"/>
        <v>23</v>
      </c>
    </row>
    <row r="139" spans="1:48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1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5">
        <f t="shared" si="52"/>
        <v>2</v>
      </c>
    </row>
    <row r="140" spans="1:48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4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5">
        <f t="shared" si="52"/>
        <v>5</v>
      </c>
    </row>
    <row r="141" spans="1:48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1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5">
        <f t="shared" si="52"/>
        <v>2</v>
      </c>
    </row>
    <row r="142" spans="1:48" x14ac:dyDescent="0.4">
      <c r="A142" s="6" t="s">
        <v>26</v>
      </c>
      <c r="B142" s="53" t="s">
        <v>51</v>
      </c>
      <c r="C142" s="54"/>
      <c r="D142" s="55"/>
      <c r="E142" s="5">
        <f t="shared" ref="E142:AV142" si="53">SUM(E136:E141)</f>
        <v>0</v>
      </c>
      <c r="F142" s="5">
        <f t="shared" si="53"/>
        <v>0</v>
      </c>
      <c r="G142" s="5">
        <f t="shared" si="53"/>
        <v>0</v>
      </c>
      <c r="H142" s="5">
        <f t="shared" si="53"/>
        <v>5</v>
      </c>
      <c r="I142" s="5">
        <f t="shared" si="53"/>
        <v>0</v>
      </c>
      <c r="J142" s="5">
        <f t="shared" si="53"/>
        <v>0</v>
      </c>
      <c r="K142" s="5">
        <f t="shared" si="53"/>
        <v>2</v>
      </c>
      <c r="L142" s="5">
        <f t="shared" si="53"/>
        <v>3</v>
      </c>
      <c r="M142" s="5">
        <f t="shared" si="53"/>
        <v>0</v>
      </c>
      <c r="N142" s="5">
        <f t="shared" si="53"/>
        <v>0</v>
      </c>
      <c r="O142" s="5">
        <f t="shared" si="53"/>
        <v>0</v>
      </c>
      <c r="P142" s="5">
        <f t="shared" si="53"/>
        <v>0</v>
      </c>
      <c r="Q142" s="5">
        <f t="shared" si="53"/>
        <v>0</v>
      </c>
      <c r="R142" s="5">
        <f t="shared" si="53"/>
        <v>1</v>
      </c>
      <c r="S142" s="5">
        <f t="shared" si="53"/>
        <v>1</v>
      </c>
      <c r="T142" s="5">
        <f t="shared" si="53"/>
        <v>0</v>
      </c>
      <c r="U142" s="5">
        <f t="shared" si="53"/>
        <v>0</v>
      </c>
      <c r="V142" s="5">
        <f t="shared" si="53"/>
        <v>1</v>
      </c>
      <c r="W142" s="5">
        <f t="shared" si="53"/>
        <v>0</v>
      </c>
      <c r="X142" s="5">
        <f t="shared" si="53"/>
        <v>1</v>
      </c>
      <c r="Y142" s="5">
        <f t="shared" si="53"/>
        <v>2</v>
      </c>
      <c r="Z142" s="5">
        <f t="shared" si="53"/>
        <v>2</v>
      </c>
      <c r="AA142" s="5">
        <f t="shared" si="53"/>
        <v>9</v>
      </c>
      <c r="AB142" s="5">
        <f t="shared" si="53"/>
        <v>4</v>
      </c>
      <c r="AC142" s="5">
        <f t="shared" si="53"/>
        <v>4</v>
      </c>
      <c r="AD142" s="5">
        <f t="shared" si="53"/>
        <v>0</v>
      </c>
      <c r="AE142" s="5">
        <f t="shared" si="53"/>
        <v>0</v>
      </c>
      <c r="AF142" s="5">
        <f t="shared" si="53"/>
        <v>3</v>
      </c>
      <c r="AG142" s="5">
        <f t="shared" si="53"/>
        <v>0</v>
      </c>
      <c r="AH142" s="5">
        <f t="shared" si="53"/>
        <v>0</v>
      </c>
      <c r="AI142" s="5">
        <f t="shared" si="53"/>
        <v>0</v>
      </c>
      <c r="AJ142" s="5">
        <f t="shared" si="53"/>
        <v>0</v>
      </c>
      <c r="AK142" s="5">
        <f t="shared" si="53"/>
        <v>1</v>
      </c>
      <c r="AL142" s="5">
        <f t="shared" si="53"/>
        <v>1</v>
      </c>
      <c r="AM142" s="5">
        <f t="shared" si="53"/>
        <v>1</v>
      </c>
      <c r="AN142" s="5">
        <f t="shared" si="53"/>
        <v>0</v>
      </c>
      <c r="AO142" s="5">
        <f t="shared" si="53"/>
        <v>0</v>
      </c>
      <c r="AP142" s="5">
        <f t="shared" si="53"/>
        <v>0</v>
      </c>
      <c r="AQ142" s="5">
        <f t="shared" si="53"/>
        <v>0</v>
      </c>
      <c r="AR142" s="5">
        <f t="shared" si="53"/>
        <v>0</v>
      </c>
      <c r="AS142" s="5">
        <f t="shared" si="53"/>
        <v>0</v>
      </c>
      <c r="AT142" s="5">
        <f t="shared" si="53"/>
        <v>0</v>
      </c>
      <c r="AU142" s="5">
        <f t="shared" si="53"/>
        <v>0</v>
      </c>
      <c r="AV142" s="5">
        <f t="shared" si="53"/>
        <v>41</v>
      </c>
    </row>
    <row r="143" spans="1:48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</row>
    <row r="144" spans="1:48" x14ac:dyDescent="0.4">
      <c r="A144" s="11" t="s">
        <v>48</v>
      </c>
      <c r="B144" s="17" t="s">
        <v>73</v>
      </c>
      <c r="C144" s="59" t="s">
        <v>74</v>
      </c>
      <c r="D144" s="60"/>
      <c r="E144" s="6">
        <v>2</v>
      </c>
      <c r="F144" s="6">
        <v>1</v>
      </c>
      <c r="G144" s="6">
        <v>5</v>
      </c>
      <c r="H144" s="6">
        <v>0</v>
      </c>
      <c r="I144" s="6">
        <v>1</v>
      </c>
      <c r="J144" s="6">
        <v>3</v>
      </c>
      <c r="K144" s="6">
        <v>2</v>
      </c>
      <c r="L144" s="6">
        <v>0</v>
      </c>
      <c r="M144" s="6">
        <v>3</v>
      </c>
      <c r="N144" s="6">
        <v>2</v>
      </c>
      <c r="O144" s="6">
        <v>5</v>
      </c>
      <c r="P144" s="6">
        <v>1</v>
      </c>
      <c r="Q144" s="6">
        <v>4</v>
      </c>
      <c r="R144" s="6">
        <v>6</v>
      </c>
      <c r="S144" s="6">
        <v>6</v>
      </c>
      <c r="T144" s="6">
        <v>5</v>
      </c>
      <c r="U144" s="6">
        <v>2</v>
      </c>
      <c r="V144" s="6">
        <v>0</v>
      </c>
      <c r="W144" s="6">
        <v>0</v>
      </c>
      <c r="X144" s="6">
        <v>4</v>
      </c>
      <c r="Y144" s="6">
        <v>1</v>
      </c>
      <c r="Z144" s="6">
        <v>4</v>
      </c>
      <c r="AA144" s="6">
        <v>1</v>
      </c>
      <c r="AB144" s="6">
        <v>1</v>
      </c>
      <c r="AC144" s="6">
        <v>5</v>
      </c>
      <c r="AD144" s="6">
        <v>0</v>
      </c>
      <c r="AE144" s="6">
        <v>2</v>
      </c>
      <c r="AF144" s="6">
        <v>0</v>
      </c>
      <c r="AG144" s="6">
        <v>2</v>
      </c>
      <c r="AH144" s="6">
        <v>3</v>
      </c>
      <c r="AI144" s="6">
        <v>3</v>
      </c>
      <c r="AJ144" s="6">
        <v>1</v>
      </c>
      <c r="AK144" s="6">
        <v>4</v>
      </c>
      <c r="AL144" s="6">
        <v>1</v>
      </c>
      <c r="AM144" s="6">
        <v>4</v>
      </c>
      <c r="AN144" s="6">
        <v>1</v>
      </c>
      <c r="AO144" s="6">
        <v>3</v>
      </c>
      <c r="AP144" s="6">
        <v>0</v>
      </c>
      <c r="AQ144" s="6">
        <v>4</v>
      </c>
      <c r="AR144" s="6">
        <v>3</v>
      </c>
      <c r="AS144" s="6">
        <v>3</v>
      </c>
      <c r="AT144" s="6">
        <v>3</v>
      </c>
      <c r="AU144" s="6">
        <v>1</v>
      </c>
      <c r="AV144" s="5">
        <f t="shared" ref="AV144:AV150" si="54">SUM(E144:AU144)</f>
        <v>102</v>
      </c>
    </row>
    <row r="145" spans="1:48" x14ac:dyDescent="0.4">
      <c r="A145" s="11" t="s">
        <v>50</v>
      </c>
      <c r="B145" s="46">
        <v>1</v>
      </c>
      <c r="C145" s="24" t="s">
        <v>174</v>
      </c>
      <c r="D145" s="47"/>
      <c r="E145" s="6">
        <v>1</v>
      </c>
      <c r="F145" s="6">
        <v>0</v>
      </c>
      <c r="G145" s="6">
        <v>2</v>
      </c>
      <c r="H145" s="6">
        <v>0</v>
      </c>
      <c r="I145" s="6">
        <v>4</v>
      </c>
      <c r="J145" s="6">
        <v>2</v>
      </c>
      <c r="K145" s="6">
        <v>1</v>
      </c>
      <c r="L145" s="6">
        <v>1</v>
      </c>
      <c r="M145" s="6">
        <v>3</v>
      </c>
      <c r="N145" s="6">
        <v>0</v>
      </c>
      <c r="O145" s="6">
        <v>2</v>
      </c>
      <c r="P145" s="6">
        <v>2</v>
      </c>
      <c r="Q145" s="6">
        <v>2</v>
      </c>
      <c r="R145" s="6">
        <v>1</v>
      </c>
      <c r="S145" s="6">
        <v>3</v>
      </c>
      <c r="T145" s="6">
        <v>4</v>
      </c>
      <c r="U145" s="6">
        <v>2</v>
      </c>
      <c r="V145" s="6">
        <v>5</v>
      </c>
      <c r="W145" s="6">
        <v>0</v>
      </c>
      <c r="X145" s="6">
        <v>0</v>
      </c>
      <c r="Y145" s="6">
        <v>1</v>
      </c>
      <c r="Z145" s="6">
        <v>1</v>
      </c>
      <c r="AA145" s="6">
        <v>4</v>
      </c>
      <c r="AB145" s="6">
        <v>4</v>
      </c>
      <c r="AC145" s="6">
        <v>0</v>
      </c>
      <c r="AD145" s="6">
        <v>2</v>
      </c>
      <c r="AE145" s="6">
        <v>0</v>
      </c>
      <c r="AF145" s="6">
        <v>1</v>
      </c>
      <c r="AG145" s="6">
        <v>0</v>
      </c>
      <c r="AH145" s="6">
        <v>1</v>
      </c>
      <c r="AI145" s="6">
        <v>2</v>
      </c>
      <c r="AJ145" s="6">
        <v>0</v>
      </c>
      <c r="AK145" s="6">
        <v>2</v>
      </c>
      <c r="AL145" s="6">
        <v>2</v>
      </c>
      <c r="AM145" s="6">
        <v>1</v>
      </c>
      <c r="AN145" s="6">
        <v>1</v>
      </c>
      <c r="AO145" s="6">
        <v>2</v>
      </c>
      <c r="AP145" s="6">
        <v>2</v>
      </c>
      <c r="AQ145" s="6">
        <v>1</v>
      </c>
      <c r="AR145" s="6">
        <v>2</v>
      </c>
      <c r="AS145" s="6">
        <v>2</v>
      </c>
      <c r="AT145" s="6">
        <v>0</v>
      </c>
      <c r="AU145" s="6">
        <v>1</v>
      </c>
      <c r="AV145" s="5">
        <f t="shared" si="54"/>
        <v>67</v>
      </c>
    </row>
    <row r="146" spans="1:48" x14ac:dyDescent="0.4">
      <c r="A146" s="7"/>
      <c r="B146" s="46">
        <v>2</v>
      </c>
      <c r="C146" s="24" t="s">
        <v>175</v>
      </c>
      <c r="D146" s="47"/>
      <c r="E146" s="6">
        <v>3</v>
      </c>
      <c r="F146" s="6">
        <v>5</v>
      </c>
      <c r="G146" s="6">
        <v>1</v>
      </c>
      <c r="H146" s="6">
        <v>6</v>
      </c>
      <c r="I146" s="6">
        <v>2</v>
      </c>
      <c r="J146" s="6">
        <v>4</v>
      </c>
      <c r="K146" s="6">
        <v>5</v>
      </c>
      <c r="L146" s="6">
        <v>1</v>
      </c>
      <c r="M146" s="6">
        <v>2</v>
      </c>
      <c r="N146" s="6">
        <v>1</v>
      </c>
      <c r="O146" s="6">
        <v>16</v>
      </c>
      <c r="P146" s="6">
        <v>6</v>
      </c>
      <c r="Q146" s="6">
        <v>6</v>
      </c>
      <c r="R146" s="6">
        <v>1</v>
      </c>
      <c r="S146" s="6">
        <v>40</v>
      </c>
      <c r="T146" s="6">
        <v>37</v>
      </c>
      <c r="U146" s="6">
        <v>5</v>
      </c>
      <c r="V146" s="6">
        <v>3</v>
      </c>
      <c r="W146" s="6">
        <v>1</v>
      </c>
      <c r="X146" s="6">
        <v>2</v>
      </c>
      <c r="Y146" s="6">
        <v>2</v>
      </c>
      <c r="Z146" s="6">
        <v>0</v>
      </c>
      <c r="AA146" s="6">
        <v>1</v>
      </c>
      <c r="AB146" s="6">
        <v>4</v>
      </c>
      <c r="AC146" s="6">
        <v>0</v>
      </c>
      <c r="AD146" s="6">
        <v>2</v>
      </c>
      <c r="AE146" s="6">
        <v>4</v>
      </c>
      <c r="AF146" s="6">
        <v>4</v>
      </c>
      <c r="AG146" s="6">
        <v>5</v>
      </c>
      <c r="AH146" s="6">
        <v>2</v>
      </c>
      <c r="AI146" s="6">
        <v>3</v>
      </c>
      <c r="AJ146" s="6">
        <v>5</v>
      </c>
      <c r="AK146" s="6">
        <v>3</v>
      </c>
      <c r="AL146" s="6">
        <v>3</v>
      </c>
      <c r="AM146" s="6">
        <v>5</v>
      </c>
      <c r="AN146" s="6">
        <v>8</v>
      </c>
      <c r="AO146" s="6">
        <v>7</v>
      </c>
      <c r="AP146" s="6">
        <v>2</v>
      </c>
      <c r="AQ146" s="6">
        <v>2</v>
      </c>
      <c r="AR146" s="6">
        <v>2</v>
      </c>
      <c r="AS146" s="6">
        <v>6</v>
      </c>
      <c r="AT146" s="6">
        <v>6</v>
      </c>
      <c r="AU146" s="6">
        <v>6</v>
      </c>
      <c r="AV146" s="5">
        <f t="shared" si="54"/>
        <v>229</v>
      </c>
    </row>
    <row r="147" spans="1:48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2</v>
      </c>
      <c r="K147" s="6">
        <v>0</v>
      </c>
      <c r="L147" s="6">
        <v>1</v>
      </c>
      <c r="M147" s="6">
        <v>2</v>
      </c>
      <c r="N147" s="6">
        <v>0</v>
      </c>
      <c r="O147" s="6">
        <v>1</v>
      </c>
      <c r="P147" s="6">
        <v>1</v>
      </c>
      <c r="Q147" s="6">
        <v>4</v>
      </c>
      <c r="R147" s="6">
        <v>1</v>
      </c>
      <c r="S147" s="6">
        <v>1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1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2</v>
      </c>
      <c r="AF147" s="6">
        <v>0</v>
      </c>
      <c r="AG147" s="6">
        <v>1</v>
      </c>
      <c r="AH147" s="6">
        <v>0</v>
      </c>
      <c r="AI147" s="6">
        <v>1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1</v>
      </c>
      <c r="AP147" s="6">
        <v>1</v>
      </c>
      <c r="AQ147" s="6">
        <v>0</v>
      </c>
      <c r="AR147" s="6">
        <v>0</v>
      </c>
      <c r="AS147" s="6">
        <v>0</v>
      </c>
      <c r="AT147" s="6">
        <v>0</v>
      </c>
      <c r="AU147" s="6">
        <v>1</v>
      </c>
      <c r="AV147" s="5">
        <f t="shared" si="54"/>
        <v>22</v>
      </c>
    </row>
    <row r="148" spans="1:48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1</v>
      </c>
      <c r="J148" s="6">
        <v>1</v>
      </c>
      <c r="K148" s="6">
        <v>0</v>
      </c>
      <c r="L148" s="6">
        <v>0</v>
      </c>
      <c r="M148" s="6">
        <v>3</v>
      </c>
      <c r="N148" s="6">
        <v>0</v>
      </c>
      <c r="O148" s="6">
        <v>1</v>
      </c>
      <c r="P148" s="6">
        <v>0</v>
      </c>
      <c r="Q148" s="6">
        <v>1</v>
      </c>
      <c r="R148" s="6">
        <v>0</v>
      </c>
      <c r="S148" s="6">
        <v>1</v>
      </c>
      <c r="T148" s="6">
        <v>1</v>
      </c>
      <c r="U148" s="6">
        <v>0</v>
      </c>
      <c r="V148" s="6">
        <v>1</v>
      </c>
      <c r="W148" s="6">
        <v>0</v>
      </c>
      <c r="X148" s="6">
        <v>1</v>
      </c>
      <c r="Y148" s="6">
        <v>0</v>
      </c>
      <c r="Z148" s="6">
        <v>1</v>
      </c>
      <c r="AA148" s="6">
        <v>0</v>
      </c>
      <c r="AB148" s="6">
        <v>0</v>
      </c>
      <c r="AC148" s="6">
        <v>1</v>
      </c>
      <c r="AD148" s="6">
        <v>0</v>
      </c>
      <c r="AE148" s="6">
        <v>0</v>
      </c>
      <c r="AF148" s="6">
        <v>1</v>
      </c>
      <c r="AG148" s="6">
        <v>1</v>
      </c>
      <c r="AH148" s="6">
        <v>1</v>
      </c>
      <c r="AI148" s="6">
        <v>0</v>
      </c>
      <c r="AJ148" s="6">
        <v>1</v>
      </c>
      <c r="AK148" s="6">
        <v>0</v>
      </c>
      <c r="AL148" s="6">
        <v>1</v>
      </c>
      <c r="AM148" s="6">
        <v>0</v>
      </c>
      <c r="AN148" s="6">
        <v>0</v>
      </c>
      <c r="AO148" s="6">
        <v>1</v>
      </c>
      <c r="AP148" s="6">
        <v>1</v>
      </c>
      <c r="AQ148" s="6">
        <v>0</v>
      </c>
      <c r="AR148" s="6">
        <v>1</v>
      </c>
      <c r="AS148" s="6">
        <v>0</v>
      </c>
      <c r="AT148" s="6">
        <v>0</v>
      </c>
      <c r="AU148" s="6">
        <v>0</v>
      </c>
      <c r="AV148" s="5">
        <f t="shared" si="54"/>
        <v>21</v>
      </c>
    </row>
    <row r="149" spans="1:48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1</v>
      </c>
      <c r="P149" s="6">
        <v>0</v>
      </c>
      <c r="Q149" s="6">
        <v>0</v>
      </c>
      <c r="R149" s="6">
        <v>0</v>
      </c>
      <c r="S149" s="6">
        <v>1</v>
      </c>
      <c r="T149" s="6">
        <v>1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1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2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1</v>
      </c>
      <c r="AU149" s="6">
        <v>0</v>
      </c>
      <c r="AV149" s="5">
        <f t="shared" si="54"/>
        <v>7</v>
      </c>
    </row>
    <row r="150" spans="1:48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2</v>
      </c>
      <c r="H150" s="6">
        <v>0</v>
      </c>
      <c r="I150" s="6">
        <v>0</v>
      </c>
      <c r="J150" s="6">
        <v>0</v>
      </c>
      <c r="K150" s="6">
        <v>0</v>
      </c>
      <c r="L150" s="6">
        <v>1</v>
      </c>
      <c r="M150" s="6">
        <v>0</v>
      </c>
      <c r="N150" s="6">
        <v>0</v>
      </c>
      <c r="O150" s="6">
        <v>1</v>
      </c>
      <c r="P150" s="6">
        <v>0</v>
      </c>
      <c r="Q150" s="6">
        <v>0</v>
      </c>
      <c r="R150" s="6">
        <v>1</v>
      </c>
      <c r="S150" s="6">
        <v>0</v>
      </c>
      <c r="T150" s="6">
        <v>0</v>
      </c>
      <c r="U150" s="6">
        <v>0</v>
      </c>
      <c r="V150" s="6">
        <v>0</v>
      </c>
      <c r="W150" s="6">
        <v>1</v>
      </c>
      <c r="X150" s="6">
        <v>0</v>
      </c>
      <c r="Y150" s="6">
        <v>1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1</v>
      </c>
      <c r="AH150" s="6">
        <v>2</v>
      </c>
      <c r="AI150" s="6">
        <v>0</v>
      </c>
      <c r="AJ150" s="6">
        <v>0</v>
      </c>
      <c r="AK150" s="6">
        <v>0</v>
      </c>
      <c r="AL150" s="6">
        <v>1</v>
      </c>
      <c r="AM150" s="6">
        <v>3</v>
      </c>
      <c r="AN150" s="6">
        <v>0</v>
      </c>
      <c r="AO150" s="6">
        <v>1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5">
        <f t="shared" si="54"/>
        <v>15</v>
      </c>
    </row>
    <row r="151" spans="1:48" x14ac:dyDescent="0.4">
      <c r="A151" s="6" t="s">
        <v>26</v>
      </c>
      <c r="B151" s="53" t="s">
        <v>51</v>
      </c>
      <c r="C151" s="54"/>
      <c r="D151" s="55"/>
      <c r="E151" s="5">
        <f t="shared" ref="E151:AV151" si="55">SUM(E144:E150)</f>
        <v>6</v>
      </c>
      <c r="F151" s="5">
        <f t="shared" si="55"/>
        <v>6</v>
      </c>
      <c r="G151" s="5">
        <f t="shared" si="55"/>
        <v>10</v>
      </c>
      <c r="H151" s="5">
        <f t="shared" si="55"/>
        <v>6</v>
      </c>
      <c r="I151" s="5">
        <f t="shared" si="55"/>
        <v>8</v>
      </c>
      <c r="J151" s="5">
        <f t="shared" si="55"/>
        <v>12</v>
      </c>
      <c r="K151" s="5">
        <f t="shared" si="55"/>
        <v>8</v>
      </c>
      <c r="L151" s="5">
        <f t="shared" si="55"/>
        <v>4</v>
      </c>
      <c r="M151" s="5">
        <f t="shared" si="55"/>
        <v>13</v>
      </c>
      <c r="N151" s="5">
        <f t="shared" si="55"/>
        <v>3</v>
      </c>
      <c r="O151" s="5">
        <f t="shared" si="55"/>
        <v>27</v>
      </c>
      <c r="P151" s="5">
        <f t="shared" si="55"/>
        <v>10</v>
      </c>
      <c r="Q151" s="5">
        <f t="shared" si="55"/>
        <v>17</v>
      </c>
      <c r="R151" s="5">
        <f t="shared" si="55"/>
        <v>10</v>
      </c>
      <c r="S151" s="5">
        <f t="shared" si="55"/>
        <v>52</v>
      </c>
      <c r="T151" s="5">
        <f t="shared" si="55"/>
        <v>48</v>
      </c>
      <c r="U151" s="5">
        <f t="shared" si="55"/>
        <v>10</v>
      </c>
      <c r="V151" s="5">
        <f t="shared" si="55"/>
        <v>9</v>
      </c>
      <c r="W151" s="5">
        <f t="shared" si="55"/>
        <v>2</v>
      </c>
      <c r="X151" s="5">
        <f t="shared" si="55"/>
        <v>7</v>
      </c>
      <c r="Y151" s="5">
        <f t="shared" si="55"/>
        <v>6</v>
      </c>
      <c r="Z151" s="5">
        <f t="shared" si="55"/>
        <v>6</v>
      </c>
      <c r="AA151" s="5">
        <f t="shared" si="55"/>
        <v>6</v>
      </c>
      <c r="AB151" s="5">
        <f t="shared" si="55"/>
        <v>9</v>
      </c>
      <c r="AC151" s="5">
        <f t="shared" si="55"/>
        <v>6</v>
      </c>
      <c r="AD151" s="5">
        <f t="shared" si="55"/>
        <v>4</v>
      </c>
      <c r="AE151" s="5">
        <f t="shared" si="55"/>
        <v>8</v>
      </c>
      <c r="AF151" s="5">
        <f t="shared" si="55"/>
        <v>7</v>
      </c>
      <c r="AG151" s="5">
        <f t="shared" si="55"/>
        <v>10</v>
      </c>
      <c r="AH151" s="5">
        <f t="shared" si="55"/>
        <v>9</v>
      </c>
      <c r="AI151" s="5">
        <f t="shared" si="55"/>
        <v>9</v>
      </c>
      <c r="AJ151" s="5">
        <f t="shared" si="55"/>
        <v>7</v>
      </c>
      <c r="AK151" s="5">
        <f t="shared" si="55"/>
        <v>9</v>
      </c>
      <c r="AL151" s="5">
        <f t="shared" si="55"/>
        <v>8</v>
      </c>
      <c r="AM151" s="5">
        <f t="shared" si="55"/>
        <v>13</v>
      </c>
      <c r="AN151" s="5">
        <f t="shared" si="55"/>
        <v>12</v>
      </c>
      <c r="AO151" s="5">
        <f t="shared" si="55"/>
        <v>15</v>
      </c>
      <c r="AP151" s="5">
        <f t="shared" si="55"/>
        <v>6</v>
      </c>
      <c r="AQ151" s="5">
        <f t="shared" si="55"/>
        <v>7</v>
      </c>
      <c r="AR151" s="5">
        <f t="shared" si="55"/>
        <v>8</v>
      </c>
      <c r="AS151" s="5">
        <f t="shared" si="55"/>
        <v>11</v>
      </c>
      <c r="AT151" s="5">
        <f t="shared" si="55"/>
        <v>10</v>
      </c>
      <c r="AU151" s="5">
        <f t="shared" si="55"/>
        <v>9</v>
      </c>
      <c r="AV151" s="5">
        <f t="shared" si="55"/>
        <v>463</v>
      </c>
    </row>
    <row r="152" spans="1:48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</row>
    <row r="153" spans="1:48" x14ac:dyDescent="0.4">
      <c r="A153" s="11" t="s">
        <v>48</v>
      </c>
      <c r="B153" s="17" t="s">
        <v>75</v>
      </c>
      <c r="C153" s="59" t="s">
        <v>76</v>
      </c>
      <c r="D153" s="60"/>
      <c r="E153" s="6">
        <v>1</v>
      </c>
      <c r="F153" s="6">
        <v>0</v>
      </c>
      <c r="G153" s="6">
        <v>4</v>
      </c>
      <c r="H153" s="6">
        <v>0</v>
      </c>
      <c r="I153" s="6">
        <v>3</v>
      </c>
      <c r="J153" s="6">
        <v>6</v>
      </c>
      <c r="K153" s="6">
        <v>2</v>
      </c>
      <c r="L153" s="6">
        <v>3</v>
      </c>
      <c r="M153" s="6">
        <v>1</v>
      </c>
      <c r="N153" s="6">
        <v>3</v>
      </c>
      <c r="O153" s="6">
        <v>2</v>
      </c>
      <c r="P153" s="6">
        <v>1</v>
      </c>
      <c r="Q153" s="6">
        <v>2</v>
      </c>
      <c r="R153" s="6">
        <v>2</v>
      </c>
      <c r="S153" s="6">
        <v>3</v>
      </c>
      <c r="T153" s="6">
        <v>4</v>
      </c>
      <c r="U153" s="6">
        <v>4</v>
      </c>
      <c r="V153" s="6">
        <v>1</v>
      </c>
      <c r="W153" s="6">
        <v>0</v>
      </c>
      <c r="X153" s="6">
        <v>1</v>
      </c>
      <c r="Y153" s="6">
        <v>2</v>
      </c>
      <c r="Z153" s="6">
        <v>2</v>
      </c>
      <c r="AA153" s="6">
        <v>1</v>
      </c>
      <c r="AB153" s="6">
        <v>3</v>
      </c>
      <c r="AC153" s="6">
        <v>0</v>
      </c>
      <c r="AD153" s="6">
        <v>4</v>
      </c>
      <c r="AE153" s="6">
        <v>1</v>
      </c>
      <c r="AF153" s="6">
        <v>0</v>
      </c>
      <c r="AG153" s="6">
        <v>3</v>
      </c>
      <c r="AH153" s="6">
        <v>1</v>
      </c>
      <c r="AI153" s="6">
        <v>1</v>
      </c>
      <c r="AJ153" s="6">
        <v>1</v>
      </c>
      <c r="AK153" s="6">
        <v>2</v>
      </c>
      <c r="AL153" s="6">
        <v>0</v>
      </c>
      <c r="AM153" s="6">
        <v>3</v>
      </c>
      <c r="AN153" s="6">
        <v>2</v>
      </c>
      <c r="AO153" s="6">
        <v>0</v>
      </c>
      <c r="AP153" s="6">
        <v>0</v>
      </c>
      <c r="AQ153" s="6">
        <v>0</v>
      </c>
      <c r="AR153" s="6">
        <v>1</v>
      </c>
      <c r="AS153" s="6">
        <v>0</v>
      </c>
      <c r="AT153" s="6">
        <v>1</v>
      </c>
      <c r="AU153" s="6">
        <v>2</v>
      </c>
      <c r="AV153" s="5">
        <f>SUM(E153:AU153)</f>
        <v>73</v>
      </c>
    </row>
    <row r="154" spans="1:48" x14ac:dyDescent="0.4">
      <c r="A154" s="11" t="s">
        <v>50</v>
      </c>
      <c r="B154" s="46">
        <v>1</v>
      </c>
      <c r="C154" s="24" t="s">
        <v>180</v>
      </c>
      <c r="D154" s="47"/>
      <c r="E154" s="6">
        <v>2</v>
      </c>
      <c r="F154" s="6">
        <v>0</v>
      </c>
      <c r="G154" s="6">
        <v>0</v>
      </c>
      <c r="H154" s="6">
        <v>2</v>
      </c>
      <c r="I154" s="6">
        <v>3</v>
      </c>
      <c r="J154" s="6">
        <v>4</v>
      </c>
      <c r="K154" s="6">
        <v>5</v>
      </c>
      <c r="L154" s="6">
        <v>2</v>
      </c>
      <c r="M154" s="6">
        <v>3</v>
      </c>
      <c r="N154" s="6">
        <v>3</v>
      </c>
      <c r="O154" s="6">
        <v>1</v>
      </c>
      <c r="P154" s="6">
        <v>3</v>
      </c>
      <c r="Q154" s="6">
        <v>1</v>
      </c>
      <c r="R154" s="6">
        <v>4</v>
      </c>
      <c r="S154" s="6">
        <v>1</v>
      </c>
      <c r="T154" s="6">
        <v>4</v>
      </c>
      <c r="U154" s="6">
        <v>1</v>
      </c>
      <c r="V154" s="6">
        <v>2</v>
      </c>
      <c r="W154" s="6">
        <v>2</v>
      </c>
      <c r="X154" s="6">
        <v>2</v>
      </c>
      <c r="Y154" s="6">
        <v>0</v>
      </c>
      <c r="Z154" s="6">
        <v>1</v>
      </c>
      <c r="AA154" s="6">
        <v>3</v>
      </c>
      <c r="AB154" s="6">
        <v>0</v>
      </c>
      <c r="AC154" s="6">
        <v>0</v>
      </c>
      <c r="AD154" s="6">
        <v>7</v>
      </c>
      <c r="AE154" s="6">
        <v>3</v>
      </c>
      <c r="AF154" s="6">
        <v>1</v>
      </c>
      <c r="AG154" s="6">
        <v>2</v>
      </c>
      <c r="AH154" s="6">
        <v>9</v>
      </c>
      <c r="AI154" s="6">
        <v>3</v>
      </c>
      <c r="AJ154" s="6">
        <v>5</v>
      </c>
      <c r="AK154" s="6">
        <v>3</v>
      </c>
      <c r="AL154" s="6">
        <v>0</v>
      </c>
      <c r="AM154" s="6">
        <v>1</v>
      </c>
      <c r="AN154" s="6">
        <v>2</v>
      </c>
      <c r="AO154" s="6">
        <v>1</v>
      </c>
      <c r="AP154" s="6">
        <v>2</v>
      </c>
      <c r="AQ154" s="6">
        <v>0</v>
      </c>
      <c r="AR154" s="6">
        <v>0</v>
      </c>
      <c r="AS154" s="6">
        <v>1</v>
      </c>
      <c r="AT154" s="6">
        <v>0</v>
      </c>
      <c r="AU154" s="6">
        <v>1</v>
      </c>
      <c r="AV154" s="5">
        <f>SUM(E154:AU154)</f>
        <v>90</v>
      </c>
    </row>
    <row r="155" spans="1:48" x14ac:dyDescent="0.4">
      <c r="A155" s="7"/>
      <c r="B155" s="46">
        <v>2</v>
      </c>
      <c r="C155" s="24" t="s">
        <v>181</v>
      </c>
      <c r="D155" s="47"/>
      <c r="E155" s="6">
        <v>1</v>
      </c>
      <c r="F155" s="6">
        <v>0</v>
      </c>
      <c r="G155" s="6">
        <v>1</v>
      </c>
      <c r="H155" s="6">
        <v>0</v>
      </c>
      <c r="I155" s="6">
        <v>5</v>
      </c>
      <c r="J155" s="6">
        <v>0</v>
      </c>
      <c r="K155" s="6">
        <v>1</v>
      </c>
      <c r="L155" s="6">
        <v>1</v>
      </c>
      <c r="M155" s="6">
        <v>0</v>
      </c>
      <c r="N155" s="6">
        <v>0</v>
      </c>
      <c r="O155" s="6">
        <v>2</v>
      </c>
      <c r="P155" s="6">
        <v>3</v>
      </c>
      <c r="Q155" s="6">
        <v>1</v>
      </c>
      <c r="R155" s="6">
        <v>3</v>
      </c>
      <c r="S155" s="6">
        <v>3</v>
      </c>
      <c r="T155" s="6">
        <v>1</v>
      </c>
      <c r="U155" s="6">
        <v>3</v>
      </c>
      <c r="V155" s="6">
        <v>4</v>
      </c>
      <c r="W155" s="6">
        <v>0</v>
      </c>
      <c r="X155" s="6">
        <v>2</v>
      </c>
      <c r="Y155" s="6">
        <v>2</v>
      </c>
      <c r="Z155" s="6">
        <v>0</v>
      </c>
      <c r="AA155" s="6">
        <v>0</v>
      </c>
      <c r="AB155" s="6">
        <v>0</v>
      </c>
      <c r="AC155" s="6">
        <v>0</v>
      </c>
      <c r="AD155" s="6">
        <v>3</v>
      </c>
      <c r="AE155" s="6">
        <v>0</v>
      </c>
      <c r="AF155" s="6">
        <v>1</v>
      </c>
      <c r="AG155" s="6">
        <v>2</v>
      </c>
      <c r="AH155" s="6">
        <v>0</v>
      </c>
      <c r="AI155" s="6">
        <v>2</v>
      </c>
      <c r="AJ155" s="6">
        <v>0</v>
      </c>
      <c r="AK155" s="6">
        <v>1</v>
      </c>
      <c r="AL155" s="6">
        <v>2</v>
      </c>
      <c r="AM155" s="6">
        <v>0</v>
      </c>
      <c r="AN155" s="6">
        <v>0</v>
      </c>
      <c r="AO155" s="6">
        <v>1</v>
      </c>
      <c r="AP155" s="6">
        <v>2</v>
      </c>
      <c r="AQ155" s="6">
        <v>0</v>
      </c>
      <c r="AR155" s="6">
        <v>0</v>
      </c>
      <c r="AS155" s="6">
        <v>1</v>
      </c>
      <c r="AT155" s="6">
        <v>0</v>
      </c>
      <c r="AU155" s="6">
        <v>0</v>
      </c>
      <c r="AV155" s="5">
        <f>SUM(E155:AU155)</f>
        <v>48</v>
      </c>
    </row>
    <row r="156" spans="1:48" x14ac:dyDescent="0.4">
      <c r="A156" s="6" t="s">
        <v>26</v>
      </c>
      <c r="B156" s="53" t="s">
        <v>51</v>
      </c>
      <c r="C156" s="54"/>
      <c r="D156" s="55"/>
      <c r="E156" s="5">
        <f t="shared" ref="E156:AV156" si="56">SUM(E153:E155)</f>
        <v>4</v>
      </c>
      <c r="F156" s="5">
        <f t="shared" si="56"/>
        <v>0</v>
      </c>
      <c r="G156" s="5">
        <f t="shared" si="56"/>
        <v>5</v>
      </c>
      <c r="H156" s="5">
        <f t="shared" si="56"/>
        <v>2</v>
      </c>
      <c r="I156" s="5">
        <f t="shared" si="56"/>
        <v>11</v>
      </c>
      <c r="J156" s="5">
        <f t="shared" si="56"/>
        <v>10</v>
      </c>
      <c r="K156" s="5">
        <f t="shared" si="56"/>
        <v>8</v>
      </c>
      <c r="L156" s="5">
        <f t="shared" si="56"/>
        <v>6</v>
      </c>
      <c r="M156" s="5">
        <f t="shared" si="56"/>
        <v>4</v>
      </c>
      <c r="N156" s="5">
        <f t="shared" si="56"/>
        <v>6</v>
      </c>
      <c r="O156" s="5">
        <f t="shared" si="56"/>
        <v>5</v>
      </c>
      <c r="P156" s="5">
        <f t="shared" si="56"/>
        <v>7</v>
      </c>
      <c r="Q156" s="5">
        <f t="shared" si="56"/>
        <v>4</v>
      </c>
      <c r="R156" s="5">
        <f t="shared" si="56"/>
        <v>9</v>
      </c>
      <c r="S156" s="5">
        <f t="shared" si="56"/>
        <v>7</v>
      </c>
      <c r="T156" s="5">
        <f t="shared" si="56"/>
        <v>9</v>
      </c>
      <c r="U156" s="5">
        <f t="shared" si="56"/>
        <v>8</v>
      </c>
      <c r="V156" s="5">
        <f t="shared" si="56"/>
        <v>7</v>
      </c>
      <c r="W156" s="5">
        <f t="shared" si="56"/>
        <v>2</v>
      </c>
      <c r="X156" s="5">
        <f t="shared" si="56"/>
        <v>5</v>
      </c>
      <c r="Y156" s="5">
        <f t="shared" si="56"/>
        <v>4</v>
      </c>
      <c r="Z156" s="5">
        <f t="shared" si="56"/>
        <v>3</v>
      </c>
      <c r="AA156" s="5">
        <f t="shared" si="56"/>
        <v>4</v>
      </c>
      <c r="AB156" s="5">
        <f t="shared" si="56"/>
        <v>3</v>
      </c>
      <c r="AC156" s="5">
        <f t="shared" si="56"/>
        <v>0</v>
      </c>
      <c r="AD156" s="5">
        <f t="shared" si="56"/>
        <v>14</v>
      </c>
      <c r="AE156" s="5">
        <f t="shared" si="56"/>
        <v>4</v>
      </c>
      <c r="AF156" s="5">
        <f t="shared" si="56"/>
        <v>2</v>
      </c>
      <c r="AG156" s="5">
        <f t="shared" si="56"/>
        <v>7</v>
      </c>
      <c r="AH156" s="5">
        <f t="shared" si="56"/>
        <v>10</v>
      </c>
      <c r="AI156" s="5">
        <f t="shared" si="56"/>
        <v>6</v>
      </c>
      <c r="AJ156" s="5">
        <f t="shared" si="56"/>
        <v>6</v>
      </c>
      <c r="AK156" s="5">
        <f t="shared" si="56"/>
        <v>6</v>
      </c>
      <c r="AL156" s="5">
        <f t="shared" si="56"/>
        <v>2</v>
      </c>
      <c r="AM156" s="5">
        <f t="shared" si="56"/>
        <v>4</v>
      </c>
      <c r="AN156" s="5">
        <f t="shared" si="56"/>
        <v>4</v>
      </c>
      <c r="AO156" s="5">
        <f t="shared" si="56"/>
        <v>2</v>
      </c>
      <c r="AP156" s="5">
        <f t="shared" si="56"/>
        <v>4</v>
      </c>
      <c r="AQ156" s="5">
        <f t="shared" si="56"/>
        <v>0</v>
      </c>
      <c r="AR156" s="5">
        <f t="shared" si="56"/>
        <v>1</v>
      </c>
      <c r="AS156" s="5">
        <f t="shared" si="56"/>
        <v>2</v>
      </c>
      <c r="AT156" s="5">
        <f t="shared" si="56"/>
        <v>1</v>
      </c>
      <c r="AU156" s="5">
        <f t="shared" si="56"/>
        <v>3</v>
      </c>
      <c r="AV156" s="5">
        <f t="shared" si="56"/>
        <v>211</v>
      </c>
    </row>
    <row r="157" spans="1:48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</row>
    <row r="158" spans="1:48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1</v>
      </c>
      <c r="M158" s="6">
        <v>2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1</v>
      </c>
      <c r="Z158" s="6">
        <v>0</v>
      </c>
      <c r="AA158" s="6">
        <v>0</v>
      </c>
      <c r="AB158" s="6">
        <v>0</v>
      </c>
      <c r="AC158" s="6">
        <v>1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1</v>
      </c>
      <c r="AT158" s="6">
        <v>0</v>
      </c>
      <c r="AU158" s="6">
        <v>0</v>
      </c>
      <c r="AV158" s="5">
        <f>SUM(E158:AU158)</f>
        <v>6</v>
      </c>
    </row>
    <row r="159" spans="1:48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</v>
      </c>
      <c r="R159" s="6">
        <v>2</v>
      </c>
      <c r="S159" s="6">
        <v>1</v>
      </c>
      <c r="T159" s="6">
        <v>1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2</v>
      </c>
      <c r="AD159" s="6">
        <v>0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1</v>
      </c>
      <c r="AP159" s="6">
        <v>0</v>
      </c>
      <c r="AQ159" s="6">
        <v>1</v>
      </c>
      <c r="AR159" s="6">
        <v>0</v>
      </c>
      <c r="AS159" s="6">
        <v>0</v>
      </c>
      <c r="AT159" s="6">
        <v>0</v>
      </c>
      <c r="AU159" s="6">
        <v>0</v>
      </c>
      <c r="AV159" s="5">
        <f>SUM(E159:AU159)</f>
        <v>11</v>
      </c>
    </row>
    <row r="160" spans="1:48" x14ac:dyDescent="0.4">
      <c r="A160" s="7"/>
      <c r="B160" s="46">
        <v>2</v>
      </c>
      <c r="C160" s="24" t="s">
        <v>183</v>
      </c>
      <c r="D160" s="45"/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1</v>
      </c>
      <c r="Z160" s="6">
        <v>1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1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5">
        <f>SUM(E160:AU160)</f>
        <v>4</v>
      </c>
    </row>
    <row r="161" spans="1:48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1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1</v>
      </c>
      <c r="AA161" s="6">
        <v>0</v>
      </c>
      <c r="AB161" s="6">
        <v>0</v>
      </c>
      <c r="AC161" s="6">
        <v>1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2</v>
      </c>
      <c r="AN161" s="6">
        <v>0</v>
      </c>
      <c r="AO161" s="6">
        <v>0</v>
      </c>
      <c r="AP161" s="6">
        <v>0</v>
      </c>
      <c r="AQ161" s="6">
        <v>0</v>
      </c>
      <c r="AR161" s="6">
        <v>3</v>
      </c>
      <c r="AS161" s="6">
        <v>0</v>
      </c>
      <c r="AT161" s="6">
        <v>0</v>
      </c>
      <c r="AU161" s="6">
        <v>0</v>
      </c>
      <c r="AV161" s="5">
        <f>SUM(E161:AU161)</f>
        <v>8</v>
      </c>
    </row>
    <row r="162" spans="1:48" x14ac:dyDescent="0.4">
      <c r="A162" s="6" t="s">
        <v>26</v>
      </c>
      <c r="B162" s="53" t="s">
        <v>51</v>
      </c>
      <c r="C162" s="54"/>
      <c r="D162" s="55"/>
      <c r="E162" s="5">
        <f t="shared" ref="E162:AV162" si="57">SUM(E158:E161)</f>
        <v>1</v>
      </c>
      <c r="F162" s="5">
        <f t="shared" si="57"/>
        <v>0</v>
      </c>
      <c r="G162" s="5">
        <f t="shared" si="57"/>
        <v>1</v>
      </c>
      <c r="H162" s="5">
        <f t="shared" si="57"/>
        <v>0</v>
      </c>
      <c r="I162" s="5">
        <f t="shared" si="57"/>
        <v>0</v>
      </c>
      <c r="J162" s="5">
        <f t="shared" si="57"/>
        <v>1</v>
      </c>
      <c r="K162" s="5">
        <f t="shared" si="57"/>
        <v>0</v>
      </c>
      <c r="L162" s="5">
        <f t="shared" si="57"/>
        <v>1</v>
      </c>
      <c r="M162" s="5">
        <f t="shared" si="57"/>
        <v>2</v>
      </c>
      <c r="N162" s="5">
        <f t="shared" si="57"/>
        <v>0</v>
      </c>
      <c r="O162" s="5">
        <f t="shared" si="57"/>
        <v>0</v>
      </c>
      <c r="P162" s="5">
        <f t="shared" si="57"/>
        <v>0</v>
      </c>
      <c r="Q162" s="5">
        <f t="shared" si="57"/>
        <v>1</v>
      </c>
      <c r="R162" s="5">
        <f t="shared" si="57"/>
        <v>2</v>
      </c>
      <c r="S162" s="5">
        <f t="shared" si="57"/>
        <v>1</v>
      </c>
      <c r="T162" s="5">
        <f t="shared" si="57"/>
        <v>1</v>
      </c>
      <c r="U162" s="5">
        <f t="shared" si="57"/>
        <v>0</v>
      </c>
      <c r="V162" s="5">
        <f t="shared" si="57"/>
        <v>0</v>
      </c>
      <c r="W162" s="5">
        <f t="shared" si="57"/>
        <v>0</v>
      </c>
      <c r="X162" s="5">
        <f t="shared" si="57"/>
        <v>0</v>
      </c>
      <c r="Y162" s="5">
        <f t="shared" si="57"/>
        <v>2</v>
      </c>
      <c r="Z162" s="5">
        <f t="shared" si="57"/>
        <v>2</v>
      </c>
      <c r="AA162" s="5">
        <f t="shared" si="57"/>
        <v>0</v>
      </c>
      <c r="AB162" s="5">
        <f t="shared" si="57"/>
        <v>0</v>
      </c>
      <c r="AC162" s="5">
        <f t="shared" si="57"/>
        <v>4</v>
      </c>
      <c r="AD162" s="5">
        <f t="shared" si="57"/>
        <v>0</v>
      </c>
      <c r="AE162" s="5">
        <f t="shared" si="57"/>
        <v>1</v>
      </c>
      <c r="AF162" s="5">
        <f t="shared" si="57"/>
        <v>0</v>
      </c>
      <c r="AG162" s="5">
        <f t="shared" si="57"/>
        <v>0</v>
      </c>
      <c r="AH162" s="5">
        <f t="shared" si="57"/>
        <v>0</v>
      </c>
      <c r="AI162" s="5">
        <f t="shared" si="57"/>
        <v>0</v>
      </c>
      <c r="AJ162" s="5">
        <f t="shared" si="57"/>
        <v>0</v>
      </c>
      <c r="AK162" s="5">
        <f t="shared" si="57"/>
        <v>0</v>
      </c>
      <c r="AL162" s="5">
        <f t="shared" si="57"/>
        <v>0</v>
      </c>
      <c r="AM162" s="5">
        <f t="shared" si="57"/>
        <v>2</v>
      </c>
      <c r="AN162" s="5">
        <f t="shared" si="57"/>
        <v>0</v>
      </c>
      <c r="AO162" s="5">
        <f t="shared" si="57"/>
        <v>2</v>
      </c>
      <c r="AP162" s="5">
        <f t="shared" si="57"/>
        <v>0</v>
      </c>
      <c r="AQ162" s="5">
        <f t="shared" si="57"/>
        <v>1</v>
      </c>
      <c r="AR162" s="5">
        <f t="shared" si="57"/>
        <v>3</v>
      </c>
      <c r="AS162" s="5">
        <f t="shared" si="57"/>
        <v>1</v>
      </c>
      <c r="AT162" s="5">
        <f t="shared" si="57"/>
        <v>0</v>
      </c>
      <c r="AU162" s="5">
        <f t="shared" si="57"/>
        <v>0</v>
      </c>
      <c r="AV162" s="5">
        <f t="shared" si="57"/>
        <v>29</v>
      </c>
    </row>
    <row r="163" spans="1:48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</row>
    <row r="164" spans="1:48" x14ac:dyDescent="0.4">
      <c r="A164" s="11" t="s">
        <v>48</v>
      </c>
      <c r="B164" s="17" t="s">
        <v>79</v>
      </c>
      <c r="C164" s="59" t="s">
        <v>80</v>
      </c>
      <c r="D164" s="60"/>
      <c r="E164" s="6">
        <v>12</v>
      </c>
      <c r="F164" s="6">
        <v>6</v>
      </c>
      <c r="G164" s="6">
        <v>3</v>
      </c>
      <c r="H164" s="6">
        <v>0</v>
      </c>
      <c r="I164" s="6">
        <v>3</v>
      </c>
      <c r="J164" s="6">
        <v>5</v>
      </c>
      <c r="K164" s="6">
        <v>8</v>
      </c>
      <c r="L164" s="6">
        <v>4</v>
      </c>
      <c r="M164" s="6">
        <v>2</v>
      </c>
      <c r="N164" s="6">
        <v>0</v>
      </c>
      <c r="O164" s="6">
        <v>1</v>
      </c>
      <c r="P164" s="6">
        <v>0</v>
      </c>
      <c r="Q164" s="6">
        <v>3</v>
      </c>
      <c r="R164" s="6">
        <v>0</v>
      </c>
      <c r="S164" s="6">
        <v>6</v>
      </c>
      <c r="T164" s="6">
        <v>2</v>
      </c>
      <c r="U164" s="6">
        <v>0</v>
      </c>
      <c r="V164" s="6">
        <v>1</v>
      </c>
      <c r="W164" s="6">
        <v>7</v>
      </c>
      <c r="X164" s="6">
        <v>4</v>
      </c>
      <c r="Y164" s="6">
        <v>0</v>
      </c>
      <c r="Z164" s="6">
        <v>2</v>
      </c>
      <c r="AA164" s="6">
        <v>0</v>
      </c>
      <c r="AB164" s="6">
        <v>0</v>
      </c>
      <c r="AC164" s="6">
        <v>1</v>
      </c>
      <c r="AD164" s="6">
        <v>0</v>
      </c>
      <c r="AE164" s="6">
        <v>1</v>
      </c>
      <c r="AF164" s="6">
        <v>1</v>
      </c>
      <c r="AG164" s="6">
        <v>1</v>
      </c>
      <c r="AH164" s="6">
        <v>2</v>
      </c>
      <c r="AI164" s="6">
        <v>5</v>
      </c>
      <c r="AJ164" s="6">
        <v>3</v>
      </c>
      <c r="AK164" s="6">
        <v>0</v>
      </c>
      <c r="AL164" s="6">
        <v>0</v>
      </c>
      <c r="AM164" s="6">
        <v>0</v>
      </c>
      <c r="AN164" s="6">
        <v>1</v>
      </c>
      <c r="AO164" s="6">
        <v>0</v>
      </c>
      <c r="AP164" s="6">
        <v>0</v>
      </c>
      <c r="AQ164" s="6">
        <v>2</v>
      </c>
      <c r="AR164" s="6">
        <v>1</v>
      </c>
      <c r="AS164" s="6">
        <v>1</v>
      </c>
      <c r="AT164" s="6">
        <v>0</v>
      </c>
      <c r="AU164" s="6">
        <v>0</v>
      </c>
      <c r="AV164" s="5">
        <f t="shared" ref="AV164:AV170" si="58">SUM(E164:AU164)</f>
        <v>88</v>
      </c>
    </row>
    <row r="165" spans="1:48" x14ac:dyDescent="0.4">
      <c r="A165" s="11" t="s">
        <v>50</v>
      </c>
      <c r="B165" s="46">
        <v>1</v>
      </c>
      <c r="C165" s="24" t="s">
        <v>185</v>
      </c>
      <c r="D165" s="47"/>
      <c r="E165" s="6">
        <v>3</v>
      </c>
      <c r="F165" s="6">
        <v>1</v>
      </c>
      <c r="G165" s="6">
        <v>0</v>
      </c>
      <c r="H165" s="6">
        <v>1</v>
      </c>
      <c r="I165" s="6">
        <v>0</v>
      </c>
      <c r="J165" s="6">
        <v>1</v>
      </c>
      <c r="K165" s="6">
        <v>1</v>
      </c>
      <c r="L165" s="6">
        <v>1</v>
      </c>
      <c r="M165" s="6">
        <v>0</v>
      </c>
      <c r="N165" s="6">
        <v>1</v>
      </c>
      <c r="O165" s="6">
        <v>2</v>
      </c>
      <c r="P165" s="6">
        <v>0</v>
      </c>
      <c r="Q165" s="6">
        <v>0</v>
      </c>
      <c r="R165" s="6">
        <v>1</v>
      </c>
      <c r="S165" s="6">
        <v>0</v>
      </c>
      <c r="T165" s="6">
        <v>2</v>
      </c>
      <c r="U165" s="6">
        <v>0</v>
      </c>
      <c r="V165" s="6">
        <v>0</v>
      </c>
      <c r="W165" s="6">
        <v>2</v>
      </c>
      <c r="X165" s="6">
        <v>2</v>
      </c>
      <c r="Y165" s="6">
        <v>1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1</v>
      </c>
      <c r="AG165" s="6">
        <v>0</v>
      </c>
      <c r="AH165" s="6">
        <v>2</v>
      </c>
      <c r="AI165" s="6">
        <v>2</v>
      </c>
      <c r="AJ165" s="6">
        <v>0</v>
      </c>
      <c r="AK165" s="6">
        <v>2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2</v>
      </c>
      <c r="AT165" s="6">
        <v>0</v>
      </c>
      <c r="AU165" s="6">
        <v>0</v>
      </c>
      <c r="AV165" s="5">
        <f t="shared" si="58"/>
        <v>29</v>
      </c>
    </row>
    <row r="166" spans="1:48" x14ac:dyDescent="0.4">
      <c r="A166" s="7"/>
      <c r="B166" s="46">
        <v>2</v>
      </c>
      <c r="C166" s="24" t="s">
        <v>186</v>
      </c>
      <c r="D166" s="47"/>
      <c r="E166" s="6">
        <v>25</v>
      </c>
      <c r="F166" s="6">
        <v>14</v>
      </c>
      <c r="G166" s="6">
        <v>19</v>
      </c>
      <c r="H166" s="6">
        <v>112</v>
      </c>
      <c r="I166" s="6">
        <v>31</v>
      </c>
      <c r="J166" s="6">
        <v>54</v>
      </c>
      <c r="K166" s="6">
        <v>57</v>
      </c>
      <c r="L166" s="6">
        <v>23</v>
      </c>
      <c r="M166" s="6">
        <v>20</v>
      </c>
      <c r="N166" s="6">
        <v>9</v>
      </c>
      <c r="O166" s="6">
        <v>4</v>
      </c>
      <c r="P166" s="6">
        <v>4</v>
      </c>
      <c r="Q166" s="6">
        <v>2</v>
      </c>
      <c r="R166" s="6">
        <v>13</v>
      </c>
      <c r="S166" s="6">
        <v>11</v>
      </c>
      <c r="T166" s="6">
        <v>6</v>
      </c>
      <c r="U166" s="6">
        <v>5</v>
      </c>
      <c r="V166" s="6">
        <v>13</v>
      </c>
      <c r="W166" s="6">
        <v>39</v>
      </c>
      <c r="X166" s="6">
        <v>15</v>
      </c>
      <c r="Y166" s="6">
        <v>7</v>
      </c>
      <c r="Z166" s="6">
        <v>7</v>
      </c>
      <c r="AA166" s="6">
        <v>2</v>
      </c>
      <c r="AB166" s="6">
        <v>2</v>
      </c>
      <c r="AC166" s="6">
        <v>1</v>
      </c>
      <c r="AD166" s="6">
        <v>0</v>
      </c>
      <c r="AE166" s="6">
        <v>0</v>
      </c>
      <c r="AF166" s="6">
        <v>0</v>
      </c>
      <c r="AG166" s="6">
        <v>3</v>
      </c>
      <c r="AH166" s="6">
        <v>41</v>
      </c>
      <c r="AI166" s="6">
        <v>13</v>
      </c>
      <c r="AJ166" s="6">
        <v>10</v>
      </c>
      <c r="AK166" s="6">
        <v>3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1</v>
      </c>
      <c r="AS166" s="6">
        <v>0</v>
      </c>
      <c r="AT166" s="6">
        <v>0</v>
      </c>
      <c r="AU166" s="6">
        <v>0</v>
      </c>
      <c r="AV166" s="5">
        <f t="shared" si="58"/>
        <v>566</v>
      </c>
    </row>
    <row r="167" spans="1:48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0</v>
      </c>
      <c r="N167" s="6">
        <v>2</v>
      </c>
      <c r="O167" s="6">
        <v>1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1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1</v>
      </c>
      <c r="AC167" s="6">
        <v>0</v>
      </c>
      <c r="AD167" s="6">
        <v>1</v>
      </c>
      <c r="AE167" s="6">
        <v>0</v>
      </c>
      <c r="AF167" s="6">
        <v>1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5">
        <f t="shared" si="58"/>
        <v>8</v>
      </c>
    </row>
    <row r="168" spans="1:48" x14ac:dyDescent="0.4">
      <c r="A168" s="7"/>
      <c r="B168" s="46">
        <v>4</v>
      </c>
      <c r="C168" s="24" t="s">
        <v>188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1</v>
      </c>
      <c r="J168" s="6">
        <v>1</v>
      </c>
      <c r="K168" s="6">
        <v>0</v>
      </c>
      <c r="L168" s="6">
        <v>0</v>
      </c>
      <c r="M168" s="6">
        <v>1</v>
      </c>
      <c r="N168" s="6">
        <v>0</v>
      </c>
      <c r="O168" s="6">
        <v>1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2</v>
      </c>
      <c r="Y168" s="6">
        <v>2</v>
      </c>
      <c r="Z168" s="6">
        <v>17</v>
      </c>
      <c r="AA168" s="6">
        <v>10</v>
      </c>
      <c r="AB168" s="6">
        <v>1</v>
      </c>
      <c r="AC168" s="6">
        <v>2</v>
      </c>
      <c r="AD168" s="6">
        <v>18</v>
      </c>
      <c r="AE168" s="6">
        <v>6</v>
      </c>
      <c r="AF168" s="6">
        <v>1</v>
      </c>
      <c r="AG168" s="6">
        <v>1</v>
      </c>
      <c r="AH168" s="6">
        <v>0</v>
      </c>
      <c r="AI168" s="6">
        <v>2</v>
      </c>
      <c r="AJ168" s="6">
        <v>0</v>
      </c>
      <c r="AK168" s="6">
        <v>0</v>
      </c>
      <c r="AL168" s="6">
        <v>1</v>
      </c>
      <c r="AM168" s="6">
        <v>4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1</v>
      </c>
      <c r="AT168" s="6">
        <v>0</v>
      </c>
      <c r="AU168" s="6">
        <v>4</v>
      </c>
      <c r="AV168" s="5">
        <f t="shared" si="58"/>
        <v>77</v>
      </c>
    </row>
    <row r="169" spans="1:48" ht="12.75" customHeight="1" x14ac:dyDescent="0.4">
      <c r="A169" s="7"/>
      <c r="B169" s="46">
        <v>5</v>
      </c>
      <c r="C169" s="24" t="s">
        <v>189</v>
      </c>
      <c r="D169" s="47"/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0</v>
      </c>
      <c r="M169" s="6">
        <v>0</v>
      </c>
      <c r="N169" s="6">
        <v>1</v>
      </c>
      <c r="O169" s="6">
        <v>1</v>
      </c>
      <c r="P169" s="6">
        <v>1</v>
      </c>
      <c r="Q169" s="6">
        <v>1</v>
      </c>
      <c r="R169" s="6">
        <v>0</v>
      </c>
      <c r="S169" s="6">
        <v>1</v>
      </c>
      <c r="T169" s="6">
        <v>0</v>
      </c>
      <c r="U169" s="6">
        <v>0</v>
      </c>
      <c r="V169" s="6">
        <v>0</v>
      </c>
      <c r="W169" s="6">
        <v>0</v>
      </c>
      <c r="X169" s="6">
        <v>1</v>
      </c>
      <c r="Y169" s="6">
        <v>0</v>
      </c>
      <c r="Z169" s="6">
        <v>0</v>
      </c>
      <c r="AA169" s="6">
        <v>1</v>
      </c>
      <c r="AB169" s="6">
        <v>0</v>
      </c>
      <c r="AC169" s="6">
        <v>0</v>
      </c>
      <c r="AD169" s="6">
        <v>0</v>
      </c>
      <c r="AE169" s="6">
        <v>0</v>
      </c>
      <c r="AF169" s="6">
        <v>1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5">
        <f t="shared" si="58"/>
        <v>10</v>
      </c>
    </row>
    <row r="170" spans="1:48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1</v>
      </c>
      <c r="L170" s="6">
        <v>0</v>
      </c>
      <c r="M170" s="6">
        <v>1</v>
      </c>
      <c r="N170" s="6">
        <v>0</v>
      </c>
      <c r="O170" s="6">
        <v>1</v>
      </c>
      <c r="P170" s="6">
        <v>0</v>
      </c>
      <c r="Q170" s="6">
        <v>0</v>
      </c>
      <c r="R170" s="6">
        <v>0</v>
      </c>
      <c r="S170" s="6"/>
      <c r="T170" s="6">
        <v>0</v>
      </c>
      <c r="U170" s="6">
        <v>1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1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5">
        <f t="shared" si="58"/>
        <v>6</v>
      </c>
    </row>
    <row r="171" spans="1:48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AV171" si="59">SUM(E164:E170)</f>
        <v>41</v>
      </c>
      <c r="F171" s="5">
        <f t="shared" si="59"/>
        <v>21</v>
      </c>
      <c r="G171" s="5">
        <f t="shared" si="59"/>
        <v>22</v>
      </c>
      <c r="H171" s="5">
        <f t="shared" si="59"/>
        <v>113</v>
      </c>
      <c r="I171" s="5">
        <f t="shared" si="59"/>
        <v>35</v>
      </c>
      <c r="J171" s="5">
        <f t="shared" si="59"/>
        <v>62</v>
      </c>
      <c r="K171" s="5">
        <f t="shared" si="59"/>
        <v>69</v>
      </c>
      <c r="L171" s="5">
        <f t="shared" si="59"/>
        <v>28</v>
      </c>
      <c r="M171" s="5">
        <f t="shared" si="59"/>
        <v>24</v>
      </c>
      <c r="N171" s="5">
        <f t="shared" si="59"/>
        <v>13</v>
      </c>
      <c r="O171" s="5">
        <f t="shared" si="59"/>
        <v>11</v>
      </c>
      <c r="P171" s="5">
        <f t="shared" si="59"/>
        <v>5</v>
      </c>
      <c r="Q171" s="5">
        <f t="shared" si="59"/>
        <v>7</v>
      </c>
      <c r="R171" s="5">
        <f t="shared" si="59"/>
        <v>14</v>
      </c>
      <c r="S171" s="5">
        <f t="shared" si="59"/>
        <v>18</v>
      </c>
      <c r="T171" s="5">
        <f t="shared" si="59"/>
        <v>10</v>
      </c>
      <c r="U171" s="5">
        <f t="shared" si="59"/>
        <v>6</v>
      </c>
      <c r="V171" s="5">
        <f t="shared" si="59"/>
        <v>15</v>
      </c>
      <c r="W171" s="5">
        <f t="shared" si="59"/>
        <v>48</v>
      </c>
      <c r="X171" s="5">
        <f t="shared" si="59"/>
        <v>24</v>
      </c>
      <c r="Y171" s="5">
        <f t="shared" si="59"/>
        <v>10</v>
      </c>
      <c r="Z171" s="5">
        <f t="shared" si="59"/>
        <v>26</v>
      </c>
      <c r="AA171" s="5">
        <f t="shared" si="59"/>
        <v>13</v>
      </c>
      <c r="AB171" s="5">
        <f t="shared" si="59"/>
        <v>4</v>
      </c>
      <c r="AC171" s="5">
        <f t="shared" si="59"/>
        <v>5</v>
      </c>
      <c r="AD171" s="5">
        <f t="shared" si="59"/>
        <v>19</v>
      </c>
      <c r="AE171" s="5">
        <f t="shared" si="59"/>
        <v>8</v>
      </c>
      <c r="AF171" s="5">
        <f t="shared" si="59"/>
        <v>5</v>
      </c>
      <c r="AG171" s="5">
        <f t="shared" si="59"/>
        <v>5</v>
      </c>
      <c r="AH171" s="5">
        <f t="shared" si="59"/>
        <v>45</v>
      </c>
      <c r="AI171" s="5">
        <f t="shared" si="59"/>
        <v>22</v>
      </c>
      <c r="AJ171" s="5">
        <f t="shared" si="59"/>
        <v>13</v>
      </c>
      <c r="AK171" s="5">
        <f t="shared" si="59"/>
        <v>5</v>
      </c>
      <c r="AL171" s="5">
        <f t="shared" si="59"/>
        <v>1</v>
      </c>
      <c r="AM171" s="5">
        <f t="shared" si="59"/>
        <v>4</v>
      </c>
      <c r="AN171" s="5">
        <f t="shared" si="59"/>
        <v>1</v>
      </c>
      <c r="AO171" s="5">
        <f t="shared" si="59"/>
        <v>0</v>
      </c>
      <c r="AP171" s="5">
        <f t="shared" si="59"/>
        <v>0</v>
      </c>
      <c r="AQ171" s="5">
        <f t="shared" si="59"/>
        <v>2</v>
      </c>
      <c r="AR171" s="5">
        <f t="shared" si="59"/>
        <v>2</v>
      </c>
      <c r="AS171" s="5">
        <f t="shared" si="59"/>
        <v>4</v>
      </c>
      <c r="AT171" s="5">
        <f t="shared" si="59"/>
        <v>0</v>
      </c>
      <c r="AU171" s="5">
        <f t="shared" si="59"/>
        <v>4</v>
      </c>
      <c r="AV171" s="5">
        <f t="shared" si="59"/>
        <v>784</v>
      </c>
    </row>
    <row r="172" spans="1:48" x14ac:dyDescent="0.4">
      <c r="A172" s="61"/>
      <c r="B172" s="62"/>
      <c r="C172" s="62"/>
      <c r="D172" s="62"/>
      <c r="E172" s="63"/>
    </row>
    <row r="173" spans="1:48" x14ac:dyDescent="0.4">
      <c r="A173" s="11" t="s">
        <v>48</v>
      </c>
      <c r="B173" s="17" t="s">
        <v>81</v>
      </c>
      <c r="C173" s="59" t="s">
        <v>82</v>
      </c>
      <c r="D173" s="60"/>
      <c r="E173" s="6">
        <v>0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2</v>
      </c>
      <c r="P173" s="6">
        <v>0</v>
      </c>
      <c r="Q173" s="6">
        <v>0</v>
      </c>
      <c r="R173" s="6">
        <v>1</v>
      </c>
      <c r="S173" s="6">
        <v>0</v>
      </c>
      <c r="T173" s="6">
        <v>1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2</v>
      </c>
      <c r="AA173" s="6">
        <v>2</v>
      </c>
      <c r="AB173" s="6">
        <v>0</v>
      </c>
      <c r="AC173" s="6">
        <v>0</v>
      </c>
      <c r="AD173" s="6">
        <v>1</v>
      </c>
      <c r="AE173" s="6">
        <v>0</v>
      </c>
      <c r="AF173" s="6">
        <v>1</v>
      </c>
      <c r="AG173" s="6">
        <v>2</v>
      </c>
      <c r="AH173" s="6">
        <v>0</v>
      </c>
      <c r="AI173" s="6">
        <v>0</v>
      </c>
      <c r="AJ173" s="6">
        <v>0</v>
      </c>
      <c r="AK173" s="6">
        <v>1</v>
      </c>
      <c r="AL173" s="6">
        <v>0</v>
      </c>
      <c r="AM173" s="6">
        <v>0</v>
      </c>
      <c r="AN173" s="6">
        <v>1</v>
      </c>
      <c r="AO173" s="6">
        <v>1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5">
        <f>SUM(E173:AU173)</f>
        <v>16</v>
      </c>
    </row>
    <row r="174" spans="1:48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2</v>
      </c>
      <c r="K174" s="6">
        <v>1</v>
      </c>
      <c r="L174" s="6">
        <v>0</v>
      </c>
      <c r="M174" s="6">
        <v>0</v>
      </c>
      <c r="N174" s="6">
        <v>0</v>
      </c>
      <c r="O174" s="6">
        <v>2</v>
      </c>
      <c r="P174" s="6">
        <v>2</v>
      </c>
      <c r="Q174" s="6">
        <v>0</v>
      </c>
      <c r="R174" s="6">
        <v>1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1</v>
      </c>
      <c r="Z174" s="6">
        <v>0</v>
      </c>
      <c r="AA174" s="6">
        <v>0</v>
      </c>
      <c r="AB174" s="6">
        <v>0</v>
      </c>
      <c r="AC174" s="6">
        <v>0</v>
      </c>
      <c r="AD174" s="6">
        <v>1</v>
      </c>
      <c r="AE174" s="6">
        <v>0</v>
      </c>
      <c r="AF174" s="6">
        <v>1</v>
      </c>
      <c r="AG174" s="6">
        <v>0</v>
      </c>
      <c r="AH174" s="6">
        <v>0</v>
      </c>
      <c r="AI174" s="6">
        <v>1</v>
      </c>
      <c r="AJ174" s="6">
        <v>0</v>
      </c>
      <c r="AK174" s="6">
        <v>0</v>
      </c>
      <c r="AL174" s="6">
        <v>4</v>
      </c>
      <c r="AM174" s="6">
        <v>4</v>
      </c>
      <c r="AN174" s="6">
        <v>1</v>
      </c>
      <c r="AO174" s="6">
        <v>2</v>
      </c>
      <c r="AP174" s="6">
        <v>4</v>
      </c>
      <c r="AQ174" s="6">
        <v>0</v>
      </c>
      <c r="AR174" s="6">
        <v>2</v>
      </c>
      <c r="AS174" s="6">
        <v>0</v>
      </c>
      <c r="AT174" s="6">
        <v>1</v>
      </c>
      <c r="AU174" s="6">
        <v>2</v>
      </c>
      <c r="AV174" s="5">
        <f>SUM(E174:AU174)</f>
        <v>33</v>
      </c>
    </row>
    <row r="175" spans="1:48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2</v>
      </c>
      <c r="L175" s="6">
        <v>0</v>
      </c>
      <c r="M175" s="6">
        <v>0</v>
      </c>
      <c r="N175" s="6">
        <v>0</v>
      </c>
      <c r="O175" s="6">
        <v>1</v>
      </c>
      <c r="P175" s="6">
        <v>0</v>
      </c>
      <c r="Q175" s="6">
        <v>1</v>
      </c>
      <c r="R175" s="6">
        <v>2</v>
      </c>
      <c r="S175" s="6"/>
      <c r="T175" s="6">
        <v>1</v>
      </c>
      <c r="U175" s="6">
        <v>1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1</v>
      </c>
      <c r="AO175" s="6">
        <v>0</v>
      </c>
      <c r="AP175" s="6">
        <v>0</v>
      </c>
      <c r="AQ175" s="6">
        <v>11</v>
      </c>
      <c r="AR175" s="6">
        <v>0</v>
      </c>
      <c r="AS175" s="6">
        <v>0</v>
      </c>
      <c r="AT175" s="6">
        <v>0</v>
      </c>
      <c r="AU175" s="6">
        <v>0</v>
      </c>
      <c r="AV175" s="5">
        <f>SUM(E175:AU175)</f>
        <v>20</v>
      </c>
    </row>
    <row r="176" spans="1:48" x14ac:dyDescent="0.4">
      <c r="A176" s="6" t="s">
        <v>26</v>
      </c>
      <c r="B176" s="53" t="s">
        <v>51</v>
      </c>
      <c r="C176" s="54"/>
      <c r="D176" s="55"/>
      <c r="E176" s="5">
        <f t="shared" ref="E176:AV176" si="60">SUM(E173:E175)</f>
        <v>0</v>
      </c>
      <c r="F176" s="5">
        <f t="shared" si="60"/>
        <v>1</v>
      </c>
      <c r="G176" s="5">
        <f t="shared" si="60"/>
        <v>0</v>
      </c>
      <c r="H176" s="5">
        <f t="shared" si="60"/>
        <v>0</v>
      </c>
      <c r="I176" s="5">
        <f t="shared" si="60"/>
        <v>0</v>
      </c>
      <c r="J176" s="5">
        <f t="shared" si="60"/>
        <v>2</v>
      </c>
      <c r="K176" s="5">
        <f t="shared" si="60"/>
        <v>3</v>
      </c>
      <c r="L176" s="5">
        <f t="shared" si="60"/>
        <v>0</v>
      </c>
      <c r="M176" s="5">
        <f t="shared" si="60"/>
        <v>0</v>
      </c>
      <c r="N176" s="5">
        <f t="shared" si="60"/>
        <v>0</v>
      </c>
      <c r="O176" s="5">
        <f t="shared" si="60"/>
        <v>5</v>
      </c>
      <c r="P176" s="5">
        <f t="shared" si="60"/>
        <v>2</v>
      </c>
      <c r="Q176" s="5">
        <f t="shared" si="60"/>
        <v>1</v>
      </c>
      <c r="R176" s="5">
        <f t="shared" si="60"/>
        <v>4</v>
      </c>
      <c r="S176" s="5">
        <f t="shared" si="60"/>
        <v>1</v>
      </c>
      <c r="T176" s="5">
        <f t="shared" si="60"/>
        <v>2</v>
      </c>
      <c r="U176" s="5">
        <f t="shared" si="60"/>
        <v>1</v>
      </c>
      <c r="V176" s="5">
        <f t="shared" si="60"/>
        <v>0</v>
      </c>
      <c r="W176" s="5">
        <f t="shared" si="60"/>
        <v>0</v>
      </c>
      <c r="X176" s="5">
        <f t="shared" si="60"/>
        <v>0</v>
      </c>
      <c r="Y176" s="5">
        <f t="shared" si="60"/>
        <v>1</v>
      </c>
      <c r="Z176" s="5">
        <f t="shared" si="60"/>
        <v>2</v>
      </c>
      <c r="AA176" s="5">
        <f t="shared" si="60"/>
        <v>2</v>
      </c>
      <c r="AB176" s="5">
        <f t="shared" si="60"/>
        <v>0</v>
      </c>
      <c r="AC176" s="5">
        <f t="shared" si="60"/>
        <v>0</v>
      </c>
      <c r="AD176" s="5">
        <f t="shared" si="60"/>
        <v>2</v>
      </c>
      <c r="AE176" s="5">
        <f t="shared" si="60"/>
        <v>0</v>
      </c>
      <c r="AF176" s="5">
        <f t="shared" si="60"/>
        <v>2</v>
      </c>
      <c r="AG176" s="5">
        <f t="shared" si="60"/>
        <v>2</v>
      </c>
      <c r="AH176" s="5">
        <f t="shared" si="60"/>
        <v>0</v>
      </c>
      <c r="AI176" s="5">
        <f t="shared" si="60"/>
        <v>1</v>
      </c>
      <c r="AJ176" s="5">
        <f t="shared" si="60"/>
        <v>0</v>
      </c>
      <c r="AK176" s="5">
        <f t="shared" si="60"/>
        <v>1</v>
      </c>
      <c r="AL176" s="5">
        <f t="shared" si="60"/>
        <v>4</v>
      </c>
      <c r="AM176" s="5">
        <f t="shared" si="60"/>
        <v>4</v>
      </c>
      <c r="AN176" s="5">
        <f t="shared" si="60"/>
        <v>3</v>
      </c>
      <c r="AO176" s="5">
        <f t="shared" si="60"/>
        <v>3</v>
      </c>
      <c r="AP176" s="5">
        <f t="shared" si="60"/>
        <v>4</v>
      </c>
      <c r="AQ176" s="5">
        <f t="shared" si="60"/>
        <v>11</v>
      </c>
      <c r="AR176" s="5">
        <f t="shared" si="60"/>
        <v>2</v>
      </c>
      <c r="AS176" s="5">
        <f t="shared" si="60"/>
        <v>0</v>
      </c>
      <c r="AT176" s="5">
        <f t="shared" si="60"/>
        <v>1</v>
      </c>
      <c r="AU176" s="5">
        <f t="shared" si="60"/>
        <v>2</v>
      </c>
      <c r="AV176" s="5">
        <f t="shared" si="60"/>
        <v>69</v>
      </c>
    </row>
    <row r="178" spans="1:48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15"/>
      <c r="S178" s="15"/>
      <c r="T178" s="5"/>
      <c r="U178" s="5"/>
      <c r="V178" s="5"/>
      <c r="W178" s="5"/>
      <c r="X178" s="5"/>
      <c r="Y178" s="5"/>
      <c r="Z178" s="5"/>
      <c r="AA178" s="5"/>
      <c r="AB178" s="15"/>
      <c r="AC178" s="15"/>
      <c r="AD178" s="15"/>
      <c r="AE178" s="15"/>
      <c r="AF178" s="15"/>
      <c r="AG178" s="15"/>
      <c r="AH178" s="5"/>
      <c r="AI178" s="5"/>
      <c r="AJ178" s="5"/>
      <c r="AK178" s="5"/>
      <c r="AL178" s="5"/>
      <c r="AM178" s="5"/>
      <c r="AN178" s="5"/>
      <c r="AO178" s="5"/>
      <c r="AP178" s="15"/>
      <c r="AQ178" s="15"/>
      <c r="AR178" s="15"/>
      <c r="AS178" s="15"/>
      <c r="AT178" s="15"/>
      <c r="AU178" s="15"/>
      <c r="AV178" s="5"/>
    </row>
    <row r="179" spans="1:48" x14ac:dyDescent="0.4">
      <c r="A179" s="16"/>
      <c r="B179" s="19" t="s">
        <v>85</v>
      </c>
      <c r="C179" s="51" t="s">
        <v>86</v>
      </c>
      <c r="D179" s="52"/>
      <c r="E179" s="6">
        <f t="shared" ref="E179:AU179" si="61">E52+E61+E70+E79+E88+E91+E98+E107+E113+E122+E125+E134+E142+E151+E156+E162+E171+E176</f>
        <v>243</v>
      </c>
      <c r="F179" s="6">
        <f t="shared" si="61"/>
        <v>162</v>
      </c>
      <c r="G179" s="6">
        <f t="shared" si="61"/>
        <v>144</v>
      </c>
      <c r="H179" s="6">
        <f t="shared" si="61"/>
        <v>186</v>
      </c>
      <c r="I179" s="6">
        <f t="shared" si="61"/>
        <v>207</v>
      </c>
      <c r="J179" s="6">
        <f t="shared" si="61"/>
        <v>183</v>
      </c>
      <c r="K179" s="6">
        <f t="shared" si="61"/>
        <v>208</v>
      </c>
      <c r="L179" s="6">
        <f t="shared" si="61"/>
        <v>185</v>
      </c>
      <c r="M179" s="6">
        <f t="shared" si="61"/>
        <v>190</v>
      </c>
      <c r="N179" s="6">
        <f t="shared" si="61"/>
        <v>214</v>
      </c>
      <c r="O179" s="6">
        <f t="shared" si="61"/>
        <v>193</v>
      </c>
      <c r="P179" s="6">
        <f t="shared" si="61"/>
        <v>180</v>
      </c>
      <c r="Q179" s="6">
        <f t="shared" si="61"/>
        <v>200</v>
      </c>
      <c r="R179" s="6">
        <f t="shared" si="61"/>
        <v>190</v>
      </c>
      <c r="S179" s="6">
        <f t="shared" si="61"/>
        <v>180</v>
      </c>
      <c r="T179" s="6">
        <f t="shared" si="61"/>
        <v>181</v>
      </c>
      <c r="U179" s="6">
        <f t="shared" si="61"/>
        <v>176</v>
      </c>
      <c r="V179" s="6">
        <f t="shared" si="61"/>
        <v>194</v>
      </c>
      <c r="W179" s="6">
        <f t="shared" si="61"/>
        <v>208</v>
      </c>
      <c r="X179" s="6">
        <f t="shared" si="61"/>
        <v>203</v>
      </c>
      <c r="Y179" s="6">
        <f t="shared" si="61"/>
        <v>196</v>
      </c>
      <c r="Z179" s="6">
        <f t="shared" si="61"/>
        <v>207</v>
      </c>
      <c r="AA179" s="6">
        <f t="shared" si="61"/>
        <v>199</v>
      </c>
      <c r="AB179" s="6">
        <f t="shared" si="61"/>
        <v>207</v>
      </c>
      <c r="AC179" s="6">
        <f t="shared" si="61"/>
        <v>198</v>
      </c>
      <c r="AD179" s="6">
        <f t="shared" si="61"/>
        <v>198</v>
      </c>
      <c r="AE179" s="6">
        <f t="shared" si="61"/>
        <v>196</v>
      </c>
      <c r="AF179" s="6">
        <f t="shared" si="61"/>
        <v>205</v>
      </c>
      <c r="AG179" s="6">
        <f t="shared" si="61"/>
        <v>186</v>
      </c>
      <c r="AH179" s="6">
        <f t="shared" si="61"/>
        <v>179</v>
      </c>
      <c r="AI179" s="6">
        <f t="shared" si="61"/>
        <v>199</v>
      </c>
      <c r="AJ179" s="6">
        <f t="shared" si="61"/>
        <v>215</v>
      </c>
      <c r="AK179" s="6">
        <f t="shared" si="61"/>
        <v>219</v>
      </c>
      <c r="AL179" s="6">
        <f t="shared" si="61"/>
        <v>140</v>
      </c>
      <c r="AM179" s="6">
        <f t="shared" si="61"/>
        <v>176</v>
      </c>
      <c r="AN179" s="6">
        <f t="shared" si="61"/>
        <v>200</v>
      </c>
      <c r="AO179" s="6">
        <f t="shared" si="61"/>
        <v>167</v>
      </c>
      <c r="AP179" s="6">
        <f t="shared" si="61"/>
        <v>189</v>
      </c>
      <c r="AQ179" s="6">
        <f t="shared" si="61"/>
        <v>177</v>
      </c>
      <c r="AR179" s="6">
        <f t="shared" si="61"/>
        <v>160</v>
      </c>
      <c r="AS179" s="6">
        <f t="shared" si="61"/>
        <v>196</v>
      </c>
      <c r="AT179" s="6">
        <f t="shared" si="61"/>
        <v>199</v>
      </c>
      <c r="AU179" s="6">
        <f t="shared" si="61"/>
        <v>168</v>
      </c>
      <c r="AV179" s="5">
        <f>SUM(E179:AU179)</f>
        <v>8203</v>
      </c>
    </row>
    <row r="180" spans="1:48" x14ac:dyDescent="0.4">
      <c r="A180" s="13"/>
      <c r="B180" s="19" t="s">
        <v>87</v>
      </c>
      <c r="C180" s="51" t="s">
        <v>88</v>
      </c>
      <c r="D180" s="52"/>
      <c r="E180" s="6">
        <v>8</v>
      </c>
      <c r="F180" s="6">
        <v>24</v>
      </c>
      <c r="G180" s="6">
        <v>30</v>
      </c>
      <c r="H180" s="6">
        <v>46</v>
      </c>
      <c r="I180" s="6">
        <v>19</v>
      </c>
      <c r="J180" s="6">
        <v>30</v>
      </c>
      <c r="K180" s="6">
        <v>20</v>
      </c>
      <c r="L180" s="6">
        <v>29</v>
      </c>
      <c r="M180" s="6">
        <v>21</v>
      </c>
      <c r="N180" s="6">
        <v>11</v>
      </c>
      <c r="O180" s="6">
        <v>15</v>
      </c>
      <c r="P180" s="6">
        <v>33</v>
      </c>
      <c r="Q180" s="6">
        <v>9</v>
      </c>
      <c r="R180" s="6">
        <v>19</v>
      </c>
      <c r="S180" s="6">
        <v>23</v>
      </c>
      <c r="T180" s="6">
        <v>35</v>
      </c>
      <c r="U180" s="6">
        <v>33</v>
      </c>
      <c r="V180" s="6">
        <v>19</v>
      </c>
      <c r="W180" s="6">
        <v>20</v>
      </c>
      <c r="X180" s="6">
        <v>22</v>
      </c>
      <c r="Y180" s="6">
        <v>21</v>
      </c>
      <c r="Z180" s="6">
        <v>19</v>
      </c>
      <c r="AA180" s="6">
        <v>27</v>
      </c>
      <c r="AB180" s="6">
        <v>20</v>
      </c>
      <c r="AC180" s="6">
        <v>21</v>
      </c>
      <c r="AD180" s="6">
        <v>16</v>
      </c>
      <c r="AE180" s="6">
        <v>25</v>
      </c>
      <c r="AF180" s="6">
        <v>23</v>
      </c>
      <c r="AG180" s="6">
        <v>20</v>
      </c>
      <c r="AH180" s="6">
        <v>23</v>
      </c>
      <c r="AI180" s="6">
        <v>16</v>
      </c>
      <c r="AJ180" s="6">
        <v>15</v>
      </c>
      <c r="AK180" s="6">
        <v>15</v>
      </c>
      <c r="AL180" s="6">
        <v>5</v>
      </c>
      <c r="AM180" s="6">
        <v>13</v>
      </c>
      <c r="AN180" s="6">
        <v>8</v>
      </c>
      <c r="AO180" s="6">
        <v>23</v>
      </c>
      <c r="AP180" s="6">
        <v>28</v>
      </c>
      <c r="AQ180" s="6">
        <v>29</v>
      </c>
      <c r="AR180" s="6">
        <v>12</v>
      </c>
      <c r="AS180" s="6">
        <v>11</v>
      </c>
      <c r="AT180" s="6">
        <v>14</v>
      </c>
      <c r="AU180" s="6">
        <v>15</v>
      </c>
      <c r="AV180" s="5">
        <f>SUM(E180:AU180)</f>
        <v>885</v>
      </c>
    </row>
    <row r="181" spans="1:48" x14ac:dyDescent="0.4">
      <c r="A181" s="14"/>
      <c r="B181" s="19" t="s">
        <v>89</v>
      </c>
      <c r="C181" s="51" t="s">
        <v>90</v>
      </c>
      <c r="D181" s="52"/>
      <c r="E181" s="5">
        <f>SUM(E179:E180)</f>
        <v>251</v>
      </c>
      <c r="F181" s="5">
        <f t="shared" ref="F181:S181" si="62">SUM(F179:F180)</f>
        <v>186</v>
      </c>
      <c r="G181" s="5">
        <f t="shared" si="62"/>
        <v>174</v>
      </c>
      <c r="H181" s="5">
        <f t="shared" si="62"/>
        <v>232</v>
      </c>
      <c r="I181" s="5">
        <f t="shared" si="62"/>
        <v>226</v>
      </c>
      <c r="J181" s="5">
        <f t="shared" si="62"/>
        <v>213</v>
      </c>
      <c r="K181" s="5">
        <f t="shared" si="62"/>
        <v>228</v>
      </c>
      <c r="L181" s="5">
        <f t="shared" si="62"/>
        <v>214</v>
      </c>
      <c r="M181" s="5">
        <f t="shared" si="62"/>
        <v>211</v>
      </c>
      <c r="N181" s="5">
        <f t="shared" si="62"/>
        <v>225</v>
      </c>
      <c r="O181" s="5">
        <f t="shared" si="62"/>
        <v>208</v>
      </c>
      <c r="P181" s="5">
        <f t="shared" si="62"/>
        <v>213</v>
      </c>
      <c r="Q181" s="5">
        <f t="shared" si="62"/>
        <v>209</v>
      </c>
      <c r="R181" s="5">
        <f t="shared" si="62"/>
        <v>209</v>
      </c>
      <c r="S181" s="5">
        <f t="shared" si="62"/>
        <v>203</v>
      </c>
      <c r="T181" s="5">
        <f t="shared" ref="T181:AG181" si="63">SUM(T179:T180)</f>
        <v>216</v>
      </c>
      <c r="U181" s="5">
        <f t="shared" si="63"/>
        <v>209</v>
      </c>
      <c r="V181" s="5">
        <f t="shared" si="63"/>
        <v>213</v>
      </c>
      <c r="W181" s="5">
        <f t="shared" si="63"/>
        <v>228</v>
      </c>
      <c r="X181" s="5">
        <f t="shared" si="63"/>
        <v>225</v>
      </c>
      <c r="Y181" s="5">
        <f t="shared" si="63"/>
        <v>217</v>
      </c>
      <c r="Z181" s="5">
        <f t="shared" si="63"/>
        <v>226</v>
      </c>
      <c r="AA181" s="5">
        <f t="shared" si="63"/>
        <v>226</v>
      </c>
      <c r="AB181" s="5">
        <f t="shared" si="63"/>
        <v>227</v>
      </c>
      <c r="AC181" s="5">
        <f t="shared" si="63"/>
        <v>219</v>
      </c>
      <c r="AD181" s="5">
        <f t="shared" si="63"/>
        <v>214</v>
      </c>
      <c r="AE181" s="5">
        <f t="shared" si="63"/>
        <v>221</v>
      </c>
      <c r="AF181" s="5">
        <f t="shared" si="63"/>
        <v>228</v>
      </c>
      <c r="AG181" s="5">
        <f t="shared" si="63"/>
        <v>206</v>
      </c>
      <c r="AH181" s="5">
        <f t="shared" ref="AH181:AT181" si="64">SUM(AH179:AH180)</f>
        <v>202</v>
      </c>
      <c r="AI181" s="5">
        <f t="shared" si="64"/>
        <v>215</v>
      </c>
      <c r="AJ181" s="5">
        <f t="shared" si="64"/>
        <v>230</v>
      </c>
      <c r="AK181" s="5">
        <f t="shared" si="64"/>
        <v>234</v>
      </c>
      <c r="AL181" s="5">
        <f t="shared" si="64"/>
        <v>145</v>
      </c>
      <c r="AM181" s="5">
        <f t="shared" si="64"/>
        <v>189</v>
      </c>
      <c r="AN181" s="5">
        <f t="shared" si="64"/>
        <v>208</v>
      </c>
      <c r="AO181" s="5">
        <f t="shared" si="64"/>
        <v>190</v>
      </c>
      <c r="AP181" s="5">
        <f t="shared" si="64"/>
        <v>217</v>
      </c>
      <c r="AQ181" s="5">
        <f t="shared" si="64"/>
        <v>206</v>
      </c>
      <c r="AR181" s="5">
        <f t="shared" si="64"/>
        <v>172</v>
      </c>
      <c r="AS181" s="5">
        <f t="shared" si="64"/>
        <v>207</v>
      </c>
      <c r="AT181" s="5">
        <f t="shared" si="64"/>
        <v>213</v>
      </c>
      <c r="AU181" s="5">
        <f t="shared" ref="AU181" si="65">SUM(AU179:AU180)</f>
        <v>183</v>
      </c>
      <c r="AV181" s="5">
        <f>SUM(E181:AU181)</f>
        <v>9088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U12"/>
    <mergeCell ref="AV12:A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T37"/>
    <mergeCell ref="B38:D38"/>
    <mergeCell ref="A42:D42"/>
    <mergeCell ref="E42:AT42"/>
    <mergeCell ref="B43:D43"/>
    <mergeCell ref="A44:D44"/>
    <mergeCell ref="C45:D45"/>
    <mergeCell ref="B39:C41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14:AU15 E19:AU20 E22:AU23 E25:AU26 E33:AU33 E35:AU35 E39:AU40 E45:AU51 E54:AU60 E63:AU69 E72:AU78 E81:AU87 E90:AU90 E93:AU97 E100:AU106 E109:AU112 E115:AU121 E124:AU124 E127:AU133 E136:AU141 E144:AU150 E153:AU155 E158:AU161 E164:AU170 E173:AU175 E179:AU180">
    <cfRule type="containsBlanks" dxfId="41" priority="21">
      <formula>LEN(TRIM(E14))=0</formula>
    </cfRule>
  </conditionalFormatting>
  <conditionalFormatting sqref="E30:AU30">
    <cfRule type="expression" dxfId="40" priority="26">
      <formula>E30&lt;&gt;E47</formula>
    </cfRule>
    <cfRule type="expression" dxfId="39" priority="27">
      <formula>E30&lt;&gt;E34</formula>
    </cfRule>
  </conditionalFormatting>
  <conditionalFormatting sqref="E34:AU34">
    <cfRule type="expression" dxfId="38" priority="113">
      <formula>E30&lt;&gt;E34</formula>
    </cfRule>
    <cfRule type="expression" dxfId="37" priority="114">
      <formula>E30=E34</formula>
    </cfRule>
    <cfRule type="expression" dxfId="36" priority="115">
      <formula>E34&lt;&gt;E30</formula>
    </cfRule>
    <cfRule type="expression" dxfId="35" priority="116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sheetPr>
    <tabColor rgb="FF92D050"/>
  </sheetPr>
  <dimension ref="A2:R181"/>
  <sheetViews>
    <sheetView topLeftCell="A13" zoomScale="70" zoomScaleNormal="70" workbookViewId="0">
      <pane ySplit="1" topLeftCell="A167" activePane="bottomLeft" state="frozen"/>
      <selection activeCell="A13" sqref="A13"/>
      <selection pane="bottomLeft" activeCell="G178" sqref="G178"/>
    </sheetView>
  </sheetViews>
  <sheetFormatPr defaultRowHeight="13.15" x14ac:dyDescent="0.4"/>
  <cols>
    <col min="3" max="3" width="67.140625" bestFit="1" customWidth="1"/>
    <col min="4" max="4" width="5.85546875" bestFit="1" customWidth="1"/>
    <col min="18" max="18" width="13.28515625" customWidth="1"/>
  </cols>
  <sheetData>
    <row r="2" spans="1:18" x14ac:dyDescent="0.4">
      <c r="C2" s="43" t="s">
        <v>104</v>
      </c>
      <c r="D2" s="43" t="s">
        <v>193</v>
      </c>
    </row>
    <row r="3" spans="1:18" x14ac:dyDescent="0.4">
      <c r="C3" s="43" t="s">
        <v>105</v>
      </c>
      <c r="D3" s="43" t="s">
        <v>106</v>
      </c>
    </row>
    <row r="4" spans="1:18" x14ac:dyDescent="0.4">
      <c r="C4" s="43" t="s">
        <v>107</v>
      </c>
      <c r="D4" s="43" t="s">
        <v>108</v>
      </c>
    </row>
    <row r="5" spans="1:18" x14ac:dyDescent="0.4">
      <c r="C5" s="43"/>
      <c r="D5" s="43"/>
    </row>
    <row r="6" spans="1:18" x14ac:dyDescent="0.4">
      <c r="C6" s="43"/>
      <c r="D6" s="43"/>
    </row>
    <row r="7" spans="1:18" x14ac:dyDescent="0.4">
      <c r="C7" s="43"/>
      <c r="D7" s="43"/>
    </row>
    <row r="8" spans="1:18" x14ac:dyDescent="0.4">
      <c r="C8" s="43"/>
      <c r="D8" s="43"/>
    </row>
    <row r="9" spans="1:18" x14ac:dyDescent="0.4">
      <c r="C9" s="43" t="s">
        <v>109</v>
      </c>
      <c r="D9" s="43" t="s">
        <v>218</v>
      </c>
    </row>
    <row r="11" spans="1:1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</row>
    <row r="12" spans="1:18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2" t="s">
        <v>103</v>
      </c>
    </row>
    <row r="13" spans="1:18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93"/>
    </row>
    <row r="14" spans="1:18" x14ac:dyDescent="0.4">
      <c r="A14" s="7"/>
      <c r="B14" s="80" t="s">
        <v>22</v>
      </c>
      <c r="C14" s="68"/>
      <c r="D14" s="6" t="s">
        <v>23</v>
      </c>
      <c r="E14" s="6">
        <v>130</v>
      </c>
      <c r="F14" s="6">
        <v>128</v>
      </c>
      <c r="G14" s="6">
        <v>120</v>
      </c>
      <c r="H14" s="6">
        <v>102</v>
      </c>
      <c r="I14" s="6">
        <v>109</v>
      </c>
      <c r="J14" s="6">
        <v>127</v>
      </c>
      <c r="K14" s="6">
        <v>138</v>
      </c>
      <c r="L14" s="6">
        <v>139</v>
      </c>
      <c r="M14" s="6">
        <v>142</v>
      </c>
      <c r="N14" s="6">
        <v>146</v>
      </c>
      <c r="O14" s="6">
        <v>142</v>
      </c>
      <c r="P14" s="6">
        <v>137</v>
      </c>
      <c r="Q14" s="6">
        <v>129</v>
      </c>
      <c r="R14" s="5">
        <f>SUM(E14:Q14)</f>
        <v>1689</v>
      </c>
    </row>
    <row r="15" spans="1:18" x14ac:dyDescent="0.4">
      <c r="A15" s="7"/>
      <c r="B15" s="81"/>
      <c r="C15" s="74"/>
      <c r="D15" s="6" t="s">
        <v>24</v>
      </c>
      <c r="E15" s="6">
        <v>119</v>
      </c>
      <c r="F15" s="6">
        <v>135</v>
      </c>
      <c r="G15" s="6">
        <v>117</v>
      </c>
      <c r="H15" s="6">
        <v>111</v>
      </c>
      <c r="I15" s="6">
        <v>109</v>
      </c>
      <c r="J15" s="6">
        <v>121</v>
      </c>
      <c r="K15" s="6">
        <v>137</v>
      </c>
      <c r="L15" s="6">
        <v>143</v>
      </c>
      <c r="M15" s="6">
        <v>146</v>
      </c>
      <c r="N15" s="6">
        <v>140</v>
      </c>
      <c r="O15" s="6">
        <v>144</v>
      </c>
      <c r="P15" s="6">
        <v>138</v>
      </c>
      <c r="Q15" s="6">
        <v>147</v>
      </c>
      <c r="R15" s="5">
        <f>SUM(E15:Q15)</f>
        <v>1707</v>
      </c>
    </row>
    <row r="16" spans="1:18" x14ac:dyDescent="0.4">
      <c r="A16" s="8"/>
      <c r="B16" s="79"/>
      <c r="C16" s="75"/>
      <c r="D16" s="5" t="s">
        <v>25</v>
      </c>
      <c r="E16" s="5">
        <f t="shared" ref="E16:Q16" si="0">SUM(E14:E15)</f>
        <v>249</v>
      </c>
      <c r="F16" s="5">
        <f t="shared" si="0"/>
        <v>263</v>
      </c>
      <c r="G16" s="5">
        <f t="shared" si="0"/>
        <v>237</v>
      </c>
      <c r="H16" s="5">
        <f t="shared" si="0"/>
        <v>213</v>
      </c>
      <c r="I16" s="5">
        <f t="shared" si="0"/>
        <v>218</v>
      </c>
      <c r="J16" s="5">
        <f t="shared" si="0"/>
        <v>248</v>
      </c>
      <c r="K16" s="5">
        <f t="shared" si="0"/>
        <v>275</v>
      </c>
      <c r="L16" s="5">
        <f t="shared" ref="L16:N16" si="1">SUM(L14:L15)</f>
        <v>282</v>
      </c>
      <c r="M16" s="5">
        <f t="shared" si="1"/>
        <v>288</v>
      </c>
      <c r="N16" s="5">
        <f t="shared" si="1"/>
        <v>286</v>
      </c>
      <c r="O16" s="5">
        <f t="shared" si="0"/>
        <v>286</v>
      </c>
      <c r="P16" s="5">
        <f t="shared" si="0"/>
        <v>275</v>
      </c>
      <c r="Q16" s="5">
        <f t="shared" si="0"/>
        <v>276</v>
      </c>
      <c r="R16" s="5">
        <f>SUM(E16:Q16)</f>
        <v>3396</v>
      </c>
    </row>
    <row r="17" spans="1:18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10"/>
      <c r="R17" s="28"/>
    </row>
    <row r="18" spans="1:18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10"/>
      <c r="R18" s="28"/>
    </row>
    <row r="19" spans="1:18" x14ac:dyDescent="0.4">
      <c r="A19" s="11"/>
      <c r="B19" s="82" t="s">
        <v>28</v>
      </c>
      <c r="C19" s="83" t="s">
        <v>29</v>
      </c>
      <c r="D19" s="6" t="s">
        <v>23</v>
      </c>
      <c r="E19" s="6">
        <v>97</v>
      </c>
      <c r="F19" s="6">
        <v>88</v>
      </c>
      <c r="G19" s="6">
        <v>92</v>
      </c>
      <c r="H19" s="6">
        <v>76</v>
      </c>
      <c r="I19" s="6">
        <v>87</v>
      </c>
      <c r="J19" s="6">
        <v>104</v>
      </c>
      <c r="K19" s="6">
        <v>114</v>
      </c>
      <c r="L19" s="6">
        <v>109</v>
      </c>
      <c r="M19" s="6">
        <v>118</v>
      </c>
      <c r="N19" s="6">
        <v>102</v>
      </c>
      <c r="O19" s="6">
        <v>110</v>
      </c>
      <c r="P19" s="6">
        <v>103</v>
      </c>
      <c r="Q19" s="6">
        <v>113</v>
      </c>
      <c r="R19" s="5">
        <f t="shared" ref="R19:R30" si="2">SUM(E19:Q19)</f>
        <v>1313</v>
      </c>
    </row>
    <row r="20" spans="1:18" x14ac:dyDescent="0.4">
      <c r="A20" s="12"/>
      <c r="B20" s="74"/>
      <c r="C20" s="84"/>
      <c r="D20" s="6" t="s">
        <v>24</v>
      </c>
      <c r="E20" s="6">
        <v>102</v>
      </c>
      <c r="F20" s="6">
        <v>111</v>
      </c>
      <c r="G20" s="6">
        <v>102</v>
      </c>
      <c r="H20" s="6">
        <v>88</v>
      </c>
      <c r="I20" s="6">
        <v>88</v>
      </c>
      <c r="J20" s="6">
        <v>93</v>
      </c>
      <c r="K20" s="6">
        <v>109</v>
      </c>
      <c r="L20" s="6">
        <v>120</v>
      </c>
      <c r="M20" s="6">
        <v>132</v>
      </c>
      <c r="N20" s="6">
        <v>120</v>
      </c>
      <c r="O20" s="6">
        <v>121</v>
      </c>
      <c r="P20" s="6">
        <v>115</v>
      </c>
      <c r="Q20" s="6">
        <v>129</v>
      </c>
      <c r="R20" s="5">
        <f t="shared" si="2"/>
        <v>1430</v>
      </c>
    </row>
    <row r="21" spans="1:18" x14ac:dyDescent="0.4">
      <c r="A21" s="13"/>
      <c r="B21" s="75"/>
      <c r="C21" s="85"/>
      <c r="D21" s="5" t="s">
        <v>25</v>
      </c>
      <c r="E21" s="5">
        <f t="shared" ref="E21:Q21" si="3">SUM(E19:E20)</f>
        <v>199</v>
      </c>
      <c r="F21" s="5">
        <f t="shared" si="3"/>
        <v>199</v>
      </c>
      <c r="G21" s="5">
        <f t="shared" si="3"/>
        <v>194</v>
      </c>
      <c r="H21" s="5">
        <f t="shared" si="3"/>
        <v>164</v>
      </c>
      <c r="I21" s="5">
        <f t="shared" si="3"/>
        <v>175</v>
      </c>
      <c r="J21" s="5">
        <f t="shared" si="3"/>
        <v>197</v>
      </c>
      <c r="K21" s="5">
        <f t="shared" si="3"/>
        <v>223</v>
      </c>
      <c r="L21" s="5">
        <f t="shared" ref="L21:N21" si="4">SUM(L19:L20)</f>
        <v>229</v>
      </c>
      <c r="M21" s="5">
        <f t="shared" si="4"/>
        <v>250</v>
      </c>
      <c r="N21" s="5">
        <f t="shared" si="4"/>
        <v>222</v>
      </c>
      <c r="O21" s="5">
        <f t="shared" si="3"/>
        <v>231</v>
      </c>
      <c r="P21" s="5">
        <f t="shared" si="3"/>
        <v>218</v>
      </c>
      <c r="Q21" s="5">
        <f t="shared" si="3"/>
        <v>242</v>
      </c>
      <c r="R21" s="5">
        <f t="shared" si="2"/>
        <v>2743</v>
      </c>
    </row>
    <row r="22" spans="1:18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1</v>
      </c>
      <c r="G22" s="6">
        <v>0</v>
      </c>
      <c r="H22" s="6">
        <v>1</v>
      </c>
      <c r="I22" s="6">
        <v>0</v>
      </c>
      <c r="J22" s="6">
        <v>1</v>
      </c>
      <c r="K22" s="6">
        <v>0</v>
      </c>
      <c r="L22" s="6">
        <v>1</v>
      </c>
      <c r="M22" s="6">
        <v>1</v>
      </c>
      <c r="N22" s="6">
        <v>1</v>
      </c>
      <c r="O22" s="6">
        <v>1</v>
      </c>
      <c r="P22" s="6">
        <v>0</v>
      </c>
      <c r="Q22" s="6">
        <v>1</v>
      </c>
      <c r="R22" s="5">
        <f t="shared" si="2"/>
        <v>8</v>
      </c>
    </row>
    <row r="23" spans="1:18" x14ac:dyDescent="0.4">
      <c r="A23" s="12"/>
      <c r="B23" s="74"/>
      <c r="C23" s="84"/>
      <c r="D23" s="6" t="s">
        <v>24</v>
      </c>
      <c r="E23" s="6">
        <v>0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5">
        <f t="shared" si="2"/>
        <v>2</v>
      </c>
    </row>
    <row r="24" spans="1:18" x14ac:dyDescent="0.4">
      <c r="A24" s="13"/>
      <c r="B24" s="75"/>
      <c r="C24" s="85"/>
      <c r="D24" s="5" t="s">
        <v>25</v>
      </c>
      <c r="E24" s="5">
        <f t="shared" ref="E24:Q24" si="5">SUM(E22:E23)</f>
        <v>0</v>
      </c>
      <c r="F24" s="5">
        <f t="shared" si="5"/>
        <v>1</v>
      </c>
      <c r="G24" s="5">
        <f t="shared" si="5"/>
        <v>1</v>
      </c>
      <c r="H24" s="5">
        <f t="shared" si="5"/>
        <v>1</v>
      </c>
      <c r="I24" s="5">
        <f t="shared" si="5"/>
        <v>1</v>
      </c>
      <c r="J24" s="5">
        <f t="shared" si="5"/>
        <v>1</v>
      </c>
      <c r="K24" s="5">
        <f t="shared" si="5"/>
        <v>0</v>
      </c>
      <c r="L24" s="5">
        <f t="shared" ref="L24:N24" si="6">SUM(L22:L23)</f>
        <v>1</v>
      </c>
      <c r="M24" s="5">
        <f t="shared" si="6"/>
        <v>1</v>
      </c>
      <c r="N24" s="5">
        <f t="shared" si="6"/>
        <v>1</v>
      </c>
      <c r="O24" s="5">
        <f t="shared" si="5"/>
        <v>1</v>
      </c>
      <c r="P24" s="5">
        <f t="shared" si="5"/>
        <v>0</v>
      </c>
      <c r="Q24" s="5">
        <f t="shared" si="5"/>
        <v>1</v>
      </c>
      <c r="R24" s="5">
        <f t="shared" si="2"/>
        <v>10</v>
      </c>
    </row>
    <row r="25" spans="1:18" x14ac:dyDescent="0.4">
      <c r="A25" s="12"/>
      <c r="B25" s="82" t="s">
        <v>32</v>
      </c>
      <c r="C25" s="83" t="s">
        <v>33</v>
      </c>
      <c r="D25" s="6" t="s">
        <v>23</v>
      </c>
      <c r="E25" s="6">
        <v>0</v>
      </c>
      <c r="F25" s="6">
        <v>1</v>
      </c>
      <c r="G25" s="6">
        <v>1</v>
      </c>
      <c r="H25" s="6">
        <v>0</v>
      </c>
      <c r="I25" s="6">
        <v>0</v>
      </c>
      <c r="J25" s="6">
        <v>1</v>
      </c>
      <c r="K25" s="6">
        <v>2</v>
      </c>
      <c r="L25" s="6">
        <v>3</v>
      </c>
      <c r="M25" s="6">
        <v>0</v>
      </c>
      <c r="N25" s="6">
        <v>1</v>
      </c>
      <c r="O25" s="6">
        <v>2</v>
      </c>
      <c r="P25" s="6">
        <v>1</v>
      </c>
      <c r="Q25" s="6">
        <v>3</v>
      </c>
      <c r="R25" s="5">
        <f t="shared" si="2"/>
        <v>15</v>
      </c>
    </row>
    <row r="26" spans="1:18" x14ac:dyDescent="0.4">
      <c r="A26" s="12"/>
      <c r="B26" s="74"/>
      <c r="C26" s="84"/>
      <c r="D26" s="6" t="s">
        <v>24</v>
      </c>
      <c r="E26" s="6">
        <v>2</v>
      </c>
      <c r="F26" s="6">
        <v>1</v>
      </c>
      <c r="G26" s="6">
        <v>4</v>
      </c>
      <c r="H26" s="6">
        <v>1</v>
      </c>
      <c r="I26" s="6">
        <v>1</v>
      </c>
      <c r="J26" s="6">
        <v>3</v>
      </c>
      <c r="K26" s="6">
        <v>4</v>
      </c>
      <c r="L26" s="6">
        <v>2</v>
      </c>
      <c r="M26" s="6">
        <v>1</v>
      </c>
      <c r="N26" s="6">
        <v>0</v>
      </c>
      <c r="O26" s="6">
        <v>1</v>
      </c>
      <c r="P26" s="6">
        <v>4</v>
      </c>
      <c r="Q26" s="6">
        <v>1</v>
      </c>
      <c r="R26" s="5">
        <f t="shared" si="2"/>
        <v>25</v>
      </c>
    </row>
    <row r="27" spans="1:18" x14ac:dyDescent="0.4">
      <c r="A27" s="13"/>
      <c r="B27" s="75"/>
      <c r="C27" s="85"/>
      <c r="D27" s="5" t="s">
        <v>25</v>
      </c>
      <c r="E27" s="5">
        <f t="shared" ref="E27:Q27" si="7">SUM(E25:E26)</f>
        <v>2</v>
      </c>
      <c r="F27" s="5">
        <f t="shared" si="7"/>
        <v>2</v>
      </c>
      <c r="G27" s="5">
        <f t="shared" si="7"/>
        <v>5</v>
      </c>
      <c r="H27" s="5">
        <f t="shared" si="7"/>
        <v>1</v>
      </c>
      <c r="I27" s="5">
        <f t="shared" si="7"/>
        <v>1</v>
      </c>
      <c r="J27" s="5">
        <f t="shared" si="7"/>
        <v>4</v>
      </c>
      <c r="K27" s="5">
        <f t="shared" si="7"/>
        <v>6</v>
      </c>
      <c r="L27" s="5">
        <f t="shared" ref="L27:N27" si="8">SUM(L25:L26)</f>
        <v>5</v>
      </c>
      <c r="M27" s="5">
        <f t="shared" si="8"/>
        <v>1</v>
      </c>
      <c r="N27" s="5">
        <f t="shared" si="8"/>
        <v>1</v>
      </c>
      <c r="O27" s="5">
        <f t="shared" si="7"/>
        <v>3</v>
      </c>
      <c r="P27" s="5">
        <f t="shared" si="7"/>
        <v>5</v>
      </c>
      <c r="Q27" s="5">
        <f t="shared" si="7"/>
        <v>4</v>
      </c>
      <c r="R27" s="5">
        <f t="shared" si="2"/>
        <v>40</v>
      </c>
    </row>
    <row r="28" spans="1:18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97</v>
      </c>
      <c r="F28" s="5">
        <f t="shared" ref="F28:Q29" si="9">SUM(F19,F22,F25)</f>
        <v>90</v>
      </c>
      <c r="G28" s="5">
        <f t="shared" si="9"/>
        <v>93</v>
      </c>
      <c r="H28" s="5">
        <f t="shared" si="9"/>
        <v>77</v>
      </c>
      <c r="I28" s="5">
        <f t="shared" si="9"/>
        <v>87</v>
      </c>
      <c r="J28" s="5">
        <f t="shared" si="9"/>
        <v>106</v>
      </c>
      <c r="K28" s="5">
        <f t="shared" si="9"/>
        <v>116</v>
      </c>
      <c r="L28" s="5">
        <f t="shared" ref="L28:N28" si="10">SUM(L19,L22,L25)</f>
        <v>113</v>
      </c>
      <c r="M28" s="5">
        <f t="shared" si="10"/>
        <v>119</v>
      </c>
      <c r="N28" s="5">
        <f t="shared" si="10"/>
        <v>104</v>
      </c>
      <c r="O28" s="5">
        <f t="shared" si="9"/>
        <v>113</v>
      </c>
      <c r="P28" s="5">
        <f t="shared" si="9"/>
        <v>104</v>
      </c>
      <c r="Q28" s="5">
        <f t="shared" si="9"/>
        <v>117</v>
      </c>
      <c r="R28" s="5">
        <f t="shared" si="2"/>
        <v>1336</v>
      </c>
    </row>
    <row r="29" spans="1:18" x14ac:dyDescent="0.4">
      <c r="A29" s="13"/>
      <c r="B29" s="74"/>
      <c r="C29" s="84"/>
      <c r="D29" s="5" t="s">
        <v>24</v>
      </c>
      <c r="E29" s="5">
        <f>SUM(E20,E23,E26)</f>
        <v>104</v>
      </c>
      <c r="F29" s="5">
        <f t="shared" si="9"/>
        <v>112</v>
      </c>
      <c r="G29" s="5">
        <f t="shared" si="9"/>
        <v>107</v>
      </c>
      <c r="H29" s="5">
        <f t="shared" si="9"/>
        <v>89</v>
      </c>
      <c r="I29" s="5">
        <f t="shared" si="9"/>
        <v>90</v>
      </c>
      <c r="J29" s="5">
        <f t="shared" si="9"/>
        <v>96</v>
      </c>
      <c r="K29" s="5">
        <f t="shared" si="9"/>
        <v>113</v>
      </c>
      <c r="L29" s="5">
        <f t="shared" ref="L29:N29" si="11">SUM(L20,L23,L26)</f>
        <v>122</v>
      </c>
      <c r="M29" s="5">
        <f t="shared" si="11"/>
        <v>133</v>
      </c>
      <c r="N29" s="5">
        <f t="shared" si="11"/>
        <v>120</v>
      </c>
      <c r="O29" s="5">
        <f t="shared" si="9"/>
        <v>122</v>
      </c>
      <c r="P29" s="5">
        <f t="shared" si="9"/>
        <v>119</v>
      </c>
      <c r="Q29" s="5">
        <f t="shared" si="9"/>
        <v>130</v>
      </c>
      <c r="R29" s="5">
        <f t="shared" si="2"/>
        <v>1457</v>
      </c>
    </row>
    <row r="30" spans="1:18" x14ac:dyDescent="0.4">
      <c r="A30" s="13"/>
      <c r="B30" s="75"/>
      <c r="C30" s="85"/>
      <c r="D30" s="5" t="s">
        <v>25</v>
      </c>
      <c r="E30" s="5">
        <f t="shared" ref="E30" si="12">SUM(E28:E29)</f>
        <v>201</v>
      </c>
      <c r="F30" s="5">
        <f t="shared" ref="F30:Q30" si="13">SUM(F28:F29)</f>
        <v>202</v>
      </c>
      <c r="G30" s="5">
        <f t="shared" si="13"/>
        <v>200</v>
      </c>
      <c r="H30" s="5">
        <f t="shared" si="13"/>
        <v>166</v>
      </c>
      <c r="I30" s="5">
        <f t="shared" si="13"/>
        <v>177</v>
      </c>
      <c r="J30" s="5">
        <f t="shared" si="13"/>
        <v>202</v>
      </c>
      <c r="K30" s="5">
        <f t="shared" si="13"/>
        <v>229</v>
      </c>
      <c r="L30" s="5">
        <f t="shared" ref="L30:N30" si="14">SUM(L28:L29)</f>
        <v>235</v>
      </c>
      <c r="M30" s="5">
        <f t="shared" si="14"/>
        <v>252</v>
      </c>
      <c r="N30" s="5">
        <f t="shared" si="14"/>
        <v>224</v>
      </c>
      <c r="O30" s="5">
        <f t="shared" si="13"/>
        <v>235</v>
      </c>
      <c r="P30" s="5">
        <f t="shared" si="13"/>
        <v>223</v>
      </c>
      <c r="Q30" s="5">
        <f t="shared" si="13"/>
        <v>247</v>
      </c>
      <c r="R30" s="5">
        <f t="shared" si="2"/>
        <v>2793</v>
      </c>
    </row>
    <row r="31" spans="1:18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10"/>
      <c r="R31" s="28"/>
    </row>
    <row r="32" spans="1:18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15"/>
      <c r="R32" s="28"/>
    </row>
    <row r="33" spans="1:18" x14ac:dyDescent="0.4">
      <c r="A33" s="6">
        <v>1</v>
      </c>
      <c r="B33" s="77" t="s">
        <v>38</v>
      </c>
      <c r="C33" s="69"/>
      <c r="D33" s="60"/>
      <c r="E33" s="6">
        <v>255</v>
      </c>
      <c r="F33" s="6">
        <v>269</v>
      </c>
      <c r="G33" s="6">
        <v>242</v>
      </c>
      <c r="H33" s="6">
        <v>218</v>
      </c>
      <c r="I33" s="6">
        <v>223</v>
      </c>
      <c r="J33" s="6">
        <v>254</v>
      </c>
      <c r="K33" s="6">
        <v>281</v>
      </c>
      <c r="L33" s="6">
        <v>288</v>
      </c>
      <c r="M33" s="6">
        <v>294</v>
      </c>
      <c r="N33" s="6">
        <v>292</v>
      </c>
      <c r="O33" s="6">
        <v>292</v>
      </c>
      <c r="P33" s="6">
        <v>301</v>
      </c>
      <c r="Q33" s="6">
        <v>282</v>
      </c>
      <c r="R33" s="5">
        <f>SUM(E33:Q33)</f>
        <v>3491</v>
      </c>
    </row>
    <row r="34" spans="1:18" x14ac:dyDescent="0.4">
      <c r="A34" s="6">
        <v>2</v>
      </c>
      <c r="B34" s="77" t="s">
        <v>39</v>
      </c>
      <c r="C34" s="69"/>
      <c r="D34" s="60"/>
      <c r="E34" s="5">
        <v>201</v>
      </c>
      <c r="F34" s="5">
        <v>202</v>
      </c>
      <c r="G34" s="5">
        <v>200</v>
      </c>
      <c r="H34" s="5">
        <v>166</v>
      </c>
      <c r="I34" s="5">
        <v>177</v>
      </c>
      <c r="J34" s="5">
        <v>202</v>
      </c>
      <c r="K34" s="5">
        <v>229</v>
      </c>
      <c r="L34" s="5">
        <v>235</v>
      </c>
      <c r="M34" s="5">
        <v>252</v>
      </c>
      <c r="N34" s="5">
        <v>224</v>
      </c>
      <c r="O34" s="5">
        <v>235</v>
      </c>
      <c r="P34" s="5">
        <v>223</v>
      </c>
      <c r="Q34" s="5">
        <v>247</v>
      </c>
      <c r="R34" s="5">
        <f>SUM(E34:Q34)</f>
        <v>2793</v>
      </c>
    </row>
    <row r="35" spans="1:18" x14ac:dyDescent="0.4">
      <c r="A35" s="6">
        <v>3</v>
      </c>
      <c r="B35" s="77" t="s">
        <v>40</v>
      </c>
      <c r="C35" s="69"/>
      <c r="D35" s="60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1</v>
      </c>
      <c r="O35" s="6">
        <v>0</v>
      </c>
      <c r="P35" s="6"/>
      <c r="Q35" s="6"/>
      <c r="R35" s="5">
        <f>SUM(E35:Q35)</f>
        <v>3</v>
      </c>
    </row>
    <row r="36" spans="1:18" x14ac:dyDescent="0.4">
      <c r="A36" s="6">
        <v>4</v>
      </c>
      <c r="B36" s="77" t="s">
        <v>41</v>
      </c>
      <c r="C36" s="69"/>
      <c r="D36" s="60"/>
      <c r="E36" s="5">
        <f t="shared" ref="E36:Q36" si="15">E33-(E34+E35)</f>
        <v>53</v>
      </c>
      <c r="F36" s="5">
        <f t="shared" si="15"/>
        <v>67</v>
      </c>
      <c r="G36" s="5">
        <f t="shared" si="15"/>
        <v>42</v>
      </c>
      <c r="H36" s="5">
        <f t="shared" si="15"/>
        <v>52</v>
      </c>
      <c r="I36" s="5">
        <f t="shared" si="15"/>
        <v>46</v>
      </c>
      <c r="J36" s="5">
        <f t="shared" si="15"/>
        <v>52</v>
      </c>
      <c r="K36" s="5">
        <f t="shared" si="15"/>
        <v>52</v>
      </c>
      <c r="L36" s="5">
        <f t="shared" ref="L36:N36" si="16">L33-(L34+L35)</f>
        <v>53</v>
      </c>
      <c r="M36" s="5">
        <f t="shared" si="16"/>
        <v>41</v>
      </c>
      <c r="N36" s="5">
        <f t="shared" si="16"/>
        <v>67</v>
      </c>
      <c r="O36" s="5">
        <f t="shared" si="15"/>
        <v>57</v>
      </c>
      <c r="P36" s="5">
        <f t="shared" si="15"/>
        <v>78</v>
      </c>
      <c r="Q36" s="5">
        <f t="shared" si="15"/>
        <v>35</v>
      </c>
      <c r="R36" s="5">
        <f>SUM(E36:Q36)</f>
        <v>695</v>
      </c>
    </row>
    <row r="37" spans="1:18" x14ac:dyDescent="0.4">
      <c r="A37" s="61"/>
      <c r="B37" s="69"/>
      <c r="C37" s="69"/>
      <c r="D37" s="69"/>
      <c r="E37" s="61"/>
      <c r="F37" s="88"/>
      <c r="G37" s="88"/>
      <c r="H37" s="88"/>
      <c r="I37" s="89"/>
      <c r="J37" s="6"/>
      <c r="K37" s="6"/>
      <c r="L37" s="6"/>
      <c r="M37" s="6"/>
      <c r="N37" s="10"/>
      <c r="O37" s="6"/>
      <c r="P37" s="6"/>
      <c r="Q37" s="26"/>
      <c r="R37" s="28"/>
    </row>
    <row r="38" spans="1:18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15"/>
      <c r="R38" s="28"/>
    </row>
    <row r="39" spans="1:18" x14ac:dyDescent="0.4">
      <c r="A39" s="11"/>
      <c r="B39" s="72" t="s">
        <v>44</v>
      </c>
      <c r="C39" s="68"/>
      <c r="D39" s="6" t="s">
        <v>23</v>
      </c>
      <c r="E39" s="6">
        <v>0</v>
      </c>
      <c r="F39" s="6">
        <v>2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2</v>
      </c>
      <c r="R39" s="5">
        <f>SUM(E39:Q39)</f>
        <v>5</v>
      </c>
    </row>
    <row r="40" spans="1:18" x14ac:dyDescent="0.4">
      <c r="A40" s="12"/>
      <c r="B40" s="73"/>
      <c r="C40" s="74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/>
      <c r="Q40" s="6"/>
      <c r="R40" s="5">
        <f>SUM(E40:Q40)</f>
        <v>0</v>
      </c>
    </row>
    <row r="41" spans="1:18" x14ac:dyDescent="0.4">
      <c r="A41" s="14"/>
      <c r="B41" s="71"/>
      <c r="C41" s="75"/>
      <c r="D41" s="5" t="s">
        <v>25</v>
      </c>
      <c r="E41" s="5">
        <f t="shared" ref="E41:Q41" si="17">SUM(E39:E40)</f>
        <v>0</v>
      </c>
      <c r="F41" s="5">
        <f t="shared" si="17"/>
        <v>2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1</v>
      </c>
      <c r="L41" s="5">
        <f t="shared" ref="L41:N41" si="18">SUM(L39:L40)</f>
        <v>0</v>
      </c>
      <c r="M41" s="5">
        <f t="shared" si="18"/>
        <v>0</v>
      </c>
      <c r="N41" s="5">
        <f t="shared" si="18"/>
        <v>0</v>
      </c>
      <c r="O41" s="5">
        <f t="shared" si="17"/>
        <v>0</v>
      </c>
      <c r="P41" s="5">
        <f t="shared" si="17"/>
        <v>0</v>
      </c>
      <c r="Q41" s="5">
        <f t="shared" si="17"/>
        <v>2</v>
      </c>
      <c r="R41" s="5">
        <f>SUM(E41:Q41)</f>
        <v>5</v>
      </c>
    </row>
    <row r="42" spans="1:18" x14ac:dyDescent="0.4">
      <c r="A42" s="70"/>
      <c r="B42" s="71"/>
      <c r="C42" s="71"/>
      <c r="D42" s="75"/>
      <c r="E42" s="61"/>
      <c r="F42" s="69"/>
      <c r="G42" s="69"/>
      <c r="H42" s="69"/>
      <c r="I42" s="60"/>
      <c r="J42" s="6"/>
      <c r="K42" s="6"/>
      <c r="L42" s="6"/>
      <c r="M42" s="6"/>
      <c r="N42" s="10"/>
      <c r="O42" s="6"/>
      <c r="P42" s="6"/>
      <c r="Q42" s="6"/>
      <c r="R42" s="5"/>
    </row>
    <row r="43" spans="1:18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</row>
    <row r="44" spans="1:18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5"/>
    </row>
    <row r="45" spans="1:18" x14ac:dyDescent="0.4">
      <c r="A45" s="11" t="s">
        <v>48</v>
      </c>
      <c r="B45" s="17" t="s">
        <v>28</v>
      </c>
      <c r="C45" s="59" t="s">
        <v>49</v>
      </c>
      <c r="D45" s="60"/>
      <c r="E45" s="6">
        <v>5</v>
      </c>
      <c r="F45" s="6">
        <v>15</v>
      </c>
      <c r="G45" s="6">
        <v>7</v>
      </c>
      <c r="H45" s="6">
        <v>3</v>
      </c>
      <c r="I45" s="6">
        <v>4</v>
      </c>
      <c r="J45" s="6">
        <v>9</v>
      </c>
      <c r="K45" s="6">
        <v>7</v>
      </c>
      <c r="L45" s="6">
        <v>10</v>
      </c>
      <c r="M45" s="6">
        <v>8</v>
      </c>
      <c r="N45" s="6">
        <v>6</v>
      </c>
      <c r="O45" s="6">
        <v>4</v>
      </c>
      <c r="P45" s="6">
        <v>7</v>
      </c>
      <c r="Q45" s="6">
        <v>18</v>
      </c>
      <c r="R45" s="5">
        <f t="shared" ref="R45:R51" si="19">SUM(E45:Q45)</f>
        <v>103</v>
      </c>
    </row>
    <row r="46" spans="1:18" x14ac:dyDescent="0.4">
      <c r="A46" s="11" t="s">
        <v>50</v>
      </c>
      <c r="B46" s="46">
        <v>1</v>
      </c>
      <c r="C46" s="24" t="s">
        <v>114</v>
      </c>
      <c r="D46" s="47"/>
      <c r="E46" s="6">
        <v>6</v>
      </c>
      <c r="F46" s="6">
        <v>17</v>
      </c>
      <c r="G46" s="6">
        <v>6</v>
      </c>
      <c r="H46" s="6">
        <v>10</v>
      </c>
      <c r="I46" s="6">
        <v>4</v>
      </c>
      <c r="J46" s="6">
        <v>13</v>
      </c>
      <c r="K46" s="6">
        <v>18</v>
      </c>
      <c r="L46" s="6">
        <v>12</v>
      </c>
      <c r="M46" s="6">
        <v>17</v>
      </c>
      <c r="N46" s="6">
        <v>10</v>
      </c>
      <c r="O46" s="6">
        <v>4</v>
      </c>
      <c r="P46" s="6">
        <v>14</v>
      </c>
      <c r="Q46" s="6">
        <v>19</v>
      </c>
      <c r="R46" s="5">
        <f t="shared" si="19"/>
        <v>150</v>
      </c>
    </row>
    <row r="47" spans="1:18" x14ac:dyDescent="0.4">
      <c r="A47" s="7"/>
      <c r="B47" s="46">
        <v>2</v>
      </c>
      <c r="C47" s="24" t="s">
        <v>115</v>
      </c>
      <c r="D47" s="47"/>
      <c r="E47" s="6">
        <v>0</v>
      </c>
      <c r="F47" s="6">
        <v>3</v>
      </c>
      <c r="G47" s="6">
        <v>3</v>
      </c>
      <c r="H47" s="6">
        <v>2</v>
      </c>
      <c r="I47" s="6">
        <v>4</v>
      </c>
      <c r="J47" s="6">
        <v>0</v>
      </c>
      <c r="K47" s="6">
        <v>5</v>
      </c>
      <c r="L47" s="6">
        <v>7</v>
      </c>
      <c r="M47" s="6">
        <v>5</v>
      </c>
      <c r="N47" s="6">
        <v>30</v>
      </c>
      <c r="O47" s="6">
        <v>4</v>
      </c>
      <c r="P47" s="6">
        <v>2</v>
      </c>
      <c r="Q47" s="6">
        <v>3</v>
      </c>
      <c r="R47" s="5">
        <f t="shared" si="19"/>
        <v>68</v>
      </c>
    </row>
    <row r="48" spans="1:18" x14ac:dyDescent="0.4">
      <c r="A48" s="7"/>
      <c r="B48" s="46">
        <v>3</v>
      </c>
      <c r="C48" s="24" t="s">
        <v>116</v>
      </c>
      <c r="D48" s="47"/>
      <c r="E48" s="6">
        <v>3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6</v>
      </c>
      <c r="M48" s="6">
        <v>2</v>
      </c>
      <c r="N48" s="6">
        <v>1</v>
      </c>
      <c r="O48" s="6">
        <v>0</v>
      </c>
      <c r="P48" s="6">
        <v>0</v>
      </c>
      <c r="Q48" s="6">
        <v>1</v>
      </c>
      <c r="R48" s="5">
        <f t="shared" si="19"/>
        <v>14</v>
      </c>
    </row>
    <row r="49" spans="1:18" x14ac:dyDescent="0.4">
      <c r="A49" s="7"/>
      <c r="B49" s="46">
        <v>4</v>
      </c>
      <c r="C49" s="24" t="s">
        <v>117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1</v>
      </c>
      <c r="R49" s="5">
        <f t="shared" si="19"/>
        <v>3</v>
      </c>
    </row>
    <row r="50" spans="1:18" x14ac:dyDescent="0.4">
      <c r="A50" s="7"/>
      <c r="B50" s="46">
        <v>5</v>
      </c>
      <c r="C50" s="24" t="s">
        <v>118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5">
        <f t="shared" si="19"/>
        <v>1</v>
      </c>
    </row>
    <row r="51" spans="1:18" x14ac:dyDescent="0.4">
      <c r="A51" s="7"/>
      <c r="B51" s="46">
        <v>6</v>
      </c>
      <c r="C51" s="24" t="s">
        <v>119</v>
      </c>
      <c r="D51" s="47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>
        <v>0</v>
      </c>
      <c r="Q51" s="6">
        <v>1</v>
      </c>
      <c r="R51" s="5">
        <f t="shared" si="19"/>
        <v>4</v>
      </c>
    </row>
    <row r="52" spans="1:18" x14ac:dyDescent="0.4">
      <c r="A52" s="6" t="s">
        <v>26</v>
      </c>
      <c r="B52" s="53" t="s">
        <v>51</v>
      </c>
      <c r="C52" s="69"/>
      <c r="D52" s="60"/>
      <c r="E52" s="5">
        <f t="shared" ref="E52:R52" si="20">SUM(E45:E51)</f>
        <v>14</v>
      </c>
      <c r="F52" s="5">
        <f t="shared" si="20"/>
        <v>35</v>
      </c>
      <c r="G52" s="5">
        <f t="shared" si="20"/>
        <v>17</v>
      </c>
      <c r="H52" s="5">
        <f t="shared" si="20"/>
        <v>16</v>
      </c>
      <c r="I52" s="5">
        <f t="shared" si="20"/>
        <v>12</v>
      </c>
      <c r="J52" s="5">
        <f t="shared" si="20"/>
        <v>22</v>
      </c>
      <c r="K52" s="5">
        <f t="shared" si="20"/>
        <v>31</v>
      </c>
      <c r="L52" s="5">
        <f t="shared" si="20"/>
        <v>36</v>
      </c>
      <c r="M52" s="5">
        <f t="shared" si="20"/>
        <v>32</v>
      </c>
      <c r="N52" s="5">
        <f t="shared" si="20"/>
        <v>50</v>
      </c>
      <c r="O52" s="5">
        <f t="shared" si="20"/>
        <v>12</v>
      </c>
      <c r="P52" s="5">
        <f t="shared" si="20"/>
        <v>23</v>
      </c>
      <c r="Q52" s="5">
        <f t="shared" si="20"/>
        <v>43</v>
      </c>
      <c r="R52" s="5">
        <f t="shared" si="20"/>
        <v>343</v>
      </c>
    </row>
    <row r="53" spans="1:18" x14ac:dyDescent="0.4">
      <c r="A53" s="70"/>
      <c r="B53" s="71"/>
      <c r="C53" s="71"/>
      <c r="D53" s="71"/>
      <c r="E53" s="71"/>
      <c r="R53" s="5"/>
    </row>
    <row r="54" spans="1:18" x14ac:dyDescent="0.4">
      <c r="A54" s="11" t="s">
        <v>48</v>
      </c>
      <c r="B54" s="17" t="s">
        <v>30</v>
      </c>
      <c r="C54" s="59" t="s">
        <v>52</v>
      </c>
      <c r="D54" s="60"/>
      <c r="E54" s="6">
        <v>7</v>
      </c>
      <c r="F54" s="6">
        <v>7</v>
      </c>
      <c r="G54" s="6">
        <v>8</v>
      </c>
      <c r="H54" s="6">
        <v>5</v>
      </c>
      <c r="I54" s="6">
        <v>9</v>
      </c>
      <c r="J54" s="6">
        <v>15</v>
      </c>
      <c r="K54" s="6">
        <v>6</v>
      </c>
      <c r="L54" s="6">
        <v>7</v>
      </c>
      <c r="M54" s="6">
        <v>3</v>
      </c>
      <c r="N54" s="6">
        <v>5</v>
      </c>
      <c r="O54" s="6">
        <v>5</v>
      </c>
      <c r="P54" s="6">
        <v>4</v>
      </c>
      <c r="Q54" s="6">
        <v>8</v>
      </c>
      <c r="R54" s="5">
        <f t="shared" ref="R54:R60" si="21">SUM(E54:Q54)</f>
        <v>89</v>
      </c>
    </row>
    <row r="55" spans="1:18" x14ac:dyDescent="0.4">
      <c r="A55" s="11" t="s">
        <v>50</v>
      </c>
      <c r="B55" s="46">
        <v>1</v>
      </c>
      <c r="C55" s="24" t="s">
        <v>120</v>
      </c>
      <c r="D55" s="47"/>
      <c r="E55" s="6">
        <v>4</v>
      </c>
      <c r="F55" s="6">
        <v>2</v>
      </c>
      <c r="G55" s="6">
        <v>2</v>
      </c>
      <c r="H55" s="6">
        <v>6</v>
      </c>
      <c r="I55" s="6">
        <v>1</v>
      </c>
      <c r="J55" s="6">
        <v>6</v>
      </c>
      <c r="K55" s="6">
        <v>3</v>
      </c>
      <c r="L55" s="6">
        <v>9</v>
      </c>
      <c r="M55" s="6">
        <v>8</v>
      </c>
      <c r="N55" s="6">
        <v>13</v>
      </c>
      <c r="O55" s="6">
        <v>6</v>
      </c>
      <c r="P55" s="6">
        <v>8</v>
      </c>
      <c r="Q55" s="6">
        <v>6</v>
      </c>
      <c r="R55" s="5">
        <f t="shared" si="21"/>
        <v>74</v>
      </c>
    </row>
    <row r="56" spans="1:18" x14ac:dyDescent="0.4">
      <c r="A56" s="7"/>
      <c r="B56" s="46">
        <v>2</v>
      </c>
      <c r="C56" s="24" t="s">
        <v>121</v>
      </c>
      <c r="D56" s="47"/>
      <c r="E56" s="6">
        <v>1</v>
      </c>
      <c r="F56" s="6">
        <v>6</v>
      </c>
      <c r="G56" s="6">
        <v>1</v>
      </c>
      <c r="H56" s="6">
        <v>4</v>
      </c>
      <c r="I56" s="6">
        <v>9</v>
      </c>
      <c r="J56" s="6">
        <v>17</v>
      </c>
      <c r="K56" s="6">
        <v>6</v>
      </c>
      <c r="L56" s="6">
        <v>0</v>
      </c>
      <c r="M56" s="6">
        <v>10</v>
      </c>
      <c r="N56" s="6">
        <v>1</v>
      </c>
      <c r="O56" s="6">
        <v>2</v>
      </c>
      <c r="P56" s="6">
        <v>7</v>
      </c>
      <c r="Q56" s="6">
        <v>3</v>
      </c>
      <c r="R56" s="5">
        <f t="shared" si="21"/>
        <v>67</v>
      </c>
    </row>
    <row r="57" spans="1:18" x14ac:dyDescent="0.4">
      <c r="A57" s="7"/>
      <c r="B57" s="46">
        <v>3</v>
      </c>
      <c r="C57" s="24" t="s">
        <v>122</v>
      </c>
      <c r="D57" s="47"/>
      <c r="E57" s="6">
        <v>0</v>
      </c>
      <c r="F57" s="6">
        <v>1</v>
      </c>
      <c r="G57" s="6">
        <v>0</v>
      </c>
      <c r="H57" s="6">
        <v>0</v>
      </c>
      <c r="I57" s="6">
        <v>1</v>
      </c>
      <c r="J57" s="6">
        <v>0</v>
      </c>
      <c r="K57" s="6">
        <v>2</v>
      </c>
      <c r="L57" s="6">
        <v>1</v>
      </c>
      <c r="M57" s="6">
        <v>1</v>
      </c>
      <c r="N57" s="6">
        <v>0</v>
      </c>
      <c r="O57" s="6">
        <v>1</v>
      </c>
      <c r="P57" s="6">
        <v>0</v>
      </c>
      <c r="Q57" s="6">
        <v>3</v>
      </c>
      <c r="R57" s="5">
        <f t="shared" si="21"/>
        <v>10</v>
      </c>
    </row>
    <row r="58" spans="1:18" x14ac:dyDescent="0.4">
      <c r="A58" s="7"/>
      <c r="B58" s="46">
        <v>4</v>
      </c>
      <c r="C58" s="24" t="s">
        <v>123</v>
      </c>
      <c r="D58" s="47"/>
      <c r="E58" s="6">
        <v>1</v>
      </c>
      <c r="F58" s="6">
        <v>0</v>
      </c>
      <c r="G58" s="6">
        <v>1</v>
      </c>
      <c r="H58" s="6">
        <v>0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5">
        <f t="shared" si="21"/>
        <v>3</v>
      </c>
    </row>
    <row r="59" spans="1:18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0</v>
      </c>
      <c r="H59" s="6">
        <v>1</v>
      </c>
      <c r="I59" s="6">
        <v>1</v>
      </c>
      <c r="J59" s="6">
        <v>0</v>
      </c>
      <c r="K59" s="6">
        <v>0</v>
      </c>
      <c r="L59" s="6">
        <v>1</v>
      </c>
      <c r="M59" s="6">
        <v>0</v>
      </c>
      <c r="N59" s="6">
        <v>1</v>
      </c>
      <c r="O59" s="6">
        <v>0</v>
      </c>
      <c r="P59" s="6">
        <v>1</v>
      </c>
      <c r="Q59" s="6">
        <v>0</v>
      </c>
      <c r="R59" s="5">
        <f t="shared" si="21"/>
        <v>5</v>
      </c>
    </row>
    <row r="60" spans="1:18" ht="13.15" customHeight="1" x14ac:dyDescent="0.4">
      <c r="A60" s="7"/>
      <c r="B60" s="46">
        <v>6</v>
      </c>
      <c r="C60" s="24" t="s">
        <v>125</v>
      </c>
      <c r="D60" s="47"/>
      <c r="E60" s="6">
        <v>4</v>
      </c>
      <c r="F60" s="6">
        <v>2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2</v>
      </c>
      <c r="Q60" s="6">
        <v>0</v>
      </c>
      <c r="R60" s="5">
        <f t="shared" si="21"/>
        <v>10</v>
      </c>
    </row>
    <row r="61" spans="1:18" x14ac:dyDescent="0.4">
      <c r="A61" s="6" t="s">
        <v>26</v>
      </c>
      <c r="B61" s="53" t="s">
        <v>51</v>
      </c>
      <c r="C61" s="69"/>
      <c r="D61" s="60"/>
      <c r="E61" s="5">
        <f t="shared" ref="E61:R61" si="22">SUM(E54:E60)</f>
        <v>17</v>
      </c>
      <c r="F61" s="5">
        <f t="shared" si="22"/>
        <v>18</v>
      </c>
      <c r="G61" s="5">
        <f t="shared" si="22"/>
        <v>13</v>
      </c>
      <c r="H61" s="5">
        <f t="shared" si="22"/>
        <v>16</v>
      </c>
      <c r="I61" s="5">
        <f t="shared" si="22"/>
        <v>22</v>
      </c>
      <c r="J61" s="5">
        <f t="shared" si="22"/>
        <v>38</v>
      </c>
      <c r="K61" s="5">
        <f t="shared" si="22"/>
        <v>17</v>
      </c>
      <c r="L61" s="5">
        <f t="shared" si="22"/>
        <v>18</v>
      </c>
      <c r="M61" s="5">
        <f t="shared" si="22"/>
        <v>22</v>
      </c>
      <c r="N61" s="5">
        <f t="shared" si="22"/>
        <v>21</v>
      </c>
      <c r="O61" s="5">
        <f t="shared" si="22"/>
        <v>14</v>
      </c>
      <c r="P61" s="5">
        <f t="shared" si="22"/>
        <v>22</v>
      </c>
      <c r="Q61" s="5">
        <f t="shared" si="22"/>
        <v>20</v>
      </c>
      <c r="R61" s="5">
        <f t="shared" si="22"/>
        <v>258</v>
      </c>
    </row>
    <row r="62" spans="1:18" x14ac:dyDescent="0.4">
      <c r="A62" s="70"/>
      <c r="B62" s="71"/>
      <c r="C62" s="71"/>
      <c r="D62" s="71"/>
      <c r="E62" s="71"/>
    </row>
    <row r="63" spans="1:18" x14ac:dyDescent="0.4">
      <c r="A63" s="11" t="s">
        <v>48</v>
      </c>
      <c r="B63" s="17" t="s">
        <v>32</v>
      </c>
      <c r="C63" s="59" t="s">
        <v>53</v>
      </c>
      <c r="D63" s="60"/>
      <c r="E63" s="6">
        <v>9</v>
      </c>
      <c r="F63" s="6">
        <v>5</v>
      </c>
      <c r="G63" s="6">
        <v>8</v>
      </c>
      <c r="H63" s="6">
        <v>4</v>
      </c>
      <c r="I63" s="6">
        <v>8</v>
      </c>
      <c r="J63" s="6">
        <v>5</v>
      </c>
      <c r="K63" s="6">
        <v>1</v>
      </c>
      <c r="L63" s="6">
        <v>6</v>
      </c>
      <c r="M63" s="6">
        <v>3</v>
      </c>
      <c r="N63" s="6">
        <v>4</v>
      </c>
      <c r="O63" s="6">
        <v>7</v>
      </c>
      <c r="P63" s="6">
        <v>5</v>
      </c>
      <c r="Q63" s="6">
        <v>1</v>
      </c>
      <c r="R63" s="5">
        <f t="shared" ref="R63:R69" si="23">SUM(E63:Q63)</f>
        <v>66</v>
      </c>
    </row>
    <row r="64" spans="1:18" x14ac:dyDescent="0.4">
      <c r="A64" s="11" t="s">
        <v>50</v>
      </c>
      <c r="B64" s="46">
        <v>1</v>
      </c>
      <c r="C64" s="24" t="s">
        <v>126</v>
      </c>
      <c r="D64" s="47"/>
      <c r="E64" s="6">
        <v>16</v>
      </c>
      <c r="F64" s="6">
        <v>6</v>
      </c>
      <c r="G64" s="6">
        <v>30</v>
      </c>
      <c r="H64" s="6">
        <v>11</v>
      </c>
      <c r="I64" s="6">
        <v>12</v>
      </c>
      <c r="J64" s="6">
        <v>10</v>
      </c>
      <c r="K64" s="6">
        <v>11</v>
      </c>
      <c r="L64" s="6">
        <v>4</v>
      </c>
      <c r="M64" s="6">
        <v>26</v>
      </c>
      <c r="N64" s="6">
        <v>17</v>
      </c>
      <c r="O64" s="6">
        <v>44</v>
      </c>
      <c r="P64" s="6">
        <v>16</v>
      </c>
      <c r="Q64" s="6">
        <v>7</v>
      </c>
      <c r="R64" s="5">
        <f t="shared" si="23"/>
        <v>210</v>
      </c>
    </row>
    <row r="65" spans="1:18" x14ac:dyDescent="0.4">
      <c r="A65" s="7"/>
      <c r="B65" s="46">
        <v>2</v>
      </c>
      <c r="C65" s="24" t="s">
        <v>127</v>
      </c>
      <c r="D65" s="47"/>
      <c r="E65" s="6">
        <v>5</v>
      </c>
      <c r="F65" s="6">
        <v>3</v>
      </c>
      <c r="G65" s="6">
        <v>2</v>
      </c>
      <c r="H65" s="6">
        <v>2</v>
      </c>
      <c r="I65" s="6">
        <v>11</v>
      </c>
      <c r="J65" s="6">
        <v>2</v>
      </c>
      <c r="K65" s="6">
        <v>3</v>
      </c>
      <c r="L65" s="6">
        <v>1</v>
      </c>
      <c r="M65" s="6">
        <v>2</v>
      </c>
      <c r="N65" s="6">
        <v>1</v>
      </c>
      <c r="O65" s="6">
        <v>2</v>
      </c>
      <c r="P65" s="6">
        <v>6</v>
      </c>
      <c r="Q65" s="6">
        <v>2</v>
      </c>
      <c r="R65" s="5">
        <f t="shared" si="23"/>
        <v>42</v>
      </c>
    </row>
    <row r="66" spans="1:18" x14ac:dyDescent="0.4">
      <c r="A66" s="7"/>
      <c r="B66" s="46">
        <v>3</v>
      </c>
      <c r="C66" s="24" t="s">
        <v>128</v>
      </c>
      <c r="D66" s="47"/>
      <c r="E66" s="6">
        <v>0</v>
      </c>
      <c r="F66" s="6">
        <v>0</v>
      </c>
      <c r="G66" s="6">
        <v>0</v>
      </c>
      <c r="H66" s="6">
        <v>1</v>
      </c>
      <c r="I66" s="6">
        <v>1</v>
      </c>
      <c r="J66" s="6">
        <v>0</v>
      </c>
      <c r="K66" s="6">
        <v>1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5">
        <f t="shared" si="23"/>
        <v>4</v>
      </c>
    </row>
    <row r="67" spans="1:18" x14ac:dyDescent="0.4">
      <c r="A67" s="7"/>
      <c r="B67" s="46">
        <v>4</v>
      </c>
      <c r="C67" s="24" t="s">
        <v>129</v>
      </c>
      <c r="D67" s="47"/>
      <c r="E67" s="6">
        <v>1</v>
      </c>
      <c r="F67" s="6">
        <v>0</v>
      </c>
      <c r="G67" s="6">
        <v>0</v>
      </c>
      <c r="H67" s="6">
        <v>1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5">
        <f t="shared" si="23"/>
        <v>3</v>
      </c>
    </row>
    <row r="68" spans="1:18" ht="13.15" customHeight="1" x14ac:dyDescent="0.4">
      <c r="A68" s="7"/>
      <c r="B68" s="46">
        <v>5</v>
      </c>
      <c r="C68" s="24" t="s">
        <v>130</v>
      </c>
      <c r="D68" s="47"/>
      <c r="E68" s="6">
        <v>5</v>
      </c>
      <c r="F68" s="6">
        <v>2</v>
      </c>
      <c r="G68" s="6">
        <v>3</v>
      </c>
      <c r="H68" s="6">
        <v>0</v>
      </c>
      <c r="I68" s="6">
        <v>3</v>
      </c>
      <c r="J68" s="6">
        <v>1</v>
      </c>
      <c r="K68" s="6">
        <v>0</v>
      </c>
      <c r="L68" s="6">
        <v>0</v>
      </c>
      <c r="M68" s="6">
        <v>2</v>
      </c>
      <c r="N68" s="6">
        <v>0</v>
      </c>
      <c r="O68" s="6">
        <v>0</v>
      </c>
      <c r="P68" s="6">
        <v>0</v>
      </c>
      <c r="Q68" s="6">
        <v>0</v>
      </c>
      <c r="R68" s="5">
        <f t="shared" si="23"/>
        <v>16</v>
      </c>
    </row>
    <row r="69" spans="1:18" x14ac:dyDescent="0.4">
      <c r="A69" s="7"/>
      <c r="B69" s="46">
        <v>6</v>
      </c>
      <c r="C69" s="24" t="s">
        <v>131</v>
      </c>
      <c r="D69" s="47"/>
      <c r="E69" s="6">
        <v>0</v>
      </c>
      <c r="F69" s="6">
        <v>0</v>
      </c>
      <c r="G69" s="6">
        <v>1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5">
        <f t="shared" si="23"/>
        <v>3</v>
      </c>
    </row>
    <row r="70" spans="1:18" x14ac:dyDescent="0.4">
      <c r="A70" s="6" t="s">
        <v>26</v>
      </c>
      <c r="B70" s="53" t="s">
        <v>51</v>
      </c>
      <c r="C70" s="69"/>
      <c r="D70" s="60"/>
      <c r="E70" s="5">
        <f t="shared" ref="E70:R70" si="24">SUM(E63:E69)</f>
        <v>36</v>
      </c>
      <c r="F70" s="5">
        <f t="shared" si="24"/>
        <v>16</v>
      </c>
      <c r="G70" s="5">
        <f t="shared" si="24"/>
        <v>44</v>
      </c>
      <c r="H70" s="5">
        <f t="shared" si="24"/>
        <v>19</v>
      </c>
      <c r="I70" s="5">
        <f t="shared" si="24"/>
        <v>35</v>
      </c>
      <c r="J70" s="5">
        <f t="shared" si="24"/>
        <v>19</v>
      </c>
      <c r="K70" s="5">
        <f t="shared" si="24"/>
        <v>17</v>
      </c>
      <c r="L70" s="5">
        <f t="shared" si="24"/>
        <v>11</v>
      </c>
      <c r="M70" s="5">
        <f t="shared" si="24"/>
        <v>33</v>
      </c>
      <c r="N70" s="5">
        <f t="shared" si="24"/>
        <v>23</v>
      </c>
      <c r="O70" s="5">
        <f t="shared" si="24"/>
        <v>53</v>
      </c>
      <c r="P70" s="5">
        <f t="shared" si="24"/>
        <v>27</v>
      </c>
      <c r="Q70" s="5">
        <f t="shared" si="24"/>
        <v>11</v>
      </c>
      <c r="R70" s="5">
        <f t="shared" si="24"/>
        <v>344</v>
      </c>
    </row>
    <row r="71" spans="1:18" x14ac:dyDescent="0.4">
      <c r="A71" s="70"/>
      <c r="B71" s="71"/>
      <c r="C71" s="71"/>
      <c r="D71" s="71"/>
      <c r="E71" s="71"/>
    </row>
    <row r="72" spans="1:18" x14ac:dyDescent="0.4">
      <c r="A72" s="11" t="s">
        <v>48</v>
      </c>
      <c r="B72" s="17" t="s">
        <v>34</v>
      </c>
      <c r="C72" s="59" t="s">
        <v>54</v>
      </c>
      <c r="D72" s="60"/>
      <c r="E72" s="6">
        <v>4</v>
      </c>
      <c r="F72" s="6">
        <v>8</v>
      </c>
      <c r="G72" s="6">
        <v>9</v>
      </c>
      <c r="H72" s="6">
        <v>6</v>
      </c>
      <c r="I72" s="6">
        <v>8</v>
      </c>
      <c r="J72" s="6">
        <v>11</v>
      </c>
      <c r="K72" s="6">
        <v>7</v>
      </c>
      <c r="L72" s="6">
        <v>1</v>
      </c>
      <c r="M72" s="6">
        <v>0</v>
      </c>
      <c r="N72" s="6">
        <v>3</v>
      </c>
      <c r="O72" s="6">
        <v>3</v>
      </c>
      <c r="P72" s="6">
        <v>2</v>
      </c>
      <c r="Q72" s="6">
        <v>2</v>
      </c>
      <c r="R72" s="5">
        <f t="shared" ref="R72:R78" si="25">SUM(E72:Q72)</f>
        <v>64</v>
      </c>
    </row>
    <row r="73" spans="1:18" x14ac:dyDescent="0.4">
      <c r="A73" s="11" t="s">
        <v>50</v>
      </c>
      <c r="B73" s="46">
        <v>1</v>
      </c>
      <c r="C73" s="24" t="s">
        <v>132</v>
      </c>
      <c r="D73" s="47"/>
      <c r="E73" s="6">
        <v>19</v>
      </c>
      <c r="F73" s="6">
        <v>49</v>
      </c>
      <c r="G73" s="6">
        <v>12</v>
      </c>
      <c r="H73" s="6">
        <v>33</v>
      </c>
      <c r="I73" s="6">
        <v>18</v>
      </c>
      <c r="J73" s="6">
        <v>73</v>
      </c>
      <c r="K73" s="6">
        <v>36</v>
      </c>
      <c r="L73" s="6">
        <v>6</v>
      </c>
      <c r="M73" s="6">
        <v>34</v>
      </c>
      <c r="N73" s="6">
        <v>17</v>
      </c>
      <c r="O73" s="6">
        <v>15</v>
      </c>
      <c r="P73" s="6">
        <v>58</v>
      </c>
      <c r="Q73" s="6">
        <v>4</v>
      </c>
      <c r="R73" s="5">
        <f t="shared" si="25"/>
        <v>374</v>
      </c>
    </row>
    <row r="74" spans="1:18" x14ac:dyDescent="0.4">
      <c r="A74" s="7"/>
      <c r="B74" s="46">
        <v>2</v>
      </c>
      <c r="C74" s="24" t="s">
        <v>133</v>
      </c>
      <c r="D74" s="47"/>
      <c r="E74" s="6">
        <v>4</v>
      </c>
      <c r="F74" s="6">
        <v>4</v>
      </c>
      <c r="G74" s="6">
        <v>32</v>
      </c>
      <c r="H74" s="6">
        <v>5</v>
      </c>
      <c r="I74" s="6">
        <v>10</v>
      </c>
      <c r="J74" s="6">
        <v>5</v>
      </c>
      <c r="K74" s="6">
        <v>2</v>
      </c>
      <c r="L74" s="6">
        <v>2</v>
      </c>
      <c r="M74" s="6">
        <v>4</v>
      </c>
      <c r="N74" s="6">
        <v>5</v>
      </c>
      <c r="O74" s="6">
        <v>2</v>
      </c>
      <c r="P74" s="6">
        <v>0</v>
      </c>
      <c r="Q74" s="6">
        <v>2</v>
      </c>
      <c r="R74" s="5">
        <f t="shared" si="25"/>
        <v>77</v>
      </c>
    </row>
    <row r="75" spans="1:18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0</v>
      </c>
      <c r="H75" s="6">
        <v>2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5">
        <f t="shared" si="25"/>
        <v>3</v>
      </c>
    </row>
    <row r="76" spans="1:18" ht="13.15" customHeight="1" x14ac:dyDescent="0.4">
      <c r="A76" s="7"/>
      <c r="B76" s="46">
        <v>4</v>
      </c>
      <c r="C76" s="24" t="s">
        <v>135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5">
        <f t="shared" si="25"/>
        <v>1</v>
      </c>
    </row>
    <row r="77" spans="1:18" x14ac:dyDescent="0.4">
      <c r="A77" s="7"/>
      <c r="B77" s="46">
        <v>5</v>
      </c>
      <c r="C77" s="24" t="s">
        <v>136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5">
        <f t="shared" si="25"/>
        <v>1</v>
      </c>
    </row>
    <row r="78" spans="1:18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5">
        <f t="shared" si="25"/>
        <v>0</v>
      </c>
    </row>
    <row r="79" spans="1:18" x14ac:dyDescent="0.4">
      <c r="A79" s="6" t="s">
        <v>26</v>
      </c>
      <c r="B79" s="53" t="s">
        <v>51</v>
      </c>
      <c r="C79" s="69"/>
      <c r="D79" s="60"/>
      <c r="E79" s="5">
        <f t="shared" ref="E79:R79" si="26">SUM(E72:E78)</f>
        <v>27</v>
      </c>
      <c r="F79" s="5">
        <f t="shared" si="26"/>
        <v>61</v>
      </c>
      <c r="G79" s="5">
        <f t="shared" si="26"/>
        <v>53</v>
      </c>
      <c r="H79" s="5">
        <f t="shared" si="26"/>
        <v>46</v>
      </c>
      <c r="I79" s="5">
        <f t="shared" si="26"/>
        <v>37</v>
      </c>
      <c r="J79" s="5">
        <f t="shared" si="26"/>
        <v>90</v>
      </c>
      <c r="K79" s="5">
        <f t="shared" si="26"/>
        <v>45</v>
      </c>
      <c r="L79" s="5">
        <f t="shared" si="26"/>
        <v>9</v>
      </c>
      <c r="M79" s="5">
        <f t="shared" si="26"/>
        <v>38</v>
      </c>
      <c r="N79" s="5">
        <f t="shared" si="26"/>
        <v>25</v>
      </c>
      <c r="O79" s="5">
        <f t="shared" si="26"/>
        <v>20</v>
      </c>
      <c r="P79" s="5">
        <f t="shared" si="26"/>
        <v>61</v>
      </c>
      <c r="Q79" s="5">
        <f t="shared" si="26"/>
        <v>8</v>
      </c>
      <c r="R79" s="5">
        <f t="shared" si="26"/>
        <v>520</v>
      </c>
    </row>
    <row r="80" spans="1:18" x14ac:dyDescent="0.4">
      <c r="A80" s="70"/>
      <c r="B80" s="71"/>
      <c r="C80" s="71"/>
      <c r="D80" s="71"/>
      <c r="E80" s="71"/>
    </row>
    <row r="81" spans="1:18" x14ac:dyDescent="0.4">
      <c r="A81" s="11" t="s">
        <v>48</v>
      </c>
      <c r="B81" s="17" t="s">
        <v>55</v>
      </c>
      <c r="C81" s="59" t="s">
        <v>56</v>
      </c>
      <c r="D81" s="60"/>
      <c r="E81" s="6">
        <v>6</v>
      </c>
      <c r="F81" s="6">
        <v>4</v>
      </c>
      <c r="G81" s="6">
        <v>1</v>
      </c>
      <c r="H81" s="6">
        <v>2</v>
      </c>
      <c r="I81" s="6">
        <v>5</v>
      </c>
      <c r="J81" s="6">
        <v>1</v>
      </c>
      <c r="K81" s="6">
        <v>1</v>
      </c>
      <c r="L81" s="6">
        <v>2</v>
      </c>
      <c r="M81" s="6">
        <v>7</v>
      </c>
      <c r="N81" s="6">
        <v>1</v>
      </c>
      <c r="O81" s="6">
        <v>7</v>
      </c>
      <c r="P81" s="6">
        <v>3</v>
      </c>
      <c r="Q81" s="6">
        <v>16</v>
      </c>
      <c r="R81" s="5">
        <f t="shared" ref="R81:R87" si="27">SUM(E81:Q81)</f>
        <v>56</v>
      </c>
    </row>
    <row r="82" spans="1:18" x14ac:dyDescent="0.4">
      <c r="A82" s="11" t="s">
        <v>50</v>
      </c>
      <c r="B82" s="46">
        <v>1</v>
      </c>
      <c r="C82" s="24" t="s">
        <v>138</v>
      </c>
      <c r="D82" s="47"/>
      <c r="E82" s="6">
        <v>20</v>
      </c>
      <c r="F82" s="6">
        <v>36</v>
      </c>
      <c r="G82" s="6">
        <v>34</v>
      </c>
      <c r="H82" s="6">
        <v>28</v>
      </c>
      <c r="I82" s="6">
        <v>20</v>
      </c>
      <c r="J82" s="6">
        <v>2</v>
      </c>
      <c r="K82" s="6">
        <v>58</v>
      </c>
      <c r="L82" s="6">
        <v>113</v>
      </c>
      <c r="M82" s="6">
        <v>79</v>
      </c>
      <c r="N82" s="6">
        <v>56</v>
      </c>
      <c r="O82" s="6">
        <v>81</v>
      </c>
      <c r="P82" s="6">
        <v>58</v>
      </c>
      <c r="Q82" s="6">
        <v>83</v>
      </c>
      <c r="R82" s="5">
        <f t="shared" si="27"/>
        <v>668</v>
      </c>
    </row>
    <row r="83" spans="1:18" x14ac:dyDescent="0.4">
      <c r="A83" s="7"/>
      <c r="B83" s="46">
        <v>2</v>
      </c>
      <c r="C83" s="24" t="s">
        <v>139</v>
      </c>
      <c r="D83" s="47"/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1</v>
      </c>
      <c r="M83" s="6">
        <v>0</v>
      </c>
      <c r="N83" s="6">
        <v>0</v>
      </c>
      <c r="O83" s="6">
        <v>1</v>
      </c>
      <c r="P83" s="6">
        <v>0</v>
      </c>
      <c r="Q83" s="6">
        <v>0</v>
      </c>
      <c r="R83" s="5">
        <f t="shared" si="27"/>
        <v>3</v>
      </c>
    </row>
    <row r="84" spans="1:18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5">
        <f t="shared" si="27"/>
        <v>1</v>
      </c>
    </row>
    <row r="85" spans="1:18" x14ac:dyDescent="0.4">
      <c r="A85" s="7"/>
      <c r="B85" s="46">
        <v>4</v>
      </c>
      <c r="C85" s="24" t="s">
        <v>141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5">
        <f t="shared" si="27"/>
        <v>0</v>
      </c>
    </row>
    <row r="86" spans="1:18" x14ac:dyDescent="0.4">
      <c r="A86" s="7"/>
      <c r="B86" s="46">
        <v>5</v>
      </c>
      <c r="C86" s="24" t="s">
        <v>142</v>
      </c>
      <c r="D86" s="47"/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6">
        <v>1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5">
        <f t="shared" si="27"/>
        <v>5</v>
      </c>
    </row>
    <row r="87" spans="1:18" x14ac:dyDescent="0.4">
      <c r="A87" s="7"/>
      <c r="B87" s="46">
        <v>6</v>
      </c>
      <c r="C87" s="24" t="s">
        <v>143</v>
      </c>
      <c r="D87" s="47"/>
      <c r="E87" s="6">
        <v>2</v>
      </c>
      <c r="F87" s="6">
        <v>0</v>
      </c>
      <c r="G87" s="6">
        <v>0</v>
      </c>
      <c r="H87" s="6">
        <v>0</v>
      </c>
      <c r="I87" s="6">
        <v>3</v>
      </c>
      <c r="J87" s="6">
        <v>1</v>
      </c>
      <c r="K87" s="6">
        <v>1</v>
      </c>
      <c r="L87" s="6">
        <v>2</v>
      </c>
      <c r="M87" s="6">
        <v>6</v>
      </c>
      <c r="N87" s="6">
        <v>21</v>
      </c>
      <c r="O87" s="6">
        <v>18</v>
      </c>
      <c r="P87" s="6">
        <v>2</v>
      </c>
      <c r="Q87" s="6">
        <v>3</v>
      </c>
      <c r="R87" s="5">
        <f t="shared" si="27"/>
        <v>59</v>
      </c>
    </row>
    <row r="88" spans="1:18" x14ac:dyDescent="0.4">
      <c r="A88" s="6" t="s">
        <v>26</v>
      </c>
      <c r="B88" s="53" t="s">
        <v>51</v>
      </c>
      <c r="C88" s="69"/>
      <c r="D88" s="60"/>
      <c r="E88" s="5">
        <f t="shared" ref="E88:R88" si="28">SUM(E81:E87)</f>
        <v>29</v>
      </c>
      <c r="F88" s="5">
        <f t="shared" si="28"/>
        <v>41</v>
      </c>
      <c r="G88" s="5">
        <f t="shared" si="28"/>
        <v>35</v>
      </c>
      <c r="H88" s="5">
        <f t="shared" si="28"/>
        <v>30</v>
      </c>
      <c r="I88" s="5">
        <f t="shared" si="28"/>
        <v>28</v>
      </c>
      <c r="J88" s="5">
        <f t="shared" si="28"/>
        <v>4</v>
      </c>
      <c r="K88" s="5">
        <f t="shared" si="28"/>
        <v>63</v>
      </c>
      <c r="L88" s="5">
        <f t="shared" si="28"/>
        <v>119</v>
      </c>
      <c r="M88" s="5">
        <f t="shared" si="28"/>
        <v>93</v>
      </c>
      <c r="N88" s="5">
        <f t="shared" si="28"/>
        <v>78</v>
      </c>
      <c r="O88" s="5">
        <f t="shared" si="28"/>
        <v>107</v>
      </c>
      <c r="P88" s="5">
        <f t="shared" si="28"/>
        <v>63</v>
      </c>
      <c r="Q88" s="5">
        <f t="shared" si="28"/>
        <v>102</v>
      </c>
      <c r="R88" s="5">
        <f t="shared" si="28"/>
        <v>792</v>
      </c>
    </row>
    <row r="89" spans="1:18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x14ac:dyDescent="0.4">
      <c r="A90" s="11" t="s">
        <v>48</v>
      </c>
      <c r="B90" s="17" t="s">
        <v>57</v>
      </c>
      <c r="C90" s="59" t="s">
        <v>58</v>
      </c>
      <c r="D90" s="6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6">
        <v>1</v>
      </c>
      <c r="M90" s="6">
        <v>1</v>
      </c>
      <c r="N90" s="6">
        <v>0</v>
      </c>
      <c r="O90" s="6">
        <v>1</v>
      </c>
      <c r="P90" s="6">
        <v>0</v>
      </c>
      <c r="Q90" s="6">
        <v>0</v>
      </c>
      <c r="R90" s="5">
        <f>SUM(E90:Q90)</f>
        <v>4</v>
      </c>
    </row>
    <row r="91" spans="1:18" ht="13.15" customHeight="1" x14ac:dyDescent="0.4">
      <c r="A91" s="6" t="s">
        <v>26</v>
      </c>
      <c r="B91" s="53" t="s">
        <v>51</v>
      </c>
      <c r="C91" s="54"/>
      <c r="D91" s="55"/>
      <c r="E91" s="5">
        <f t="shared" ref="E91:R91" si="29">SUM(E90:E90)</f>
        <v>0</v>
      </c>
      <c r="F91" s="5">
        <f t="shared" si="29"/>
        <v>0</v>
      </c>
      <c r="G91" s="5">
        <f t="shared" si="29"/>
        <v>0</v>
      </c>
      <c r="H91" s="5">
        <f t="shared" si="29"/>
        <v>0</v>
      </c>
      <c r="I91" s="5">
        <f t="shared" si="29"/>
        <v>0</v>
      </c>
      <c r="J91" s="5">
        <f t="shared" si="29"/>
        <v>1</v>
      </c>
      <c r="K91" s="5">
        <f t="shared" si="29"/>
        <v>0</v>
      </c>
      <c r="L91" s="5">
        <f t="shared" si="29"/>
        <v>1</v>
      </c>
      <c r="M91" s="5">
        <f t="shared" si="29"/>
        <v>1</v>
      </c>
      <c r="N91" s="5">
        <f t="shared" si="29"/>
        <v>0</v>
      </c>
      <c r="O91" s="5">
        <f t="shared" si="29"/>
        <v>1</v>
      </c>
      <c r="P91" s="5">
        <f t="shared" si="29"/>
        <v>0</v>
      </c>
      <c r="Q91" s="5">
        <f t="shared" si="29"/>
        <v>0</v>
      </c>
      <c r="R91" s="5">
        <f t="shared" si="29"/>
        <v>4</v>
      </c>
    </row>
    <row r="92" spans="1:18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5"/>
    </row>
    <row r="93" spans="1:18" x14ac:dyDescent="0.4">
      <c r="A93" s="11" t="s">
        <v>48</v>
      </c>
      <c r="B93" s="17" t="s">
        <v>59</v>
      </c>
      <c r="C93" s="59" t="s">
        <v>60</v>
      </c>
      <c r="D93" s="60"/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  <c r="O93" s="6">
        <v>2</v>
      </c>
      <c r="P93" s="6">
        <v>1</v>
      </c>
      <c r="Q93" s="6">
        <v>2</v>
      </c>
      <c r="R93" s="5">
        <f>SUM(E93:Q93)</f>
        <v>8</v>
      </c>
    </row>
    <row r="94" spans="1:18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2</v>
      </c>
      <c r="R94" s="5">
        <f>SUM(E94:Q94)</f>
        <v>3</v>
      </c>
    </row>
    <row r="95" spans="1:18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5">
        <f>SUM(E95:Q95)</f>
        <v>0</v>
      </c>
    </row>
    <row r="96" spans="1:18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5">
        <f>SUM(E96:Q96)</f>
        <v>0</v>
      </c>
    </row>
    <row r="97" spans="1:18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5">
        <f>SUM(E97:Q97)</f>
        <v>0</v>
      </c>
    </row>
    <row r="98" spans="1:18" x14ac:dyDescent="0.4">
      <c r="A98" s="6" t="s">
        <v>26</v>
      </c>
      <c r="B98" s="53" t="s">
        <v>51</v>
      </c>
      <c r="C98" s="54"/>
      <c r="D98" s="55"/>
      <c r="E98" s="5">
        <f t="shared" ref="E98:R98" si="30">SUM(E93:E97)</f>
        <v>0</v>
      </c>
      <c r="F98" s="5">
        <f t="shared" si="30"/>
        <v>0</v>
      </c>
      <c r="G98" s="5">
        <f t="shared" si="30"/>
        <v>0</v>
      </c>
      <c r="H98" s="5">
        <f t="shared" si="30"/>
        <v>0</v>
      </c>
      <c r="I98" s="5">
        <f t="shared" si="30"/>
        <v>2</v>
      </c>
      <c r="J98" s="5">
        <f t="shared" si="30"/>
        <v>0</v>
      </c>
      <c r="K98" s="5">
        <f t="shared" si="30"/>
        <v>1</v>
      </c>
      <c r="L98" s="5">
        <f t="shared" si="30"/>
        <v>1</v>
      </c>
      <c r="M98" s="5">
        <f t="shared" si="30"/>
        <v>0</v>
      </c>
      <c r="N98" s="5">
        <f t="shared" si="30"/>
        <v>0</v>
      </c>
      <c r="O98" s="5">
        <f t="shared" si="30"/>
        <v>2</v>
      </c>
      <c r="P98" s="5">
        <f t="shared" si="30"/>
        <v>1</v>
      </c>
      <c r="Q98" s="5">
        <f t="shared" si="30"/>
        <v>4</v>
      </c>
      <c r="R98" s="5">
        <f t="shared" si="30"/>
        <v>11</v>
      </c>
    </row>
    <row r="99" spans="1:18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x14ac:dyDescent="0.4">
      <c r="A100" s="11" t="s">
        <v>48</v>
      </c>
      <c r="B100" s="17" t="s">
        <v>61</v>
      </c>
      <c r="C100" s="59" t="s">
        <v>62</v>
      </c>
      <c r="D100" s="60"/>
      <c r="E100" s="6">
        <v>2</v>
      </c>
      <c r="F100" s="6">
        <v>0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1</v>
      </c>
      <c r="R100" s="5">
        <f t="shared" ref="R100:R106" si="31">SUM(E100:Q100)</f>
        <v>5</v>
      </c>
    </row>
    <row r="101" spans="1:18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44</v>
      </c>
      <c r="F101" s="6">
        <v>1</v>
      </c>
      <c r="G101" s="6">
        <v>2</v>
      </c>
      <c r="H101" s="6">
        <v>3</v>
      </c>
      <c r="I101" s="6">
        <v>0</v>
      </c>
      <c r="J101" s="6">
        <v>2</v>
      </c>
      <c r="K101" s="6">
        <v>5</v>
      </c>
      <c r="L101" s="6">
        <v>2</v>
      </c>
      <c r="M101" s="6">
        <v>2</v>
      </c>
      <c r="N101" s="6">
        <v>0</v>
      </c>
      <c r="O101" s="6">
        <v>0</v>
      </c>
      <c r="P101" s="6">
        <v>3</v>
      </c>
      <c r="Q101" s="6">
        <v>15</v>
      </c>
      <c r="R101" s="5">
        <f t="shared" si="31"/>
        <v>79</v>
      </c>
    </row>
    <row r="102" spans="1:18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0</v>
      </c>
      <c r="G102" s="6">
        <v>1</v>
      </c>
      <c r="H102" s="6">
        <v>1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5">
        <f t="shared" si="31"/>
        <v>2</v>
      </c>
    </row>
    <row r="103" spans="1:18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5">
        <f t="shared" si="31"/>
        <v>0</v>
      </c>
    </row>
    <row r="104" spans="1:18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5">
        <f t="shared" si="31"/>
        <v>0</v>
      </c>
    </row>
    <row r="105" spans="1:18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5">
        <f t="shared" si="31"/>
        <v>0</v>
      </c>
    </row>
    <row r="106" spans="1:18" x14ac:dyDescent="0.4">
      <c r="A106" s="7"/>
      <c r="B106" s="46">
        <v>6</v>
      </c>
      <c r="C106" s="24" t="s">
        <v>153</v>
      </c>
      <c r="D106" s="47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5">
        <f t="shared" si="31"/>
        <v>1</v>
      </c>
    </row>
    <row r="107" spans="1:18" x14ac:dyDescent="0.4">
      <c r="A107" s="6" t="s">
        <v>26</v>
      </c>
      <c r="B107" s="53" t="s">
        <v>51</v>
      </c>
      <c r="C107" s="54"/>
      <c r="D107" s="55"/>
      <c r="E107" s="5">
        <f t="shared" ref="E107:R107" si="32">SUM(E100:E106)</f>
        <v>47</v>
      </c>
      <c r="F107" s="5">
        <f t="shared" si="32"/>
        <v>1</v>
      </c>
      <c r="G107" s="5">
        <f t="shared" si="32"/>
        <v>4</v>
      </c>
      <c r="H107" s="5">
        <f t="shared" si="32"/>
        <v>4</v>
      </c>
      <c r="I107" s="5">
        <f t="shared" si="32"/>
        <v>0</v>
      </c>
      <c r="J107" s="5">
        <f t="shared" si="32"/>
        <v>2</v>
      </c>
      <c r="K107" s="5">
        <f t="shared" si="32"/>
        <v>5</v>
      </c>
      <c r="L107" s="5">
        <f t="shared" si="32"/>
        <v>2</v>
      </c>
      <c r="M107" s="5">
        <f t="shared" si="32"/>
        <v>3</v>
      </c>
      <c r="N107" s="5">
        <f t="shared" si="32"/>
        <v>0</v>
      </c>
      <c r="O107" s="5">
        <f t="shared" si="32"/>
        <v>0</v>
      </c>
      <c r="P107" s="5">
        <f t="shared" si="32"/>
        <v>3</v>
      </c>
      <c r="Q107" s="5">
        <f t="shared" si="32"/>
        <v>16</v>
      </c>
      <c r="R107" s="5">
        <f t="shared" si="32"/>
        <v>87</v>
      </c>
    </row>
    <row r="108" spans="1:18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0</v>
      </c>
      <c r="O109" s="6">
        <v>0</v>
      </c>
      <c r="P109" s="6"/>
      <c r="Q109" s="6"/>
      <c r="R109" s="5">
        <f>SUM(E109:Q109)</f>
        <v>1</v>
      </c>
    </row>
    <row r="110" spans="1:18" x14ac:dyDescent="0.4">
      <c r="A110" s="11" t="s">
        <v>50</v>
      </c>
      <c r="B110" s="46">
        <v>1</v>
      </c>
      <c r="C110" s="24" t="s">
        <v>154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/>
      <c r="Q110" s="6"/>
      <c r="R110" s="5">
        <f>SUM(E110:Q110)</f>
        <v>0</v>
      </c>
    </row>
    <row r="111" spans="1:18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/>
      <c r="Q111" s="6"/>
      <c r="R111" s="5">
        <f>SUM(E111:Q111)</f>
        <v>0</v>
      </c>
    </row>
    <row r="112" spans="1:18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/>
      <c r="Q112" s="6"/>
      <c r="R112" s="5">
        <f>SUM(E112:Q112)</f>
        <v>0</v>
      </c>
    </row>
    <row r="113" spans="1:18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R113" si="33">SUM(E109:E112)</f>
        <v>0</v>
      </c>
      <c r="F113" s="5">
        <f t="shared" si="33"/>
        <v>0</v>
      </c>
      <c r="G113" s="5">
        <f t="shared" si="33"/>
        <v>0</v>
      </c>
      <c r="H113" s="5">
        <f t="shared" si="33"/>
        <v>0</v>
      </c>
      <c r="I113" s="5">
        <f t="shared" si="33"/>
        <v>0</v>
      </c>
      <c r="J113" s="5">
        <f t="shared" si="33"/>
        <v>0</v>
      </c>
      <c r="K113" s="5">
        <f t="shared" si="33"/>
        <v>0</v>
      </c>
      <c r="L113" s="5">
        <f t="shared" si="33"/>
        <v>0</v>
      </c>
      <c r="M113" s="5">
        <f t="shared" si="33"/>
        <v>1</v>
      </c>
      <c r="N113" s="5">
        <f t="shared" si="33"/>
        <v>0</v>
      </c>
      <c r="O113" s="5">
        <f t="shared" si="33"/>
        <v>0</v>
      </c>
      <c r="P113" s="5">
        <f t="shared" si="33"/>
        <v>0</v>
      </c>
      <c r="Q113" s="5">
        <f t="shared" si="33"/>
        <v>0</v>
      </c>
      <c r="R113" s="5">
        <f t="shared" si="33"/>
        <v>1</v>
      </c>
    </row>
    <row r="114" spans="1:18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5"/>
    </row>
    <row r="115" spans="1:18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1</v>
      </c>
      <c r="M115" s="6">
        <v>0</v>
      </c>
      <c r="N115" s="6">
        <v>0</v>
      </c>
      <c r="O115" s="6">
        <v>0</v>
      </c>
      <c r="P115" s="6"/>
      <c r="Q115" s="6"/>
      <c r="R115" s="5">
        <f t="shared" ref="R115:R121" si="34">SUM(E115:Q115)</f>
        <v>2</v>
      </c>
    </row>
    <row r="116" spans="1:18" x14ac:dyDescent="0.4">
      <c r="A116" s="48" t="s">
        <v>50</v>
      </c>
      <c r="B116" s="46">
        <v>1</v>
      </c>
      <c r="C116" s="24" t="s">
        <v>157</v>
      </c>
      <c r="D116" s="47"/>
      <c r="E116" s="49">
        <v>0</v>
      </c>
      <c r="F116" s="6">
        <v>0</v>
      </c>
      <c r="G116" s="6">
        <v>3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6">
        <v>1</v>
      </c>
      <c r="N116" s="6">
        <v>6</v>
      </c>
      <c r="O116" s="6">
        <v>1</v>
      </c>
      <c r="P116" s="6"/>
      <c r="Q116" s="6"/>
      <c r="R116" s="5">
        <f t="shared" si="34"/>
        <v>12</v>
      </c>
    </row>
    <row r="117" spans="1:18" x14ac:dyDescent="0.4">
      <c r="A117" s="7"/>
      <c r="B117" s="46">
        <v>2</v>
      </c>
      <c r="C117" s="24" t="s">
        <v>158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/>
      <c r="Q117" s="6"/>
      <c r="R117" s="5">
        <f t="shared" si="34"/>
        <v>0</v>
      </c>
    </row>
    <row r="118" spans="1:18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/>
      <c r="Q118" s="6"/>
      <c r="R118" s="5">
        <f t="shared" si="34"/>
        <v>0</v>
      </c>
    </row>
    <row r="119" spans="1:18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/>
      <c r="Q119" s="6"/>
      <c r="R119" s="5">
        <f t="shared" si="34"/>
        <v>1</v>
      </c>
    </row>
    <row r="120" spans="1:18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/>
      <c r="Q120" s="6"/>
      <c r="R120" s="5">
        <f t="shared" si="34"/>
        <v>0</v>
      </c>
    </row>
    <row r="121" spans="1:18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/>
      <c r="Q121" s="6"/>
      <c r="R121" s="5">
        <f t="shared" si="34"/>
        <v>0</v>
      </c>
    </row>
    <row r="122" spans="1:18" x14ac:dyDescent="0.4">
      <c r="A122" s="6" t="s">
        <v>26</v>
      </c>
      <c r="B122" s="64" t="s">
        <v>51</v>
      </c>
      <c r="C122" s="65"/>
      <c r="D122" s="66"/>
      <c r="E122" s="5">
        <f t="shared" ref="E122:R122" si="35">SUM(E115:E121)</f>
        <v>0</v>
      </c>
      <c r="F122" s="5">
        <f t="shared" si="35"/>
        <v>0</v>
      </c>
      <c r="G122" s="5">
        <f t="shared" si="35"/>
        <v>4</v>
      </c>
      <c r="H122" s="5">
        <f t="shared" si="35"/>
        <v>1</v>
      </c>
      <c r="I122" s="5">
        <f t="shared" si="35"/>
        <v>0</v>
      </c>
      <c r="J122" s="5">
        <f t="shared" si="35"/>
        <v>0</v>
      </c>
      <c r="K122" s="5">
        <f t="shared" si="35"/>
        <v>0</v>
      </c>
      <c r="L122" s="5">
        <f t="shared" si="35"/>
        <v>1</v>
      </c>
      <c r="M122" s="5">
        <f t="shared" si="35"/>
        <v>1</v>
      </c>
      <c r="N122" s="5">
        <f t="shared" si="35"/>
        <v>7</v>
      </c>
      <c r="O122" s="5">
        <f t="shared" si="35"/>
        <v>1</v>
      </c>
      <c r="P122" s="5">
        <f t="shared" si="35"/>
        <v>0</v>
      </c>
      <c r="Q122" s="5">
        <f t="shared" si="35"/>
        <v>0</v>
      </c>
      <c r="R122" s="5">
        <f t="shared" si="35"/>
        <v>15</v>
      </c>
    </row>
    <row r="123" spans="1:18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1</v>
      </c>
      <c r="F124" s="6">
        <v>0</v>
      </c>
      <c r="G124" s="6">
        <v>2</v>
      </c>
      <c r="H124" s="6">
        <v>0</v>
      </c>
      <c r="I124" s="6">
        <v>0</v>
      </c>
      <c r="J124" s="6">
        <v>0</v>
      </c>
      <c r="K124" s="6">
        <v>1</v>
      </c>
      <c r="L124" s="6">
        <v>2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5">
        <f>SUM(E124:Q124)</f>
        <v>6</v>
      </c>
    </row>
    <row r="125" spans="1:18" x14ac:dyDescent="0.4">
      <c r="A125" s="6" t="s">
        <v>26</v>
      </c>
      <c r="B125" s="53" t="s">
        <v>51</v>
      </c>
      <c r="C125" s="54"/>
      <c r="D125" s="55"/>
      <c r="E125" s="5">
        <f t="shared" ref="E125:R125" si="36">SUM(E124:E124)</f>
        <v>1</v>
      </c>
      <c r="F125" s="5">
        <f t="shared" si="36"/>
        <v>0</v>
      </c>
      <c r="G125" s="5">
        <f t="shared" si="36"/>
        <v>2</v>
      </c>
      <c r="H125" s="5">
        <f t="shared" si="36"/>
        <v>0</v>
      </c>
      <c r="I125" s="5">
        <f t="shared" si="36"/>
        <v>0</v>
      </c>
      <c r="J125" s="5">
        <f t="shared" si="36"/>
        <v>0</v>
      </c>
      <c r="K125" s="5">
        <f t="shared" si="36"/>
        <v>1</v>
      </c>
      <c r="L125" s="5">
        <f t="shared" si="36"/>
        <v>2</v>
      </c>
      <c r="M125" s="5">
        <f t="shared" si="36"/>
        <v>0</v>
      </c>
      <c r="N125" s="5">
        <f t="shared" si="36"/>
        <v>0</v>
      </c>
      <c r="O125" s="5">
        <f t="shared" si="36"/>
        <v>0</v>
      </c>
      <c r="P125" s="5">
        <f t="shared" si="36"/>
        <v>0</v>
      </c>
      <c r="Q125" s="5">
        <f t="shared" si="36"/>
        <v>0</v>
      </c>
      <c r="R125" s="5">
        <f t="shared" si="36"/>
        <v>6</v>
      </c>
    </row>
    <row r="126" spans="1:18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x14ac:dyDescent="0.4">
      <c r="A127" s="11" t="s">
        <v>48</v>
      </c>
      <c r="B127" s="17" t="s">
        <v>69</v>
      </c>
      <c r="C127" s="59" t="s">
        <v>70</v>
      </c>
      <c r="D127" s="60"/>
      <c r="E127" s="6">
        <v>0</v>
      </c>
      <c r="F127" s="6">
        <v>1</v>
      </c>
      <c r="G127" s="6">
        <v>1</v>
      </c>
      <c r="H127" s="6">
        <v>1</v>
      </c>
      <c r="I127" s="6">
        <v>0</v>
      </c>
      <c r="J127" s="6">
        <v>0</v>
      </c>
      <c r="K127" s="6">
        <v>4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5">
        <f t="shared" ref="R127:R133" si="37">SUM(E127:Q127)</f>
        <v>7</v>
      </c>
    </row>
    <row r="128" spans="1:18" x14ac:dyDescent="0.4">
      <c r="A128" s="11" t="s">
        <v>50</v>
      </c>
      <c r="B128" s="46">
        <v>1</v>
      </c>
      <c r="C128" s="24" t="s">
        <v>163</v>
      </c>
      <c r="D128" s="47"/>
      <c r="E128" s="6">
        <v>1</v>
      </c>
      <c r="F128" s="6">
        <v>1</v>
      </c>
      <c r="G128" s="6">
        <v>1</v>
      </c>
      <c r="H128" s="6">
        <v>2</v>
      </c>
      <c r="I128" s="6">
        <v>0</v>
      </c>
      <c r="J128" s="6">
        <v>0</v>
      </c>
      <c r="K128" s="6">
        <v>9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5">
        <f t="shared" si="37"/>
        <v>14</v>
      </c>
    </row>
    <row r="129" spans="1:18" x14ac:dyDescent="0.4">
      <c r="A129" s="7"/>
      <c r="B129" s="46">
        <v>2</v>
      </c>
      <c r="C129" s="24" t="s">
        <v>164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5">
        <f t="shared" si="37"/>
        <v>0</v>
      </c>
    </row>
    <row r="130" spans="1:18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2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1</v>
      </c>
      <c r="R130" s="5">
        <f t="shared" si="37"/>
        <v>5</v>
      </c>
    </row>
    <row r="131" spans="1:18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5">
        <f t="shared" si="37"/>
        <v>0</v>
      </c>
    </row>
    <row r="132" spans="1:18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5">
        <f t="shared" si="37"/>
        <v>1</v>
      </c>
    </row>
    <row r="133" spans="1:18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2</v>
      </c>
      <c r="Q133" s="6">
        <v>0</v>
      </c>
      <c r="R133" s="5">
        <f t="shared" si="37"/>
        <v>3</v>
      </c>
    </row>
    <row r="134" spans="1:18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R134" si="38">SUM(E127:E133)</f>
        <v>1</v>
      </c>
      <c r="F134" s="5">
        <f t="shared" si="38"/>
        <v>3</v>
      </c>
      <c r="G134" s="5">
        <f t="shared" si="38"/>
        <v>2</v>
      </c>
      <c r="H134" s="5">
        <f t="shared" si="38"/>
        <v>5</v>
      </c>
      <c r="I134" s="5">
        <f t="shared" si="38"/>
        <v>0</v>
      </c>
      <c r="J134" s="5">
        <f t="shared" si="38"/>
        <v>0</v>
      </c>
      <c r="K134" s="5">
        <f t="shared" si="38"/>
        <v>15</v>
      </c>
      <c r="L134" s="5">
        <f t="shared" si="38"/>
        <v>0</v>
      </c>
      <c r="M134" s="5">
        <f t="shared" si="38"/>
        <v>1</v>
      </c>
      <c r="N134" s="5">
        <f t="shared" si="38"/>
        <v>0</v>
      </c>
      <c r="O134" s="5">
        <f t="shared" si="38"/>
        <v>0</v>
      </c>
      <c r="P134" s="5">
        <f t="shared" si="38"/>
        <v>2</v>
      </c>
      <c r="Q134" s="5">
        <f t="shared" si="38"/>
        <v>1</v>
      </c>
      <c r="R134" s="5">
        <f t="shared" si="38"/>
        <v>30</v>
      </c>
    </row>
    <row r="135" spans="1:18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R135" s="5"/>
    </row>
    <row r="136" spans="1:18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1</v>
      </c>
      <c r="M136" s="6">
        <v>1</v>
      </c>
      <c r="N136" s="6">
        <v>0</v>
      </c>
      <c r="O136" s="6">
        <v>1</v>
      </c>
      <c r="P136" s="6">
        <v>0</v>
      </c>
      <c r="Q136" s="6">
        <v>0</v>
      </c>
      <c r="R136" s="5">
        <f t="shared" ref="R136:R141" si="39">SUM(E136:Q136)</f>
        <v>4</v>
      </c>
    </row>
    <row r="137" spans="1:18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</v>
      </c>
      <c r="R137" s="5">
        <f t="shared" si="39"/>
        <v>2</v>
      </c>
    </row>
    <row r="138" spans="1:18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5">
        <f t="shared" si="39"/>
        <v>0</v>
      </c>
    </row>
    <row r="139" spans="1:18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5">
        <f t="shared" si="39"/>
        <v>0</v>
      </c>
    </row>
    <row r="140" spans="1:18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1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5">
        <f t="shared" si="39"/>
        <v>1</v>
      </c>
    </row>
    <row r="141" spans="1:18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>
        <f t="shared" si="39"/>
        <v>0</v>
      </c>
    </row>
    <row r="142" spans="1:18" x14ac:dyDescent="0.4">
      <c r="A142" s="6" t="s">
        <v>26</v>
      </c>
      <c r="B142" s="53" t="s">
        <v>51</v>
      </c>
      <c r="C142" s="54"/>
      <c r="D142" s="55"/>
      <c r="E142" s="5">
        <f t="shared" ref="E142:R142" si="40">SUM(E136:E141)</f>
        <v>0</v>
      </c>
      <c r="F142" s="5">
        <f t="shared" si="40"/>
        <v>0</v>
      </c>
      <c r="G142" s="5">
        <f t="shared" si="40"/>
        <v>1</v>
      </c>
      <c r="H142" s="5">
        <f t="shared" si="40"/>
        <v>0</v>
      </c>
      <c r="I142" s="5">
        <f t="shared" si="40"/>
        <v>2</v>
      </c>
      <c r="J142" s="5">
        <f t="shared" si="40"/>
        <v>0</v>
      </c>
      <c r="K142" s="5">
        <f t="shared" si="40"/>
        <v>0</v>
      </c>
      <c r="L142" s="5">
        <f t="shared" si="40"/>
        <v>1</v>
      </c>
      <c r="M142" s="5">
        <f t="shared" si="40"/>
        <v>1</v>
      </c>
      <c r="N142" s="5">
        <f t="shared" si="40"/>
        <v>0</v>
      </c>
      <c r="O142" s="5">
        <f t="shared" si="40"/>
        <v>1</v>
      </c>
      <c r="P142" s="5">
        <f t="shared" si="40"/>
        <v>0</v>
      </c>
      <c r="Q142" s="5">
        <f t="shared" si="40"/>
        <v>1</v>
      </c>
      <c r="R142" s="5">
        <f t="shared" si="40"/>
        <v>7</v>
      </c>
    </row>
    <row r="143" spans="1:18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x14ac:dyDescent="0.4">
      <c r="A144" s="11" t="s">
        <v>48</v>
      </c>
      <c r="B144" s="17" t="s">
        <v>73</v>
      </c>
      <c r="C144" s="59" t="s">
        <v>74</v>
      </c>
      <c r="D144" s="60"/>
      <c r="E144" s="6">
        <v>1</v>
      </c>
      <c r="F144" s="6">
        <v>1</v>
      </c>
      <c r="G144" s="6">
        <v>0</v>
      </c>
      <c r="H144" s="6">
        <v>2</v>
      </c>
      <c r="I144" s="6">
        <v>1</v>
      </c>
      <c r="J144" s="6">
        <v>0</v>
      </c>
      <c r="K144" s="6">
        <v>1</v>
      </c>
      <c r="L144" s="6">
        <v>1</v>
      </c>
      <c r="M144" s="6">
        <v>0</v>
      </c>
      <c r="N144" s="6">
        <v>0</v>
      </c>
      <c r="O144" s="6">
        <v>1</v>
      </c>
      <c r="P144" s="6">
        <v>1</v>
      </c>
      <c r="Q144" s="6">
        <v>1</v>
      </c>
      <c r="R144" s="5">
        <f t="shared" ref="R144:R150" si="41">SUM(E144:Q144)</f>
        <v>10</v>
      </c>
    </row>
    <row r="145" spans="1:18" x14ac:dyDescent="0.4">
      <c r="A145" s="11" t="s">
        <v>50</v>
      </c>
      <c r="B145" s="46">
        <v>1</v>
      </c>
      <c r="C145" s="24" t="s">
        <v>174</v>
      </c>
      <c r="D145" s="47"/>
      <c r="E145" s="6">
        <v>1</v>
      </c>
      <c r="F145" s="6">
        <v>0</v>
      </c>
      <c r="G145" s="6">
        <v>0</v>
      </c>
      <c r="H145" s="6">
        <v>0</v>
      </c>
      <c r="I145" s="6">
        <v>1</v>
      </c>
      <c r="J145" s="6">
        <v>0</v>
      </c>
      <c r="K145" s="6">
        <v>1</v>
      </c>
      <c r="L145" s="6">
        <v>2</v>
      </c>
      <c r="M145" s="6">
        <v>2</v>
      </c>
      <c r="N145" s="6">
        <v>0</v>
      </c>
      <c r="O145" s="6">
        <v>0</v>
      </c>
      <c r="P145" s="6">
        <v>0</v>
      </c>
      <c r="Q145" s="6">
        <v>0</v>
      </c>
      <c r="R145" s="5">
        <f t="shared" si="41"/>
        <v>7</v>
      </c>
    </row>
    <row r="146" spans="1:18" x14ac:dyDescent="0.4">
      <c r="A146" s="7"/>
      <c r="B146" s="46">
        <v>2</v>
      </c>
      <c r="C146" s="24" t="s">
        <v>175</v>
      </c>
      <c r="D146" s="47"/>
      <c r="E146" s="6">
        <v>2</v>
      </c>
      <c r="F146" s="6">
        <v>2</v>
      </c>
      <c r="G146" s="6">
        <v>3</v>
      </c>
      <c r="H146" s="6">
        <v>3</v>
      </c>
      <c r="I146" s="6">
        <v>9</v>
      </c>
      <c r="J146" s="6">
        <v>4</v>
      </c>
      <c r="K146" s="6">
        <v>6</v>
      </c>
      <c r="L146" s="6">
        <v>11</v>
      </c>
      <c r="M146" s="6">
        <v>4</v>
      </c>
      <c r="N146" s="6">
        <v>5</v>
      </c>
      <c r="O146" s="6">
        <v>7</v>
      </c>
      <c r="P146" s="6">
        <v>2</v>
      </c>
      <c r="Q146" s="6">
        <v>5</v>
      </c>
      <c r="R146" s="5">
        <f t="shared" si="41"/>
        <v>63</v>
      </c>
    </row>
    <row r="147" spans="1:18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5">
        <f t="shared" si="41"/>
        <v>0</v>
      </c>
    </row>
    <row r="148" spans="1:18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5">
        <f t="shared" si="41"/>
        <v>0</v>
      </c>
    </row>
    <row r="149" spans="1:18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5">
        <f t="shared" si="41"/>
        <v>1</v>
      </c>
    </row>
    <row r="150" spans="1:18" ht="13.15" customHeight="1" x14ac:dyDescent="0.4">
      <c r="A150" s="7"/>
      <c r="B150" s="46">
        <v>6</v>
      </c>
      <c r="C150" s="24" t="s">
        <v>179</v>
      </c>
      <c r="D150" s="47"/>
      <c r="E150" s="6">
        <v>2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5">
        <f t="shared" si="41"/>
        <v>3</v>
      </c>
    </row>
    <row r="151" spans="1:18" x14ac:dyDescent="0.4">
      <c r="A151" s="6" t="s">
        <v>26</v>
      </c>
      <c r="B151" s="53" t="s">
        <v>51</v>
      </c>
      <c r="C151" s="54"/>
      <c r="D151" s="55"/>
      <c r="E151" s="5">
        <f t="shared" ref="E151:R151" si="42">SUM(E144:E150)</f>
        <v>6</v>
      </c>
      <c r="F151" s="5">
        <f t="shared" si="42"/>
        <v>3</v>
      </c>
      <c r="G151" s="5">
        <f t="shared" si="42"/>
        <v>3</v>
      </c>
      <c r="H151" s="5">
        <f t="shared" si="42"/>
        <v>5</v>
      </c>
      <c r="I151" s="5">
        <f t="shared" si="42"/>
        <v>11</v>
      </c>
      <c r="J151" s="5">
        <f t="shared" si="42"/>
        <v>4</v>
      </c>
      <c r="K151" s="5">
        <f t="shared" si="42"/>
        <v>8</v>
      </c>
      <c r="L151" s="5">
        <f t="shared" si="42"/>
        <v>14</v>
      </c>
      <c r="M151" s="5">
        <f t="shared" si="42"/>
        <v>6</v>
      </c>
      <c r="N151" s="5">
        <f t="shared" si="42"/>
        <v>6</v>
      </c>
      <c r="O151" s="5">
        <f t="shared" si="42"/>
        <v>8</v>
      </c>
      <c r="P151" s="5">
        <f t="shared" si="42"/>
        <v>4</v>
      </c>
      <c r="Q151" s="5">
        <f t="shared" si="42"/>
        <v>6</v>
      </c>
      <c r="R151" s="5">
        <f t="shared" si="42"/>
        <v>84</v>
      </c>
    </row>
    <row r="152" spans="1:18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x14ac:dyDescent="0.4">
      <c r="A153" s="11" t="s">
        <v>48</v>
      </c>
      <c r="B153" s="17" t="s">
        <v>75</v>
      </c>
      <c r="C153" s="59" t="s">
        <v>76</v>
      </c>
      <c r="D153" s="60"/>
      <c r="E153" s="6">
        <v>1</v>
      </c>
      <c r="F153" s="6">
        <v>1</v>
      </c>
      <c r="G153" s="6">
        <v>0</v>
      </c>
      <c r="H153" s="6">
        <v>3</v>
      </c>
      <c r="I153" s="6">
        <v>0</v>
      </c>
      <c r="J153" s="6">
        <v>0</v>
      </c>
      <c r="K153" s="6">
        <v>3</v>
      </c>
      <c r="L153" s="6">
        <v>7</v>
      </c>
      <c r="M153" s="6">
        <v>0</v>
      </c>
      <c r="N153" s="6">
        <v>1</v>
      </c>
      <c r="O153" s="6">
        <v>0</v>
      </c>
      <c r="P153" s="6">
        <v>0</v>
      </c>
      <c r="Q153" s="6">
        <v>1</v>
      </c>
      <c r="R153" s="5">
        <f>SUM(E153:Q153)</f>
        <v>17</v>
      </c>
    </row>
    <row r="154" spans="1:18" x14ac:dyDescent="0.4">
      <c r="A154" s="11" t="s">
        <v>50</v>
      </c>
      <c r="B154" s="46">
        <v>1</v>
      </c>
      <c r="C154" s="24" t="s">
        <v>180</v>
      </c>
      <c r="D154" s="47"/>
      <c r="E154" s="6">
        <v>7</v>
      </c>
      <c r="F154" s="6">
        <v>5</v>
      </c>
      <c r="G154" s="6">
        <v>0</v>
      </c>
      <c r="H154" s="6">
        <v>3</v>
      </c>
      <c r="I154" s="6">
        <v>4</v>
      </c>
      <c r="J154" s="6">
        <v>0</v>
      </c>
      <c r="K154" s="6">
        <v>2</v>
      </c>
      <c r="L154" s="6">
        <v>6</v>
      </c>
      <c r="M154" s="6">
        <v>1</v>
      </c>
      <c r="N154" s="6">
        <v>3</v>
      </c>
      <c r="O154" s="6">
        <v>0</v>
      </c>
      <c r="P154" s="6">
        <v>2</v>
      </c>
      <c r="Q154" s="6">
        <v>0</v>
      </c>
      <c r="R154" s="5">
        <f>SUM(E154:Q154)</f>
        <v>33</v>
      </c>
    </row>
    <row r="155" spans="1:18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3</v>
      </c>
      <c r="L155" s="6">
        <v>1</v>
      </c>
      <c r="M155" s="6">
        <v>0</v>
      </c>
      <c r="N155" s="6">
        <v>1</v>
      </c>
      <c r="O155" s="6">
        <v>0</v>
      </c>
      <c r="P155" s="6">
        <v>0</v>
      </c>
      <c r="Q155" s="6">
        <v>1</v>
      </c>
      <c r="R155" s="5">
        <f>SUM(E155:Q155)</f>
        <v>7</v>
      </c>
    </row>
    <row r="156" spans="1:18" x14ac:dyDescent="0.4">
      <c r="A156" s="6" t="s">
        <v>26</v>
      </c>
      <c r="B156" s="53" t="s">
        <v>51</v>
      </c>
      <c r="C156" s="54"/>
      <c r="D156" s="55"/>
      <c r="E156" s="5">
        <f t="shared" ref="E156:R156" si="43">SUM(E153:E155)</f>
        <v>8</v>
      </c>
      <c r="F156" s="5">
        <f t="shared" si="43"/>
        <v>6</v>
      </c>
      <c r="G156" s="5">
        <f t="shared" si="43"/>
        <v>1</v>
      </c>
      <c r="H156" s="5">
        <f t="shared" si="43"/>
        <v>6</v>
      </c>
      <c r="I156" s="5">
        <f t="shared" si="43"/>
        <v>4</v>
      </c>
      <c r="J156" s="5">
        <f t="shared" si="43"/>
        <v>0</v>
      </c>
      <c r="K156" s="5">
        <f t="shared" si="43"/>
        <v>8</v>
      </c>
      <c r="L156" s="5">
        <f t="shared" si="43"/>
        <v>14</v>
      </c>
      <c r="M156" s="5">
        <f t="shared" si="43"/>
        <v>1</v>
      </c>
      <c r="N156" s="5">
        <f t="shared" si="43"/>
        <v>5</v>
      </c>
      <c r="O156" s="5">
        <f t="shared" si="43"/>
        <v>0</v>
      </c>
      <c r="P156" s="5">
        <f t="shared" si="43"/>
        <v>2</v>
      </c>
      <c r="Q156" s="5">
        <f t="shared" si="43"/>
        <v>2</v>
      </c>
      <c r="R156" s="5">
        <f t="shared" si="43"/>
        <v>57</v>
      </c>
    </row>
    <row r="157" spans="1:18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f>SUM(E158:Q158)</f>
        <v>0</v>
      </c>
    </row>
    <row r="159" spans="1:18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>
        <f>SUM(E159:Q159)</f>
        <v>2</v>
      </c>
    </row>
    <row r="160" spans="1:18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5">
        <f>SUM(E160:Q160)</f>
        <v>0</v>
      </c>
    </row>
    <row r="161" spans="1:18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5">
        <f>SUM(E161:Q161)</f>
        <v>0</v>
      </c>
    </row>
    <row r="162" spans="1:18" x14ac:dyDescent="0.4">
      <c r="A162" s="6" t="s">
        <v>26</v>
      </c>
      <c r="B162" s="53" t="s">
        <v>51</v>
      </c>
      <c r="C162" s="54"/>
      <c r="D162" s="55"/>
      <c r="E162" s="5">
        <f t="shared" ref="E162:R162" si="44">SUM(E158:E161)</f>
        <v>0</v>
      </c>
      <c r="F162" s="5">
        <f t="shared" si="44"/>
        <v>0</v>
      </c>
      <c r="G162" s="5">
        <f t="shared" si="44"/>
        <v>1</v>
      </c>
      <c r="H162" s="5">
        <f t="shared" si="44"/>
        <v>0</v>
      </c>
      <c r="I162" s="5">
        <f t="shared" si="44"/>
        <v>0</v>
      </c>
      <c r="J162" s="5">
        <f t="shared" si="44"/>
        <v>0</v>
      </c>
      <c r="K162" s="5">
        <f t="shared" si="44"/>
        <v>1</v>
      </c>
      <c r="L162" s="5">
        <f t="shared" si="44"/>
        <v>0</v>
      </c>
      <c r="M162" s="5">
        <f t="shared" si="44"/>
        <v>0</v>
      </c>
      <c r="N162" s="5">
        <f t="shared" si="44"/>
        <v>0</v>
      </c>
      <c r="O162" s="5">
        <f t="shared" si="44"/>
        <v>0</v>
      </c>
      <c r="P162" s="5">
        <f t="shared" si="44"/>
        <v>0</v>
      </c>
      <c r="Q162" s="5">
        <f t="shared" si="44"/>
        <v>0</v>
      </c>
      <c r="R162" s="5">
        <f t="shared" si="44"/>
        <v>2</v>
      </c>
    </row>
    <row r="163" spans="1:18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5">
        <f t="shared" ref="R164:R170" si="45">SUM(E164:Q164)</f>
        <v>1</v>
      </c>
    </row>
    <row r="165" spans="1:18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1</v>
      </c>
      <c r="M165" s="6">
        <v>1</v>
      </c>
      <c r="N165" s="6">
        <v>0</v>
      </c>
      <c r="O165" s="6">
        <v>0</v>
      </c>
      <c r="P165" s="6">
        <v>0</v>
      </c>
      <c r="Q165" s="6">
        <v>0</v>
      </c>
      <c r="R165" s="5">
        <f t="shared" si="45"/>
        <v>3</v>
      </c>
    </row>
    <row r="166" spans="1:18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5">
        <f t="shared" si="45"/>
        <v>0</v>
      </c>
    </row>
    <row r="167" spans="1:18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5">
        <f t="shared" si="45"/>
        <v>1</v>
      </c>
    </row>
    <row r="168" spans="1:18" x14ac:dyDescent="0.4">
      <c r="A168" s="7"/>
      <c r="B168" s="46">
        <v>4</v>
      </c>
      <c r="C168" s="24" t="s">
        <v>188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5">
        <f t="shared" si="45"/>
        <v>2</v>
      </c>
    </row>
    <row r="169" spans="1:18" ht="12.75" customHeight="1" x14ac:dyDescent="0.4">
      <c r="A169" s="7"/>
      <c r="B169" s="46">
        <v>5</v>
      </c>
      <c r="C169" s="24" t="s">
        <v>189</v>
      </c>
      <c r="D169" s="47"/>
      <c r="E169" s="6">
        <v>0</v>
      </c>
      <c r="F169" s="6">
        <v>0</v>
      </c>
      <c r="G169" s="6">
        <v>0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2</v>
      </c>
      <c r="N169" s="6">
        <v>0</v>
      </c>
      <c r="O169" s="6">
        <v>0</v>
      </c>
      <c r="P169" s="6">
        <v>0</v>
      </c>
      <c r="Q169" s="6">
        <v>0</v>
      </c>
      <c r="R169" s="5">
        <f t="shared" si="45"/>
        <v>3</v>
      </c>
    </row>
    <row r="170" spans="1:18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5">
        <f t="shared" si="45"/>
        <v>0</v>
      </c>
    </row>
    <row r="171" spans="1:18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R171" si="46">SUM(E164:E170)</f>
        <v>0</v>
      </c>
      <c r="F171" s="5">
        <f t="shared" si="46"/>
        <v>1</v>
      </c>
      <c r="G171" s="5">
        <f t="shared" si="46"/>
        <v>0</v>
      </c>
      <c r="H171" s="5">
        <f t="shared" si="46"/>
        <v>1</v>
      </c>
      <c r="I171" s="5">
        <f t="shared" si="46"/>
        <v>1</v>
      </c>
      <c r="J171" s="5">
        <f t="shared" si="46"/>
        <v>1</v>
      </c>
      <c r="K171" s="5">
        <f t="shared" si="46"/>
        <v>1</v>
      </c>
      <c r="L171" s="5">
        <f t="shared" si="46"/>
        <v>1</v>
      </c>
      <c r="M171" s="5">
        <f t="shared" si="46"/>
        <v>3</v>
      </c>
      <c r="N171" s="5">
        <f t="shared" si="46"/>
        <v>0</v>
      </c>
      <c r="O171" s="5">
        <f t="shared" si="46"/>
        <v>0</v>
      </c>
      <c r="P171" s="5">
        <f t="shared" si="46"/>
        <v>0</v>
      </c>
      <c r="Q171" s="5">
        <f t="shared" si="46"/>
        <v>1</v>
      </c>
      <c r="R171" s="5">
        <f t="shared" si="46"/>
        <v>10</v>
      </c>
    </row>
    <row r="172" spans="1:18" x14ac:dyDescent="0.4">
      <c r="A172" s="61"/>
      <c r="B172" s="62"/>
      <c r="C172" s="62"/>
      <c r="D172" s="62"/>
      <c r="E172" s="63"/>
    </row>
    <row r="173" spans="1:18" x14ac:dyDescent="0.4">
      <c r="A173" s="11" t="s">
        <v>48</v>
      </c>
      <c r="B173" s="17" t="s">
        <v>81</v>
      </c>
      <c r="C173" s="59" t="s">
        <v>82</v>
      </c>
      <c r="D173" s="60"/>
      <c r="E173" s="6">
        <v>1</v>
      </c>
      <c r="F173" s="6">
        <v>0</v>
      </c>
      <c r="G173" s="6">
        <v>0</v>
      </c>
      <c r="H173" s="6">
        <v>1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5">
        <f>SUM(E173:Q173)</f>
        <v>2</v>
      </c>
    </row>
    <row r="174" spans="1:18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1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5">
        <f>SUM(E174:Q174)</f>
        <v>2</v>
      </c>
    </row>
    <row r="175" spans="1:18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5">
        <f>SUM(E175:Q175)</f>
        <v>0</v>
      </c>
    </row>
    <row r="176" spans="1:18" x14ac:dyDescent="0.4">
      <c r="A176" s="6" t="s">
        <v>26</v>
      </c>
      <c r="B176" s="53" t="s">
        <v>51</v>
      </c>
      <c r="C176" s="54"/>
      <c r="D176" s="55"/>
      <c r="E176" s="5">
        <f t="shared" ref="E176:R176" si="47">SUM(E173:E175)</f>
        <v>1</v>
      </c>
      <c r="F176" s="5">
        <f t="shared" si="47"/>
        <v>1</v>
      </c>
      <c r="G176" s="5">
        <f t="shared" si="47"/>
        <v>0</v>
      </c>
      <c r="H176" s="5">
        <f t="shared" si="47"/>
        <v>1</v>
      </c>
      <c r="I176" s="5">
        <f t="shared" si="47"/>
        <v>0</v>
      </c>
      <c r="J176" s="5">
        <f t="shared" si="47"/>
        <v>0</v>
      </c>
      <c r="K176" s="5">
        <f t="shared" si="47"/>
        <v>0</v>
      </c>
      <c r="L176" s="5">
        <f t="shared" si="47"/>
        <v>0</v>
      </c>
      <c r="M176" s="5">
        <f t="shared" si="47"/>
        <v>0</v>
      </c>
      <c r="N176" s="5">
        <f t="shared" si="47"/>
        <v>1</v>
      </c>
      <c r="O176" s="5">
        <f t="shared" si="47"/>
        <v>0</v>
      </c>
      <c r="P176" s="5">
        <f t="shared" si="47"/>
        <v>0</v>
      </c>
      <c r="Q176" s="5">
        <f t="shared" si="47"/>
        <v>0</v>
      </c>
      <c r="R176" s="5">
        <f t="shared" si="47"/>
        <v>4</v>
      </c>
    </row>
    <row r="178" spans="1:18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5"/>
      <c r="P178" s="5"/>
      <c r="Q178" s="15"/>
      <c r="R178" s="5"/>
    </row>
    <row r="179" spans="1:18" x14ac:dyDescent="0.4">
      <c r="A179" s="16"/>
      <c r="B179" s="19" t="s">
        <v>85</v>
      </c>
      <c r="C179" s="51" t="s">
        <v>86</v>
      </c>
      <c r="D179" s="52"/>
      <c r="E179" s="6">
        <f t="shared" ref="E179:Q179" si="48">E52+E61+E70+E79+E88+E91+E98+E107+E113+E122+E125+E134+E142+E151+E156+E162+E171+E176</f>
        <v>187</v>
      </c>
      <c r="F179" s="6">
        <f t="shared" si="48"/>
        <v>186</v>
      </c>
      <c r="G179" s="6">
        <f t="shared" si="48"/>
        <v>180</v>
      </c>
      <c r="H179" s="6">
        <f t="shared" si="48"/>
        <v>150</v>
      </c>
      <c r="I179" s="6">
        <f t="shared" si="48"/>
        <v>154</v>
      </c>
      <c r="J179" s="6">
        <f t="shared" si="48"/>
        <v>181</v>
      </c>
      <c r="K179" s="6">
        <f t="shared" si="48"/>
        <v>213</v>
      </c>
      <c r="L179" s="6">
        <f t="shared" si="48"/>
        <v>230</v>
      </c>
      <c r="M179" s="6">
        <f t="shared" si="48"/>
        <v>236</v>
      </c>
      <c r="N179" s="6">
        <f t="shared" si="48"/>
        <v>216</v>
      </c>
      <c r="O179" s="6">
        <f t="shared" si="48"/>
        <v>219</v>
      </c>
      <c r="P179" s="6">
        <f t="shared" si="48"/>
        <v>208</v>
      </c>
      <c r="Q179" s="6">
        <f t="shared" si="48"/>
        <v>215</v>
      </c>
      <c r="R179" s="5">
        <f>SUM(E179:Q179)</f>
        <v>2575</v>
      </c>
    </row>
    <row r="180" spans="1:18" x14ac:dyDescent="0.4">
      <c r="A180" s="13"/>
      <c r="B180" s="19" t="s">
        <v>87</v>
      </c>
      <c r="C180" s="51" t="s">
        <v>88</v>
      </c>
      <c r="D180" s="52"/>
      <c r="E180" s="6">
        <v>14</v>
      </c>
      <c r="F180" s="6">
        <v>16</v>
      </c>
      <c r="G180" s="6">
        <v>20</v>
      </c>
      <c r="H180" s="6">
        <v>17</v>
      </c>
      <c r="I180" s="6">
        <v>22</v>
      </c>
      <c r="J180" s="6">
        <v>21</v>
      </c>
      <c r="K180" s="6">
        <v>16</v>
      </c>
      <c r="L180" s="6">
        <v>6</v>
      </c>
      <c r="M180" s="6">
        <v>17</v>
      </c>
      <c r="N180" s="6">
        <v>13</v>
      </c>
      <c r="O180" s="6">
        <v>10</v>
      </c>
      <c r="P180" s="6">
        <v>15</v>
      </c>
      <c r="Q180" s="6">
        <v>31</v>
      </c>
      <c r="R180" s="5">
        <f>SUM(E180:Q180)</f>
        <v>218</v>
      </c>
    </row>
    <row r="181" spans="1:18" x14ac:dyDescent="0.4">
      <c r="A181" s="14"/>
      <c r="B181" s="19" t="s">
        <v>89</v>
      </c>
      <c r="C181" s="51" t="s">
        <v>90</v>
      </c>
      <c r="D181" s="52"/>
      <c r="E181" s="5">
        <f>SUM(E179:E180)</f>
        <v>201</v>
      </c>
      <c r="F181" s="5">
        <f t="shared" ref="F181:Q181" si="49">SUM(F179:F180)</f>
        <v>202</v>
      </c>
      <c r="G181" s="5">
        <f t="shared" si="49"/>
        <v>200</v>
      </c>
      <c r="H181" s="5">
        <f t="shared" si="49"/>
        <v>167</v>
      </c>
      <c r="I181" s="5">
        <f t="shared" si="49"/>
        <v>176</v>
      </c>
      <c r="J181" s="5">
        <f t="shared" si="49"/>
        <v>202</v>
      </c>
      <c r="K181" s="5">
        <f t="shared" si="49"/>
        <v>229</v>
      </c>
      <c r="L181" s="5">
        <f t="shared" ref="L181:N181" si="50">SUM(L179:L180)</f>
        <v>236</v>
      </c>
      <c r="M181" s="5">
        <f t="shared" si="50"/>
        <v>253</v>
      </c>
      <c r="N181" s="5">
        <f t="shared" si="50"/>
        <v>229</v>
      </c>
      <c r="O181" s="5">
        <f t="shared" si="49"/>
        <v>229</v>
      </c>
      <c r="P181" s="5">
        <f t="shared" si="49"/>
        <v>223</v>
      </c>
      <c r="Q181" s="5">
        <f t="shared" si="49"/>
        <v>246</v>
      </c>
      <c r="R181" s="5">
        <f>SUM(E181:Q181)</f>
        <v>2793</v>
      </c>
    </row>
  </sheetData>
  <mergeCells count="86">
    <mergeCell ref="A17:D17"/>
    <mergeCell ref="B12:D12"/>
    <mergeCell ref="E12:Q12"/>
    <mergeCell ref="R12:R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2:D52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142:D142"/>
    <mergeCell ref="B134:D134"/>
    <mergeCell ref="A135:E135"/>
    <mergeCell ref="A114:E114"/>
    <mergeCell ref="C115:D115"/>
    <mergeCell ref="B122:D122"/>
    <mergeCell ref="A123:E123"/>
    <mergeCell ref="C124:D124"/>
    <mergeCell ref="C136:D136"/>
    <mergeCell ref="B125:D125"/>
    <mergeCell ref="A126:E126"/>
    <mergeCell ref="C127:D127"/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</mergeCells>
  <phoneticPr fontId="8" type="noConversion"/>
  <conditionalFormatting sqref="E14:Q15 E19:Q20 E22:Q23 E25:Q26 E33:Q33 E35:Q35 E39:Q40 E45:Q51 E54:Q60 E63:Q69 E72:Q78 E81:Q87 E90:Q90 E93:Q97 E100:Q106 E109:Q112 E115:Q121 E124:Q124 E127:Q133 E136:Q141 E144:Q150 E153:Q155 E158:Q161 E164:Q170 E173:Q175 E179:Q180">
    <cfRule type="containsBlanks" dxfId="34" priority="20">
      <formula>LEN(TRIM(E14))=0</formula>
    </cfRule>
  </conditionalFormatting>
  <conditionalFormatting sqref="E30:Q30">
    <cfRule type="expression" dxfId="33" priority="25">
      <formula>E30&lt;&gt;E47</formula>
    </cfRule>
    <cfRule type="expression" dxfId="32" priority="26">
      <formula>E30&lt;&gt;E34</formula>
    </cfRule>
  </conditionalFormatting>
  <conditionalFormatting sqref="E34:Q34">
    <cfRule type="expression" dxfId="31" priority="109">
      <formula>E30&lt;&gt;E34</formula>
    </cfRule>
    <cfRule type="expression" dxfId="30" priority="110">
      <formula>E30=E34</formula>
    </cfRule>
    <cfRule type="expression" dxfId="29" priority="111">
      <formula>E34&lt;&gt;E30</formula>
    </cfRule>
    <cfRule type="expression" dxfId="28" priority="112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sheetPr>
    <tabColor rgb="FF92D050"/>
  </sheetPr>
  <dimension ref="A2:T181"/>
  <sheetViews>
    <sheetView tabSelected="1" topLeftCell="B13" zoomScale="85" zoomScaleNormal="85" workbookViewId="0">
      <pane ySplit="1" topLeftCell="A158" activePane="bottomLeft" state="frozen"/>
      <selection activeCell="A13" sqref="A13"/>
      <selection pane="bottomLeft" activeCell="T180" sqref="T180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104</v>
      </c>
      <c r="D2" s="43" t="s">
        <v>193</v>
      </c>
    </row>
    <row r="3" spans="1:20" x14ac:dyDescent="0.4">
      <c r="C3" s="43" t="s">
        <v>105</v>
      </c>
      <c r="D3" s="43" t="s">
        <v>106</v>
      </c>
    </row>
    <row r="4" spans="1:20" x14ac:dyDescent="0.4">
      <c r="C4" s="43" t="s">
        <v>107</v>
      </c>
      <c r="D4" s="43" t="s">
        <v>108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109</v>
      </c>
      <c r="D9" s="43" t="s">
        <v>219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0" x14ac:dyDescent="0.4">
      <c r="A12" s="5" t="s">
        <v>0</v>
      </c>
      <c r="B12" s="56" t="s">
        <v>1</v>
      </c>
      <c r="C12" s="69"/>
      <c r="D12" s="60"/>
      <c r="E12" s="90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2" t="s">
        <v>103</v>
      </c>
    </row>
    <row r="13" spans="1:20" x14ac:dyDescent="0.4">
      <c r="A13" s="6" t="s">
        <v>2</v>
      </c>
      <c r="B13" s="77" t="s">
        <v>3</v>
      </c>
      <c r="C13" s="69"/>
      <c r="D13" s="60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93"/>
    </row>
    <row r="14" spans="1:20" x14ac:dyDescent="0.4">
      <c r="A14" s="7"/>
      <c r="B14" s="80" t="s">
        <v>22</v>
      </c>
      <c r="C14" s="68"/>
      <c r="D14" s="6" t="s">
        <v>23</v>
      </c>
      <c r="E14" s="6">
        <v>150</v>
      </c>
      <c r="F14" s="6">
        <v>126</v>
      </c>
      <c r="G14" s="6">
        <v>151</v>
      </c>
      <c r="H14" s="6">
        <v>146</v>
      </c>
      <c r="I14" s="6">
        <v>147</v>
      </c>
      <c r="J14" s="6">
        <v>147</v>
      </c>
      <c r="K14" s="6">
        <v>134</v>
      </c>
      <c r="L14" s="6">
        <v>115</v>
      </c>
      <c r="M14" s="6">
        <v>105</v>
      </c>
      <c r="N14" s="6">
        <v>127</v>
      </c>
      <c r="O14" s="6">
        <v>113</v>
      </c>
      <c r="P14" s="6">
        <v>124</v>
      </c>
      <c r="Q14" s="6">
        <v>140</v>
      </c>
      <c r="R14" s="6">
        <v>138</v>
      </c>
      <c r="S14" s="6">
        <v>121</v>
      </c>
      <c r="T14" s="5">
        <f>SUM(E14:S14)</f>
        <v>1984</v>
      </c>
    </row>
    <row r="15" spans="1:20" x14ac:dyDescent="0.4">
      <c r="A15" s="7"/>
      <c r="B15" s="81"/>
      <c r="C15" s="74"/>
      <c r="D15" s="6" t="s">
        <v>24</v>
      </c>
      <c r="E15" s="6">
        <v>145</v>
      </c>
      <c r="F15" s="6">
        <v>109</v>
      </c>
      <c r="G15" s="6">
        <v>135</v>
      </c>
      <c r="H15" s="6">
        <v>151</v>
      </c>
      <c r="I15" s="6">
        <v>143</v>
      </c>
      <c r="J15" s="6">
        <v>147</v>
      </c>
      <c r="K15" s="6">
        <v>124</v>
      </c>
      <c r="L15" s="6">
        <v>105</v>
      </c>
      <c r="M15" s="6">
        <v>103</v>
      </c>
      <c r="N15" s="6">
        <v>116</v>
      </c>
      <c r="O15" s="6">
        <v>115</v>
      </c>
      <c r="P15" s="6">
        <v>111</v>
      </c>
      <c r="Q15" s="6">
        <v>145</v>
      </c>
      <c r="R15" s="6">
        <v>158</v>
      </c>
      <c r="S15" s="6">
        <v>137</v>
      </c>
      <c r="T15" s="5">
        <f>SUM(E15:S15)</f>
        <v>1944</v>
      </c>
    </row>
    <row r="16" spans="1:20" x14ac:dyDescent="0.4">
      <c r="A16" s="8"/>
      <c r="B16" s="79"/>
      <c r="C16" s="75"/>
      <c r="D16" s="5" t="s">
        <v>25</v>
      </c>
      <c r="E16" s="5">
        <f t="shared" ref="E16:S16" si="0">SUM(E14:E15)</f>
        <v>295</v>
      </c>
      <c r="F16" s="5">
        <f t="shared" si="0"/>
        <v>235</v>
      </c>
      <c r="G16" s="5">
        <f t="shared" si="0"/>
        <v>286</v>
      </c>
      <c r="H16" s="5">
        <f t="shared" si="0"/>
        <v>297</v>
      </c>
      <c r="I16" s="5">
        <f t="shared" ref="I16:L16" si="1">SUM(I14:I15)</f>
        <v>290</v>
      </c>
      <c r="J16" s="5">
        <f t="shared" si="1"/>
        <v>294</v>
      </c>
      <c r="K16" s="5">
        <f t="shared" si="1"/>
        <v>258</v>
      </c>
      <c r="L16" s="5">
        <f t="shared" si="1"/>
        <v>220</v>
      </c>
      <c r="M16" s="5">
        <f t="shared" si="0"/>
        <v>208</v>
      </c>
      <c r="N16" s="5">
        <f t="shared" si="0"/>
        <v>243</v>
      </c>
      <c r="O16" s="5">
        <f t="shared" ref="O16:P16" si="2">SUM(O14:O15)</f>
        <v>228</v>
      </c>
      <c r="P16" s="5">
        <f t="shared" si="2"/>
        <v>235</v>
      </c>
      <c r="Q16" s="5">
        <f t="shared" si="0"/>
        <v>285</v>
      </c>
      <c r="R16" s="5">
        <f t="shared" si="0"/>
        <v>296</v>
      </c>
      <c r="S16" s="5">
        <f t="shared" si="0"/>
        <v>258</v>
      </c>
      <c r="T16" s="5">
        <f>SUM(E16:S16)</f>
        <v>3928</v>
      </c>
    </row>
    <row r="17" spans="1:20" x14ac:dyDescent="0.4">
      <c r="A17" s="61"/>
      <c r="B17" s="69"/>
      <c r="C17" s="69"/>
      <c r="D17" s="6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28"/>
    </row>
    <row r="18" spans="1:20" x14ac:dyDescent="0.4">
      <c r="A18" s="11" t="s">
        <v>26</v>
      </c>
      <c r="B18" s="77" t="s">
        <v>27</v>
      </c>
      <c r="C18" s="69"/>
      <c r="D18" s="6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8"/>
    </row>
    <row r="19" spans="1:20" x14ac:dyDescent="0.4">
      <c r="A19" s="11"/>
      <c r="B19" s="82" t="s">
        <v>28</v>
      </c>
      <c r="C19" s="83" t="s">
        <v>29</v>
      </c>
      <c r="D19" s="6" t="s">
        <v>23</v>
      </c>
      <c r="E19" s="6">
        <v>117</v>
      </c>
      <c r="F19" s="6">
        <v>104</v>
      </c>
      <c r="G19" s="6">
        <v>116</v>
      </c>
      <c r="H19" s="6">
        <v>116</v>
      </c>
      <c r="I19" s="6">
        <v>116</v>
      </c>
      <c r="J19" s="6">
        <v>116</v>
      </c>
      <c r="K19" s="6">
        <v>111</v>
      </c>
      <c r="L19" s="6">
        <v>83</v>
      </c>
      <c r="M19" s="6">
        <v>85</v>
      </c>
      <c r="N19" s="6">
        <v>113</v>
      </c>
      <c r="O19" s="6">
        <v>100</v>
      </c>
      <c r="P19" s="6">
        <v>102</v>
      </c>
      <c r="Q19" s="6">
        <v>121</v>
      </c>
      <c r="R19" s="6">
        <v>134</v>
      </c>
      <c r="S19" s="6">
        <v>96</v>
      </c>
      <c r="T19" s="5">
        <f t="shared" ref="T19:T30" si="3">SUM(E19:S19)</f>
        <v>1630</v>
      </c>
    </row>
    <row r="20" spans="1:20" x14ac:dyDescent="0.4">
      <c r="A20" s="12"/>
      <c r="B20" s="74"/>
      <c r="C20" s="84"/>
      <c r="D20" s="6" t="s">
        <v>24</v>
      </c>
      <c r="E20" s="6">
        <v>124</v>
      </c>
      <c r="F20" s="6">
        <v>96</v>
      </c>
      <c r="G20" s="6">
        <v>108</v>
      </c>
      <c r="H20" s="6">
        <v>122</v>
      </c>
      <c r="I20" s="6">
        <v>119</v>
      </c>
      <c r="J20" s="6">
        <v>118</v>
      </c>
      <c r="K20" s="6">
        <v>106</v>
      </c>
      <c r="L20" s="6">
        <v>88</v>
      </c>
      <c r="M20" s="6">
        <v>89</v>
      </c>
      <c r="N20" s="6">
        <v>105</v>
      </c>
      <c r="O20" s="6">
        <v>103</v>
      </c>
      <c r="P20" s="6">
        <v>96</v>
      </c>
      <c r="Q20" s="6">
        <v>115</v>
      </c>
      <c r="R20" s="6">
        <v>148</v>
      </c>
      <c r="S20" s="6">
        <v>98</v>
      </c>
      <c r="T20" s="5">
        <f t="shared" si="3"/>
        <v>1635</v>
      </c>
    </row>
    <row r="21" spans="1:20" x14ac:dyDescent="0.4">
      <c r="A21" s="13"/>
      <c r="B21" s="75"/>
      <c r="C21" s="85"/>
      <c r="D21" s="5" t="s">
        <v>25</v>
      </c>
      <c r="E21" s="5">
        <f t="shared" ref="E21:S21" si="4">SUM(E19:E20)</f>
        <v>241</v>
      </c>
      <c r="F21" s="5">
        <f t="shared" si="4"/>
        <v>200</v>
      </c>
      <c r="G21" s="5">
        <f t="shared" si="4"/>
        <v>224</v>
      </c>
      <c r="H21" s="5">
        <f t="shared" si="4"/>
        <v>238</v>
      </c>
      <c r="I21" s="5">
        <f t="shared" ref="I21:L21" si="5">SUM(I19:I20)</f>
        <v>235</v>
      </c>
      <c r="J21" s="5">
        <f t="shared" si="5"/>
        <v>234</v>
      </c>
      <c r="K21" s="5">
        <f t="shared" si="5"/>
        <v>217</v>
      </c>
      <c r="L21" s="5">
        <f t="shared" si="5"/>
        <v>171</v>
      </c>
      <c r="M21" s="5">
        <f t="shared" si="4"/>
        <v>174</v>
      </c>
      <c r="N21" s="5">
        <f t="shared" si="4"/>
        <v>218</v>
      </c>
      <c r="O21" s="5">
        <f t="shared" ref="O21:P21" si="6">SUM(O19:O20)</f>
        <v>203</v>
      </c>
      <c r="P21" s="5">
        <f t="shared" si="6"/>
        <v>198</v>
      </c>
      <c r="Q21" s="5">
        <f t="shared" si="4"/>
        <v>236</v>
      </c>
      <c r="R21" s="5">
        <f t="shared" si="4"/>
        <v>282</v>
      </c>
      <c r="S21" s="5">
        <f t="shared" si="4"/>
        <v>194</v>
      </c>
      <c r="T21" s="5">
        <f t="shared" si="3"/>
        <v>3265</v>
      </c>
    </row>
    <row r="22" spans="1:20" x14ac:dyDescent="0.4">
      <c r="A22" s="12"/>
      <c r="B22" s="82" t="s">
        <v>30</v>
      </c>
      <c r="C22" s="83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1</v>
      </c>
      <c r="L22" s="6">
        <v>2</v>
      </c>
      <c r="M22" s="6">
        <v>1</v>
      </c>
      <c r="N22" s="6">
        <v>1</v>
      </c>
      <c r="O22" s="6">
        <v>1</v>
      </c>
      <c r="P22" s="6">
        <v>0</v>
      </c>
      <c r="Q22" s="6">
        <v>1</v>
      </c>
      <c r="R22" s="6">
        <v>0</v>
      </c>
      <c r="S22" s="6">
        <v>1</v>
      </c>
      <c r="T22" s="5">
        <f t="shared" si="3"/>
        <v>10</v>
      </c>
    </row>
    <row r="23" spans="1:20" x14ac:dyDescent="0.4">
      <c r="A23" s="12"/>
      <c r="B23" s="74"/>
      <c r="C23" s="84"/>
      <c r="D23" s="6" t="s">
        <v>24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5">
        <f t="shared" si="3"/>
        <v>2</v>
      </c>
    </row>
    <row r="24" spans="1:20" x14ac:dyDescent="0.4">
      <c r="A24" s="13"/>
      <c r="B24" s="75"/>
      <c r="C24" s="85"/>
      <c r="D24" s="5" t="s">
        <v>25</v>
      </c>
      <c r="E24" s="5">
        <f t="shared" ref="E24:S24" si="7">SUM(E22:E23)</f>
        <v>0</v>
      </c>
      <c r="F24" s="5">
        <f t="shared" si="7"/>
        <v>0</v>
      </c>
      <c r="G24" s="5">
        <f t="shared" si="7"/>
        <v>1</v>
      </c>
      <c r="H24" s="5">
        <f t="shared" si="7"/>
        <v>0</v>
      </c>
      <c r="I24" s="5">
        <f t="shared" ref="I24:L24" si="8">SUM(I22:I23)</f>
        <v>1</v>
      </c>
      <c r="J24" s="5">
        <f t="shared" si="8"/>
        <v>1</v>
      </c>
      <c r="K24" s="5">
        <f t="shared" si="8"/>
        <v>1</v>
      </c>
      <c r="L24" s="5">
        <f t="shared" si="8"/>
        <v>2</v>
      </c>
      <c r="M24" s="5">
        <f t="shared" si="7"/>
        <v>1</v>
      </c>
      <c r="N24" s="5">
        <f t="shared" si="7"/>
        <v>1</v>
      </c>
      <c r="O24" s="5">
        <f t="shared" ref="O24:P24" si="9">SUM(O22:O23)</f>
        <v>1</v>
      </c>
      <c r="P24" s="5">
        <f t="shared" si="9"/>
        <v>1</v>
      </c>
      <c r="Q24" s="5">
        <f t="shared" si="7"/>
        <v>1</v>
      </c>
      <c r="R24" s="5">
        <f t="shared" si="7"/>
        <v>0</v>
      </c>
      <c r="S24" s="5">
        <f t="shared" si="7"/>
        <v>1</v>
      </c>
      <c r="T24" s="5">
        <f t="shared" si="3"/>
        <v>12</v>
      </c>
    </row>
    <row r="25" spans="1:20" x14ac:dyDescent="0.4">
      <c r="A25" s="12"/>
      <c r="B25" s="82" t="s">
        <v>32</v>
      </c>
      <c r="C25" s="83" t="s">
        <v>33</v>
      </c>
      <c r="D25" s="6" t="s">
        <v>23</v>
      </c>
      <c r="E25" s="6">
        <v>0</v>
      </c>
      <c r="F25" s="6">
        <v>0</v>
      </c>
      <c r="G25" s="6">
        <v>2</v>
      </c>
      <c r="H25" s="6">
        <v>1</v>
      </c>
      <c r="I25" s="6">
        <v>0</v>
      </c>
      <c r="J25" s="6">
        <v>0</v>
      </c>
      <c r="K25" s="6">
        <v>1</v>
      </c>
      <c r="L25" s="6">
        <v>1</v>
      </c>
      <c r="M25" s="6">
        <v>0</v>
      </c>
      <c r="N25" s="6">
        <v>1</v>
      </c>
      <c r="O25" s="6">
        <v>1</v>
      </c>
      <c r="P25" s="6">
        <v>0</v>
      </c>
      <c r="Q25" s="6">
        <v>1</v>
      </c>
      <c r="R25" s="6">
        <v>2</v>
      </c>
      <c r="S25" s="6">
        <v>0</v>
      </c>
      <c r="T25" s="5">
        <f t="shared" si="3"/>
        <v>10</v>
      </c>
    </row>
    <row r="26" spans="1:20" x14ac:dyDescent="0.4">
      <c r="A26" s="12"/>
      <c r="B26" s="74"/>
      <c r="C26" s="84"/>
      <c r="D26" s="6" t="s">
        <v>24</v>
      </c>
      <c r="E26" s="6">
        <v>2</v>
      </c>
      <c r="F26" s="6">
        <v>1</v>
      </c>
      <c r="G26" s="6">
        <v>1</v>
      </c>
      <c r="H26" s="6">
        <v>1</v>
      </c>
      <c r="I26" s="6">
        <v>2</v>
      </c>
      <c r="J26" s="6">
        <v>1</v>
      </c>
      <c r="K26" s="6">
        <v>1</v>
      </c>
      <c r="L26" s="6">
        <v>2</v>
      </c>
      <c r="M26" s="6">
        <v>1</v>
      </c>
      <c r="N26" s="6">
        <v>2</v>
      </c>
      <c r="O26" s="6">
        <v>1</v>
      </c>
      <c r="P26" s="6">
        <v>1</v>
      </c>
      <c r="Q26" s="6">
        <v>0</v>
      </c>
      <c r="R26" s="6">
        <v>0</v>
      </c>
      <c r="S26" s="6">
        <v>1</v>
      </c>
      <c r="T26" s="5">
        <f t="shared" si="3"/>
        <v>17</v>
      </c>
    </row>
    <row r="27" spans="1:20" x14ac:dyDescent="0.4">
      <c r="A27" s="13"/>
      <c r="B27" s="75"/>
      <c r="C27" s="85"/>
      <c r="D27" s="5" t="s">
        <v>25</v>
      </c>
      <c r="E27" s="5">
        <f t="shared" ref="E27:S27" si="10">SUM(E25:E26)</f>
        <v>2</v>
      </c>
      <c r="F27" s="5">
        <f t="shared" si="10"/>
        <v>1</v>
      </c>
      <c r="G27" s="5">
        <f t="shared" si="10"/>
        <v>3</v>
      </c>
      <c r="H27" s="5">
        <f t="shared" si="10"/>
        <v>2</v>
      </c>
      <c r="I27" s="5">
        <f t="shared" ref="I27:L27" si="11">SUM(I25:I26)</f>
        <v>2</v>
      </c>
      <c r="J27" s="5">
        <f t="shared" si="11"/>
        <v>1</v>
      </c>
      <c r="K27" s="5">
        <f t="shared" si="11"/>
        <v>2</v>
      </c>
      <c r="L27" s="5">
        <f t="shared" si="11"/>
        <v>3</v>
      </c>
      <c r="M27" s="5">
        <f t="shared" si="10"/>
        <v>1</v>
      </c>
      <c r="N27" s="5">
        <f t="shared" si="10"/>
        <v>3</v>
      </c>
      <c r="O27" s="5">
        <f t="shared" ref="O27:P27" si="12">SUM(O25:O26)</f>
        <v>2</v>
      </c>
      <c r="P27" s="5">
        <f t="shared" si="12"/>
        <v>1</v>
      </c>
      <c r="Q27" s="5">
        <f t="shared" si="10"/>
        <v>1</v>
      </c>
      <c r="R27" s="5">
        <f t="shared" si="10"/>
        <v>2</v>
      </c>
      <c r="S27" s="5">
        <f t="shared" si="10"/>
        <v>1</v>
      </c>
      <c r="T27" s="5">
        <f t="shared" si="3"/>
        <v>27</v>
      </c>
    </row>
    <row r="28" spans="1:20" x14ac:dyDescent="0.4">
      <c r="A28" s="13"/>
      <c r="B28" s="86" t="s">
        <v>34</v>
      </c>
      <c r="C28" s="87" t="s">
        <v>35</v>
      </c>
      <c r="D28" s="5" t="s">
        <v>23</v>
      </c>
      <c r="E28" s="5">
        <f>SUM(E19,E22,E25)</f>
        <v>117</v>
      </c>
      <c r="F28" s="5">
        <f t="shared" ref="F28:S29" si="13">SUM(F19,F22,F25)</f>
        <v>104</v>
      </c>
      <c r="G28" s="5">
        <f t="shared" si="13"/>
        <v>118</v>
      </c>
      <c r="H28" s="5">
        <f t="shared" si="13"/>
        <v>117</v>
      </c>
      <c r="I28" s="5">
        <f t="shared" ref="I28:L28" si="14">SUM(I19,I22,I25)</f>
        <v>117</v>
      </c>
      <c r="J28" s="5">
        <f t="shared" si="14"/>
        <v>117</v>
      </c>
      <c r="K28" s="5">
        <f t="shared" si="14"/>
        <v>113</v>
      </c>
      <c r="L28" s="5">
        <f t="shared" si="14"/>
        <v>86</v>
      </c>
      <c r="M28" s="5">
        <f t="shared" si="13"/>
        <v>86</v>
      </c>
      <c r="N28" s="5">
        <f t="shared" si="13"/>
        <v>115</v>
      </c>
      <c r="O28" s="5">
        <f t="shared" ref="O28:P28" si="15">SUM(O19,O22,O25)</f>
        <v>102</v>
      </c>
      <c r="P28" s="5">
        <f t="shared" si="15"/>
        <v>102</v>
      </c>
      <c r="Q28" s="5">
        <f t="shared" si="13"/>
        <v>123</v>
      </c>
      <c r="R28" s="5">
        <f t="shared" si="13"/>
        <v>136</v>
      </c>
      <c r="S28" s="5">
        <f t="shared" si="13"/>
        <v>97</v>
      </c>
      <c r="T28" s="5">
        <f t="shared" si="3"/>
        <v>1650</v>
      </c>
    </row>
    <row r="29" spans="1:20" x14ac:dyDescent="0.4">
      <c r="A29" s="13"/>
      <c r="B29" s="74"/>
      <c r="C29" s="84"/>
      <c r="D29" s="5" t="s">
        <v>24</v>
      </c>
      <c r="E29" s="5">
        <f>SUM(E20,E23,E26)</f>
        <v>126</v>
      </c>
      <c r="F29" s="5">
        <f t="shared" si="13"/>
        <v>97</v>
      </c>
      <c r="G29" s="5">
        <f t="shared" si="13"/>
        <v>110</v>
      </c>
      <c r="H29" s="5">
        <f t="shared" si="13"/>
        <v>123</v>
      </c>
      <c r="I29" s="5">
        <f t="shared" ref="I29:L29" si="16">SUM(I20,I23,I26)</f>
        <v>121</v>
      </c>
      <c r="J29" s="5">
        <f t="shared" si="16"/>
        <v>119</v>
      </c>
      <c r="K29" s="5">
        <f t="shared" si="16"/>
        <v>107</v>
      </c>
      <c r="L29" s="5">
        <f t="shared" si="16"/>
        <v>90</v>
      </c>
      <c r="M29" s="5">
        <f t="shared" si="13"/>
        <v>90</v>
      </c>
      <c r="N29" s="5">
        <f t="shared" si="13"/>
        <v>107</v>
      </c>
      <c r="O29" s="5">
        <f t="shared" ref="O29:P29" si="17">SUM(O20,O23,O26)</f>
        <v>104</v>
      </c>
      <c r="P29" s="5">
        <f t="shared" si="17"/>
        <v>98</v>
      </c>
      <c r="Q29" s="5">
        <f t="shared" si="13"/>
        <v>115</v>
      </c>
      <c r="R29" s="5">
        <f t="shared" si="13"/>
        <v>148</v>
      </c>
      <c r="S29" s="5">
        <f t="shared" si="13"/>
        <v>99</v>
      </c>
      <c r="T29" s="5">
        <f t="shared" si="3"/>
        <v>1654</v>
      </c>
    </row>
    <row r="30" spans="1:20" x14ac:dyDescent="0.4">
      <c r="A30" s="13"/>
      <c r="B30" s="75"/>
      <c r="C30" s="85"/>
      <c r="D30" s="5" t="s">
        <v>25</v>
      </c>
      <c r="E30" s="5">
        <f t="shared" ref="E30" si="18">SUM(E28:E29)</f>
        <v>243</v>
      </c>
      <c r="F30" s="5">
        <f t="shared" ref="F30:S30" si="19">SUM(F28:F29)</f>
        <v>201</v>
      </c>
      <c r="G30" s="5">
        <f t="shared" si="19"/>
        <v>228</v>
      </c>
      <c r="H30" s="5">
        <f t="shared" si="19"/>
        <v>240</v>
      </c>
      <c r="I30" s="5">
        <f t="shared" ref="I30:L30" si="20">SUM(I28:I29)</f>
        <v>238</v>
      </c>
      <c r="J30" s="5">
        <f t="shared" si="20"/>
        <v>236</v>
      </c>
      <c r="K30" s="5">
        <f t="shared" si="20"/>
        <v>220</v>
      </c>
      <c r="L30" s="5">
        <f t="shared" si="20"/>
        <v>176</v>
      </c>
      <c r="M30" s="5">
        <f t="shared" si="19"/>
        <v>176</v>
      </c>
      <c r="N30" s="5">
        <f t="shared" si="19"/>
        <v>222</v>
      </c>
      <c r="O30" s="5">
        <f t="shared" ref="O30:P30" si="21">SUM(O28:O29)</f>
        <v>206</v>
      </c>
      <c r="P30" s="5">
        <f t="shared" si="21"/>
        <v>200</v>
      </c>
      <c r="Q30" s="5">
        <f t="shared" si="19"/>
        <v>238</v>
      </c>
      <c r="R30" s="5">
        <f t="shared" si="19"/>
        <v>284</v>
      </c>
      <c r="S30" s="5">
        <f t="shared" si="19"/>
        <v>196</v>
      </c>
      <c r="T30" s="5">
        <f t="shared" si="3"/>
        <v>3304</v>
      </c>
    </row>
    <row r="31" spans="1:20" x14ac:dyDescent="0.4">
      <c r="A31" s="61"/>
      <c r="B31" s="69"/>
      <c r="C31" s="69"/>
      <c r="D31" s="6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8"/>
    </row>
    <row r="32" spans="1:20" x14ac:dyDescent="0.4">
      <c r="A32" s="14" t="s">
        <v>36</v>
      </c>
      <c r="B32" s="56" t="s">
        <v>37</v>
      </c>
      <c r="C32" s="69"/>
      <c r="D32" s="6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28"/>
    </row>
    <row r="33" spans="1:20" x14ac:dyDescent="0.4">
      <c r="A33" s="6">
        <v>1</v>
      </c>
      <c r="B33" s="77" t="s">
        <v>38</v>
      </c>
      <c r="C33" s="69"/>
      <c r="D33" s="60"/>
      <c r="E33" s="6">
        <v>301</v>
      </c>
      <c r="F33" s="6">
        <v>240</v>
      </c>
      <c r="G33" s="6">
        <v>292</v>
      </c>
      <c r="H33" s="6">
        <v>303</v>
      </c>
      <c r="I33" s="6">
        <v>296</v>
      </c>
      <c r="J33" s="6">
        <v>310</v>
      </c>
      <c r="K33" s="6">
        <v>264</v>
      </c>
      <c r="L33" s="6">
        <v>225</v>
      </c>
      <c r="M33" s="6">
        <v>213</v>
      </c>
      <c r="N33" s="6">
        <v>238</v>
      </c>
      <c r="O33" s="6">
        <v>233</v>
      </c>
      <c r="P33" s="6">
        <v>240</v>
      </c>
      <c r="Q33" s="6">
        <v>291</v>
      </c>
      <c r="R33" s="6">
        <v>302</v>
      </c>
      <c r="S33" s="6">
        <v>262</v>
      </c>
      <c r="T33" s="5">
        <f>SUM(E33:S33)</f>
        <v>4010</v>
      </c>
    </row>
    <row r="34" spans="1:20" x14ac:dyDescent="0.4">
      <c r="A34" s="6">
        <v>2</v>
      </c>
      <c r="B34" s="77" t="s">
        <v>39</v>
      </c>
      <c r="C34" s="69"/>
      <c r="D34" s="60"/>
      <c r="E34" s="5">
        <v>243</v>
      </c>
      <c r="F34" s="5">
        <v>201</v>
      </c>
      <c r="G34" s="5">
        <v>228</v>
      </c>
      <c r="H34" s="5">
        <v>240</v>
      </c>
      <c r="I34" s="5">
        <v>238</v>
      </c>
      <c r="J34" s="5">
        <v>236</v>
      </c>
      <c r="K34" s="5">
        <v>220</v>
      </c>
      <c r="L34" s="5">
        <v>176</v>
      </c>
      <c r="M34" s="5">
        <v>176</v>
      </c>
      <c r="N34" s="5">
        <v>222</v>
      </c>
      <c r="O34" s="5">
        <v>206</v>
      </c>
      <c r="P34" s="5">
        <v>200</v>
      </c>
      <c r="Q34" s="5">
        <v>238</v>
      </c>
      <c r="R34" s="5">
        <v>284</v>
      </c>
      <c r="S34" s="5">
        <v>196</v>
      </c>
      <c r="T34" s="5">
        <f>SUM(E34:S34)</f>
        <v>3304</v>
      </c>
    </row>
    <row r="35" spans="1:20" x14ac:dyDescent="0.4">
      <c r="A35" s="6">
        <v>3</v>
      </c>
      <c r="B35" s="77" t="s">
        <v>40</v>
      </c>
      <c r="C35" s="69"/>
      <c r="D35" s="60"/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5">
        <f>SUM(E35:S35)</f>
        <v>2</v>
      </c>
    </row>
    <row r="36" spans="1:20" x14ac:dyDescent="0.4">
      <c r="A36" s="6">
        <v>4</v>
      </c>
      <c r="B36" s="77" t="s">
        <v>41</v>
      </c>
      <c r="C36" s="69"/>
      <c r="D36" s="60"/>
      <c r="E36" s="5">
        <f t="shared" ref="E36:S36" si="22">E33-(E34+E35)</f>
        <v>57</v>
      </c>
      <c r="F36" s="5">
        <f t="shared" si="22"/>
        <v>38</v>
      </c>
      <c r="G36" s="5">
        <f t="shared" si="22"/>
        <v>64</v>
      </c>
      <c r="H36" s="5">
        <f t="shared" si="22"/>
        <v>63</v>
      </c>
      <c r="I36" s="5">
        <f t="shared" ref="I36:L36" si="23">I33-(I34+I35)</f>
        <v>58</v>
      </c>
      <c r="J36" s="5">
        <f t="shared" si="23"/>
        <v>74</v>
      </c>
      <c r="K36" s="5">
        <f t="shared" si="23"/>
        <v>44</v>
      </c>
      <c r="L36" s="5">
        <f t="shared" si="23"/>
        <v>49</v>
      </c>
      <c r="M36" s="5">
        <f t="shared" si="22"/>
        <v>37</v>
      </c>
      <c r="N36" s="5">
        <f t="shared" si="22"/>
        <v>16</v>
      </c>
      <c r="O36" s="5">
        <f t="shared" ref="O36:P36" si="24">O33-(O34+O35)</f>
        <v>27</v>
      </c>
      <c r="P36" s="5">
        <f t="shared" si="24"/>
        <v>40</v>
      </c>
      <c r="Q36" s="5">
        <f t="shared" si="22"/>
        <v>53</v>
      </c>
      <c r="R36" s="5">
        <f t="shared" si="22"/>
        <v>18</v>
      </c>
      <c r="S36" s="5">
        <f t="shared" si="22"/>
        <v>66</v>
      </c>
      <c r="T36" s="5">
        <f>SUM(E36:S36)</f>
        <v>704</v>
      </c>
    </row>
    <row r="37" spans="1:20" x14ac:dyDescent="0.4">
      <c r="A37" s="61"/>
      <c r="B37" s="69"/>
      <c r="C37" s="69"/>
      <c r="D37" s="69"/>
      <c r="E37" s="61"/>
      <c r="F37" s="88"/>
      <c r="G37" s="88"/>
      <c r="H37" s="88"/>
      <c r="I37" s="88"/>
      <c r="J37" s="88"/>
      <c r="K37" s="88"/>
      <c r="L37" s="88"/>
      <c r="M37" s="89"/>
      <c r="N37" s="6"/>
      <c r="O37" s="6"/>
      <c r="P37" s="6"/>
      <c r="Q37" s="6"/>
      <c r="R37" s="6"/>
      <c r="S37" s="6"/>
      <c r="T37" s="28"/>
    </row>
    <row r="38" spans="1:20" x14ac:dyDescent="0.4">
      <c r="A38" s="16" t="s">
        <v>42</v>
      </c>
      <c r="B38" s="56" t="s">
        <v>43</v>
      </c>
      <c r="C38" s="69"/>
      <c r="D38" s="6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28"/>
    </row>
    <row r="39" spans="1:20" x14ac:dyDescent="0.4">
      <c r="A39" s="11"/>
      <c r="B39" s="72" t="s">
        <v>44</v>
      </c>
      <c r="C39" s="6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5">
        <f>SUM(E39:S39)</f>
        <v>1</v>
      </c>
    </row>
    <row r="40" spans="1:20" x14ac:dyDescent="0.4">
      <c r="A40" s="12"/>
      <c r="B40" s="73"/>
      <c r="C40" s="74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1</v>
      </c>
      <c r="T40" s="5">
        <f>SUM(E40:S40)</f>
        <v>2</v>
      </c>
    </row>
    <row r="41" spans="1:20" x14ac:dyDescent="0.4">
      <c r="A41" s="14"/>
      <c r="B41" s="71"/>
      <c r="C41" s="75"/>
      <c r="D41" s="5" t="s">
        <v>25</v>
      </c>
      <c r="E41" s="5">
        <f t="shared" ref="E41:S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ref="I41:L41" si="26">SUM(I39:I40)</f>
        <v>0</v>
      </c>
      <c r="J41" s="5">
        <f t="shared" si="26"/>
        <v>0</v>
      </c>
      <c r="K41" s="5">
        <f t="shared" si="26"/>
        <v>0</v>
      </c>
      <c r="L41" s="5">
        <f t="shared" si="26"/>
        <v>0</v>
      </c>
      <c r="M41" s="5">
        <f t="shared" si="25"/>
        <v>0</v>
      </c>
      <c r="N41" s="5">
        <f t="shared" si="25"/>
        <v>0</v>
      </c>
      <c r="O41" s="5">
        <f t="shared" ref="O41:P41" si="27">SUM(O39:O40)</f>
        <v>1</v>
      </c>
      <c r="P41" s="5">
        <f t="shared" si="27"/>
        <v>0</v>
      </c>
      <c r="Q41" s="5">
        <f t="shared" si="25"/>
        <v>0</v>
      </c>
      <c r="R41" s="5">
        <f t="shared" si="25"/>
        <v>0</v>
      </c>
      <c r="S41" s="5">
        <f t="shared" si="25"/>
        <v>2</v>
      </c>
      <c r="T41" s="5">
        <f>SUM(E41:S41)</f>
        <v>3</v>
      </c>
    </row>
    <row r="42" spans="1:20" x14ac:dyDescent="0.4">
      <c r="A42" s="70"/>
      <c r="B42" s="71"/>
      <c r="C42" s="71"/>
      <c r="D42" s="75"/>
      <c r="E42" s="61"/>
      <c r="F42" s="69"/>
      <c r="G42" s="69"/>
      <c r="H42" s="69"/>
      <c r="I42" s="69"/>
      <c r="J42" s="69"/>
      <c r="K42" s="69"/>
      <c r="L42" s="69"/>
      <c r="M42" s="60"/>
      <c r="N42" s="6"/>
      <c r="O42" s="6"/>
      <c r="P42" s="6"/>
      <c r="Q42" s="6"/>
      <c r="R42" s="6"/>
      <c r="S42" s="6"/>
      <c r="T42" s="5"/>
    </row>
    <row r="43" spans="1:20" ht="13.15" customHeight="1" x14ac:dyDescent="0.4">
      <c r="A43" s="16" t="s">
        <v>45</v>
      </c>
      <c r="B43" s="56" t="s">
        <v>46</v>
      </c>
      <c r="C43" s="69"/>
      <c r="D43" s="60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3.15" customHeight="1" x14ac:dyDescent="0.4">
      <c r="A44" s="72" t="s">
        <v>47</v>
      </c>
      <c r="B44" s="76"/>
      <c r="C44" s="76"/>
      <c r="D44" s="6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5"/>
    </row>
    <row r="45" spans="1:20" x14ac:dyDescent="0.4">
      <c r="A45" s="11" t="s">
        <v>48</v>
      </c>
      <c r="B45" s="17" t="s">
        <v>28</v>
      </c>
      <c r="C45" s="59" t="s">
        <v>49</v>
      </c>
      <c r="D45" s="60"/>
      <c r="E45" s="6">
        <v>5</v>
      </c>
      <c r="F45" s="6">
        <v>7</v>
      </c>
      <c r="G45" s="6">
        <v>4</v>
      </c>
      <c r="H45" s="6">
        <v>17</v>
      </c>
      <c r="I45" s="6">
        <v>18</v>
      </c>
      <c r="J45" s="6">
        <v>6</v>
      </c>
      <c r="K45" s="6">
        <v>7</v>
      </c>
      <c r="L45" s="6">
        <v>6</v>
      </c>
      <c r="M45" s="6">
        <v>5</v>
      </c>
      <c r="N45" s="6">
        <v>7</v>
      </c>
      <c r="O45" s="6">
        <v>7</v>
      </c>
      <c r="P45" s="6">
        <v>6</v>
      </c>
      <c r="Q45" s="6">
        <v>18</v>
      </c>
      <c r="R45" s="6">
        <v>17</v>
      </c>
      <c r="S45" s="6">
        <v>4</v>
      </c>
      <c r="T45" s="5">
        <f t="shared" ref="T45:T51" si="28">SUM(E45:S45)</f>
        <v>134</v>
      </c>
    </row>
    <row r="46" spans="1:20" x14ac:dyDescent="0.4">
      <c r="A46" s="11" t="s">
        <v>50</v>
      </c>
      <c r="B46" s="46">
        <v>1</v>
      </c>
      <c r="C46" s="24" t="s">
        <v>114</v>
      </c>
      <c r="D46" s="47"/>
      <c r="E46" s="6">
        <v>5</v>
      </c>
      <c r="F46" s="6">
        <v>5</v>
      </c>
      <c r="G46" s="6">
        <v>6</v>
      </c>
      <c r="H46" s="6">
        <v>44</v>
      </c>
      <c r="I46" s="6">
        <v>67</v>
      </c>
      <c r="J46" s="6">
        <v>12</v>
      </c>
      <c r="K46" s="6">
        <v>41</v>
      </c>
      <c r="L46" s="6">
        <v>15</v>
      </c>
      <c r="M46" s="6">
        <v>4</v>
      </c>
      <c r="N46" s="6">
        <v>4</v>
      </c>
      <c r="O46" s="6">
        <v>6</v>
      </c>
      <c r="P46" s="6">
        <v>7</v>
      </c>
      <c r="Q46" s="6">
        <v>20</v>
      </c>
      <c r="R46" s="6">
        <v>29</v>
      </c>
      <c r="S46" s="6">
        <v>2</v>
      </c>
      <c r="T46" s="5">
        <f t="shared" si="28"/>
        <v>267</v>
      </c>
    </row>
    <row r="47" spans="1:20" x14ac:dyDescent="0.4">
      <c r="A47" s="7"/>
      <c r="B47" s="46">
        <v>2</v>
      </c>
      <c r="C47" s="24" t="s">
        <v>115</v>
      </c>
      <c r="D47" s="47"/>
      <c r="E47" s="6">
        <v>1</v>
      </c>
      <c r="F47" s="6">
        <v>1</v>
      </c>
      <c r="G47" s="6">
        <v>2</v>
      </c>
      <c r="H47" s="6">
        <v>2</v>
      </c>
      <c r="I47" s="6">
        <v>1</v>
      </c>
      <c r="J47" s="6">
        <v>2</v>
      </c>
      <c r="K47" s="6">
        <v>2</v>
      </c>
      <c r="L47" s="6">
        <v>0</v>
      </c>
      <c r="M47" s="6">
        <v>1</v>
      </c>
      <c r="N47" s="6">
        <v>6</v>
      </c>
      <c r="O47" s="6">
        <v>2</v>
      </c>
      <c r="P47" s="6">
        <v>4</v>
      </c>
      <c r="Q47" s="6">
        <v>1</v>
      </c>
      <c r="R47" s="6">
        <v>13</v>
      </c>
      <c r="S47" s="6">
        <v>0</v>
      </c>
      <c r="T47" s="5">
        <f t="shared" si="28"/>
        <v>38</v>
      </c>
    </row>
    <row r="48" spans="1:20" x14ac:dyDescent="0.4">
      <c r="A48" s="7"/>
      <c r="B48" s="46">
        <v>3</v>
      </c>
      <c r="C48" s="24" t="s">
        <v>116</v>
      </c>
      <c r="D48" s="47"/>
      <c r="E48" s="6">
        <v>0</v>
      </c>
      <c r="F48" s="6">
        <v>1</v>
      </c>
      <c r="G48" s="6">
        <v>0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1</v>
      </c>
      <c r="O48" s="6">
        <v>2</v>
      </c>
      <c r="P48" s="6">
        <v>0</v>
      </c>
      <c r="Q48" s="6">
        <v>0</v>
      </c>
      <c r="R48" s="6">
        <v>0</v>
      </c>
      <c r="S48" s="6">
        <v>0</v>
      </c>
      <c r="T48" s="5">
        <f t="shared" si="28"/>
        <v>5</v>
      </c>
    </row>
    <row r="49" spans="1:20" x14ac:dyDescent="0.4">
      <c r="A49" s="7"/>
      <c r="B49" s="46">
        <v>4</v>
      </c>
      <c r="C49" s="24" t="s">
        <v>117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1</v>
      </c>
      <c r="P49" s="6">
        <v>0</v>
      </c>
      <c r="Q49" s="6">
        <v>0</v>
      </c>
      <c r="R49" s="6">
        <v>0</v>
      </c>
      <c r="S49" s="6">
        <v>0</v>
      </c>
      <c r="T49" s="5">
        <f t="shared" si="28"/>
        <v>1</v>
      </c>
    </row>
    <row r="50" spans="1:20" x14ac:dyDescent="0.4">
      <c r="A50" s="7"/>
      <c r="B50" s="46">
        <v>5</v>
      </c>
      <c r="C50" s="24" t="s">
        <v>118</v>
      </c>
      <c r="D50" s="47"/>
      <c r="E50" s="6">
        <v>1</v>
      </c>
      <c r="F50" s="6">
        <v>0</v>
      </c>
      <c r="G50" s="6">
        <v>0</v>
      </c>
      <c r="H50" s="6">
        <v>3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0</v>
      </c>
      <c r="S50" s="6">
        <v>0</v>
      </c>
      <c r="T50" s="5">
        <f t="shared" si="28"/>
        <v>5</v>
      </c>
    </row>
    <row r="51" spans="1:20" x14ac:dyDescent="0.4">
      <c r="A51" s="7"/>
      <c r="B51" s="46">
        <v>6</v>
      </c>
      <c r="C51" s="24" t="s">
        <v>119</v>
      </c>
      <c r="D51" s="47"/>
      <c r="E51" s="6">
        <v>0</v>
      </c>
      <c r="F51" s="6">
        <v>2</v>
      </c>
      <c r="G51" s="6">
        <v>1</v>
      </c>
      <c r="H51" s="6">
        <v>0</v>
      </c>
      <c r="I51" s="6">
        <v>0</v>
      </c>
      <c r="J51" s="6">
        <v>1</v>
      </c>
      <c r="K51" s="6">
        <v>0</v>
      </c>
      <c r="L51" s="6">
        <v>1</v>
      </c>
      <c r="M51" s="6">
        <v>0</v>
      </c>
      <c r="N51" s="6">
        <v>0</v>
      </c>
      <c r="O51" s="6">
        <v>1</v>
      </c>
      <c r="P51" s="6">
        <v>1</v>
      </c>
      <c r="Q51" s="6">
        <v>0</v>
      </c>
      <c r="R51" s="6">
        <v>0</v>
      </c>
      <c r="S51" s="6">
        <v>1</v>
      </c>
      <c r="T51" s="5">
        <f t="shared" si="28"/>
        <v>8</v>
      </c>
    </row>
    <row r="52" spans="1:20" x14ac:dyDescent="0.4">
      <c r="A52" s="6" t="s">
        <v>26</v>
      </c>
      <c r="B52" s="53" t="s">
        <v>51</v>
      </c>
      <c r="C52" s="69"/>
      <c r="D52" s="60"/>
      <c r="E52" s="5">
        <f t="shared" ref="E52:T52" si="29">SUM(E45:E51)</f>
        <v>12</v>
      </c>
      <c r="F52" s="5">
        <f t="shared" si="29"/>
        <v>16</v>
      </c>
      <c r="G52" s="5">
        <f t="shared" si="29"/>
        <v>13</v>
      </c>
      <c r="H52" s="5">
        <f t="shared" si="29"/>
        <v>66</v>
      </c>
      <c r="I52" s="5">
        <f t="shared" si="29"/>
        <v>86</v>
      </c>
      <c r="J52" s="5">
        <f t="shared" si="29"/>
        <v>22</v>
      </c>
      <c r="K52" s="5">
        <f t="shared" si="29"/>
        <v>50</v>
      </c>
      <c r="L52" s="5">
        <f t="shared" si="29"/>
        <v>22</v>
      </c>
      <c r="M52" s="5">
        <f t="shared" si="29"/>
        <v>10</v>
      </c>
      <c r="N52" s="5">
        <f t="shared" si="29"/>
        <v>18</v>
      </c>
      <c r="O52" s="5">
        <f t="shared" si="29"/>
        <v>19</v>
      </c>
      <c r="P52" s="5">
        <f t="shared" si="29"/>
        <v>19</v>
      </c>
      <c r="Q52" s="5">
        <f t="shared" si="29"/>
        <v>39</v>
      </c>
      <c r="R52" s="5">
        <f t="shared" si="29"/>
        <v>59</v>
      </c>
      <c r="S52" s="5">
        <f t="shared" si="29"/>
        <v>7</v>
      </c>
      <c r="T52" s="5">
        <f t="shared" si="29"/>
        <v>458</v>
      </c>
    </row>
    <row r="53" spans="1:20" x14ac:dyDescent="0.4">
      <c r="A53" s="70"/>
      <c r="B53" s="71"/>
      <c r="C53" s="71"/>
      <c r="D53" s="71"/>
      <c r="E53" s="71"/>
      <c r="T53" s="5"/>
    </row>
    <row r="54" spans="1:20" x14ac:dyDescent="0.4">
      <c r="A54" s="11" t="s">
        <v>48</v>
      </c>
      <c r="B54" s="17" t="s">
        <v>30</v>
      </c>
      <c r="C54" s="59" t="s">
        <v>52</v>
      </c>
      <c r="D54" s="60"/>
      <c r="E54" s="6">
        <v>8</v>
      </c>
      <c r="F54" s="6">
        <v>4</v>
      </c>
      <c r="G54" s="6">
        <v>3</v>
      </c>
      <c r="H54" s="6">
        <v>11</v>
      </c>
      <c r="I54" s="6">
        <v>6</v>
      </c>
      <c r="J54" s="6">
        <v>17</v>
      </c>
      <c r="K54" s="6">
        <v>5</v>
      </c>
      <c r="L54" s="6">
        <v>7</v>
      </c>
      <c r="M54" s="6">
        <v>9</v>
      </c>
      <c r="N54" s="6">
        <v>18</v>
      </c>
      <c r="O54" s="6">
        <v>24</v>
      </c>
      <c r="P54" s="6">
        <v>14</v>
      </c>
      <c r="Q54" s="6">
        <v>16</v>
      </c>
      <c r="R54" s="6">
        <v>4</v>
      </c>
      <c r="S54" s="6">
        <v>23</v>
      </c>
      <c r="T54" s="5">
        <f t="shared" ref="T54:T60" si="30">SUM(E54:S54)</f>
        <v>169</v>
      </c>
    </row>
    <row r="55" spans="1:20" x14ac:dyDescent="0.4">
      <c r="A55" s="11" t="s">
        <v>50</v>
      </c>
      <c r="B55" s="46">
        <v>1</v>
      </c>
      <c r="C55" s="24" t="s">
        <v>120</v>
      </c>
      <c r="D55" s="47"/>
      <c r="E55" s="6">
        <v>1</v>
      </c>
      <c r="F55" s="6">
        <v>16</v>
      </c>
      <c r="G55" s="6">
        <v>5</v>
      </c>
      <c r="H55" s="6">
        <v>4</v>
      </c>
      <c r="I55" s="6">
        <v>5</v>
      </c>
      <c r="J55" s="6">
        <v>6</v>
      </c>
      <c r="K55" s="6">
        <v>7</v>
      </c>
      <c r="L55" s="6">
        <v>3</v>
      </c>
      <c r="M55" s="6">
        <v>7</v>
      </c>
      <c r="N55" s="6">
        <v>2</v>
      </c>
      <c r="O55" s="6">
        <v>14</v>
      </c>
      <c r="P55" s="6">
        <v>3</v>
      </c>
      <c r="Q55" s="6">
        <v>13</v>
      </c>
      <c r="R55" s="6">
        <v>5</v>
      </c>
      <c r="S55" s="6">
        <v>5</v>
      </c>
      <c r="T55" s="5">
        <f t="shared" si="30"/>
        <v>96</v>
      </c>
    </row>
    <row r="56" spans="1:20" x14ac:dyDescent="0.4">
      <c r="A56" s="7"/>
      <c r="B56" s="46">
        <v>2</v>
      </c>
      <c r="C56" s="24" t="s">
        <v>121</v>
      </c>
      <c r="D56" s="47"/>
      <c r="E56" s="6">
        <v>0</v>
      </c>
      <c r="F56" s="6">
        <v>1</v>
      </c>
      <c r="G56" s="6">
        <v>1</v>
      </c>
      <c r="H56" s="6">
        <v>2</v>
      </c>
      <c r="I56" s="6">
        <v>5</v>
      </c>
      <c r="J56" s="6">
        <v>5</v>
      </c>
      <c r="K56" s="6">
        <v>1</v>
      </c>
      <c r="L56" s="6">
        <v>1</v>
      </c>
      <c r="M56" s="6">
        <v>2</v>
      </c>
      <c r="N56" s="6">
        <v>4</v>
      </c>
      <c r="O56" s="6">
        <v>1</v>
      </c>
      <c r="P56" s="6">
        <v>0</v>
      </c>
      <c r="Q56" s="6">
        <v>1</v>
      </c>
      <c r="R56" s="6">
        <v>0</v>
      </c>
      <c r="S56" s="6">
        <v>0</v>
      </c>
      <c r="T56" s="5">
        <f t="shared" si="30"/>
        <v>24</v>
      </c>
    </row>
    <row r="57" spans="1:20" x14ac:dyDescent="0.4">
      <c r="A57" s="7"/>
      <c r="B57" s="46">
        <v>3</v>
      </c>
      <c r="C57" s="24" t="s">
        <v>122</v>
      </c>
      <c r="D57" s="47"/>
      <c r="E57" s="6">
        <v>0</v>
      </c>
      <c r="F57" s="6">
        <v>0</v>
      </c>
      <c r="G57" s="6">
        <v>0</v>
      </c>
      <c r="H57" s="6">
        <v>4</v>
      </c>
      <c r="I57" s="6">
        <v>2</v>
      </c>
      <c r="J57" s="6">
        <v>1</v>
      </c>
      <c r="K57" s="6">
        <v>0</v>
      </c>
      <c r="L57" s="6">
        <v>7</v>
      </c>
      <c r="M57" s="6">
        <v>1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  <c r="S57" s="6">
        <v>1</v>
      </c>
      <c r="T57" s="5">
        <f t="shared" si="30"/>
        <v>17</v>
      </c>
    </row>
    <row r="58" spans="1:20" x14ac:dyDescent="0.4">
      <c r="A58" s="7"/>
      <c r="B58" s="46">
        <v>4</v>
      </c>
      <c r="C58" s="24" t="s">
        <v>123</v>
      </c>
      <c r="D58" s="47"/>
      <c r="E58" s="6">
        <v>0</v>
      </c>
      <c r="F58" s="6">
        <v>0</v>
      </c>
      <c r="G58" s="6">
        <v>1</v>
      </c>
      <c r="H58" s="6">
        <v>0</v>
      </c>
      <c r="I58" s="6">
        <v>1</v>
      </c>
      <c r="J58" s="6">
        <v>0</v>
      </c>
      <c r="K58" s="6">
        <v>1</v>
      </c>
      <c r="L58" s="6">
        <v>5</v>
      </c>
      <c r="M58" s="6">
        <v>1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5">
        <f t="shared" si="30"/>
        <v>10</v>
      </c>
    </row>
    <row r="59" spans="1:20" x14ac:dyDescent="0.4">
      <c r="A59" s="7"/>
      <c r="B59" s="46">
        <v>5</v>
      </c>
      <c r="C59" s="24" t="s">
        <v>124</v>
      </c>
      <c r="D59" s="47"/>
      <c r="E59" s="6">
        <v>0</v>
      </c>
      <c r="F59" s="6">
        <v>0</v>
      </c>
      <c r="G59" s="6">
        <v>1</v>
      </c>
      <c r="H59" s="6">
        <v>0</v>
      </c>
      <c r="I59" s="6">
        <v>0</v>
      </c>
      <c r="J59" s="6">
        <v>1</v>
      </c>
      <c r="K59" s="6">
        <v>0</v>
      </c>
      <c r="L59" s="6">
        <v>1</v>
      </c>
      <c r="M59" s="6">
        <v>2</v>
      </c>
      <c r="N59" s="6">
        <v>1</v>
      </c>
      <c r="O59" s="6">
        <v>1</v>
      </c>
      <c r="P59" s="6">
        <v>2</v>
      </c>
      <c r="Q59" s="6">
        <v>1</v>
      </c>
      <c r="R59" s="6">
        <v>0</v>
      </c>
      <c r="S59" s="6">
        <v>0</v>
      </c>
      <c r="T59" s="5">
        <f t="shared" si="30"/>
        <v>10</v>
      </c>
    </row>
    <row r="60" spans="1:20" ht="13.15" customHeight="1" x14ac:dyDescent="0.4">
      <c r="A60" s="7"/>
      <c r="B60" s="46">
        <v>6</v>
      </c>
      <c r="C60" s="24" t="s">
        <v>125</v>
      </c>
      <c r="D60" s="47"/>
      <c r="E60" s="6">
        <v>6</v>
      </c>
      <c r="F60" s="6">
        <v>0</v>
      </c>
      <c r="G60" s="6">
        <v>20</v>
      </c>
      <c r="H60" s="6">
        <v>5</v>
      </c>
      <c r="I60" s="6">
        <v>2</v>
      </c>
      <c r="J60" s="6">
        <v>5</v>
      </c>
      <c r="K60" s="6">
        <v>2</v>
      </c>
      <c r="L60" s="6">
        <v>1</v>
      </c>
      <c r="M60" s="6">
        <v>21</v>
      </c>
      <c r="N60" s="6">
        <v>26</v>
      </c>
      <c r="O60" s="6">
        <v>49</v>
      </c>
      <c r="P60" s="6">
        <v>20</v>
      </c>
      <c r="Q60" s="6">
        <v>1</v>
      </c>
      <c r="R60" s="6">
        <v>0</v>
      </c>
      <c r="S60" s="6">
        <v>19</v>
      </c>
      <c r="T60" s="5">
        <f t="shared" si="30"/>
        <v>177</v>
      </c>
    </row>
    <row r="61" spans="1:20" x14ac:dyDescent="0.4">
      <c r="A61" s="6" t="s">
        <v>26</v>
      </c>
      <c r="B61" s="53" t="s">
        <v>51</v>
      </c>
      <c r="C61" s="69"/>
      <c r="D61" s="60"/>
      <c r="E61" s="5">
        <f t="shared" ref="E61:T61" si="31">SUM(E54:E60)</f>
        <v>15</v>
      </c>
      <c r="F61" s="5">
        <f t="shared" si="31"/>
        <v>21</v>
      </c>
      <c r="G61" s="5">
        <f t="shared" si="31"/>
        <v>31</v>
      </c>
      <c r="H61" s="5">
        <f t="shared" si="31"/>
        <v>26</v>
      </c>
      <c r="I61" s="5">
        <f t="shared" si="31"/>
        <v>21</v>
      </c>
      <c r="J61" s="5">
        <f t="shared" si="31"/>
        <v>35</v>
      </c>
      <c r="K61" s="5">
        <f t="shared" si="31"/>
        <v>16</v>
      </c>
      <c r="L61" s="5">
        <f t="shared" si="31"/>
        <v>25</v>
      </c>
      <c r="M61" s="5">
        <f t="shared" si="31"/>
        <v>43</v>
      </c>
      <c r="N61" s="5">
        <f t="shared" si="31"/>
        <v>52</v>
      </c>
      <c r="O61" s="5">
        <f t="shared" si="31"/>
        <v>89</v>
      </c>
      <c r="P61" s="5">
        <f t="shared" si="31"/>
        <v>39</v>
      </c>
      <c r="Q61" s="5">
        <f t="shared" si="31"/>
        <v>33</v>
      </c>
      <c r="R61" s="5">
        <f t="shared" si="31"/>
        <v>9</v>
      </c>
      <c r="S61" s="5">
        <f t="shared" si="31"/>
        <v>48</v>
      </c>
      <c r="T61" s="5">
        <f t="shared" si="31"/>
        <v>503</v>
      </c>
    </row>
    <row r="62" spans="1:20" x14ac:dyDescent="0.4">
      <c r="A62" s="70"/>
      <c r="B62" s="71"/>
      <c r="C62" s="71"/>
      <c r="D62" s="71"/>
      <c r="E62" s="71"/>
    </row>
    <row r="63" spans="1:20" x14ac:dyDescent="0.4">
      <c r="A63" s="11" t="s">
        <v>48</v>
      </c>
      <c r="B63" s="17" t="s">
        <v>32</v>
      </c>
      <c r="C63" s="59" t="s">
        <v>53</v>
      </c>
      <c r="D63" s="60"/>
      <c r="E63" s="6">
        <v>11</v>
      </c>
      <c r="F63" s="6">
        <v>2</v>
      </c>
      <c r="G63" s="6">
        <v>4</v>
      </c>
      <c r="H63" s="6">
        <v>13</v>
      </c>
      <c r="I63" s="6">
        <v>13</v>
      </c>
      <c r="J63" s="6">
        <v>27</v>
      </c>
      <c r="K63" s="6">
        <v>16</v>
      </c>
      <c r="L63" s="6">
        <v>6</v>
      </c>
      <c r="M63" s="6">
        <v>18</v>
      </c>
      <c r="N63" s="6">
        <v>25</v>
      </c>
      <c r="O63" s="6">
        <v>16</v>
      </c>
      <c r="P63" s="6">
        <v>19</v>
      </c>
      <c r="Q63" s="6">
        <v>11</v>
      </c>
      <c r="R63" s="6">
        <v>5</v>
      </c>
      <c r="S63" s="6">
        <v>21</v>
      </c>
      <c r="T63" s="5">
        <f t="shared" ref="T63:T69" si="32">SUM(E63:S63)</f>
        <v>207</v>
      </c>
    </row>
    <row r="64" spans="1:20" x14ac:dyDescent="0.4">
      <c r="A64" s="11" t="s">
        <v>50</v>
      </c>
      <c r="B64" s="46">
        <v>1</v>
      </c>
      <c r="C64" s="24" t="s">
        <v>126</v>
      </c>
      <c r="D64" s="47"/>
      <c r="E64" s="6">
        <v>4</v>
      </c>
      <c r="F64" s="6">
        <v>6</v>
      </c>
      <c r="G64" s="6">
        <v>5</v>
      </c>
      <c r="H64" s="6">
        <v>30</v>
      </c>
      <c r="I64" s="6">
        <v>11</v>
      </c>
      <c r="J64" s="6">
        <v>19</v>
      </c>
      <c r="K64" s="6">
        <v>26</v>
      </c>
      <c r="L64" s="6">
        <v>27</v>
      </c>
      <c r="M64" s="6">
        <v>28</v>
      </c>
      <c r="N64" s="6">
        <v>36</v>
      </c>
      <c r="O64" s="6">
        <v>15</v>
      </c>
      <c r="P64" s="6">
        <v>28</v>
      </c>
      <c r="Q64" s="6">
        <v>17</v>
      </c>
      <c r="R64" s="6">
        <v>22</v>
      </c>
      <c r="S64" s="6">
        <v>25</v>
      </c>
      <c r="T64" s="5">
        <f t="shared" si="32"/>
        <v>299</v>
      </c>
    </row>
    <row r="65" spans="1:20" x14ac:dyDescent="0.4">
      <c r="A65" s="7"/>
      <c r="B65" s="46">
        <v>2</v>
      </c>
      <c r="C65" s="24" t="s">
        <v>127</v>
      </c>
      <c r="D65" s="47"/>
      <c r="E65" s="6">
        <v>10</v>
      </c>
      <c r="F65" s="6">
        <v>1</v>
      </c>
      <c r="G65" s="6">
        <v>15</v>
      </c>
      <c r="H65" s="6">
        <v>4</v>
      </c>
      <c r="I65" s="6">
        <v>17</v>
      </c>
      <c r="J65" s="6">
        <v>16</v>
      </c>
      <c r="K65" s="6">
        <v>3</v>
      </c>
      <c r="L65" s="6">
        <v>14</v>
      </c>
      <c r="M65" s="6">
        <v>7</v>
      </c>
      <c r="N65" s="6">
        <v>12</v>
      </c>
      <c r="O65" s="6">
        <v>4</v>
      </c>
      <c r="P65" s="6">
        <v>5</v>
      </c>
      <c r="Q65" s="6">
        <v>13</v>
      </c>
      <c r="R65" s="6">
        <v>6</v>
      </c>
      <c r="S65" s="6">
        <v>16</v>
      </c>
      <c r="T65" s="5">
        <f t="shared" si="32"/>
        <v>143</v>
      </c>
    </row>
    <row r="66" spans="1:20" x14ac:dyDescent="0.4">
      <c r="A66" s="7"/>
      <c r="B66" s="46">
        <v>3</v>
      </c>
      <c r="C66" s="24" t="s">
        <v>128</v>
      </c>
      <c r="D66" s="47"/>
      <c r="E66" s="6">
        <v>1</v>
      </c>
      <c r="F66" s="6">
        <v>0</v>
      </c>
      <c r="G66" s="6">
        <v>0</v>
      </c>
      <c r="H66" s="6">
        <v>2</v>
      </c>
      <c r="I66" s="6">
        <v>2</v>
      </c>
      <c r="J66" s="6">
        <v>2</v>
      </c>
      <c r="K66" s="6">
        <v>1</v>
      </c>
      <c r="L66" s="6">
        <v>0</v>
      </c>
      <c r="M66" s="6">
        <v>1</v>
      </c>
      <c r="N66" s="6">
        <v>1</v>
      </c>
      <c r="O66" s="6">
        <v>0</v>
      </c>
      <c r="P66" s="6">
        <v>1</v>
      </c>
      <c r="Q66" s="6">
        <v>1</v>
      </c>
      <c r="R66" s="6">
        <v>0</v>
      </c>
      <c r="S66" s="6">
        <v>1</v>
      </c>
      <c r="T66" s="5">
        <f t="shared" si="32"/>
        <v>13</v>
      </c>
    </row>
    <row r="67" spans="1:20" x14ac:dyDescent="0.4">
      <c r="A67" s="7"/>
      <c r="B67" s="46">
        <v>4</v>
      </c>
      <c r="C67" s="24" t="s">
        <v>129</v>
      </c>
      <c r="D67" s="47"/>
      <c r="E67" s="6">
        <v>0</v>
      </c>
      <c r="F67" s="6">
        <v>0</v>
      </c>
      <c r="G67" s="6">
        <v>1</v>
      </c>
      <c r="H67" s="6">
        <v>1</v>
      </c>
      <c r="I67" s="6">
        <v>0</v>
      </c>
      <c r="J67" s="6">
        <v>0</v>
      </c>
      <c r="K67" s="6">
        <v>0</v>
      </c>
      <c r="L67" s="6">
        <v>2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5">
        <f t="shared" si="32"/>
        <v>5</v>
      </c>
    </row>
    <row r="68" spans="1:20" ht="13.15" customHeight="1" x14ac:dyDescent="0.4">
      <c r="A68" s="7"/>
      <c r="B68" s="46">
        <v>5</v>
      </c>
      <c r="C68" s="24" t="s">
        <v>130</v>
      </c>
      <c r="D68" s="47"/>
      <c r="E68" s="6">
        <v>0</v>
      </c>
      <c r="F68" s="6">
        <v>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5">
        <f t="shared" si="32"/>
        <v>1</v>
      </c>
    </row>
    <row r="69" spans="1:20" x14ac:dyDescent="0.4">
      <c r="A69" s="7"/>
      <c r="B69" s="46">
        <v>6</v>
      </c>
      <c r="C69" s="24" t="s">
        <v>131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1</v>
      </c>
      <c r="K69" s="6">
        <v>0</v>
      </c>
      <c r="L69" s="6">
        <v>0</v>
      </c>
      <c r="M69" s="6">
        <v>1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5">
        <f t="shared" si="32"/>
        <v>3</v>
      </c>
    </row>
    <row r="70" spans="1:20" x14ac:dyDescent="0.4">
      <c r="A70" s="6" t="s">
        <v>26</v>
      </c>
      <c r="B70" s="53" t="s">
        <v>51</v>
      </c>
      <c r="C70" s="69"/>
      <c r="D70" s="60"/>
      <c r="E70" s="5">
        <f t="shared" ref="E70:T70" si="33">SUM(E63:E69)</f>
        <v>26</v>
      </c>
      <c r="F70" s="5">
        <f t="shared" si="33"/>
        <v>10</v>
      </c>
      <c r="G70" s="5">
        <f t="shared" si="33"/>
        <v>25</v>
      </c>
      <c r="H70" s="5">
        <f t="shared" si="33"/>
        <v>50</v>
      </c>
      <c r="I70" s="5">
        <f t="shared" si="33"/>
        <v>43</v>
      </c>
      <c r="J70" s="5">
        <f t="shared" si="33"/>
        <v>65</v>
      </c>
      <c r="K70" s="5">
        <f t="shared" si="33"/>
        <v>46</v>
      </c>
      <c r="L70" s="5">
        <f t="shared" si="33"/>
        <v>49</v>
      </c>
      <c r="M70" s="5">
        <f t="shared" si="33"/>
        <v>55</v>
      </c>
      <c r="N70" s="5">
        <f t="shared" si="33"/>
        <v>76</v>
      </c>
      <c r="O70" s="5">
        <f t="shared" si="33"/>
        <v>35</v>
      </c>
      <c r="P70" s="5">
        <f t="shared" si="33"/>
        <v>53</v>
      </c>
      <c r="Q70" s="5">
        <f t="shared" si="33"/>
        <v>42</v>
      </c>
      <c r="R70" s="5">
        <f t="shared" si="33"/>
        <v>33</v>
      </c>
      <c r="S70" s="5">
        <f t="shared" si="33"/>
        <v>63</v>
      </c>
      <c r="T70" s="5">
        <f t="shared" si="33"/>
        <v>671</v>
      </c>
    </row>
    <row r="71" spans="1:20" x14ac:dyDescent="0.4">
      <c r="A71" s="70"/>
      <c r="B71" s="71"/>
      <c r="C71" s="71"/>
      <c r="D71" s="71"/>
      <c r="E71" s="71"/>
    </row>
    <row r="72" spans="1:20" x14ac:dyDescent="0.4">
      <c r="A72" s="11" t="s">
        <v>48</v>
      </c>
      <c r="B72" s="17" t="s">
        <v>34</v>
      </c>
      <c r="C72" s="59" t="s">
        <v>54</v>
      </c>
      <c r="D72" s="60"/>
      <c r="E72" s="6">
        <v>16</v>
      </c>
      <c r="F72" s="6">
        <v>7</v>
      </c>
      <c r="G72" s="6">
        <v>9</v>
      </c>
      <c r="H72" s="6">
        <v>14</v>
      </c>
      <c r="I72" s="6">
        <v>2</v>
      </c>
      <c r="J72" s="6">
        <v>10</v>
      </c>
      <c r="K72" s="6">
        <v>2</v>
      </c>
      <c r="L72" s="6">
        <v>1</v>
      </c>
      <c r="M72" s="6">
        <v>4</v>
      </c>
      <c r="N72" s="6">
        <v>6</v>
      </c>
      <c r="O72" s="6">
        <v>12</v>
      </c>
      <c r="P72" s="6">
        <v>6</v>
      </c>
      <c r="Q72" s="6">
        <v>3</v>
      </c>
      <c r="R72" s="6">
        <v>16</v>
      </c>
      <c r="S72" s="6">
        <v>10</v>
      </c>
      <c r="T72" s="5">
        <f t="shared" ref="T72:T78" si="34">SUM(E72:S72)</f>
        <v>118</v>
      </c>
    </row>
    <row r="73" spans="1:20" x14ac:dyDescent="0.4">
      <c r="A73" s="11" t="s">
        <v>50</v>
      </c>
      <c r="B73" s="46">
        <v>1</v>
      </c>
      <c r="C73" s="24" t="s">
        <v>132</v>
      </c>
      <c r="D73" s="47"/>
      <c r="E73" s="6">
        <v>86</v>
      </c>
      <c r="F73" s="6">
        <v>63</v>
      </c>
      <c r="G73" s="6">
        <v>68</v>
      </c>
      <c r="H73" s="6">
        <v>38</v>
      </c>
      <c r="I73" s="6">
        <v>23</v>
      </c>
      <c r="J73" s="6">
        <v>28</v>
      </c>
      <c r="K73" s="6">
        <v>58</v>
      </c>
      <c r="L73" s="6">
        <v>13</v>
      </c>
      <c r="M73" s="6">
        <v>7</v>
      </c>
      <c r="N73" s="6">
        <v>9</v>
      </c>
      <c r="O73" s="6">
        <v>32</v>
      </c>
      <c r="P73" s="6">
        <v>23</v>
      </c>
      <c r="Q73" s="6">
        <v>15</v>
      </c>
      <c r="R73" s="6">
        <v>150</v>
      </c>
      <c r="S73" s="6">
        <v>18</v>
      </c>
      <c r="T73" s="5">
        <f t="shared" si="34"/>
        <v>631</v>
      </c>
    </row>
    <row r="74" spans="1:20" x14ac:dyDescent="0.4">
      <c r="A74" s="7"/>
      <c r="B74" s="46">
        <v>2</v>
      </c>
      <c r="C74" s="24" t="s">
        <v>133</v>
      </c>
      <c r="D74" s="47"/>
      <c r="E74" s="6">
        <v>1</v>
      </c>
      <c r="F74" s="6">
        <v>0</v>
      </c>
      <c r="G74" s="6">
        <v>5</v>
      </c>
      <c r="H74" s="6">
        <v>3</v>
      </c>
      <c r="I74" s="6">
        <v>1</v>
      </c>
      <c r="J74" s="6">
        <v>0</v>
      </c>
      <c r="K74" s="6">
        <v>3</v>
      </c>
      <c r="L74" s="6">
        <v>1</v>
      </c>
      <c r="M74" s="6">
        <v>12</v>
      </c>
      <c r="N74" s="6">
        <v>1</v>
      </c>
      <c r="O74" s="6">
        <v>0</v>
      </c>
      <c r="P74" s="6">
        <v>2</v>
      </c>
      <c r="Q74" s="6">
        <v>2</v>
      </c>
      <c r="R74" s="6">
        <v>1</v>
      </c>
      <c r="S74" s="6">
        <v>1</v>
      </c>
      <c r="T74" s="5">
        <f t="shared" si="34"/>
        <v>33</v>
      </c>
    </row>
    <row r="75" spans="1:20" x14ac:dyDescent="0.4">
      <c r="A75" s="7"/>
      <c r="B75" s="46">
        <v>3</v>
      </c>
      <c r="C75" s="24" t="s">
        <v>134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5">
        <f t="shared" si="34"/>
        <v>2</v>
      </c>
    </row>
    <row r="76" spans="1:20" ht="13.15" customHeight="1" x14ac:dyDescent="0.4">
      <c r="A76" s="7"/>
      <c r="B76" s="46">
        <v>4</v>
      </c>
      <c r="C76" s="24" t="s">
        <v>135</v>
      </c>
      <c r="D76" s="47"/>
      <c r="E76" s="6">
        <v>1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5">
        <f t="shared" si="34"/>
        <v>3</v>
      </c>
    </row>
    <row r="77" spans="1:20" x14ac:dyDescent="0.4">
      <c r="A77" s="7"/>
      <c r="B77" s="46">
        <v>5</v>
      </c>
      <c r="C77" s="24" t="s">
        <v>136</v>
      </c>
      <c r="D77" s="47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5">
        <f t="shared" si="34"/>
        <v>1</v>
      </c>
    </row>
    <row r="78" spans="1:20" x14ac:dyDescent="0.4">
      <c r="A78" s="7"/>
      <c r="B78" s="46">
        <v>6</v>
      </c>
      <c r="C78" s="24" t="s">
        <v>137</v>
      </c>
      <c r="D78" s="47"/>
      <c r="E78" s="6">
        <v>0</v>
      </c>
      <c r="F78" s="6">
        <v>0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0</v>
      </c>
      <c r="S78" s="6">
        <v>1</v>
      </c>
      <c r="T78" s="5">
        <f t="shared" si="34"/>
        <v>4</v>
      </c>
    </row>
    <row r="79" spans="1:20" x14ac:dyDescent="0.4">
      <c r="A79" s="6" t="s">
        <v>26</v>
      </c>
      <c r="B79" s="53" t="s">
        <v>51</v>
      </c>
      <c r="C79" s="69"/>
      <c r="D79" s="60"/>
      <c r="E79" s="5">
        <f t="shared" ref="E79:T79" si="35">SUM(E72:E78)</f>
        <v>105</v>
      </c>
      <c r="F79" s="5">
        <f t="shared" si="35"/>
        <v>70</v>
      </c>
      <c r="G79" s="5">
        <f t="shared" si="35"/>
        <v>83</v>
      </c>
      <c r="H79" s="5">
        <f t="shared" si="35"/>
        <v>56</v>
      </c>
      <c r="I79" s="5">
        <f t="shared" si="35"/>
        <v>28</v>
      </c>
      <c r="J79" s="5">
        <f t="shared" si="35"/>
        <v>38</v>
      </c>
      <c r="K79" s="5">
        <f t="shared" si="35"/>
        <v>63</v>
      </c>
      <c r="L79" s="5">
        <f t="shared" si="35"/>
        <v>15</v>
      </c>
      <c r="M79" s="5">
        <f t="shared" si="35"/>
        <v>23</v>
      </c>
      <c r="N79" s="5">
        <f t="shared" si="35"/>
        <v>16</v>
      </c>
      <c r="O79" s="5">
        <f t="shared" si="35"/>
        <v>44</v>
      </c>
      <c r="P79" s="5">
        <f t="shared" si="35"/>
        <v>31</v>
      </c>
      <c r="Q79" s="5">
        <f t="shared" si="35"/>
        <v>23</v>
      </c>
      <c r="R79" s="5">
        <f t="shared" si="35"/>
        <v>167</v>
      </c>
      <c r="S79" s="5">
        <f t="shared" si="35"/>
        <v>30</v>
      </c>
      <c r="T79" s="5">
        <f t="shared" si="35"/>
        <v>792</v>
      </c>
    </row>
    <row r="80" spans="1:20" x14ac:dyDescent="0.4">
      <c r="A80" s="70"/>
      <c r="B80" s="71"/>
      <c r="C80" s="71"/>
      <c r="D80" s="71"/>
      <c r="E80" s="71"/>
    </row>
    <row r="81" spans="1:20" x14ac:dyDescent="0.4">
      <c r="A81" s="11" t="s">
        <v>48</v>
      </c>
      <c r="B81" s="17" t="s">
        <v>55</v>
      </c>
      <c r="C81" s="59" t="s">
        <v>56</v>
      </c>
      <c r="D81" s="60"/>
      <c r="E81" s="6">
        <v>2</v>
      </c>
      <c r="F81" s="6">
        <v>1</v>
      </c>
      <c r="G81" s="6">
        <v>3</v>
      </c>
      <c r="H81" s="6">
        <v>0</v>
      </c>
      <c r="I81" s="6">
        <v>1</v>
      </c>
      <c r="J81" s="6">
        <v>3</v>
      </c>
      <c r="K81" s="6">
        <v>1</v>
      </c>
      <c r="L81" s="6">
        <v>2</v>
      </c>
      <c r="M81" s="6">
        <v>0</v>
      </c>
      <c r="N81" s="6">
        <v>3</v>
      </c>
      <c r="O81" s="6">
        <v>2</v>
      </c>
      <c r="P81" s="6">
        <v>1</v>
      </c>
      <c r="Q81" s="6">
        <v>10</v>
      </c>
      <c r="R81" s="6">
        <v>0</v>
      </c>
      <c r="S81" s="6">
        <v>0</v>
      </c>
      <c r="T81" s="5">
        <f t="shared" ref="T81:T87" si="36">SUM(E81:S81)</f>
        <v>29</v>
      </c>
    </row>
    <row r="82" spans="1:20" x14ac:dyDescent="0.4">
      <c r="A82" s="11" t="s">
        <v>50</v>
      </c>
      <c r="B82" s="46">
        <v>1</v>
      </c>
      <c r="C82" s="24" t="s">
        <v>138</v>
      </c>
      <c r="D82" s="47"/>
      <c r="E82" s="6">
        <v>0</v>
      </c>
      <c r="F82" s="6">
        <v>1</v>
      </c>
      <c r="G82" s="6">
        <v>0</v>
      </c>
      <c r="H82" s="6">
        <v>0</v>
      </c>
      <c r="I82" s="6"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1</v>
      </c>
      <c r="Q82" s="6">
        <v>3</v>
      </c>
      <c r="R82" s="6">
        <v>0</v>
      </c>
      <c r="S82" s="6">
        <v>0</v>
      </c>
      <c r="T82" s="5">
        <f t="shared" si="36"/>
        <v>6</v>
      </c>
    </row>
    <row r="83" spans="1:20" x14ac:dyDescent="0.4">
      <c r="A83" s="7"/>
      <c r="B83" s="46">
        <v>2</v>
      </c>
      <c r="C83" s="24" t="s">
        <v>139</v>
      </c>
      <c r="D83" s="47"/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</v>
      </c>
      <c r="R83" s="6">
        <v>0</v>
      </c>
      <c r="S83" s="6">
        <v>0</v>
      </c>
      <c r="T83" s="5">
        <f t="shared" si="36"/>
        <v>2</v>
      </c>
    </row>
    <row r="84" spans="1:20" ht="13.15" customHeight="1" x14ac:dyDescent="0.4">
      <c r="A84" s="7"/>
      <c r="B84" s="46">
        <v>3</v>
      </c>
      <c r="C84" s="24" t="s">
        <v>140</v>
      </c>
      <c r="D84" s="47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5">
        <f t="shared" si="36"/>
        <v>1</v>
      </c>
    </row>
    <row r="85" spans="1:20" x14ac:dyDescent="0.4">
      <c r="A85" s="7"/>
      <c r="B85" s="46">
        <v>4</v>
      </c>
      <c r="C85" s="24" t="s">
        <v>141</v>
      </c>
      <c r="D85" s="47"/>
      <c r="E85" s="6">
        <v>0</v>
      </c>
      <c r="F85" s="6">
        <v>1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5">
        <f t="shared" si="36"/>
        <v>2</v>
      </c>
    </row>
    <row r="86" spans="1:20" x14ac:dyDescent="0.4">
      <c r="A86" s="7"/>
      <c r="B86" s="46">
        <v>5</v>
      </c>
      <c r="C86" s="24" t="s">
        <v>142</v>
      </c>
      <c r="D86" s="47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1</v>
      </c>
      <c r="M86" s="6">
        <v>1</v>
      </c>
      <c r="N86" s="6">
        <v>0</v>
      </c>
      <c r="O86" s="6">
        <v>0</v>
      </c>
      <c r="P86" s="6">
        <v>1</v>
      </c>
      <c r="Q86" s="6">
        <v>1</v>
      </c>
      <c r="R86" s="6">
        <v>0</v>
      </c>
      <c r="S86" s="6">
        <v>0</v>
      </c>
      <c r="T86" s="5">
        <f t="shared" si="36"/>
        <v>5</v>
      </c>
    </row>
    <row r="87" spans="1:20" x14ac:dyDescent="0.4">
      <c r="A87" s="7"/>
      <c r="B87" s="46">
        <v>6</v>
      </c>
      <c r="C87" s="24" t="s">
        <v>143</v>
      </c>
      <c r="D87" s="47"/>
      <c r="E87" s="6">
        <v>44</v>
      </c>
      <c r="F87" s="6">
        <v>52</v>
      </c>
      <c r="G87" s="6">
        <v>35</v>
      </c>
      <c r="H87" s="6">
        <v>8</v>
      </c>
      <c r="I87" s="6">
        <v>7</v>
      </c>
      <c r="J87" s="6">
        <v>6</v>
      </c>
      <c r="K87" s="6">
        <v>10</v>
      </c>
      <c r="L87" s="6">
        <v>40</v>
      </c>
      <c r="M87" s="6">
        <v>14</v>
      </c>
      <c r="N87" s="6">
        <v>6</v>
      </c>
      <c r="O87" s="6">
        <v>0</v>
      </c>
      <c r="P87" s="6">
        <v>8</v>
      </c>
      <c r="Q87" s="6">
        <v>27</v>
      </c>
      <c r="R87" s="6">
        <v>2</v>
      </c>
      <c r="S87" s="6">
        <v>3</v>
      </c>
      <c r="T87" s="5">
        <f t="shared" si="36"/>
        <v>262</v>
      </c>
    </row>
    <row r="88" spans="1:20" x14ac:dyDescent="0.4">
      <c r="A88" s="6" t="s">
        <v>26</v>
      </c>
      <c r="B88" s="53" t="s">
        <v>51</v>
      </c>
      <c r="C88" s="69"/>
      <c r="D88" s="60"/>
      <c r="E88" s="5">
        <f t="shared" ref="E88:T88" si="37">SUM(E81:E87)</f>
        <v>46</v>
      </c>
      <c r="F88" s="5">
        <f t="shared" si="37"/>
        <v>56</v>
      </c>
      <c r="G88" s="5">
        <f t="shared" si="37"/>
        <v>39</v>
      </c>
      <c r="H88" s="5">
        <f t="shared" si="37"/>
        <v>8</v>
      </c>
      <c r="I88" s="5">
        <f t="shared" si="37"/>
        <v>9</v>
      </c>
      <c r="J88" s="5">
        <f t="shared" si="37"/>
        <v>9</v>
      </c>
      <c r="K88" s="5">
        <f t="shared" si="37"/>
        <v>12</v>
      </c>
      <c r="L88" s="5">
        <f t="shared" si="37"/>
        <v>44</v>
      </c>
      <c r="M88" s="5">
        <f t="shared" si="37"/>
        <v>15</v>
      </c>
      <c r="N88" s="5">
        <f t="shared" si="37"/>
        <v>9</v>
      </c>
      <c r="O88" s="5">
        <f t="shared" si="37"/>
        <v>2</v>
      </c>
      <c r="P88" s="5">
        <f t="shared" si="37"/>
        <v>11</v>
      </c>
      <c r="Q88" s="5">
        <f t="shared" si="37"/>
        <v>42</v>
      </c>
      <c r="R88" s="5">
        <f t="shared" si="37"/>
        <v>2</v>
      </c>
      <c r="S88" s="5">
        <f t="shared" si="37"/>
        <v>3</v>
      </c>
      <c r="T88" s="5">
        <f t="shared" si="37"/>
        <v>307</v>
      </c>
    </row>
    <row r="89" spans="1:20" x14ac:dyDescent="0.4">
      <c r="A89" s="70"/>
      <c r="B89" s="71"/>
      <c r="C89" s="71"/>
      <c r="D89" s="71"/>
      <c r="E89" s="71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1:20" x14ac:dyDescent="0.4">
      <c r="A90" s="11" t="s">
        <v>48</v>
      </c>
      <c r="B90" s="17" t="s">
        <v>57</v>
      </c>
      <c r="C90" s="59" t="s">
        <v>58</v>
      </c>
      <c r="D90" s="60"/>
      <c r="E90" s="6">
        <v>2</v>
      </c>
      <c r="F90" s="6">
        <v>1</v>
      </c>
      <c r="G90" s="6">
        <v>6</v>
      </c>
      <c r="H90" s="6">
        <v>3</v>
      </c>
      <c r="I90" s="6">
        <v>0</v>
      </c>
      <c r="J90" s="6">
        <v>4</v>
      </c>
      <c r="K90" s="6">
        <v>6</v>
      </c>
      <c r="L90" s="6">
        <v>0</v>
      </c>
      <c r="M90" s="6">
        <v>4</v>
      </c>
      <c r="N90" s="6">
        <v>10</v>
      </c>
      <c r="O90" s="6">
        <v>3</v>
      </c>
      <c r="P90" s="6">
        <v>10</v>
      </c>
      <c r="Q90" s="6">
        <v>5</v>
      </c>
      <c r="R90" s="6">
        <v>0</v>
      </c>
      <c r="S90" s="6">
        <v>3</v>
      </c>
      <c r="T90" s="5">
        <f>SUM(E90:S90)</f>
        <v>57</v>
      </c>
    </row>
    <row r="91" spans="1:20" ht="13.15" customHeight="1" x14ac:dyDescent="0.4">
      <c r="A91" s="6" t="s">
        <v>26</v>
      </c>
      <c r="B91" s="53" t="s">
        <v>51</v>
      </c>
      <c r="C91" s="54"/>
      <c r="D91" s="55"/>
      <c r="E91" s="5">
        <f t="shared" ref="E91:T91" si="38">SUM(E90:E90)</f>
        <v>2</v>
      </c>
      <c r="F91" s="5">
        <f t="shared" si="38"/>
        <v>1</v>
      </c>
      <c r="G91" s="5">
        <f t="shared" si="38"/>
        <v>6</v>
      </c>
      <c r="H91" s="5">
        <f t="shared" si="38"/>
        <v>3</v>
      </c>
      <c r="I91" s="5">
        <f t="shared" si="38"/>
        <v>0</v>
      </c>
      <c r="J91" s="5">
        <f t="shared" si="38"/>
        <v>4</v>
      </c>
      <c r="K91" s="5">
        <f t="shared" si="38"/>
        <v>6</v>
      </c>
      <c r="L91" s="5">
        <f t="shared" si="38"/>
        <v>0</v>
      </c>
      <c r="M91" s="5">
        <f t="shared" si="38"/>
        <v>4</v>
      </c>
      <c r="N91" s="5">
        <f t="shared" si="38"/>
        <v>10</v>
      </c>
      <c r="O91" s="5">
        <f t="shared" si="38"/>
        <v>3</v>
      </c>
      <c r="P91" s="5">
        <f t="shared" si="38"/>
        <v>10</v>
      </c>
      <c r="Q91" s="5">
        <f t="shared" si="38"/>
        <v>5</v>
      </c>
      <c r="R91" s="5">
        <f t="shared" si="38"/>
        <v>0</v>
      </c>
      <c r="S91" s="5">
        <f t="shared" si="38"/>
        <v>3</v>
      </c>
      <c r="T91" s="5">
        <f t="shared" si="38"/>
        <v>57</v>
      </c>
    </row>
    <row r="92" spans="1:20" x14ac:dyDescent="0.4">
      <c r="A92" s="61"/>
      <c r="B92" s="62"/>
      <c r="C92" s="62"/>
      <c r="D92" s="62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5"/>
    </row>
    <row r="93" spans="1:20" x14ac:dyDescent="0.4">
      <c r="A93" s="11" t="s">
        <v>48</v>
      </c>
      <c r="B93" s="17" t="s">
        <v>59</v>
      </c>
      <c r="C93" s="59" t="s">
        <v>60</v>
      </c>
      <c r="D93" s="60"/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2</v>
      </c>
      <c r="K93" s="6">
        <v>0</v>
      </c>
      <c r="L93" s="6">
        <v>0</v>
      </c>
      <c r="M93" s="6">
        <v>1</v>
      </c>
      <c r="N93" s="6">
        <v>2</v>
      </c>
      <c r="O93" s="6">
        <v>0</v>
      </c>
      <c r="P93" s="6">
        <v>0</v>
      </c>
      <c r="Q93" s="6">
        <v>2</v>
      </c>
      <c r="R93" s="6">
        <v>0</v>
      </c>
      <c r="S93" s="6">
        <v>1</v>
      </c>
      <c r="T93" s="5">
        <f t="shared" ref="T93:T97" si="39">SUM(E93:S93)</f>
        <v>9</v>
      </c>
    </row>
    <row r="94" spans="1:20" x14ac:dyDescent="0.4">
      <c r="A94" s="11" t="s">
        <v>50</v>
      </c>
      <c r="B94" s="46">
        <v>1</v>
      </c>
      <c r="C94" s="24" t="s">
        <v>144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5">
        <f t="shared" si="39"/>
        <v>1</v>
      </c>
    </row>
    <row r="95" spans="1:20" x14ac:dyDescent="0.4">
      <c r="A95" s="7"/>
      <c r="B95" s="46">
        <v>2</v>
      </c>
      <c r="C95" s="24" t="s">
        <v>145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f t="shared" si="39"/>
        <v>1</v>
      </c>
    </row>
    <row r="96" spans="1:20" x14ac:dyDescent="0.4">
      <c r="A96" s="7"/>
      <c r="B96" s="46">
        <v>3</v>
      </c>
      <c r="C96" s="24" t="s">
        <v>146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39"/>
        <v>0</v>
      </c>
    </row>
    <row r="97" spans="1:20" x14ac:dyDescent="0.4">
      <c r="A97" s="7"/>
      <c r="B97" s="46">
        <v>4</v>
      </c>
      <c r="C97" s="24" t="s">
        <v>147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5">
        <f t="shared" si="39"/>
        <v>1</v>
      </c>
    </row>
    <row r="98" spans="1:20" x14ac:dyDescent="0.4">
      <c r="A98" s="6" t="s">
        <v>26</v>
      </c>
      <c r="B98" s="53" t="s">
        <v>51</v>
      </c>
      <c r="C98" s="54"/>
      <c r="D98" s="55"/>
      <c r="E98" s="5">
        <f t="shared" ref="E98:T98" si="40">SUM(E93:E97)</f>
        <v>0</v>
      </c>
      <c r="F98" s="5">
        <f t="shared" si="40"/>
        <v>0</v>
      </c>
      <c r="G98" s="5">
        <f t="shared" si="40"/>
        <v>0</v>
      </c>
      <c r="H98" s="5">
        <f t="shared" si="40"/>
        <v>0</v>
      </c>
      <c r="I98" s="5">
        <f t="shared" si="40"/>
        <v>2</v>
      </c>
      <c r="J98" s="5">
        <f t="shared" si="40"/>
        <v>2</v>
      </c>
      <c r="K98" s="5">
        <f t="shared" si="40"/>
        <v>0</v>
      </c>
      <c r="L98" s="5">
        <f t="shared" si="40"/>
        <v>0</v>
      </c>
      <c r="M98" s="5">
        <f t="shared" si="40"/>
        <v>2</v>
      </c>
      <c r="N98" s="5">
        <f t="shared" si="40"/>
        <v>3</v>
      </c>
      <c r="O98" s="5">
        <f t="shared" si="40"/>
        <v>0</v>
      </c>
      <c r="P98" s="5">
        <f t="shared" si="40"/>
        <v>0</v>
      </c>
      <c r="Q98" s="5">
        <f t="shared" si="40"/>
        <v>2</v>
      </c>
      <c r="R98" s="5">
        <f t="shared" si="40"/>
        <v>0</v>
      </c>
      <c r="S98" s="5">
        <f t="shared" si="40"/>
        <v>1</v>
      </c>
      <c r="T98" s="5">
        <f t="shared" si="40"/>
        <v>12</v>
      </c>
    </row>
    <row r="99" spans="1:20" x14ac:dyDescent="0.4">
      <c r="A99" s="61"/>
      <c r="B99" s="62"/>
      <c r="C99" s="62"/>
      <c r="D99" s="62"/>
      <c r="E99" s="6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1:20" x14ac:dyDescent="0.4">
      <c r="A100" s="11" t="s">
        <v>48</v>
      </c>
      <c r="B100" s="17" t="s">
        <v>61</v>
      </c>
      <c r="C100" s="59" t="s">
        <v>62</v>
      </c>
      <c r="D100" s="60"/>
      <c r="E100" s="6">
        <v>1</v>
      </c>
      <c r="F100" s="6">
        <v>0</v>
      </c>
      <c r="G100" s="6">
        <v>0</v>
      </c>
      <c r="H100" s="6">
        <v>1</v>
      </c>
      <c r="I100" s="6">
        <v>1</v>
      </c>
      <c r="J100" s="6">
        <v>2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</v>
      </c>
      <c r="R100" s="6">
        <v>0</v>
      </c>
      <c r="S100" s="6">
        <v>0</v>
      </c>
      <c r="T100" s="5">
        <f t="shared" ref="T100:T106" si="41">SUM(E100:S100)</f>
        <v>7</v>
      </c>
    </row>
    <row r="101" spans="1:20" ht="13.15" customHeight="1" x14ac:dyDescent="0.4">
      <c r="A101" s="11" t="s">
        <v>50</v>
      </c>
      <c r="B101" s="46">
        <v>1</v>
      </c>
      <c r="C101" s="24" t="s">
        <v>148</v>
      </c>
      <c r="D101" s="47"/>
      <c r="E101" s="6">
        <v>2</v>
      </c>
      <c r="F101" s="6">
        <v>0</v>
      </c>
      <c r="G101" s="6">
        <v>0</v>
      </c>
      <c r="H101" s="6">
        <v>2</v>
      </c>
      <c r="I101" s="6">
        <v>7</v>
      </c>
      <c r="J101" s="6">
        <v>0</v>
      </c>
      <c r="K101" s="6">
        <v>3</v>
      </c>
      <c r="L101" s="6">
        <v>2</v>
      </c>
      <c r="M101" s="6">
        <v>0</v>
      </c>
      <c r="N101" s="6">
        <v>1</v>
      </c>
      <c r="O101" s="6">
        <v>0</v>
      </c>
      <c r="P101" s="6">
        <v>1</v>
      </c>
      <c r="Q101" s="6">
        <v>12</v>
      </c>
      <c r="R101" s="6">
        <v>0</v>
      </c>
      <c r="S101" s="6">
        <v>4</v>
      </c>
      <c r="T101" s="5">
        <f t="shared" si="41"/>
        <v>34</v>
      </c>
    </row>
    <row r="102" spans="1:20" x14ac:dyDescent="0.4">
      <c r="A102" s="7"/>
      <c r="B102" s="46">
        <v>2</v>
      </c>
      <c r="C102" s="24" t="s">
        <v>149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5">
        <f t="shared" si="41"/>
        <v>0</v>
      </c>
    </row>
    <row r="103" spans="1:20" x14ac:dyDescent="0.4">
      <c r="A103" s="7"/>
      <c r="B103" s="46">
        <v>3</v>
      </c>
      <c r="C103" s="24" t="s">
        <v>150</v>
      </c>
      <c r="D103" s="47"/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5">
        <f t="shared" si="41"/>
        <v>0</v>
      </c>
    </row>
    <row r="104" spans="1:20" x14ac:dyDescent="0.4">
      <c r="A104" s="7"/>
      <c r="B104" s="46">
        <v>4</v>
      </c>
      <c r="C104" s="24" t="s">
        <v>151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5">
        <f t="shared" si="41"/>
        <v>0</v>
      </c>
    </row>
    <row r="105" spans="1:20" x14ac:dyDescent="0.4">
      <c r="A105" s="7"/>
      <c r="B105" s="46">
        <v>5</v>
      </c>
      <c r="C105" s="24" t="s">
        <v>152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5">
        <f t="shared" si="41"/>
        <v>0</v>
      </c>
    </row>
    <row r="106" spans="1:20" x14ac:dyDescent="0.4">
      <c r="A106" s="7"/>
      <c r="B106" s="46">
        <v>6</v>
      </c>
      <c r="C106" s="24" t="s">
        <v>153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5">
        <f t="shared" si="41"/>
        <v>0</v>
      </c>
    </row>
    <row r="107" spans="1:20" x14ac:dyDescent="0.4">
      <c r="A107" s="6" t="s">
        <v>26</v>
      </c>
      <c r="B107" s="53" t="s">
        <v>51</v>
      </c>
      <c r="C107" s="54"/>
      <c r="D107" s="55"/>
      <c r="E107" s="5">
        <f t="shared" ref="E107:T107" si="42">SUM(E100:E106)</f>
        <v>3</v>
      </c>
      <c r="F107" s="5">
        <f t="shared" si="42"/>
        <v>0</v>
      </c>
      <c r="G107" s="5">
        <f t="shared" si="42"/>
        <v>0</v>
      </c>
      <c r="H107" s="5">
        <f t="shared" si="42"/>
        <v>3</v>
      </c>
      <c r="I107" s="5">
        <f t="shared" si="42"/>
        <v>8</v>
      </c>
      <c r="J107" s="5">
        <f t="shared" si="42"/>
        <v>2</v>
      </c>
      <c r="K107" s="5">
        <f t="shared" si="42"/>
        <v>4</v>
      </c>
      <c r="L107" s="5">
        <f t="shared" si="42"/>
        <v>2</v>
      </c>
      <c r="M107" s="5">
        <f t="shared" si="42"/>
        <v>0</v>
      </c>
      <c r="N107" s="5">
        <f t="shared" si="42"/>
        <v>1</v>
      </c>
      <c r="O107" s="5">
        <f t="shared" si="42"/>
        <v>0</v>
      </c>
      <c r="P107" s="5">
        <f t="shared" si="42"/>
        <v>1</v>
      </c>
      <c r="Q107" s="5">
        <f t="shared" si="42"/>
        <v>13</v>
      </c>
      <c r="R107" s="5">
        <f t="shared" si="42"/>
        <v>0</v>
      </c>
      <c r="S107" s="5">
        <f t="shared" si="42"/>
        <v>4</v>
      </c>
      <c r="T107" s="5">
        <f t="shared" si="42"/>
        <v>41</v>
      </c>
    </row>
    <row r="108" spans="1:20" x14ac:dyDescent="0.4">
      <c r="A108" s="61"/>
      <c r="B108" s="62"/>
      <c r="C108" s="62"/>
      <c r="D108" s="62"/>
      <c r="E108" s="6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1:20" ht="13.15" customHeight="1" x14ac:dyDescent="0.4">
      <c r="A109" s="11" t="s">
        <v>48</v>
      </c>
      <c r="B109" s="17" t="s">
        <v>63</v>
      </c>
      <c r="C109" s="59" t="s">
        <v>64</v>
      </c>
      <c r="D109" s="60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1</v>
      </c>
      <c r="K109" s="6">
        <v>0</v>
      </c>
      <c r="L109" s="6">
        <v>0</v>
      </c>
      <c r="M109" s="6">
        <v>0</v>
      </c>
      <c r="N109" s="6">
        <v>3</v>
      </c>
      <c r="O109" s="6">
        <v>1</v>
      </c>
      <c r="P109" s="6">
        <v>1</v>
      </c>
      <c r="Q109" s="6">
        <v>0</v>
      </c>
      <c r="R109" s="6">
        <v>0</v>
      </c>
      <c r="S109" s="6">
        <v>0</v>
      </c>
      <c r="T109" s="5">
        <f>SUM(E109:S109)</f>
        <v>6</v>
      </c>
    </row>
    <row r="110" spans="1:20" x14ac:dyDescent="0.4">
      <c r="A110" s="11" t="s">
        <v>50</v>
      </c>
      <c r="B110" s="46">
        <v>1</v>
      </c>
      <c r="C110" s="24" t="s">
        <v>154</v>
      </c>
      <c r="D110" s="45"/>
      <c r="E110" s="6">
        <v>2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5">
        <f>SUM(E110:S110)</f>
        <v>2</v>
      </c>
    </row>
    <row r="111" spans="1:20" x14ac:dyDescent="0.4">
      <c r="A111" s="7"/>
      <c r="B111" s="46">
        <v>2</v>
      </c>
      <c r="C111" s="24" t="s">
        <v>155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5">
        <f>SUM(E111:S111)</f>
        <v>0</v>
      </c>
    </row>
    <row r="112" spans="1:20" x14ac:dyDescent="0.4">
      <c r="A112" s="7"/>
      <c r="B112" s="46">
        <v>3</v>
      </c>
      <c r="C112" s="24" t="s">
        <v>156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5">
        <f t="shared" ref="T112" si="43">SUM(E112:S112)</f>
        <v>0</v>
      </c>
    </row>
    <row r="113" spans="1:20" ht="13.15" customHeight="1" x14ac:dyDescent="0.4">
      <c r="A113" s="6" t="s">
        <v>26</v>
      </c>
      <c r="B113" s="53" t="s">
        <v>51</v>
      </c>
      <c r="C113" s="54"/>
      <c r="D113" s="55"/>
      <c r="E113" s="5">
        <f t="shared" ref="E113:T113" si="44">SUM(E109:E112)</f>
        <v>2</v>
      </c>
      <c r="F113" s="5">
        <f t="shared" si="44"/>
        <v>0</v>
      </c>
      <c r="G113" s="5">
        <f t="shared" si="44"/>
        <v>0</v>
      </c>
      <c r="H113" s="5">
        <f t="shared" si="44"/>
        <v>0</v>
      </c>
      <c r="I113" s="5">
        <f t="shared" si="44"/>
        <v>0</v>
      </c>
      <c r="J113" s="5">
        <f t="shared" si="44"/>
        <v>1</v>
      </c>
      <c r="K113" s="5">
        <f t="shared" si="44"/>
        <v>0</v>
      </c>
      <c r="L113" s="5">
        <f t="shared" si="44"/>
        <v>0</v>
      </c>
      <c r="M113" s="5">
        <f t="shared" si="44"/>
        <v>0</v>
      </c>
      <c r="N113" s="5">
        <f t="shared" si="44"/>
        <v>3</v>
      </c>
      <c r="O113" s="5">
        <f t="shared" si="44"/>
        <v>1</v>
      </c>
      <c r="P113" s="5">
        <f t="shared" si="44"/>
        <v>1</v>
      </c>
      <c r="Q113" s="5">
        <f t="shared" si="44"/>
        <v>0</v>
      </c>
      <c r="R113" s="5">
        <f t="shared" si="44"/>
        <v>0</v>
      </c>
      <c r="S113" s="5">
        <f t="shared" si="44"/>
        <v>0</v>
      </c>
      <c r="T113" s="5">
        <f t="shared" si="44"/>
        <v>8</v>
      </c>
    </row>
    <row r="114" spans="1:20" x14ac:dyDescent="0.4">
      <c r="A114" s="61"/>
      <c r="B114" s="62"/>
      <c r="C114" s="62"/>
      <c r="D114" s="62"/>
      <c r="E114" s="6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5"/>
    </row>
    <row r="115" spans="1:20" x14ac:dyDescent="0.4">
      <c r="A115" s="11" t="s">
        <v>48</v>
      </c>
      <c r="B115" s="44" t="s">
        <v>65</v>
      </c>
      <c r="C115" s="67" t="s">
        <v>66</v>
      </c>
      <c r="D115" s="68"/>
      <c r="E115" s="6">
        <v>0</v>
      </c>
      <c r="F115" s="6">
        <v>2</v>
      </c>
      <c r="G115" s="6">
        <v>0</v>
      </c>
      <c r="H115" s="6">
        <v>0</v>
      </c>
      <c r="I115" s="6">
        <v>0</v>
      </c>
      <c r="J115" s="6">
        <v>1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5">
        <f t="shared" ref="T115:T121" si="45">SUM(E115:S115)</f>
        <v>4</v>
      </c>
    </row>
    <row r="116" spans="1:20" x14ac:dyDescent="0.4">
      <c r="A116" s="48" t="s">
        <v>50</v>
      </c>
      <c r="B116" s="46">
        <v>1</v>
      </c>
      <c r="C116" s="24" t="s">
        <v>157</v>
      </c>
      <c r="D116" s="47"/>
      <c r="E116" s="49">
        <v>3</v>
      </c>
      <c r="F116" s="6">
        <v>5</v>
      </c>
      <c r="G116" s="6">
        <v>0</v>
      </c>
      <c r="H116" s="6">
        <v>3</v>
      </c>
      <c r="I116" s="6">
        <v>0</v>
      </c>
      <c r="J116" s="6">
        <v>3</v>
      </c>
      <c r="K116" s="6">
        <v>0</v>
      </c>
      <c r="L116" s="6">
        <v>2</v>
      </c>
      <c r="M116" s="6">
        <v>5</v>
      </c>
      <c r="N116" s="6">
        <v>2</v>
      </c>
      <c r="O116" s="6">
        <v>1</v>
      </c>
      <c r="P116" s="6">
        <v>2</v>
      </c>
      <c r="Q116" s="6">
        <v>1</v>
      </c>
      <c r="R116" s="6">
        <v>0</v>
      </c>
      <c r="S116" s="6">
        <v>4</v>
      </c>
      <c r="T116" s="5">
        <f t="shared" si="45"/>
        <v>31</v>
      </c>
    </row>
    <row r="117" spans="1:20" x14ac:dyDescent="0.4">
      <c r="A117" s="7"/>
      <c r="B117" s="46">
        <v>2</v>
      </c>
      <c r="C117" s="24" t="s">
        <v>158</v>
      </c>
      <c r="D117" s="47"/>
      <c r="E117" s="49">
        <v>1</v>
      </c>
      <c r="F117" s="6">
        <v>0</v>
      </c>
      <c r="G117" s="6">
        <v>0</v>
      </c>
      <c r="H117" s="6">
        <v>0</v>
      </c>
      <c r="I117" s="6"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5">
        <f t="shared" si="45"/>
        <v>3</v>
      </c>
    </row>
    <row r="118" spans="1:20" x14ac:dyDescent="0.4">
      <c r="A118" s="7"/>
      <c r="B118" s="46">
        <v>3</v>
      </c>
      <c r="C118" s="24" t="s">
        <v>159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f t="shared" si="45"/>
        <v>0</v>
      </c>
    </row>
    <row r="119" spans="1:20" x14ac:dyDescent="0.4">
      <c r="A119" s="7"/>
      <c r="B119" s="46">
        <v>4</v>
      </c>
      <c r="C119" s="24" t="s">
        <v>160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5">
        <f t="shared" si="45"/>
        <v>0</v>
      </c>
    </row>
    <row r="120" spans="1:20" x14ac:dyDescent="0.4">
      <c r="A120" s="7"/>
      <c r="B120" s="46">
        <v>5</v>
      </c>
      <c r="C120" s="24" t="s">
        <v>161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45"/>
        <v>0</v>
      </c>
    </row>
    <row r="121" spans="1:20" x14ac:dyDescent="0.4">
      <c r="A121" s="7"/>
      <c r="B121" s="46">
        <v>6</v>
      </c>
      <c r="C121" s="24" t="s">
        <v>162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 t="shared" si="45"/>
        <v>0</v>
      </c>
    </row>
    <row r="122" spans="1:20" x14ac:dyDescent="0.4">
      <c r="A122" s="6" t="s">
        <v>26</v>
      </c>
      <c r="B122" s="64" t="s">
        <v>51</v>
      </c>
      <c r="C122" s="65"/>
      <c r="D122" s="66"/>
      <c r="E122" s="5">
        <f t="shared" ref="E122:T122" si="46">SUM(E115:E121)</f>
        <v>4</v>
      </c>
      <c r="F122" s="5">
        <f t="shared" si="46"/>
        <v>7</v>
      </c>
      <c r="G122" s="5">
        <f t="shared" si="46"/>
        <v>0</v>
      </c>
      <c r="H122" s="5">
        <f t="shared" si="46"/>
        <v>3</v>
      </c>
      <c r="I122" s="5">
        <f t="shared" si="46"/>
        <v>2</v>
      </c>
      <c r="J122" s="5">
        <f t="shared" si="46"/>
        <v>4</v>
      </c>
      <c r="K122" s="5">
        <f t="shared" si="46"/>
        <v>1</v>
      </c>
      <c r="L122" s="5">
        <f t="shared" si="46"/>
        <v>2</v>
      </c>
      <c r="M122" s="5">
        <f t="shared" si="46"/>
        <v>5</v>
      </c>
      <c r="N122" s="5">
        <f t="shared" si="46"/>
        <v>2</v>
      </c>
      <c r="O122" s="5">
        <f t="shared" si="46"/>
        <v>1</v>
      </c>
      <c r="P122" s="5">
        <f t="shared" si="46"/>
        <v>2</v>
      </c>
      <c r="Q122" s="5">
        <f t="shared" si="46"/>
        <v>1</v>
      </c>
      <c r="R122" s="5">
        <f t="shared" si="46"/>
        <v>0</v>
      </c>
      <c r="S122" s="5">
        <f t="shared" si="46"/>
        <v>4</v>
      </c>
      <c r="T122" s="5">
        <f t="shared" si="46"/>
        <v>38</v>
      </c>
    </row>
    <row r="123" spans="1:20" x14ac:dyDescent="0.4">
      <c r="A123" s="61"/>
      <c r="B123" s="62"/>
      <c r="C123" s="62"/>
      <c r="D123" s="62"/>
      <c r="E123" s="6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ht="13.15" customHeight="1" x14ac:dyDescent="0.4">
      <c r="A124" s="11" t="s">
        <v>48</v>
      </c>
      <c r="B124" s="17" t="s">
        <v>67</v>
      </c>
      <c r="C124" s="59" t="s">
        <v>68</v>
      </c>
      <c r="D124" s="60"/>
      <c r="E124" s="6">
        <v>0</v>
      </c>
      <c r="F124" s="6">
        <v>0</v>
      </c>
      <c r="G124" s="6">
        <v>0</v>
      </c>
      <c r="H124" s="6">
        <v>1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5">
        <f>SUM(E124:S124)</f>
        <v>2</v>
      </c>
    </row>
    <row r="125" spans="1:20" x14ac:dyDescent="0.4">
      <c r="A125" s="6" t="s">
        <v>26</v>
      </c>
      <c r="B125" s="53" t="s">
        <v>51</v>
      </c>
      <c r="C125" s="54"/>
      <c r="D125" s="55"/>
      <c r="E125" s="5">
        <f t="shared" ref="E125:T125" si="47">SUM(E124:E124)</f>
        <v>0</v>
      </c>
      <c r="F125" s="5">
        <f t="shared" si="47"/>
        <v>0</v>
      </c>
      <c r="G125" s="5">
        <f t="shared" si="47"/>
        <v>0</v>
      </c>
      <c r="H125" s="5">
        <f t="shared" si="47"/>
        <v>1</v>
      </c>
      <c r="I125" s="5">
        <f t="shared" si="47"/>
        <v>0</v>
      </c>
      <c r="J125" s="5">
        <f t="shared" si="47"/>
        <v>1</v>
      </c>
      <c r="K125" s="5">
        <f t="shared" si="47"/>
        <v>0</v>
      </c>
      <c r="L125" s="5">
        <f t="shared" si="47"/>
        <v>0</v>
      </c>
      <c r="M125" s="5">
        <f t="shared" si="47"/>
        <v>0</v>
      </c>
      <c r="N125" s="5">
        <f t="shared" si="47"/>
        <v>0</v>
      </c>
      <c r="O125" s="5">
        <f t="shared" si="47"/>
        <v>0</v>
      </c>
      <c r="P125" s="5">
        <f t="shared" si="47"/>
        <v>0</v>
      </c>
      <c r="Q125" s="5">
        <f t="shared" si="47"/>
        <v>0</v>
      </c>
      <c r="R125" s="5">
        <f t="shared" si="47"/>
        <v>0</v>
      </c>
      <c r="S125" s="5">
        <f t="shared" si="47"/>
        <v>0</v>
      </c>
      <c r="T125" s="5">
        <f t="shared" si="47"/>
        <v>2</v>
      </c>
    </row>
    <row r="126" spans="1:20" ht="13.15" customHeight="1" x14ac:dyDescent="0.4">
      <c r="A126" s="61"/>
      <c r="B126" s="62"/>
      <c r="C126" s="62"/>
      <c r="D126" s="62"/>
      <c r="E126" s="6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1:20" x14ac:dyDescent="0.4">
      <c r="A127" s="11" t="s">
        <v>48</v>
      </c>
      <c r="B127" s="17" t="s">
        <v>69</v>
      </c>
      <c r="C127" s="59" t="s">
        <v>70</v>
      </c>
      <c r="D127" s="60"/>
      <c r="E127" s="6">
        <v>1</v>
      </c>
      <c r="F127" s="6">
        <v>0</v>
      </c>
      <c r="G127" s="6">
        <v>0</v>
      </c>
      <c r="H127" s="6">
        <v>1</v>
      </c>
      <c r="I127" s="6">
        <v>0</v>
      </c>
      <c r="J127" s="6">
        <v>1</v>
      </c>
      <c r="K127" s="6">
        <v>0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1</v>
      </c>
      <c r="T127" s="5">
        <f t="shared" ref="T127:T133" si="48">SUM(E127:S127)</f>
        <v>5</v>
      </c>
    </row>
    <row r="128" spans="1:20" x14ac:dyDescent="0.4">
      <c r="A128" s="11" t="s">
        <v>50</v>
      </c>
      <c r="B128" s="46">
        <v>1</v>
      </c>
      <c r="C128" s="24" t="s">
        <v>163</v>
      </c>
      <c r="D128" s="47"/>
      <c r="E128" s="6">
        <v>0</v>
      </c>
      <c r="F128" s="6">
        <v>0</v>
      </c>
      <c r="G128" s="6">
        <v>0</v>
      </c>
      <c r="H128" s="6">
        <v>1</v>
      </c>
      <c r="I128" s="6">
        <v>0</v>
      </c>
      <c r="J128" s="6">
        <v>0</v>
      </c>
      <c r="K128" s="6">
        <v>0</v>
      </c>
      <c r="L128" s="6">
        <v>1</v>
      </c>
      <c r="M128" s="6">
        <v>0</v>
      </c>
      <c r="N128" s="6">
        <v>0</v>
      </c>
      <c r="O128" s="6">
        <v>0</v>
      </c>
      <c r="P128" s="6">
        <v>1</v>
      </c>
      <c r="Q128" s="6">
        <v>0</v>
      </c>
      <c r="R128" s="6">
        <v>0</v>
      </c>
      <c r="S128" s="6">
        <v>0</v>
      </c>
      <c r="T128" s="5">
        <f t="shared" si="48"/>
        <v>3</v>
      </c>
    </row>
    <row r="129" spans="1:20" x14ac:dyDescent="0.4">
      <c r="A129" s="7"/>
      <c r="B129" s="46">
        <v>2</v>
      </c>
      <c r="C129" s="24" t="s">
        <v>164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5">
        <f t="shared" si="48"/>
        <v>2</v>
      </c>
    </row>
    <row r="130" spans="1:20" x14ac:dyDescent="0.4">
      <c r="A130" s="7"/>
      <c r="B130" s="46">
        <v>3</v>
      </c>
      <c r="C130" s="24" t="s">
        <v>165</v>
      </c>
      <c r="D130" s="47"/>
      <c r="E130" s="6">
        <v>0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f t="shared" si="48"/>
        <v>1</v>
      </c>
    </row>
    <row r="131" spans="1:20" x14ac:dyDescent="0.4">
      <c r="A131" s="7"/>
      <c r="B131" s="46">
        <v>4</v>
      </c>
      <c r="C131" s="24" t="s">
        <v>166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5">
        <f t="shared" si="48"/>
        <v>0</v>
      </c>
    </row>
    <row r="132" spans="1:20" x14ac:dyDescent="0.4">
      <c r="A132" s="7"/>
      <c r="B132" s="46">
        <v>5</v>
      </c>
      <c r="C132" s="24" t="s">
        <v>167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48"/>
        <v>0</v>
      </c>
    </row>
    <row r="133" spans="1:20" x14ac:dyDescent="0.4">
      <c r="A133" s="7"/>
      <c r="B133" s="46">
        <v>6</v>
      </c>
      <c r="C133" s="24" t="s">
        <v>168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 t="shared" si="48"/>
        <v>0</v>
      </c>
    </row>
    <row r="134" spans="1:20" ht="13.15" customHeight="1" x14ac:dyDescent="0.4">
      <c r="A134" s="6" t="s">
        <v>26</v>
      </c>
      <c r="B134" s="53" t="s">
        <v>51</v>
      </c>
      <c r="C134" s="54"/>
      <c r="D134" s="55"/>
      <c r="E134" s="5">
        <f t="shared" ref="E134:T134" si="49">SUM(E127:E133)</f>
        <v>1</v>
      </c>
      <c r="F134" s="5">
        <f t="shared" si="49"/>
        <v>1</v>
      </c>
      <c r="G134" s="5">
        <f t="shared" si="49"/>
        <v>0</v>
      </c>
      <c r="H134" s="5">
        <f t="shared" si="49"/>
        <v>2</v>
      </c>
      <c r="I134" s="5">
        <f t="shared" si="49"/>
        <v>0</v>
      </c>
      <c r="J134" s="5">
        <f t="shared" si="49"/>
        <v>1</v>
      </c>
      <c r="K134" s="5">
        <f t="shared" si="49"/>
        <v>0</v>
      </c>
      <c r="L134" s="5">
        <f t="shared" si="49"/>
        <v>1</v>
      </c>
      <c r="M134" s="5">
        <f t="shared" si="49"/>
        <v>0</v>
      </c>
      <c r="N134" s="5">
        <f t="shared" si="49"/>
        <v>1</v>
      </c>
      <c r="O134" s="5">
        <f t="shared" si="49"/>
        <v>1</v>
      </c>
      <c r="P134" s="5">
        <f t="shared" si="49"/>
        <v>1</v>
      </c>
      <c r="Q134" s="5">
        <f t="shared" si="49"/>
        <v>0</v>
      </c>
      <c r="R134" s="5">
        <f t="shared" si="49"/>
        <v>0</v>
      </c>
      <c r="S134" s="5">
        <f t="shared" si="49"/>
        <v>2</v>
      </c>
      <c r="T134" s="5">
        <f t="shared" si="49"/>
        <v>11</v>
      </c>
    </row>
    <row r="135" spans="1:20" x14ac:dyDescent="0.4">
      <c r="A135" s="61"/>
      <c r="B135" s="62"/>
      <c r="C135" s="62"/>
      <c r="D135" s="62"/>
      <c r="E135" s="6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5"/>
    </row>
    <row r="136" spans="1:20" x14ac:dyDescent="0.4">
      <c r="A136" s="11" t="s">
        <v>48</v>
      </c>
      <c r="B136" s="17" t="s">
        <v>71</v>
      </c>
      <c r="C136" s="59" t="s">
        <v>72</v>
      </c>
      <c r="D136" s="60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ref="T136:T141" si="50">SUM(E136:S136)</f>
        <v>0</v>
      </c>
    </row>
    <row r="137" spans="1:20" x14ac:dyDescent="0.4">
      <c r="A137" s="11" t="s">
        <v>50</v>
      </c>
      <c r="B137" s="46">
        <v>1</v>
      </c>
      <c r="C137" s="24" t="s">
        <v>169</v>
      </c>
      <c r="D137" s="47"/>
      <c r="E137" s="6">
        <v>0</v>
      </c>
      <c r="F137" s="6">
        <v>1</v>
      </c>
      <c r="G137" s="6">
        <v>0</v>
      </c>
      <c r="H137" s="6">
        <v>1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5">
        <f t="shared" si="50"/>
        <v>4</v>
      </c>
    </row>
    <row r="138" spans="1:20" x14ac:dyDescent="0.4">
      <c r="A138" s="7"/>
      <c r="B138" s="46">
        <v>2</v>
      </c>
      <c r="C138" s="24" t="s">
        <v>170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5">
        <f t="shared" si="50"/>
        <v>0</v>
      </c>
    </row>
    <row r="139" spans="1:20" x14ac:dyDescent="0.4">
      <c r="A139" s="7"/>
      <c r="B139" s="46">
        <v>3</v>
      </c>
      <c r="C139" s="24" t="s">
        <v>171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5">
        <f t="shared" si="50"/>
        <v>0</v>
      </c>
    </row>
    <row r="140" spans="1:20" x14ac:dyDescent="0.4">
      <c r="A140" s="7"/>
      <c r="B140" s="46">
        <v>4</v>
      </c>
      <c r="C140" s="24" t="s">
        <v>172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5">
        <f t="shared" si="50"/>
        <v>0</v>
      </c>
    </row>
    <row r="141" spans="1:20" x14ac:dyDescent="0.4">
      <c r="A141" s="7"/>
      <c r="B141" s="46">
        <v>5</v>
      </c>
      <c r="C141" s="24" t="s">
        <v>173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5">
        <f t="shared" si="50"/>
        <v>0</v>
      </c>
    </row>
    <row r="142" spans="1:20" x14ac:dyDescent="0.4">
      <c r="A142" s="6" t="s">
        <v>26</v>
      </c>
      <c r="B142" s="53" t="s">
        <v>51</v>
      </c>
      <c r="C142" s="54"/>
      <c r="D142" s="55"/>
      <c r="E142" s="5">
        <f t="shared" ref="E142:T142" si="51">SUM(E136:E141)</f>
        <v>0</v>
      </c>
      <c r="F142" s="5">
        <f t="shared" si="51"/>
        <v>1</v>
      </c>
      <c r="G142" s="5">
        <f t="shared" si="51"/>
        <v>0</v>
      </c>
      <c r="H142" s="5">
        <f t="shared" si="51"/>
        <v>1</v>
      </c>
      <c r="I142" s="5">
        <f t="shared" si="51"/>
        <v>0</v>
      </c>
      <c r="J142" s="5">
        <f t="shared" si="51"/>
        <v>0</v>
      </c>
      <c r="K142" s="5">
        <f t="shared" si="51"/>
        <v>1</v>
      </c>
      <c r="L142" s="5">
        <f t="shared" si="51"/>
        <v>0</v>
      </c>
      <c r="M142" s="5">
        <f t="shared" si="51"/>
        <v>0</v>
      </c>
      <c r="N142" s="5">
        <f t="shared" si="51"/>
        <v>0</v>
      </c>
      <c r="O142" s="5">
        <f t="shared" si="51"/>
        <v>0</v>
      </c>
      <c r="P142" s="5">
        <f t="shared" si="51"/>
        <v>1</v>
      </c>
      <c r="Q142" s="5">
        <f t="shared" si="51"/>
        <v>0</v>
      </c>
      <c r="R142" s="5">
        <f t="shared" si="51"/>
        <v>0</v>
      </c>
      <c r="S142" s="5">
        <f t="shared" si="51"/>
        <v>0</v>
      </c>
      <c r="T142" s="5">
        <f t="shared" si="51"/>
        <v>4</v>
      </c>
    </row>
    <row r="143" spans="1:20" x14ac:dyDescent="0.4">
      <c r="A143" s="61"/>
      <c r="B143" s="62"/>
      <c r="C143" s="62"/>
      <c r="D143" s="62"/>
      <c r="E143" s="6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1:20" x14ac:dyDescent="0.4">
      <c r="A144" s="11" t="s">
        <v>48</v>
      </c>
      <c r="B144" s="17" t="s">
        <v>73</v>
      </c>
      <c r="C144" s="59" t="s">
        <v>74</v>
      </c>
      <c r="D144" s="60"/>
      <c r="E144" s="6">
        <v>2</v>
      </c>
      <c r="F144" s="6">
        <v>0</v>
      </c>
      <c r="G144" s="6">
        <v>1</v>
      </c>
      <c r="H144" s="6">
        <v>2</v>
      </c>
      <c r="I144" s="6">
        <v>2</v>
      </c>
      <c r="J144" s="6">
        <v>0</v>
      </c>
      <c r="K144" s="6">
        <v>0</v>
      </c>
      <c r="L144" s="6">
        <v>1</v>
      </c>
      <c r="M144" s="6">
        <v>1</v>
      </c>
      <c r="N144" s="6">
        <v>0</v>
      </c>
      <c r="O144" s="6">
        <v>0</v>
      </c>
      <c r="P144" s="6">
        <v>1</v>
      </c>
      <c r="Q144" s="6">
        <v>3</v>
      </c>
      <c r="R144" s="6">
        <v>1</v>
      </c>
      <c r="S144" s="6">
        <v>2</v>
      </c>
      <c r="T144" s="5">
        <f t="shared" ref="T144:T150" si="52">SUM(E144:S144)</f>
        <v>16</v>
      </c>
    </row>
    <row r="145" spans="1:20" x14ac:dyDescent="0.4">
      <c r="A145" s="11" t="s">
        <v>50</v>
      </c>
      <c r="B145" s="46">
        <v>1</v>
      </c>
      <c r="C145" s="24" t="s">
        <v>174</v>
      </c>
      <c r="D145" s="47"/>
      <c r="E145" s="6">
        <v>0</v>
      </c>
      <c r="F145" s="6">
        <v>0</v>
      </c>
      <c r="G145" s="6">
        <v>0</v>
      </c>
      <c r="H145" s="6">
        <v>2</v>
      </c>
      <c r="I145" s="6">
        <v>0</v>
      </c>
      <c r="J145" s="6">
        <v>0</v>
      </c>
      <c r="K145" s="6">
        <v>0</v>
      </c>
      <c r="L145" s="6">
        <v>2</v>
      </c>
      <c r="M145" s="6">
        <v>0</v>
      </c>
      <c r="N145" s="6">
        <v>0</v>
      </c>
      <c r="O145" s="6">
        <v>1</v>
      </c>
      <c r="P145" s="6">
        <v>0</v>
      </c>
      <c r="Q145" s="6">
        <v>1</v>
      </c>
      <c r="R145" s="6">
        <v>0</v>
      </c>
      <c r="S145" s="6">
        <v>0</v>
      </c>
      <c r="T145" s="5">
        <f t="shared" si="52"/>
        <v>6</v>
      </c>
    </row>
    <row r="146" spans="1:20" x14ac:dyDescent="0.4">
      <c r="A146" s="7"/>
      <c r="B146" s="46">
        <v>2</v>
      </c>
      <c r="C146" s="24" t="s">
        <v>175</v>
      </c>
      <c r="D146" s="47"/>
      <c r="E146" s="6">
        <v>4</v>
      </c>
      <c r="F146" s="6">
        <v>2</v>
      </c>
      <c r="G146" s="6">
        <v>0</v>
      </c>
      <c r="H146" s="6">
        <v>0</v>
      </c>
      <c r="I146" s="6">
        <v>6</v>
      </c>
      <c r="J146" s="6">
        <v>15</v>
      </c>
      <c r="K146" s="6">
        <v>2</v>
      </c>
      <c r="L146" s="6">
        <v>0</v>
      </c>
      <c r="M146" s="6">
        <v>3</v>
      </c>
      <c r="N146" s="6">
        <v>2</v>
      </c>
      <c r="O146" s="6">
        <v>0</v>
      </c>
      <c r="P146" s="6">
        <v>5</v>
      </c>
      <c r="Q146" s="6">
        <v>12</v>
      </c>
      <c r="R146" s="6">
        <v>4</v>
      </c>
      <c r="S146" s="6">
        <v>0</v>
      </c>
      <c r="T146" s="5">
        <f t="shared" si="52"/>
        <v>55</v>
      </c>
    </row>
    <row r="147" spans="1:20" x14ac:dyDescent="0.4">
      <c r="A147" s="7"/>
      <c r="B147" s="46">
        <v>3</v>
      </c>
      <c r="C147" s="24" t="s">
        <v>176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1</v>
      </c>
      <c r="O147" s="6">
        <v>0</v>
      </c>
      <c r="P147" s="6">
        <v>1</v>
      </c>
      <c r="Q147" s="6">
        <v>0</v>
      </c>
      <c r="R147" s="6">
        <v>1</v>
      </c>
      <c r="S147" s="6">
        <v>0</v>
      </c>
      <c r="T147" s="5">
        <f t="shared" si="52"/>
        <v>3</v>
      </c>
    </row>
    <row r="148" spans="1:20" x14ac:dyDescent="0.4">
      <c r="A148" s="7"/>
      <c r="B148" s="46">
        <v>4</v>
      </c>
      <c r="C148" s="24" t="s">
        <v>177</v>
      </c>
      <c r="D148" s="47"/>
      <c r="E148" s="6">
        <v>0</v>
      </c>
      <c r="F148" s="6">
        <v>0</v>
      </c>
      <c r="G148" s="6">
        <v>0</v>
      </c>
      <c r="H148" s="6">
        <v>1</v>
      </c>
      <c r="I148" s="6">
        <v>0</v>
      </c>
      <c r="J148" s="6">
        <v>0</v>
      </c>
      <c r="K148" s="6">
        <v>0</v>
      </c>
      <c r="L148" s="6">
        <v>0</v>
      </c>
      <c r="M148" s="6">
        <v>1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5">
        <f t="shared" si="52"/>
        <v>2</v>
      </c>
    </row>
    <row r="149" spans="1:20" x14ac:dyDescent="0.4">
      <c r="A149" s="7"/>
      <c r="B149" s="46">
        <v>5</v>
      </c>
      <c r="C149" s="24" t="s">
        <v>178</v>
      </c>
      <c r="D149" s="47"/>
      <c r="E149" s="6">
        <v>0</v>
      </c>
      <c r="F149" s="6">
        <v>0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5">
        <f t="shared" si="52"/>
        <v>1</v>
      </c>
    </row>
    <row r="150" spans="1:20" ht="13.15" customHeight="1" x14ac:dyDescent="0.4">
      <c r="A150" s="7"/>
      <c r="B150" s="46">
        <v>6</v>
      </c>
      <c r="C150" s="24" t="s">
        <v>179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6">
        <v>0</v>
      </c>
      <c r="S150" s="6">
        <v>1</v>
      </c>
      <c r="T150" s="5">
        <f t="shared" si="52"/>
        <v>3</v>
      </c>
    </row>
    <row r="151" spans="1:20" x14ac:dyDescent="0.4">
      <c r="A151" s="6" t="s">
        <v>26</v>
      </c>
      <c r="B151" s="53" t="s">
        <v>51</v>
      </c>
      <c r="C151" s="54"/>
      <c r="D151" s="55"/>
      <c r="E151" s="5">
        <f t="shared" ref="E151:T151" si="53">SUM(E144:E150)</f>
        <v>6</v>
      </c>
      <c r="F151" s="5">
        <f t="shared" si="53"/>
        <v>2</v>
      </c>
      <c r="G151" s="5">
        <f t="shared" si="53"/>
        <v>2</v>
      </c>
      <c r="H151" s="5">
        <f t="shared" si="53"/>
        <v>5</v>
      </c>
      <c r="I151" s="5">
        <f t="shared" si="53"/>
        <v>8</v>
      </c>
      <c r="J151" s="5">
        <f t="shared" si="53"/>
        <v>16</v>
      </c>
      <c r="K151" s="5">
        <f t="shared" si="53"/>
        <v>2</v>
      </c>
      <c r="L151" s="5">
        <f t="shared" si="53"/>
        <v>3</v>
      </c>
      <c r="M151" s="5">
        <f t="shared" si="53"/>
        <v>5</v>
      </c>
      <c r="N151" s="5">
        <f t="shared" si="53"/>
        <v>3</v>
      </c>
      <c r="O151" s="5">
        <f t="shared" si="53"/>
        <v>1</v>
      </c>
      <c r="P151" s="5">
        <f t="shared" si="53"/>
        <v>7</v>
      </c>
      <c r="Q151" s="5">
        <f t="shared" si="53"/>
        <v>17</v>
      </c>
      <c r="R151" s="5">
        <f t="shared" si="53"/>
        <v>6</v>
      </c>
      <c r="S151" s="5">
        <f t="shared" si="53"/>
        <v>3</v>
      </c>
      <c r="T151" s="5">
        <f t="shared" si="53"/>
        <v>86</v>
      </c>
    </row>
    <row r="152" spans="1:20" x14ac:dyDescent="0.4">
      <c r="A152" s="61"/>
      <c r="B152" s="62"/>
      <c r="C152" s="62"/>
      <c r="D152" s="62"/>
      <c r="E152" s="6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x14ac:dyDescent="0.4">
      <c r="A153" s="11" t="s">
        <v>48</v>
      </c>
      <c r="B153" s="17" t="s">
        <v>75</v>
      </c>
      <c r="C153" s="59" t="s">
        <v>76</v>
      </c>
      <c r="D153" s="60"/>
      <c r="E153" s="6">
        <v>0</v>
      </c>
      <c r="F153" s="6">
        <v>1</v>
      </c>
      <c r="G153" s="6">
        <v>1</v>
      </c>
      <c r="H153" s="6">
        <v>0</v>
      </c>
      <c r="I153" s="6">
        <v>0</v>
      </c>
      <c r="J153" s="6">
        <v>2</v>
      </c>
      <c r="K153" s="6">
        <v>1</v>
      </c>
      <c r="L153" s="6">
        <v>0</v>
      </c>
      <c r="M153" s="6">
        <v>0</v>
      </c>
      <c r="N153" s="6">
        <v>1</v>
      </c>
      <c r="O153" s="6">
        <v>1</v>
      </c>
      <c r="P153" s="6">
        <v>0</v>
      </c>
      <c r="Q153" s="6">
        <v>1</v>
      </c>
      <c r="R153" s="6">
        <v>0</v>
      </c>
      <c r="S153" s="6">
        <v>1</v>
      </c>
      <c r="T153" s="5">
        <f>SUM(E153:S153)</f>
        <v>9</v>
      </c>
    </row>
    <row r="154" spans="1:20" x14ac:dyDescent="0.4">
      <c r="A154" s="11" t="s">
        <v>50</v>
      </c>
      <c r="B154" s="46">
        <v>1</v>
      </c>
      <c r="C154" s="24" t="s">
        <v>180</v>
      </c>
      <c r="D154" s="47"/>
      <c r="E154" s="6">
        <v>0</v>
      </c>
      <c r="F154" s="6">
        <v>4</v>
      </c>
      <c r="G154" s="6">
        <v>0</v>
      </c>
      <c r="H154" s="6">
        <v>4</v>
      </c>
      <c r="I154" s="6">
        <v>5</v>
      </c>
      <c r="J154" s="6">
        <v>16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>
        <v>1</v>
      </c>
      <c r="Q154" s="6">
        <v>0</v>
      </c>
      <c r="R154" s="6">
        <v>0</v>
      </c>
      <c r="S154" s="6">
        <v>7</v>
      </c>
      <c r="T154" s="5">
        <f>SUM(E154:S154)</f>
        <v>39</v>
      </c>
    </row>
    <row r="155" spans="1:20" x14ac:dyDescent="0.4">
      <c r="A155" s="7"/>
      <c r="B155" s="46">
        <v>2</v>
      </c>
      <c r="C155" s="24" t="s">
        <v>181</v>
      </c>
      <c r="D155" s="47"/>
      <c r="E155" s="6">
        <v>0</v>
      </c>
      <c r="F155" s="6">
        <v>1</v>
      </c>
      <c r="G155" s="6">
        <v>1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>SUM(E155:S155)</f>
        <v>3</v>
      </c>
    </row>
    <row r="156" spans="1:20" x14ac:dyDescent="0.4">
      <c r="A156" s="6" t="s">
        <v>26</v>
      </c>
      <c r="B156" s="53" t="s">
        <v>51</v>
      </c>
      <c r="C156" s="54"/>
      <c r="D156" s="55"/>
      <c r="E156" s="5">
        <f t="shared" ref="E156:T156" si="54">SUM(E153:E155)</f>
        <v>0</v>
      </c>
      <c r="F156" s="5">
        <f t="shared" si="54"/>
        <v>6</v>
      </c>
      <c r="G156" s="5">
        <f t="shared" si="54"/>
        <v>2</v>
      </c>
      <c r="H156" s="5">
        <f t="shared" si="54"/>
        <v>4</v>
      </c>
      <c r="I156" s="5">
        <f t="shared" si="54"/>
        <v>6</v>
      </c>
      <c r="J156" s="5">
        <f t="shared" si="54"/>
        <v>18</v>
      </c>
      <c r="K156" s="5">
        <f t="shared" si="54"/>
        <v>1</v>
      </c>
      <c r="L156" s="5">
        <f t="shared" si="54"/>
        <v>0</v>
      </c>
      <c r="M156" s="5">
        <f t="shared" si="54"/>
        <v>0</v>
      </c>
      <c r="N156" s="5">
        <f t="shared" si="54"/>
        <v>3</v>
      </c>
      <c r="O156" s="5">
        <f t="shared" si="54"/>
        <v>1</v>
      </c>
      <c r="P156" s="5">
        <f t="shared" si="54"/>
        <v>1</v>
      </c>
      <c r="Q156" s="5">
        <f t="shared" si="54"/>
        <v>1</v>
      </c>
      <c r="R156" s="5">
        <f t="shared" si="54"/>
        <v>0</v>
      </c>
      <c r="S156" s="5">
        <f t="shared" si="54"/>
        <v>8</v>
      </c>
      <c r="T156" s="5">
        <f t="shared" si="54"/>
        <v>51</v>
      </c>
    </row>
    <row r="157" spans="1:20" x14ac:dyDescent="0.4">
      <c r="A157" s="61"/>
      <c r="B157" s="62"/>
      <c r="C157" s="62"/>
      <c r="D157" s="62"/>
      <c r="E157" s="6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spans="1:20" x14ac:dyDescent="0.4">
      <c r="A158" s="11" t="s">
        <v>48</v>
      </c>
      <c r="B158" s="17" t="s">
        <v>77</v>
      </c>
      <c r="C158" s="59" t="s">
        <v>78</v>
      </c>
      <c r="D158" s="60"/>
      <c r="E158" s="6">
        <v>0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1</v>
      </c>
      <c r="R158" s="6">
        <v>0</v>
      </c>
      <c r="S158" s="6">
        <v>0</v>
      </c>
      <c r="T158" s="5">
        <f>SUM(E158:S158)</f>
        <v>3</v>
      </c>
    </row>
    <row r="159" spans="1:20" x14ac:dyDescent="0.4">
      <c r="A159" s="11" t="s">
        <v>50</v>
      </c>
      <c r="B159" s="46">
        <v>1</v>
      </c>
      <c r="C159" s="24" t="s">
        <v>182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3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5">
        <f>SUM(E159:S159)</f>
        <v>3</v>
      </c>
    </row>
    <row r="160" spans="1:20" x14ac:dyDescent="0.4">
      <c r="A160" s="7"/>
      <c r="B160" s="46">
        <v>2</v>
      </c>
      <c r="C160" s="24" t="s">
        <v>183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5">
        <f>SUM(E160:S160)</f>
        <v>0</v>
      </c>
    </row>
    <row r="161" spans="1:20" x14ac:dyDescent="0.4">
      <c r="A161" s="7"/>
      <c r="B161" s="46">
        <v>3</v>
      </c>
      <c r="C161" s="24" t="s">
        <v>184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5">
        <f t="shared" ref="T161" si="55">SUM(E161:S161)</f>
        <v>0</v>
      </c>
    </row>
    <row r="162" spans="1:20" x14ac:dyDescent="0.4">
      <c r="A162" s="6" t="s">
        <v>26</v>
      </c>
      <c r="B162" s="53" t="s">
        <v>51</v>
      </c>
      <c r="C162" s="54"/>
      <c r="D162" s="55"/>
      <c r="E162" s="5">
        <f t="shared" ref="E162:T162" si="56">SUM(E158:E161)</f>
        <v>0</v>
      </c>
      <c r="F162" s="5">
        <f t="shared" si="56"/>
        <v>0</v>
      </c>
      <c r="G162" s="5">
        <f t="shared" si="56"/>
        <v>0</v>
      </c>
      <c r="H162" s="5">
        <f t="shared" si="56"/>
        <v>0</v>
      </c>
      <c r="I162" s="5">
        <f t="shared" si="56"/>
        <v>1</v>
      </c>
      <c r="J162" s="5">
        <f t="shared" si="56"/>
        <v>3</v>
      </c>
      <c r="K162" s="5">
        <f t="shared" si="56"/>
        <v>0</v>
      </c>
      <c r="L162" s="5">
        <f t="shared" si="56"/>
        <v>0</v>
      </c>
      <c r="M162" s="5">
        <f t="shared" si="56"/>
        <v>0</v>
      </c>
      <c r="N162" s="5">
        <f t="shared" si="56"/>
        <v>1</v>
      </c>
      <c r="O162" s="5">
        <f t="shared" si="56"/>
        <v>0</v>
      </c>
      <c r="P162" s="5">
        <f t="shared" si="56"/>
        <v>0</v>
      </c>
      <c r="Q162" s="5">
        <f t="shared" si="56"/>
        <v>1</v>
      </c>
      <c r="R162" s="5">
        <f t="shared" si="56"/>
        <v>0</v>
      </c>
      <c r="S162" s="5">
        <f t="shared" si="56"/>
        <v>0</v>
      </c>
      <c r="T162" s="5">
        <f t="shared" si="56"/>
        <v>6</v>
      </c>
    </row>
    <row r="163" spans="1:20" x14ac:dyDescent="0.4">
      <c r="A163" s="61"/>
      <c r="B163" s="62"/>
      <c r="C163" s="62"/>
      <c r="D163" s="62"/>
      <c r="E163" s="6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1:20" x14ac:dyDescent="0.4">
      <c r="A164" s="11" t="s">
        <v>48</v>
      </c>
      <c r="B164" s="17" t="s">
        <v>79</v>
      </c>
      <c r="C164" s="59" t="s">
        <v>80</v>
      </c>
      <c r="D164" s="60"/>
      <c r="E164" s="6">
        <v>0</v>
      </c>
      <c r="F164" s="6">
        <v>0</v>
      </c>
      <c r="G164" s="6">
        <v>1</v>
      </c>
      <c r="H164" s="6">
        <v>1</v>
      </c>
      <c r="I164" s="6">
        <v>1</v>
      </c>
      <c r="J164" s="6">
        <v>0</v>
      </c>
      <c r="K164" s="6">
        <v>1</v>
      </c>
      <c r="L164" s="6">
        <v>0</v>
      </c>
      <c r="M164" s="6">
        <v>1</v>
      </c>
      <c r="N164" s="6">
        <v>2</v>
      </c>
      <c r="O164" s="6">
        <v>0</v>
      </c>
      <c r="P164" s="6">
        <v>1</v>
      </c>
      <c r="Q164" s="6">
        <v>3</v>
      </c>
      <c r="R164" s="6">
        <v>1</v>
      </c>
      <c r="S164" s="6">
        <v>0</v>
      </c>
      <c r="T164" s="5">
        <f t="shared" ref="T164:T170" si="57">SUM(E164:S164)</f>
        <v>12</v>
      </c>
    </row>
    <row r="165" spans="1:20" x14ac:dyDescent="0.4">
      <c r="A165" s="11" t="s">
        <v>50</v>
      </c>
      <c r="B165" s="46">
        <v>1</v>
      </c>
      <c r="C165" s="24" t="s">
        <v>185</v>
      </c>
      <c r="D165" s="47"/>
      <c r="E165" s="6">
        <v>0</v>
      </c>
      <c r="F165" s="6">
        <v>0</v>
      </c>
      <c r="G165" s="6">
        <v>0</v>
      </c>
      <c r="H165" s="6">
        <v>2</v>
      </c>
      <c r="I165" s="6">
        <v>1</v>
      </c>
      <c r="J165" s="6">
        <v>1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1</v>
      </c>
      <c r="S165" s="6">
        <v>0</v>
      </c>
      <c r="T165" s="5">
        <f t="shared" si="57"/>
        <v>6</v>
      </c>
    </row>
    <row r="166" spans="1:20" x14ac:dyDescent="0.4">
      <c r="A166" s="7"/>
      <c r="B166" s="46">
        <v>2</v>
      </c>
      <c r="C166" s="24" t="s">
        <v>186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1</v>
      </c>
      <c r="S166" s="6">
        <v>0</v>
      </c>
      <c r="T166" s="5">
        <f t="shared" si="57"/>
        <v>2</v>
      </c>
    </row>
    <row r="167" spans="1:20" ht="13.15" customHeight="1" x14ac:dyDescent="0.4">
      <c r="A167" s="7"/>
      <c r="B167" s="46">
        <v>3</v>
      </c>
      <c r="C167" s="24" t="s">
        <v>187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5">
        <f t="shared" si="57"/>
        <v>0</v>
      </c>
    </row>
    <row r="168" spans="1:20" x14ac:dyDescent="0.4">
      <c r="A168" s="7"/>
      <c r="B168" s="46">
        <v>4</v>
      </c>
      <c r="C168" s="24" t="s">
        <v>188</v>
      </c>
      <c r="D168" s="47"/>
      <c r="E168" s="6">
        <v>0</v>
      </c>
      <c r="F168" s="6">
        <v>0</v>
      </c>
      <c r="G168" s="6">
        <v>2</v>
      </c>
      <c r="H168" s="6">
        <v>1</v>
      </c>
      <c r="I168" s="6">
        <v>1</v>
      </c>
      <c r="J168" s="6">
        <v>0</v>
      </c>
      <c r="K168" s="6">
        <v>0</v>
      </c>
      <c r="L168" s="6">
        <v>3</v>
      </c>
      <c r="M168" s="6">
        <v>1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5">
        <f t="shared" si="57"/>
        <v>8</v>
      </c>
    </row>
    <row r="169" spans="1:20" ht="12.75" customHeight="1" x14ac:dyDescent="0.4">
      <c r="A169" s="7"/>
      <c r="B169" s="46">
        <v>5</v>
      </c>
      <c r="C169" s="24" t="s">
        <v>189</v>
      </c>
      <c r="D169" s="47"/>
      <c r="E169" s="6">
        <v>0</v>
      </c>
      <c r="F169" s="6">
        <v>1</v>
      </c>
      <c r="G169" s="6">
        <v>0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1</v>
      </c>
      <c r="S169" s="6">
        <v>0</v>
      </c>
      <c r="T169" s="5">
        <f t="shared" si="57"/>
        <v>3</v>
      </c>
    </row>
    <row r="170" spans="1:20" x14ac:dyDescent="0.4">
      <c r="A170" s="7"/>
      <c r="B170" s="46">
        <v>6</v>
      </c>
      <c r="C170" s="24" t="s">
        <v>190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5">
        <f t="shared" si="57"/>
        <v>0</v>
      </c>
    </row>
    <row r="171" spans="1:20" ht="12.75" customHeight="1" x14ac:dyDescent="0.4">
      <c r="A171" s="6" t="s">
        <v>26</v>
      </c>
      <c r="B171" s="53" t="s">
        <v>51</v>
      </c>
      <c r="C171" s="54"/>
      <c r="D171" s="55"/>
      <c r="E171" s="5">
        <f t="shared" ref="E171:T171" si="58">SUM(E164:E170)</f>
        <v>0</v>
      </c>
      <c r="F171" s="5">
        <f t="shared" si="58"/>
        <v>1</v>
      </c>
      <c r="G171" s="5">
        <f t="shared" si="58"/>
        <v>3</v>
      </c>
      <c r="H171" s="5">
        <f t="shared" si="58"/>
        <v>5</v>
      </c>
      <c r="I171" s="5">
        <f t="shared" si="58"/>
        <v>3</v>
      </c>
      <c r="J171" s="5">
        <f t="shared" si="58"/>
        <v>1</v>
      </c>
      <c r="K171" s="5">
        <f t="shared" si="58"/>
        <v>1</v>
      </c>
      <c r="L171" s="5">
        <f t="shared" si="58"/>
        <v>3</v>
      </c>
      <c r="M171" s="5">
        <f t="shared" si="58"/>
        <v>2</v>
      </c>
      <c r="N171" s="5">
        <f t="shared" si="58"/>
        <v>2</v>
      </c>
      <c r="O171" s="5">
        <f t="shared" si="58"/>
        <v>0</v>
      </c>
      <c r="P171" s="5">
        <f t="shared" si="58"/>
        <v>1</v>
      </c>
      <c r="Q171" s="5">
        <f t="shared" si="58"/>
        <v>5</v>
      </c>
      <c r="R171" s="5">
        <f t="shared" si="58"/>
        <v>4</v>
      </c>
      <c r="S171" s="5">
        <f t="shared" si="58"/>
        <v>0</v>
      </c>
      <c r="T171" s="5">
        <f t="shared" si="58"/>
        <v>31</v>
      </c>
    </row>
    <row r="172" spans="1:20" x14ac:dyDescent="0.4">
      <c r="A172" s="61"/>
      <c r="B172" s="62"/>
      <c r="C172" s="62"/>
      <c r="D172" s="62"/>
      <c r="E172" s="63"/>
    </row>
    <row r="173" spans="1:20" x14ac:dyDescent="0.4">
      <c r="A173" s="11" t="s">
        <v>48</v>
      </c>
      <c r="B173" s="17" t="s">
        <v>81</v>
      </c>
      <c r="C173" s="59" t="s">
        <v>82</v>
      </c>
      <c r="D173" s="60"/>
      <c r="E173" s="6">
        <v>1</v>
      </c>
      <c r="F173" s="6">
        <v>2</v>
      </c>
      <c r="G173" s="6">
        <v>0</v>
      </c>
      <c r="H173" s="6">
        <v>1</v>
      </c>
      <c r="I173" s="6">
        <v>1</v>
      </c>
      <c r="J173" s="6">
        <v>0</v>
      </c>
      <c r="K173" s="6">
        <v>1</v>
      </c>
      <c r="L173" s="6">
        <v>0</v>
      </c>
      <c r="M173" s="6">
        <v>0</v>
      </c>
      <c r="N173" s="6">
        <v>3</v>
      </c>
      <c r="O173" s="6">
        <v>1</v>
      </c>
      <c r="P173" s="6">
        <v>0</v>
      </c>
      <c r="Q173" s="6">
        <v>1</v>
      </c>
      <c r="R173" s="6">
        <v>0</v>
      </c>
      <c r="S173" s="6">
        <v>1</v>
      </c>
      <c r="T173" s="5">
        <f>SUM(E173:S173)</f>
        <v>12</v>
      </c>
    </row>
    <row r="174" spans="1:20" x14ac:dyDescent="0.4">
      <c r="A174" s="11" t="s">
        <v>50</v>
      </c>
      <c r="B174" s="46">
        <v>1</v>
      </c>
      <c r="C174" s="24" t="s">
        <v>191</v>
      </c>
      <c r="D174" s="45"/>
      <c r="E174" s="6">
        <v>0</v>
      </c>
      <c r="F174" s="6">
        <v>1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5">
        <f>SUM(E174:S174)</f>
        <v>1</v>
      </c>
    </row>
    <row r="175" spans="1:20" x14ac:dyDescent="0.4">
      <c r="A175" s="7"/>
      <c r="B175" s="46">
        <v>2</v>
      </c>
      <c r="C175" s="24" t="s">
        <v>192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5">
        <f t="shared" ref="T175" si="59">SUM(E175:S175)</f>
        <v>0</v>
      </c>
    </row>
    <row r="176" spans="1:20" x14ac:dyDescent="0.4">
      <c r="A176" s="6" t="s">
        <v>26</v>
      </c>
      <c r="B176" s="53" t="s">
        <v>51</v>
      </c>
      <c r="C176" s="54"/>
      <c r="D176" s="55"/>
      <c r="E176" s="5">
        <f t="shared" ref="E176:T176" si="60">SUM(E173:E175)</f>
        <v>1</v>
      </c>
      <c r="F176" s="5">
        <f t="shared" si="60"/>
        <v>3</v>
      </c>
      <c r="G176" s="5">
        <f t="shared" si="60"/>
        <v>0</v>
      </c>
      <c r="H176" s="5">
        <f t="shared" si="60"/>
        <v>1</v>
      </c>
      <c r="I176" s="5">
        <f t="shared" si="60"/>
        <v>1</v>
      </c>
      <c r="J176" s="5">
        <f t="shared" si="60"/>
        <v>0</v>
      </c>
      <c r="K176" s="5">
        <f t="shared" si="60"/>
        <v>1</v>
      </c>
      <c r="L176" s="5">
        <f t="shared" si="60"/>
        <v>0</v>
      </c>
      <c r="M176" s="5">
        <f t="shared" si="60"/>
        <v>0</v>
      </c>
      <c r="N176" s="5">
        <f t="shared" si="60"/>
        <v>3</v>
      </c>
      <c r="O176" s="5">
        <f t="shared" si="60"/>
        <v>1</v>
      </c>
      <c r="P176" s="5">
        <f t="shared" si="60"/>
        <v>0</v>
      </c>
      <c r="Q176" s="5">
        <f t="shared" si="60"/>
        <v>1</v>
      </c>
      <c r="R176" s="5">
        <f t="shared" si="60"/>
        <v>0</v>
      </c>
      <c r="S176" s="5">
        <f t="shared" si="60"/>
        <v>1</v>
      </c>
      <c r="T176" s="5">
        <f t="shared" si="60"/>
        <v>13</v>
      </c>
    </row>
    <row r="178" spans="1:20" x14ac:dyDescent="0.4">
      <c r="A178" s="16" t="s">
        <v>83</v>
      </c>
      <c r="B178" s="56" t="s">
        <v>84</v>
      </c>
      <c r="C178" s="57"/>
      <c r="D178" s="58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x14ac:dyDescent="0.4">
      <c r="A179" s="16"/>
      <c r="B179" s="19" t="s">
        <v>85</v>
      </c>
      <c r="C179" s="51" t="s">
        <v>86</v>
      </c>
      <c r="D179" s="52"/>
      <c r="E179" s="6">
        <f t="shared" ref="E179:S179" si="61">E52+E61+E70+E79+E88+E91+E98+E107+E113+E122+E125+E134+E142+E151+E156+E162+E171+E176</f>
        <v>223</v>
      </c>
      <c r="F179" s="6">
        <f t="shared" si="61"/>
        <v>195</v>
      </c>
      <c r="G179" s="6">
        <f t="shared" si="61"/>
        <v>204</v>
      </c>
      <c r="H179" s="6">
        <f t="shared" si="61"/>
        <v>234</v>
      </c>
      <c r="I179" s="6">
        <f t="shared" si="61"/>
        <v>218</v>
      </c>
      <c r="J179" s="6">
        <f t="shared" si="61"/>
        <v>222</v>
      </c>
      <c r="K179" s="6">
        <f t="shared" si="61"/>
        <v>204</v>
      </c>
      <c r="L179" s="6">
        <f t="shared" si="61"/>
        <v>166</v>
      </c>
      <c r="M179" s="6">
        <f t="shared" si="61"/>
        <v>164</v>
      </c>
      <c r="N179" s="6">
        <f t="shared" si="61"/>
        <v>203</v>
      </c>
      <c r="O179" s="6">
        <f t="shared" si="61"/>
        <v>198</v>
      </c>
      <c r="P179" s="6">
        <f t="shared" si="61"/>
        <v>178</v>
      </c>
      <c r="Q179" s="6">
        <f t="shared" si="61"/>
        <v>225</v>
      </c>
      <c r="R179" s="6">
        <f t="shared" si="61"/>
        <v>280</v>
      </c>
      <c r="S179" s="6">
        <f t="shared" si="61"/>
        <v>177</v>
      </c>
      <c r="T179" s="5">
        <f>SUM(E179:S179)</f>
        <v>3091</v>
      </c>
    </row>
    <row r="180" spans="1:20" x14ac:dyDescent="0.4">
      <c r="A180" s="13"/>
      <c r="B180" s="19" t="s">
        <v>87</v>
      </c>
      <c r="C180" s="51" t="s">
        <v>88</v>
      </c>
      <c r="D180" s="52"/>
      <c r="E180" s="6">
        <v>20</v>
      </c>
      <c r="F180" s="6">
        <v>6</v>
      </c>
      <c r="G180" s="6">
        <v>24</v>
      </c>
      <c r="H180" s="6">
        <v>6</v>
      </c>
      <c r="I180" s="6">
        <v>20</v>
      </c>
      <c r="J180" s="6">
        <v>14</v>
      </c>
      <c r="K180" s="6">
        <v>16</v>
      </c>
      <c r="L180" s="6">
        <v>10</v>
      </c>
      <c r="M180" s="6">
        <v>12</v>
      </c>
      <c r="N180" s="6">
        <v>19</v>
      </c>
      <c r="O180" s="6">
        <v>8</v>
      </c>
      <c r="P180" s="6">
        <v>22</v>
      </c>
      <c r="Q180" s="6">
        <v>13</v>
      </c>
      <c r="R180" s="6">
        <v>4</v>
      </c>
      <c r="S180" s="6">
        <v>19</v>
      </c>
      <c r="T180" s="5">
        <f>SUM(E180:S180)</f>
        <v>213</v>
      </c>
    </row>
    <row r="181" spans="1:20" x14ac:dyDescent="0.4">
      <c r="A181" s="14"/>
      <c r="B181" s="19" t="s">
        <v>89</v>
      </c>
      <c r="C181" s="51" t="s">
        <v>90</v>
      </c>
      <c r="D181" s="52"/>
      <c r="E181" s="5">
        <f>SUM(E179:E180)</f>
        <v>243</v>
      </c>
      <c r="F181" s="5">
        <f t="shared" ref="F181:S181" si="62">SUM(F179:F180)</f>
        <v>201</v>
      </c>
      <c r="G181" s="5">
        <f t="shared" si="62"/>
        <v>228</v>
      </c>
      <c r="H181" s="5">
        <f t="shared" si="62"/>
        <v>240</v>
      </c>
      <c r="I181" s="5">
        <f t="shared" ref="I181:L181" si="63">SUM(I179:I180)</f>
        <v>238</v>
      </c>
      <c r="J181" s="5">
        <f t="shared" si="63"/>
        <v>236</v>
      </c>
      <c r="K181" s="5">
        <f t="shared" si="63"/>
        <v>220</v>
      </c>
      <c r="L181" s="5">
        <f t="shared" si="63"/>
        <v>176</v>
      </c>
      <c r="M181" s="5">
        <f t="shared" si="62"/>
        <v>176</v>
      </c>
      <c r="N181" s="5">
        <f t="shared" si="62"/>
        <v>222</v>
      </c>
      <c r="O181" s="5">
        <f t="shared" ref="O181:P181" si="64">SUM(O179:O180)</f>
        <v>206</v>
      </c>
      <c r="P181" s="5">
        <f t="shared" si="64"/>
        <v>200</v>
      </c>
      <c r="Q181" s="5">
        <f t="shared" si="62"/>
        <v>238</v>
      </c>
      <c r="R181" s="5">
        <f t="shared" si="62"/>
        <v>284</v>
      </c>
      <c r="S181" s="5">
        <f t="shared" si="62"/>
        <v>196</v>
      </c>
      <c r="T181" s="5">
        <f>SUM(E181:S181)</f>
        <v>3304</v>
      </c>
    </row>
  </sheetData>
  <mergeCells count="86">
    <mergeCell ref="A17:D17"/>
    <mergeCell ref="B12:D12"/>
    <mergeCell ref="E12:S12"/>
    <mergeCell ref="T12:T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2:D52"/>
    <mergeCell ref="B35:D35"/>
    <mergeCell ref="B36:D36"/>
    <mergeCell ref="A37:D37"/>
    <mergeCell ref="E37:M37"/>
    <mergeCell ref="B38:D38"/>
    <mergeCell ref="B39:C41"/>
    <mergeCell ref="A42:D42"/>
    <mergeCell ref="E42:M42"/>
    <mergeCell ref="B43:D43"/>
    <mergeCell ref="A44:D44"/>
    <mergeCell ref="C45:D45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142:D142"/>
    <mergeCell ref="B134:D134"/>
    <mergeCell ref="A135:E135"/>
    <mergeCell ref="A114:E114"/>
    <mergeCell ref="C115:D115"/>
    <mergeCell ref="B122:D122"/>
    <mergeCell ref="A123:E123"/>
    <mergeCell ref="C124:D124"/>
    <mergeCell ref="C136:D136"/>
    <mergeCell ref="B125:D125"/>
    <mergeCell ref="A126:E126"/>
    <mergeCell ref="C127:D127"/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</mergeCells>
  <phoneticPr fontId="8" type="noConversion"/>
  <conditionalFormatting sqref="E14:S15">
    <cfRule type="containsBlanks" dxfId="27" priority="20">
      <formula>LEN(TRIM(E14))=0</formula>
    </cfRule>
  </conditionalFormatting>
  <conditionalFormatting sqref="E19:S20">
    <cfRule type="containsBlanks" dxfId="26" priority="23">
      <formula>LEN(TRIM(E19))=0</formula>
    </cfRule>
  </conditionalFormatting>
  <conditionalFormatting sqref="E22:S23 E25:S26 E33:S33 E35:S35 E39:S40">
    <cfRule type="containsBlanks" dxfId="25" priority="24">
      <formula>LEN(TRIM(E22))=0</formula>
    </cfRule>
  </conditionalFormatting>
  <conditionalFormatting sqref="E30:S30">
    <cfRule type="expression" dxfId="24" priority="25">
      <formula>E30&lt;&gt;E47</formula>
    </cfRule>
    <cfRule type="expression" dxfId="23" priority="26">
      <formula>E30&lt;&gt;E34</formula>
    </cfRule>
  </conditionalFormatting>
  <conditionalFormatting sqref="E34:S34">
    <cfRule type="expression" dxfId="22" priority="105">
      <formula>E30&lt;&gt;E34</formula>
    </cfRule>
    <cfRule type="expression" dxfId="21" priority="106">
      <formula>E30=E34</formula>
    </cfRule>
    <cfRule type="expression" dxfId="20" priority="107">
      <formula>E34&lt;&gt;E30</formula>
    </cfRule>
    <cfRule type="expression" dxfId="19" priority="108">
      <formula>E34&lt;&gt;#REF!</formula>
    </cfRule>
  </conditionalFormatting>
  <conditionalFormatting sqref="E45:S51">
    <cfRule type="containsBlanks" dxfId="18" priority="19">
      <formula>LEN(TRIM(E45))=0</formula>
    </cfRule>
  </conditionalFormatting>
  <conditionalFormatting sqref="E54:S60">
    <cfRule type="containsBlanks" dxfId="17" priority="18">
      <formula>LEN(TRIM(E54))=0</formula>
    </cfRule>
  </conditionalFormatting>
  <conditionalFormatting sqref="E63:S69">
    <cfRule type="containsBlanks" dxfId="16" priority="17">
      <formula>LEN(TRIM(E63))=0</formula>
    </cfRule>
  </conditionalFormatting>
  <conditionalFormatting sqref="E72:S78">
    <cfRule type="containsBlanks" dxfId="15" priority="16">
      <formula>LEN(TRIM(E72))=0</formula>
    </cfRule>
  </conditionalFormatting>
  <conditionalFormatting sqref="E81:S87">
    <cfRule type="containsBlanks" dxfId="14" priority="15">
      <formula>LEN(TRIM(E81))=0</formula>
    </cfRule>
  </conditionalFormatting>
  <conditionalFormatting sqref="E90:S90">
    <cfRule type="containsBlanks" dxfId="13" priority="14">
      <formula>LEN(TRIM(E90))=0</formula>
    </cfRule>
  </conditionalFormatting>
  <conditionalFormatting sqref="E93:S97">
    <cfRule type="containsBlanks" dxfId="12" priority="1">
      <formula>LEN(TRIM(E93))=0</formula>
    </cfRule>
  </conditionalFormatting>
  <conditionalFormatting sqref="E100:S106">
    <cfRule type="containsBlanks" dxfId="11" priority="13">
      <formula>LEN(TRIM(E100))=0</formula>
    </cfRule>
  </conditionalFormatting>
  <conditionalFormatting sqref="E109:S112">
    <cfRule type="containsBlanks" dxfId="10" priority="12">
      <formula>LEN(TRIM(E109))=0</formula>
    </cfRule>
  </conditionalFormatting>
  <conditionalFormatting sqref="E115:S121">
    <cfRule type="containsBlanks" dxfId="9" priority="3">
      <formula>LEN(TRIM(E115))=0</formula>
    </cfRule>
  </conditionalFormatting>
  <conditionalFormatting sqref="E124:S124">
    <cfRule type="containsBlanks" dxfId="8" priority="11">
      <formula>LEN(TRIM(E124))=0</formula>
    </cfRule>
  </conditionalFormatting>
  <conditionalFormatting sqref="E127:S133">
    <cfRule type="containsBlanks" dxfId="7" priority="10">
      <formula>LEN(TRIM(E127))=0</formula>
    </cfRule>
  </conditionalFormatting>
  <conditionalFormatting sqref="E136:S141">
    <cfRule type="containsBlanks" dxfId="6" priority="9">
      <formula>LEN(TRIM(E136))=0</formula>
    </cfRule>
  </conditionalFormatting>
  <conditionalFormatting sqref="E144:S150">
    <cfRule type="containsBlanks" dxfId="5" priority="8">
      <formula>LEN(TRIM(E144))=0</formula>
    </cfRule>
  </conditionalFormatting>
  <conditionalFormatting sqref="E153:S155">
    <cfRule type="containsBlanks" dxfId="4" priority="7">
      <formula>LEN(TRIM(E153))=0</formula>
    </cfRule>
  </conditionalFormatting>
  <conditionalFormatting sqref="E158:S161">
    <cfRule type="containsBlanks" dxfId="3" priority="6">
      <formula>LEN(TRIM(E158))=0</formula>
    </cfRule>
  </conditionalFormatting>
  <conditionalFormatting sqref="E164:S170">
    <cfRule type="containsBlanks" dxfId="2" priority="5">
      <formula>LEN(TRIM(E164))=0</formula>
    </cfRule>
  </conditionalFormatting>
  <conditionalFormatting sqref="E173:S175">
    <cfRule type="containsBlanks" dxfId="1" priority="4">
      <formula>LEN(TRIM(E173))=0</formula>
    </cfRule>
  </conditionalFormatting>
  <conditionalFormatting sqref="E179:S180">
    <cfRule type="containsBlanks" dxfId="0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DPRD KABUPATEN</vt:lpstr>
      <vt:lpstr>BULUSAN</vt:lpstr>
      <vt:lpstr>BULUSARI</vt:lpstr>
      <vt:lpstr>GOMBENGSARI</vt:lpstr>
      <vt:lpstr>KALIPURO</vt:lpstr>
      <vt:lpstr>KELIR</vt:lpstr>
      <vt:lpstr>KETAPANG</vt:lpstr>
      <vt:lpstr>KLATAK</vt:lpstr>
      <vt:lpstr>PESUCEN</vt:lpstr>
      <vt:lpstr>TELEMUNG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2026-01-28T01:57:46Z</dcterms:modified>
</cp:coreProperties>
</file>