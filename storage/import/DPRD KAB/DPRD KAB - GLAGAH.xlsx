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RD KABUPATEN" sheetId="1" r:id="rId4"/>
    <sheet state="visible" name="BAKUNGAN" sheetId="2" r:id="rId5"/>
    <sheet state="visible" name="BANJARSARI" sheetId="3" r:id="rId6"/>
    <sheet state="visible" name="REJOSARI" sheetId="4" r:id="rId7"/>
    <sheet state="visible" name="KEMIREN" sheetId="5" r:id="rId8"/>
    <sheet state="visible" name="OLEHSARI" sheetId="6" r:id="rId9"/>
    <sheet state="visible" name="GLAGAH" sheetId="7" r:id="rId10"/>
    <sheet state="visible" name="PASPAN" sheetId="8" r:id="rId11"/>
    <sheet state="visible" name="TAMANSURUH" sheetId="9" r:id="rId12"/>
    <sheet state="visible" name="KENJO" sheetId="10" r:id="rId13"/>
    <sheet state="visible" name="KAMPUNGANYAR" sheetId="11" r:id="rId14"/>
  </sheets>
  <definedNames/>
  <calcPr/>
  <extLst>
    <ext uri="GoogleSheetsCustomDataVersion2">
      <go:sheetsCustomData xmlns:go="http://customooxmlschemas.google.com/" r:id="rId15" roundtripDataChecksum="t9QDdTxxo0XUPlV5lHWk9Ko6u9q4dZ3p+pgfVf4kv68="/>
    </ext>
  </extLst>
</workbook>
</file>

<file path=xl/sharedStrings.xml><?xml version="1.0" encoding="utf-8"?>
<sst xmlns="http://schemas.openxmlformats.org/spreadsheetml/2006/main" count="2973" uniqueCount="199">
  <si>
    <t>Kecamatan</t>
  </si>
  <si>
    <t>GLAGAH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</si>
  <si>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</si>
  <si>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</si>
  <si>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</si>
  <si>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</si>
  <si>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</si>
  <si>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</si>
  <si>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</si>
  <si>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</si>
  <si>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</si>
  <si>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</si>
  <si>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</si>
  <si>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</si>
  <si>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</si>
  <si>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</si>
  <si>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</si>
  <si>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</si>
  <si>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</si>
  <si>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</si>
  <si>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</si>
  <si>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</si>
  <si>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</si>
  <si>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</si>
  <si>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</si>
  <si>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</si>
  <si>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</si>
  <si>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</si>
  <si>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</si>
  <si>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</si>
  <si>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</si>
  <si>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</si>
  <si>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</si>
  <si>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</si>
  <si>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</si>
  <si>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</si>
  <si>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</si>
  <si>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</si>
  <si>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</si>
  <si>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</si>
  <si>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ANITA RANI, S.H.</t>
  </si>
  <si>
    <t>2. ANISAH MAHSUNAH, S.E.</t>
  </si>
  <si>
    <t>3. SENARI, S.Sos.</t>
  </si>
  <si>
    <t>4. VERAGAWATI, S.H.</t>
  </si>
  <si>
    <t>5. KURDI EHSAN</t>
  </si>
  <si>
    <t>6. BONDAN ARDYWIJAYA</t>
  </si>
  <si>
    <t>JUMLAH SUARA SAH PARTAI POLITIK DAN CALON (A1 + A2)</t>
  </si>
  <si>
    <t>Partai Gerakan Indonesia Raya</t>
  </si>
  <si>
    <t>1. Ir. H. NAUFAL BADRI</t>
  </si>
  <si>
    <t>2. ALI MUSTAUFIQ, S.Pd.</t>
  </si>
  <si>
    <t>3. Ir. IRA STEPHANI RAWUNG, M.M.</t>
  </si>
  <si>
    <t>4. Hj. LISMIYANA</t>
  </si>
  <si>
    <t>5. RIFKI PRIA HARTAWAN USMAN, S.H.</t>
  </si>
  <si>
    <t>6. KUNTI MAULIDATAS SAFROH, S.Sos.</t>
  </si>
  <si>
    <t>Partai Demokrasi Indonesia Perjuangan</t>
  </si>
  <si>
    <t>1. TRI SOEDARYONO</t>
  </si>
  <si>
    <t>2. HEKSA SOEDARMADI, S.H.</t>
  </si>
  <si>
    <t>3. PRAMUDITA MAHARANI SAPUTRI</t>
  </si>
  <si>
    <t>4. SLAMET UTOMO</t>
  </si>
  <si>
    <t>5. MARCELINUS FLORIANUS GADI GAA</t>
  </si>
  <si>
    <t>6. RACHEL PUSPA ANGELIA</t>
  </si>
  <si>
    <t>Partai Golongan Karya</t>
  </si>
  <si>
    <t>1. EVA HESTIYAWATI, S.E.</t>
  </si>
  <si>
    <t>2. MAS DWI SONY WIDIANTO</t>
  </si>
  <si>
    <t>3. YULIANTO</t>
  </si>
  <si>
    <t>4. MOCH. ZAENI, S.H., M.H.</t>
  </si>
  <si>
    <t>5. MEGA ANASTASIA CRISTANTY</t>
  </si>
  <si>
    <t>6. IMAN SANTOSO, S.E., M.M.H.</t>
  </si>
  <si>
    <t>5.</t>
  </si>
  <si>
    <t>Partai NasDem</t>
  </si>
  <si>
    <t>1. ZAMRONI, S.H.</t>
  </si>
  <si>
    <t>2. AHMAD WIBISONO, S.T.</t>
  </si>
  <si>
    <t>3. Dra. EMY TRIASTUTIK, M.M.</t>
  </si>
  <si>
    <t>4. PEBDI ARISDIAWAN, S.E.</t>
  </si>
  <si>
    <t>5. BERNAT SIPAHUTAR, S.E.</t>
  </si>
  <si>
    <t>6. INDAH CATUR CAHYANINGTYAS</t>
  </si>
  <si>
    <t>6.</t>
  </si>
  <si>
    <t>Partai Buruh</t>
  </si>
  <si>
    <t>1. SULASTRI, S.H.</t>
  </si>
  <si>
    <t>7.</t>
  </si>
  <si>
    <t>Partai Gelombang Rakyat Indonesia</t>
  </si>
  <si>
    <t>1. H. SUGIARTO, S.E., M.Si.</t>
  </si>
  <si>
    <t>2. MUHTAR</t>
  </si>
  <si>
    <t>3. UNISSIAWATY</t>
  </si>
  <si>
    <t>4. DWI WAHYUDI</t>
  </si>
  <si>
    <t>5. ADINA MUTIARA KURNIAWAN, S.T.</t>
  </si>
  <si>
    <t>6. FIRMAN ISADI</t>
  </si>
  <si>
    <t>8.</t>
  </si>
  <si>
    <t>Partai Keadilan Sejahtera</t>
  </si>
  <si>
    <t>1. NENI VIANTIN DIYAH MARTIVA, S.Pd.</t>
  </si>
  <si>
    <t>2. RINO AHMAD MURAD</t>
  </si>
  <si>
    <t>3. ASROR FAHRUDIN</t>
  </si>
  <si>
    <t>4. ABDUL KARIM</t>
  </si>
  <si>
    <t>5. ZIA UL HAK, S.H., M.Kn.</t>
  </si>
  <si>
    <t>6. MUNA AZ ZAHRA</t>
  </si>
  <si>
    <t>9.</t>
  </si>
  <si>
    <t>Partai Kebangkitan Nusantara</t>
  </si>
  <si>
    <t>1. LILIS SURYANI</t>
  </si>
  <si>
    <t>10.</t>
  </si>
  <si>
    <t>Partai Hati Nurani Rakyat</t>
  </si>
  <si>
    <t>1. Ir. BASUKI RACHMAD</t>
  </si>
  <si>
    <t>2. H. VERDIYANTO WELLYA</t>
  </si>
  <si>
    <t>3. Hj. LILIK YULIATI, S.A.P.</t>
  </si>
  <si>
    <t>4. H. ABDUL HADI, S.Pd.I., M.Pd.</t>
  </si>
  <si>
    <t>5. SUGENG PRAMONO</t>
  </si>
  <si>
    <t>6. ERVIN YUNITASARI</t>
  </si>
  <si>
    <t>11.</t>
  </si>
  <si>
    <t>Partai Garda Republik Indonesia</t>
  </si>
  <si>
    <t>-</t>
  </si>
  <si>
    <t>12.</t>
  </si>
  <si>
    <t>Partai Amanat Nasional</t>
  </si>
  <si>
    <t>1. H. JUWAINI, S.E.</t>
  </si>
  <si>
    <t>2. KURAISIEN MILAPUSPA DEWI, S.E.</t>
  </si>
  <si>
    <t>3. ILZAM LUTFI</t>
  </si>
  <si>
    <t>4. AFIRDA AINIYA</t>
  </si>
  <si>
    <t>5. ABDUL WAHID</t>
  </si>
  <si>
    <t>6. MABRUR RAMADHANI</t>
  </si>
  <si>
    <t>13.</t>
  </si>
  <si>
    <t>Partai Bulan Bintang</t>
  </si>
  <si>
    <t>1. NUR HOLIS</t>
  </si>
  <si>
    <t>2. MOCHAMMAD SOFIYANDI</t>
  </si>
  <si>
    <t>3. DEWI CITRA FEBRIYANTI</t>
  </si>
  <si>
    <t>4. FAHMUL HUDA, S.Pd.</t>
  </si>
  <si>
    <t>5. ENDANG RETNOWATI</t>
  </si>
  <si>
    <t>6. DEDY ARY WYDIANTO</t>
  </si>
  <si>
    <t>14.</t>
  </si>
  <si>
    <t>Partai Demokrat</t>
  </si>
  <si>
    <t>1. YUNIETA NURCAHYANI INDRASARI, S.T.</t>
  </si>
  <si>
    <t>2. ANDI MULJO, S.Si., Apt.</t>
  </si>
  <si>
    <t>3. RICCO ANTAR BUDAYA, S.H., M.Kn.</t>
  </si>
  <si>
    <t>4. INTAN MAULIDIA ISLAMI</t>
  </si>
  <si>
    <t>5. AHMAD RISKI SAPUTRA</t>
  </si>
  <si>
    <t>6. ZAM ZAMI, S.E.</t>
  </si>
  <si>
    <t>15.</t>
  </si>
  <si>
    <t>Partai Solidaritas Indonesia</t>
  </si>
  <si>
    <t>1. RAGIL GALIH PERSADA</t>
  </si>
  <si>
    <t>2. AL IMAM ISATULIBAT, S.T.</t>
  </si>
  <si>
    <t>3. HERIBERTA ANDRI PURWANINGSIH</t>
  </si>
  <si>
    <t>4. IMAM MAHMUDI</t>
  </si>
  <si>
    <t>5. NETY MUFFIDAH</t>
  </si>
  <si>
    <t>16.</t>
  </si>
  <si>
    <t>PARTAI PERINDO</t>
  </si>
  <si>
    <t>1. KHAIRUL FALAH, S.Sos.</t>
  </si>
  <si>
    <t>2. Drs. SURYADI</t>
  </si>
  <si>
    <t>3. NUNGKY CHUKS MINANGSARY</t>
  </si>
  <si>
    <t>4. DYAH AYU SETIYOWATI</t>
  </si>
  <si>
    <t>5. Dr. SETYO UTOMO, S.H., M.Si.</t>
  </si>
  <si>
    <t>6. KAISAR AL HADI HAGGY AL HADDAR</t>
  </si>
  <si>
    <t>17.</t>
  </si>
  <si>
    <t>Partai Persatuan Pembangunan</t>
  </si>
  <si>
    <t>1. FUAD AHMAD</t>
  </si>
  <si>
    <t>2. JAWAHIRUL KAWAKIB, M.Pd.</t>
  </si>
  <si>
    <t>3. AMIRAH BELQIS RANA SHIBA A.</t>
  </si>
  <si>
    <t>4. HERY PURNOMO, S.H.</t>
  </si>
  <si>
    <t>5. ZAINULLAH</t>
  </si>
  <si>
    <t>6. ISTIN NURUL MARDIANA</t>
  </si>
  <si>
    <t>18.</t>
  </si>
  <si>
    <t>Partai Ummat</t>
  </si>
  <si>
    <t>1. HAWI SUYOSO, S.E.</t>
  </si>
  <si>
    <t>2. MAKHMUD ALI MURDOKO, S.Pd., M.Pd.</t>
  </si>
  <si>
    <t>3. MAYA ARDIANA SARI</t>
  </si>
  <si>
    <t>4. HOIRRUDIN MUSTOFA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</si>
  <si>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</si>
  <si>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</si>
  <si>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</si>
  <si>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</si>
  <si>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</si>
  <si>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</si>
  <si>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</si>
  <si>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</si>
  <si>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</si>
  <si>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BAKUNGAN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</si>
  <si>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</si>
  <si>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</si>
  <si>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</si>
  <si>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</si>
  <si>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</si>
  <si>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</si>
  <si>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</si>
  <si>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</si>
  <si>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</si>
  <si>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</si>
  <si>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</si>
  <si>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</si>
  <si>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</si>
  <si>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</si>
  <si>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</si>
  <si>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</si>
  <si>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BANJARSARI</t>
  </si>
  <si>
    <t>TPS 017</t>
  </si>
  <si>
    <t>TPS 018</t>
  </si>
  <si>
    <t>TPS 019</t>
  </si>
  <si>
    <t>REJOSARI</t>
  </si>
  <si>
    <t>KEMIREN</t>
  </si>
  <si>
    <t>OLEHSARI</t>
  </si>
  <si>
    <t>PASPAN</t>
  </si>
  <si>
    <t>TAMANSURUH</t>
  </si>
  <si>
    <t>KENJO</t>
  </si>
  <si>
    <t>KAMPUNGANYAR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</si>
</sst>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Calibri"/>
      <scheme val="minor"/>
    </font>
    <font>
      <sz val="10.0"/>
      <color rgb="FF000000"/>
      <name val="Bookman Old Style"/>
    </font>
    <font>
      <b/>
      <sz val="10.0"/>
      <color theme="1"/>
      <name val="Bookman Old Style"/>
    </font>
    <font>
      <sz val="10.0"/>
      <color theme="1"/>
      <name val="Arial"/>
    </font>
    <font/>
    <font>
      <sz val="10.0"/>
      <color theme="1"/>
      <name val="Bookman Old Style"/>
    </font>
    <font>
      <color theme="1"/>
      <name val="Bookman Old Styl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vertical="center"/>
    </xf>
    <xf borderId="0" fillId="0" fontId="3" numFmtId="0" xfId="0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left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vertical="center"/>
    </xf>
    <xf borderId="0" fillId="0" fontId="2" numFmtId="0" xfId="0" applyFont="1"/>
    <xf borderId="1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left" shrinkToFit="0" vertical="center" wrapText="1"/>
    </xf>
    <xf borderId="7" fillId="0" fontId="4" numFmtId="0" xfId="0" applyBorder="1" applyFont="1"/>
    <xf borderId="6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6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left" shrinkToFit="0" vertical="center" wrapText="1"/>
    </xf>
    <xf borderId="8" fillId="0" fontId="4" numFmtId="0" xfId="0" applyBorder="1" applyFont="1"/>
    <xf borderId="2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3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6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2" fillId="0" fontId="2" numFmtId="0" xfId="0" applyAlignment="1" applyBorder="1" applyFont="1">
      <alignment horizontal="center" vertical="center"/>
    </xf>
    <xf borderId="0" fillId="0" fontId="2" numFmtId="3" xfId="0" applyAlignment="1" applyFont="1" applyNumberFormat="1">
      <alignment horizontal="center"/>
    </xf>
    <xf borderId="0" fillId="0" fontId="5" numFmtId="0" xfId="0" applyAlignment="1" applyFont="1">
      <alignment vertical="center"/>
    </xf>
    <xf borderId="0" fillId="0" fontId="3" numFmtId="3" xfId="0" applyFont="1" applyNumberFormat="1"/>
    <xf borderId="11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shrinkToFit="0" vertical="center" wrapText="1"/>
    </xf>
    <xf borderId="12" fillId="0" fontId="5" numFmtId="0" xfId="0" applyAlignment="1" applyBorder="1" applyFont="1">
      <alignment horizontal="center" vertical="center"/>
    </xf>
    <xf borderId="12" fillId="0" fontId="4" numFmtId="0" xfId="0" applyBorder="1" applyFont="1"/>
    <xf borderId="12" fillId="0" fontId="2" numFmtId="0" xfId="0" applyAlignment="1" applyBorder="1" applyFont="1">
      <alignment horizontal="center" vertical="center"/>
    </xf>
    <xf borderId="13" fillId="0" fontId="4" numFmtId="0" xfId="0" applyBorder="1" applyFont="1"/>
    <xf borderId="8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6" fillId="0" fontId="5" numFmtId="0" xfId="0" applyAlignment="1" applyBorder="1" applyFont="1">
      <alignment vertical="center"/>
    </xf>
    <xf borderId="11" fillId="0" fontId="2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left" shrinkToFit="0" vertical="center" wrapText="1"/>
    </xf>
    <xf borderId="15" fillId="0" fontId="4" numFmtId="0" xfId="0" applyBorder="1" applyFont="1"/>
    <xf borderId="7" fillId="0" fontId="5" numFmtId="0" xfId="0" applyAlignment="1" applyBorder="1" applyFont="1">
      <alignment horizontal="center" vertical="center"/>
    </xf>
    <xf borderId="14" fillId="0" fontId="4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vertical="center"/>
    </xf>
    <xf borderId="15" fillId="0" fontId="3" numFmtId="0" xfId="0" applyBorder="1" applyFont="1"/>
    <xf borderId="16" fillId="2" fontId="5" numFmtId="0" xfId="0" applyAlignment="1" applyBorder="1" applyFill="1" applyFont="1">
      <alignment horizontal="center" vertical="center"/>
    </xf>
    <xf borderId="17" fillId="2" fontId="5" numFmtId="0" xfId="0" applyAlignment="1" applyBorder="1" applyFont="1">
      <alignment horizontal="center" vertical="center"/>
    </xf>
    <xf borderId="17" fillId="2" fontId="3" numFmtId="3" xfId="0" applyBorder="1" applyFont="1" applyNumberFormat="1"/>
    <xf borderId="17" fillId="2" fontId="3" numFmtId="0" xfId="0" applyBorder="1" applyFont="1"/>
    <xf borderId="3" fillId="0" fontId="2" numFmtId="0" xfId="0" applyAlignment="1" applyBorder="1" applyFont="1">
      <alignment horizontal="center" vertical="center"/>
    </xf>
    <xf borderId="4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1" fillId="0" fontId="5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2" fillId="0" fontId="5" numFmtId="0" xfId="0" applyAlignment="1" applyBorder="1" applyFont="1">
      <alignment vertical="center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7.14"/>
    <col customWidth="1" min="4" max="4" width="5.86"/>
    <col customWidth="1" min="5" max="5" width="21.71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0" customHeight="1"/>
    <row r="6" ht="15.0" customHeight="1"/>
    <row r="7" ht="15.0" customHeight="1"/>
    <row r="8" ht="15.0" customHeight="1">
      <c r="C8" s="1" t="s">
        <v>0</v>
      </c>
      <c r="D8" s="1" t="s">
        <v>1</v>
      </c>
    </row>
    <row r="9" ht="15.0" customHeight="1">
      <c r="C9" s="1" t="s">
        <v>2</v>
      </c>
      <c r="D9" s="1" t="s">
        <v>3</v>
      </c>
    </row>
    <row r="10" ht="15.0" customHeight="1">
      <c r="C10" s="1" t="s">
        <v>4</v>
      </c>
      <c r="D10" s="1" t="s">
        <v>5</v>
      </c>
    </row>
    <row r="11" ht="15.75" customHeight="1">
      <c r="A11" s="2"/>
      <c r="B11" s="3"/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4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6" t="s">
        <v>6</v>
      </c>
      <c r="B12" s="7" t="s">
        <v>7</v>
      </c>
      <c r="C12" s="8"/>
      <c r="D12" s="9"/>
      <c r="E12" s="10" t="s">
        <v>8</v>
      </c>
      <c r="F12" s="11"/>
      <c r="G12" s="5"/>
      <c r="H12" s="5"/>
      <c r="I12" s="5"/>
      <c r="J12" s="5"/>
      <c r="K12" s="5"/>
      <c r="L12" s="5"/>
      <c r="M12" s="5"/>
      <c r="N12" s="5"/>
      <c r="O12" s="5"/>
      <c r="P12" s="12"/>
      <c r="Q12" s="5"/>
      <c r="R12" s="5"/>
      <c r="S12" s="5"/>
      <c r="T12" s="5"/>
      <c r="U12" s="5"/>
      <c r="V12" s="5"/>
      <c r="W12" s="12"/>
      <c r="X12" s="5"/>
      <c r="Y12" s="5"/>
      <c r="Z12" s="5"/>
    </row>
    <row r="13" ht="15.75" customHeight="1">
      <c r="A13" s="13" t="s">
        <v>9</v>
      </c>
      <c r="B13" s="14" t="s">
        <v>10</v>
      </c>
      <c r="C13" s="8"/>
      <c r="D13" s="9"/>
      <c r="E13" s="15"/>
      <c r="F13" s="16"/>
      <c r="G13" s="2"/>
      <c r="H13" s="2"/>
      <c r="I13" s="2"/>
      <c r="J13" s="2"/>
      <c r="K13" s="2"/>
      <c r="L13" s="2"/>
      <c r="M13" s="2"/>
      <c r="N13" s="2"/>
      <c r="O13" s="2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5.75" customHeight="1">
      <c r="A14" s="18"/>
      <c r="B14" s="19" t="s">
        <v>11</v>
      </c>
      <c r="C14" s="20"/>
      <c r="D14" s="13" t="s">
        <v>12</v>
      </c>
      <c r="E14" s="21">
        <f>BAKUNGAN!U14+BANJARSARI!X14+REJOSARI!N14+KEMIREN!M14+OLEHSARI!N14+GLAGAH!M14+PASPAN!P14+TAMANSURUH!S14+KENJO!K14+KAMPUNGANYAR!T14</f>
        <v>13866</v>
      </c>
      <c r="F14" s="18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5.75" customHeight="1">
      <c r="A15" s="18"/>
      <c r="B15" s="25"/>
      <c r="C15" s="26"/>
      <c r="D15" s="13" t="s">
        <v>13</v>
      </c>
      <c r="E15" s="21">
        <f>BAKUNGAN!U15+BANJARSARI!X15+REJOSARI!N15+KEMIREN!M15+OLEHSARI!N15+GLAGAH!M15+PASPAN!P15+TAMANSURUH!S15+KENJO!K15+KAMPUNGANYAR!T15</f>
        <v>14693</v>
      </c>
      <c r="F15" s="18"/>
      <c r="G15" s="22"/>
      <c r="H15" s="22"/>
      <c r="I15" s="22"/>
      <c r="J15" s="22"/>
      <c r="K15" s="22"/>
      <c r="L15" s="22"/>
      <c r="M15" s="22"/>
      <c r="N15" s="22"/>
      <c r="O15" s="22"/>
      <c r="P15" s="23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5.75" customHeight="1">
      <c r="A16" s="16"/>
      <c r="B16" s="15"/>
      <c r="C16" s="27"/>
      <c r="D16" s="6" t="s">
        <v>14</v>
      </c>
      <c r="E16" s="28">
        <f>SUM(E14:E15)</f>
        <v>28559</v>
      </c>
      <c r="F16" s="16"/>
      <c r="G16" s="2"/>
      <c r="H16" s="2"/>
      <c r="I16" s="2"/>
      <c r="J16" s="2"/>
      <c r="K16" s="2"/>
      <c r="L16" s="2"/>
      <c r="M16" s="2"/>
      <c r="N16" s="2"/>
      <c r="O16" s="2"/>
      <c r="P16" s="29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5.75" customHeight="1">
      <c r="A17" s="21"/>
      <c r="B17" s="8"/>
      <c r="C17" s="8"/>
      <c r="D17" s="9"/>
      <c r="E17" s="21"/>
      <c r="F17" s="18"/>
      <c r="G17" s="22"/>
      <c r="H17" s="22"/>
      <c r="I17" s="22"/>
      <c r="J17" s="22"/>
      <c r="K17" s="22"/>
      <c r="L17" s="22"/>
      <c r="M17" s="22"/>
      <c r="N17" s="22"/>
      <c r="O17" s="30"/>
      <c r="P17" s="31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32" t="s">
        <v>15</v>
      </c>
      <c r="B18" s="14" t="s">
        <v>16</v>
      </c>
      <c r="C18" s="8"/>
      <c r="D18" s="9"/>
      <c r="E18" s="21"/>
      <c r="F18" s="18"/>
      <c r="G18" s="22"/>
      <c r="H18" s="22"/>
      <c r="I18" s="22"/>
      <c r="J18" s="22"/>
      <c r="K18" s="22"/>
      <c r="L18" s="22"/>
      <c r="M18" s="22"/>
      <c r="N18" s="22"/>
      <c r="O18" s="30"/>
      <c r="P18" s="31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32"/>
      <c r="B19" s="33" t="s">
        <v>17</v>
      </c>
      <c r="C19" s="34" t="s">
        <v>18</v>
      </c>
      <c r="D19" s="13" t="s">
        <v>12</v>
      </c>
      <c r="E19" s="21">
        <f>BAKUNGAN!U19+BANJARSARI!X19+REJOSARI!N19+KEMIREN!M19+OLEHSARI!N19+GLAGAH!M19+PASPAN!P19+TAMANSURUH!S19+KENJO!K19+KAMPUNGANYAR!T19</f>
        <v>11310</v>
      </c>
      <c r="F19" s="18"/>
      <c r="G19" s="22"/>
      <c r="H19" s="22"/>
      <c r="I19" s="22"/>
      <c r="J19" s="22"/>
      <c r="K19" s="22"/>
      <c r="L19" s="22"/>
      <c r="M19" s="22"/>
      <c r="N19" s="22"/>
      <c r="O19" s="22"/>
      <c r="P19" s="23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5.75" customHeight="1">
      <c r="A20" s="35"/>
      <c r="B20" s="26"/>
      <c r="C20" s="36"/>
      <c r="D20" s="13" t="s">
        <v>13</v>
      </c>
      <c r="E20" s="21">
        <f>BAKUNGAN!U20+BANJARSARI!X20+REJOSARI!N20+KEMIREN!M20+OLEHSARI!N20+GLAGAH!M20+PASPAN!P20+TAMANSURUH!S20+KENJO!K20+KAMPUNGANYAR!T20</f>
        <v>12650</v>
      </c>
      <c r="F20" s="18"/>
      <c r="G20" s="22"/>
      <c r="H20" s="22"/>
      <c r="I20" s="22"/>
      <c r="J20" s="22"/>
      <c r="K20" s="22"/>
      <c r="L20" s="22"/>
      <c r="M20" s="22"/>
      <c r="N20" s="22"/>
      <c r="O20" s="22"/>
      <c r="P20" s="23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5.75" customHeight="1">
      <c r="A21" s="37"/>
      <c r="B21" s="27"/>
      <c r="C21" s="38"/>
      <c r="D21" s="6" t="s">
        <v>14</v>
      </c>
      <c r="E21" s="28">
        <f>SUM(E19:E20)</f>
        <v>23960</v>
      </c>
      <c r="F21" s="16"/>
      <c r="G21" s="2"/>
      <c r="H21" s="2"/>
      <c r="I21" s="2"/>
      <c r="J21" s="2"/>
      <c r="K21" s="2"/>
      <c r="L21" s="2"/>
      <c r="M21" s="2"/>
      <c r="N21" s="2"/>
      <c r="O21" s="2"/>
      <c r="P21" s="29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35"/>
      <c r="B22" s="33" t="s">
        <v>19</v>
      </c>
      <c r="C22" s="34" t="s">
        <v>20</v>
      </c>
      <c r="D22" s="13" t="s">
        <v>12</v>
      </c>
      <c r="E22" s="21">
        <f>BAKUNGAN!U22+BANJARSARI!X22+REJOSARI!N22+KEMIREN!M22+OLEHSARI!N22+GLAGAH!M22+PASPAN!P22+TAMANSURUH!S22+KENJO!K22+KAMPUNGANYAR!T22</f>
        <v>30</v>
      </c>
      <c r="F22" s="18"/>
      <c r="G22" s="22"/>
      <c r="H22" s="22"/>
      <c r="I22" s="22"/>
      <c r="J22" s="22"/>
      <c r="K22" s="22"/>
      <c r="L22" s="22"/>
      <c r="M22" s="22"/>
      <c r="N22" s="22"/>
      <c r="O22" s="22"/>
      <c r="P22" s="23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5.75" customHeight="1">
      <c r="A23" s="35"/>
      <c r="B23" s="26"/>
      <c r="C23" s="36"/>
      <c r="D23" s="13" t="s">
        <v>13</v>
      </c>
      <c r="E23" s="21">
        <f>BAKUNGAN!U23+BANJARSARI!X23+REJOSARI!N23+KEMIREN!M23+OLEHSARI!N23+GLAGAH!M23+PASPAN!P23+TAMANSURUH!S23+KENJO!K23+KAMPUNGANYAR!T23</f>
        <v>52</v>
      </c>
      <c r="F23" s="18"/>
      <c r="G23" s="22"/>
      <c r="H23" s="22"/>
      <c r="I23" s="22"/>
      <c r="J23" s="22"/>
      <c r="K23" s="22"/>
      <c r="L23" s="22"/>
      <c r="M23" s="22"/>
      <c r="N23" s="22"/>
      <c r="O23" s="22"/>
      <c r="P23" s="23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5.75" customHeight="1">
      <c r="A24" s="37"/>
      <c r="B24" s="27"/>
      <c r="C24" s="38"/>
      <c r="D24" s="6" t="s">
        <v>14</v>
      </c>
      <c r="E24" s="28">
        <f>SUM(E22:E23)</f>
        <v>82</v>
      </c>
      <c r="F24" s="16"/>
      <c r="G24" s="2"/>
      <c r="H24" s="2"/>
      <c r="I24" s="2"/>
      <c r="J24" s="2"/>
      <c r="K24" s="2"/>
      <c r="L24" s="2"/>
      <c r="M24" s="2"/>
      <c r="N24" s="2"/>
      <c r="O24" s="2"/>
      <c r="P24" s="29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35"/>
      <c r="B25" s="33" t="s">
        <v>21</v>
      </c>
      <c r="C25" s="34" t="s">
        <v>22</v>
      </c>
      <c r="D25" s="13" t="s">
        <v>12</v>
      </c>
      <c r="E25" s="21">
        <f>BAKUNGAN!U25+BANJARSARI!X25+REJOSARI!N25+KEMIREN!M25+OLEHSARI!N25+GLAGAH!M25+PASPAN!P25+TAMANSURUH!S25+KENJO!K25+KAMPUNGANYAR!T25</f>
        <v>129</v>
      </c>
      <c r="F25" s="18"/>
      <c r="G25" s="22"/>
      <c r="H25" s="22"/>
      <c r="I25" s="22"/>
      <c r="J25" s="22"/>
      <c r="K25" s="22"/>
      <c r="L25" s="22"/>
      <c r="M25" s="22"/>
      <c r="N25" s="22"/>
      <c r="O25" s="22"/>
      <c r="P25" s="23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5.75" customHeight="1">
      <c r="A26" s="35"/>
      <c r="B26" s="26"/>
      <c r="C26" s="36"/>
      <c r="D26" s="13" t="s">
        <v>13</v>
      </c>
      <c r="E26" s="21">
        <f>BAKUNGAN!U26+BANJARSARI!X26+REJOSARI!N26+KEMIREN!M26+OLEHSARI!N26+GLAGAH!M26+PASPAN!P26+TAMANSURUH!S26+KENJO!K26+KAMPUNGANYAR!T26</f>
        <v>169</v>
      </c>
      <c r="F26" s="18"/>
      <c r="G26" s="22"/>
      <c r="H26" s="22"/>
      <c r="I26" s="22"/>
      <c r="J26" s="22"/>
      <c r="K26" s="22"/>
      <c r="L26" s="22"/>
      <c r="M26" s="22"/>
      <c r="N26" s="22"/>
      <c r="O26" s="22"/>
      <c r="P26" s="23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5.75" customHeight="1">
      <c r="A27" s="37"/>
      <c r="B27" s="27"/>
      <c r="C27" s="38"/>
      <c r="D27" s="6" t="s">
        <v>14</v>
      </c>
      <c r="E27" s="28">
        <f>SUM(E25:E26)</f>
        <v>298</v>
      </c>
      <c r="F27" s="16"/>
      <c r="G27" s="2"/>
      <c r="H27" s="2"/>
      <c r="I27" s="2"/>
      <c r="J27" s="2"/>
      <c r="K27" s="2"/>
      <c r="L27" s="2"/>
      <c r="M27" s="2"/>
      <c r="N27" s="2"/>
      <c r="O27" s="2"/>
      <c r="P27" s="29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37"/>
      <c r="B28" s="39" t="s">
        <v>23</v>
      </c>
      <c r="C28" s="40" t="s">
        <v>24</v>
      </c>
      <c r="D28" s="6" t="s">
        <v>12</v>
      </c>
      <c r="E28" s="28">
        <f t="shared" ref="E28:E29" si="1">E19+E22+E25</f>
        <v>11469</v>
      </c>
      <c r="F28" s="16"/>
      <c r="G28" s="2"/>
      <c r="H28" s="2"/>
      <c r="I28" s="2"/>
      <c r="J28" s="2"/>
      <c r="K28" s="2"/>
      <c r="L28" s="2"/>
      <c r="M28" s="2"/>
      <c r="N28" s="2"/>
      <c r="O28" s="2"/>
      <c r="P28" s="29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37"/>
      <c r="B29" s="26"/>
      <c r="C29" s="36"/>
      <c r="D29" s="6" t="s">
        <v>13</v>
      </c>
      <c r="E29" s="28">
        <f t="shared" si="1"/>
        <v>12871</v>
      </c>
      <c r="F29" s="16"/>
      <c r="G29" s="2"/>
      <c r="H29" s="2"/>
      <c r="I29" s="2"/>
      <c r="J29" s="2"/>
      <c r="K29" s="2"/>
      <c r="L29" s="2"/>
      <c r="M29" s="2"/>
      <c r="N29" s="2"/>
      <c r="O29" s="2"/>
      <c r="P29" s="29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37"/>
      <c r="B30" s="27"/>
      <c r="C30" s="38"/>
      <c r="D30" s="6" t="s">
        <v>14</v>
      </c>
      <c r="E30" s="28">
        <f>SUM(E28:E29)</f>
        <v>24340</v>
      </c>
      <c r="F30" s="16"/>
      <c r="G30" s="2"/>
      <c r="H30" s="2"/>
      <c r="I30" s="2"/>
      <c r="J30" s="2"/>
      <c r="K30" s="2"/>
      <c r="L30" s="2"/>
      <c r="M30" s="2"/>
      <c r="N30" s="2"/>
      <c r="O30" s="2"/>
      <c r="P30" s="29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21"/>
      <c r="B31" s="8"/>
      <c r="C31" s="8"/>
      <c r="D31" s="9"/>
      <c r="E31" s="41"/>
      <c r="F31" s="18"/>
      <c r="G31" s="22"/>
      <c r="H31" s="22"/>
      <c r="I31" s="22"/>
      <c r="J31" s="22"/>
      <c r="K31" s="22"/>
      <c r="L31" s="22"/>
      <c r="M31" s="22"/>
      <c r="N31" s="22"/>
      <c r="O31" s="30"/>
      <c r="P31" s="31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42" t="s">
        <v>25</v>
      </c>
      <c r="B32" s="7" t="s">
        <v>26</v>
      </c>
      <c r="C32" s="8"/>
      <c r="D32" s="9"/>
      <c r="E32" s="28"/>
      <c r="F32" s="16"/>
      <c r="G32" s="2"/>
      <c r="H32" s="2"/>
      <c r="I32" s="2"/>
      <c r="J32" s="2"/>
      <c r="K32" s="2"/>
      <c r="L32" s="2"/>
      <c r="M32" s="2"/>
      <c r="N32" s="2"/>
      <c r="O32" s="4"/>
      <c r="P32" s="31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3">
        <v>1.0</v>
      </c>
      <c r="B33" s="14" t="s">
        <v>27</v>
      </c>
      <c r="C33" s="8"/>
      <c r="D33" s="9"/>
      <c r="E33" s="21">
        <f>BAKUNGAN!U33+BANJARSARI!X33+REJOSARI!N33+KEMIREN!M33+OLEHSARI!N33+GLAGAH!M33+PASPAN!P33+TAMANSURUH!S33+KENJO!K33+KAMPUNGANYAR!T33</f>
        <v>29209</v>
      </c>
      <c r="F33" s="18"/>
      <c r="G33" s="22"/>
      <c r="H33" s="22"/>
      <c r="I33" s="22"/>
      <c r="J33" s="22"/>
      <c r="K33" s="22"/>
      <c r="L33" s="22"/>
      <c r="M33" s="22"/>
      <c r="N33" s="22"/>
      <c r="O33" s="22"/>
      <c r="P33" s="23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5.75" customHeight="1">
      <c r="A34" s="13">
        <v>2.0</v>
      </c>
      <c r="B34" s="14" t="s">
        <v>28</v>
      </c>
      <c r="C34" s="8"/>
      <c r="D34" s="9"/>
      <c r="E34" s="21">
        <f>BAKUNGAN!U34+BANJARSARI!X34+REJOSARI!N34+KEMIREN!M34+OLEHSARI!N34+GLAGAH!M34+PASPAN!P34+TAMANSURUH!S34+KENJO!K34+KAMPUNGANYAR!T34</f>
        <v>24340</v>
      </c>
      <c r="F34" s="16"/>
      <c r="G34" s="2"/>
      <c r="H34" s="2"/>
      <c r="I34" s="2"/>
      <c r="J34" s="2"/>
      <c r="K34" s="2"/>
      <c r="L34" s="2"/>
      <c r="M34" s="2"/>
      <c r="N34" s="2"/>
      <c r="O34" s="2"/>
      <c r="P34" s="29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3">
        <v>3.0</v>
      </c>
      <c r="B35" s="14" t="s">
        <v>29</v>
      </c>
      <c r="C35" s="8"/>
      <c r="D35" s="9"/>
      <c r="E35" s="21">
        <f>BAKUNGAN!U35+BANJARSARI!X35+REJOSARI!N35+KEMIREN!M35+OLEHSARI!N35+GLAGAH!M35+PASPAN!P35+TAMANSURUH!S35+KENJO!K35+KAMPUNGANYAR!T35</f>
        <v>35</v>
      </c>
      <c r="F35" s="18"/>
      <c r="G35" s="22"/>
      <c r="H35" s="22"/>
      <c r="I35" s="22"/>
      <c r="J35" s="22"/>
      <c r="K35" s="22"/>
      <c r="L35" s="22"/>
      <c r="M35" s="22"/>
      <c r="N35" s="22"/>
      <c r="O35" s="22"/>
      <c r="P35" s="23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5.75" customHeight="1">
      <c r="A36" s="13">
        <v>4.0</v>
      </c>
      <c r="B36" s="14" t="s">
        <v>30</v>
      </c>
      <c r="C36" s="8"/>
      <c r="D36" s="9"/>
      <c r="E36" s="28">
        <f>E33-(E34+E35)</f>
        <v>4834</v>
      </c>
      <c r="F36" s="16"/>
      <c r="G36" s="2"/>
      <c r="H36" s="2"/>
      <c r="I36" s="2"/>
      <c r="J36" s="2"/>
      <c r="K36" s="2"/>
      <c r="L36" s="2"/>
      <c r="M36" s="2"/>
      <c r="N36" s="2"/>
      <c r="O36" s="2"/>
      <c r="P36" s="29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21"/>
      <c r="B37" s="8"/>
      <c r="C37" s="8"/>
      <c r="D37" s="8"/>
      <c r="E37" s="8"/>
      <c r="F37" s="43"/>
      <c r="G37" s="5"/>
      <c r="H37" s="5"/>
      <c r="I37" s="5"/>
      <c r="J37" s="5"/>
      <c r="K37" s="22"/>
      <c r="L37" s="22"/>
      <c r="M37" s="22"/>
      <c r="N37" s="22"/>
      <c r="O37" s="30"/>
      <c r="P37" s="31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44" t="s">
        <v>31</v>
      </c>
      <c r="B38" s="7" t="s">
        <v>32</v>
      </c>
      <c r="C38" s="8"/>
      <c r="D38" s="9"/>
      <c r="E38" s="28"/>
      <c r="F38" s="16"/>
      <c r="G38" s="2"/>
      <c r="H38" s="2"/>
      <c r="I38" s="2"/>
      <c r="J38" s="2"/>
      <c r="K38" s="2"/>
      <c r="L38" s="2"/>
      <c r="M38" s="2"/>
      <c r="N38" s="2"/>
      <c r="O38" s="4"/>
      <c r="P38" s="31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2"/>
      <c r="B39" s="45" t="s">
        <v>33</v>
      </c>
      <c r="C39" s="20"/>
      <c r="D39" s="13" t="s">
        <v>12</v>
      </c>
      <c r="E39" s="21">
        <f>BAKUNGAN!U39+BANJARSARI!X39+REJOSARI!N39+KEMIREN!M39+OLEHSARI!N39+GLAGAH!M39+PASPAN!P39+TAMANSURUH!S39+KENJO!K39+KAMPUNGANYAR!T39</f>
        <v>25</v>
      </c>
      <c r="F39" s="18"/>
      <c r="G39" s="22"/>
      <c r="H39" s="22"/>
      <c r="I39" s="22"/>
      <c r="J39" s="22"/>
      <c r="K39" s="22"/>
      <c r="L39" s="22"/>
      <c r="M39" s="22"/>
      <c r="N39" s="22"/>
      <c r="O39" s="22"/>
      <c r="P39" s="23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5.75" customHeight="1">
      <c r="A40" s="35"/>
      <c r="C40" s="26"/>
      <c r="D40" s="13" t="s">
        <v>13</v>
      </c>
      <c r="E40" s="21">
        <f>BAKUNGAN!U40+BANJARSARI!X40+REJOSARI!N40+KEMIREN!M40+OLEHSARI!N40+GLAGAH!M40+PASPAN!P40+TAMANSURUH!S40+KENJO!K40+KAMPUNGANYAR!T40</f>
        <v>23</v>
      </c>
      <c r="F40" s="18"/>
      <c r="G40" s="22"/>
      <c r="H40" s="22"/>
      <c r="I40" s="22"/>
      <c r="J40" s="22"/>
      <c r="K40" s="22"/>
      <c r="L40" s="22"/>
      <c r="M40" s="22"/>
      <c r="N40" s="22"/>
      <c r="O40" s="22"/>
      <c r="P40" s="23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5.75" customHeight="1">
      <c r="A41" s="42"/>
      <c r="B41" s="46"/>
      <c r="C41" s="27"/>
      <c r="D41" s="6" t="s">
        <v>14</v>
      </c>
      <c r="E41" s="28">
        <f>SUM(E39:E40)</f>
        <v>48</v>
      </c>
      <c r="F41" s="16"/>
      <c r="G41" s="2"/>
      <c r="H41" s="2"/>
      <c r="I41" s="2"/>
      <c r="J41" s="2"/>
      <c r="K41" s="2"/>
      <c r="L41" s="2"/>
      <c r="M41" s="2"/>
      <c r="N41" s="2"/>
      <c r="O41" s="2"/>
      <c r="P41" s="29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47"/>
      <c r="B42" s="46"/>
      <c r="C42" s="46"/>
      <c r="D42" s="27"/>
      <c r="E42" s="21"/>
      <c r="F42" s="43"/>
      <c r="G42" s="5"/>
      <c r="H42" s="5"/>
      <c r="I42" s="5"/>
      <c r="J42" s="5"/>
      <c r="K42" s="22"/>
      <c r="L42" s="22"/>
      <c r="M42" s="22"/>
      <c r="N42" s="22"/>
      <c r="O42" s="30"/>
      <c r="P42" s="31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44" t="s">
        <v>34</v>
      </c>
      <c r="B43" s="7" t="s">
        <v>35</v>
      </c>
      <c r="C43" s="8"/>
      <c r="D43" s="9"/>
      <c r="E43" s="28"/>
      <c r="F43" s="16"/>
      <c r="G43" s="2"/>
      <c r="H43" s="2"/>
      <c r="I43" s="2"/>
      <c r="J43" s="2"/>
      <c r="K43" s="2"/>
      <c r="L43" s="2"/>
      <c r="M43" s="2"/>
      <c r="N43" s="2"/>
      <c r="O43" s="4"/>
      <c r="P43" s="31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45" t="s">
        <v>36</v>
      </c>
      <c r="B44" s="48"/>
      <c r="C44" s="48"/>
      <c r="D44" s="20"/>
      <c r="E44" s="21"/>
      <c r="F44" s="18"/>
      <c r="G44" s="22"/>
      <c r="H44" s="22"/>
      <c r="I44" s="22"/>
      <c r="J44" s="22"/>
      <c r="K44" s="22"/>
      <c r="L44" s="22"/>
      <c r="M44" s="22"/>
      <c r="N44" s="22"/>
      <c r="O44" s="30"/>
      <c r="P44" s="31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32" t="s">
        <v>37</v>
      </c>
      <c r="B45" s="49" t="s">
        <v>17</v>
      </c>
      <c r="C45" s="50" t="s">
        <v>38</v>
      </c>
      <c r="D45" s="9"/>
      <c r="E45" s="21">
        <f>BAKUNGAN!U45+BANJARSARI!X45+REJOSARI!N45+KEMIREN!M45+OLEHSARI!N45+GLAGAH!M45+PASPAN!P45+TAMANSURUH!S45+KENJO!K45+KAMPUNGANYAR!T45</f>
        <v>642</v>
      </c>
      <c r="F45" s="18"/>
      <c r="G45" s="22"/>
      <c r="H45" s="22"/>
      <c r="I45" s="22"/>
      <c r="J45" s="22"/>
      <c r="K45" s="22"/>
      <c r="L45" s="22"/>
      <c r="M45" s="22"/>
      <c r="N45" s="22"/>
      <c r="O45" s="22"/>
      <c r="P45" s="23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5.75" customHeight="1">
      <c r="A46" s="32" t="s">
        <v>39</v>
      </c>
      <c r="B46" s="51"/>
      <c r="C46" s="52" t="s">
        <v>40</v>
      </c>
      <c r="D46" s="53"/>
      <c r="E46" s="21">
        <f>BAKUNGAN!U46+BANJARSARI!X46+REJOSARI!N46+KEMIREN!M46+OLEHSARI!N46+GLAGAH!M46+PASPAN!P46+TAMANSURUH!S46+KENJO!K46+KAMPUNGANYAR!T46</f>
        <v>530</v>
      </c>
      <c r="F46" s="18"/>
      <c r="G46" s="22"/>
      <c r="H46" s="22"/>
      <c r="I46" s="22"/>
      <c r="J46" s="22"/>
      <c r="K46" s="22"/>
      <c r="L46" s="22"/>
      <c r="M46" s="22"/>
      <c r="N46" s="22"/>
      <c r="O46" s="22"/>
      <c r="P46" s="23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5.75" customHeight="1">
      <c r="A47" s="18"/>
      <c r="B47" s="51"/>
      <c r="C47" s="52" t="s">
        <v>41</v>
      </c>
      <c r="D47" s="53"/>
      <c r="E47" s="21">
        <f>BAKUNGAN!U47+BANJARSARI!X47+REJOSARI!N47+KEMIREN!M47+OLEHSARI!N47+GLAGAH!M47+PASPAN!P47+TAMANSURUH!S47+KENJO!K47+KAMPUNGANYAR!T47</f>
        <v>184</v>
      </c>
      <c r="F47" s="18"/>
      <c r="G47" s="22"/>
      <c r="H47" s="22"/>
      <c r="I47" s="22"/>
      <c r="J47" s="22"/>
      <c r="K47" s="22"/>
      <c r="L47" s="22"/>
      <c r="M47" s="22"/>
      <c r="N47" s="22"/>
      <c r="O47" s="22"/>
      <c r="P47" s="23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5.75" customHeight="1">
      <c r="A48" s="18"/>
      <c r="B48" s="51"/>
      <c r="C48" s="52" t="s">
        <v>42</v>
      </c>
      <c r="D48" s="53"/>
      <c r="E48" s="21">
        <f>BAKUNGAN!U48+BANJARSARI!X48+REJOSARI!N48+KEMIREN!M48+OLEHSARI!N48+GLAGAH!M48+PASPAN!P48+TAMANSURUH!S48+KENJO!K48+KAMPUNGANYAR!T48</f>
        <v>298</v>
      </c>
      <c r="F48" s="18"/>
      <c r="G48" s="22"/>
      <c r="H48" s="22"/>
      <c r="I48" s="22"/>
      <c r="J48" s="22"/>
      <c r="K48" s="22"/>
      <c r="L48" s="22"/>
      <c r="M48" s="22"/>
      <c r="N48" s="22"/>
      <c r="O48" s="22"/>
      <c r="P48" s="23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5.75" customHeight="1">
      <c r="A49" s="18"/>
      <c r="B49" s="51"/>
      <c r="C49" s="52" t="s">
        <v>43</v>
      </c>
      <c r="D49" s="53"/>
      <c r="E49" s="21">
        <f>BAKUNGAN!U49+BANJARSARI!X49+REJOSARI!N49+KEMIREN!M49+OLEHSARI!N49+GLAGAH!M49+PASPAN!P49+TAMANSURUH!S49+KENJO!K49+KAMPUNGANYAR!T49</f>
        <v>14</v>
      </c>
      <c r="F49" s="18"/>
      <c r="G49" s="22"/>
      <c r="H49" s="22"/>
      <c r="I49" s="22"/>
      <c r="J49" s="22"/>
      <c r="K49" s="22"/>
      <c r="L49" s="22"/>
      <c r="M49" s="22"/>
      <c r="N49" s="22"/>
      <c r="O49" s="22"/>
      <c r="P49" s="23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5.75" customHeight="1">
      <c r="A50" s="18"/>
      <c r="B50" s="51"/>
      <c r="C50" s="52" t="s">
        <v>44</v>
      </c>
      <c r="D50" s="53"/>
      <c r="E50" s="21">
        <f>BAKUNGAN!U50+BANJARSARI!X50+REJOSARI!N50+KEMIREN!M50+OLEHSARI!N50+GLAGAH!M50+PASPAN!P50+TAMANSURUH!S50+KENJO!K50+KAMPUNGANYAR!T50</f>
        <v>23</v>
      </c>
      <c r="F50" s="18"/>
      <c r="G50" s="22"/>
      <c r="H50" s="22"/>
      <c r="I50" s="22"/>
      <c r="J50" s="22"/>
      <c r="K50" s="22"/>
      <c r="L50" s="22"/>
      <c r="M50" s="22"/>
      <c r="N50" s="22"/>
      <c r="O50" s="22"/>
      <c r="P50" s="23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5.75" customHeight="1">
      <c r="A51" s="18"/>
      <c r="B51" s="51"/>
      <c r="C51" s="52" t="s">
        <v>45</v>
      </c>
      <c r="D51" s="53"/>
      <c r="E51" s="21">
        <f>BAKUNGAN!U51+BANJARSARI!X51+REJOSARI!N51+KEMIREN!M51+OLEHSARI!N51+GLAGAH!M51+PASPAN!P51+TAMANSURUH!S51+KENJO!K51+KAMPUNGANYAR!T51</f>
        <v>295</v>
      </c>
      <c r="F51" s="18"/>
      <c r="G51" s="22"/>
      <c r="H51" s="22"/>
      <c r="I51" s="22"/>
      <c r="J51" s="22"/>
      <c r="K51" s="22"/>
      <c r="L51" s="22"/>
      <c r="M51" s="22"/>
      <c r="N51" s="22"/>
      <c r="O51" s="22"/>
      <c r="P51" s="23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5.75" customHeight="1">
      <c r="A52" s="13" t="s">
        <v>15</v>
      </c>
      <c r="B52" s="49" t="s">
        <v>46</v>
      </c>
      <c r="C52" s="8"/>
      <c r="D52" s="9"/>
      <c r="E52" s="6">
        <f>SUM(E45:E51)</f>
        <v>1986</v>
      </c>
      <c r="F52" s="16"/>
      <c r="G52" s="2"/>
      <c r="H52" s="2"/>
      <c r="I52" s="2"/>
      <c r="J52" s="2"/>
      <c r="K52" s="2"/>
      <c r="L52" s="2"/>
      <c r="M52" s="2"/>
      <c r="N52" s="2"/>
      <c r="O52" s="2"/>
      <c r="P52" s="29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54"/>
      <c r="B53" s="55"/>
      <c r="C53" s="55"/>
      <c r="D53" s="55"/>
      <c r="E53" s="55"/>
      <c r="F53" s="56"/>
      <c r="G53" s="57"/>
      <c r="H53" s="57"/>
      <c r="I53" s="57"/>
      <c r="J53" s="57"/>
      <c r="K53" s="57"/>
      <c r="L53" s="57"/>
      <c r="M53" s="57"/>
      <c r="N53" s="57"/>
      <c r="O53" s="57"/>
      <c r="P53" s="58"/>
      <c r="Q53" s="5"/>
      <c r="R53" s="5"/>
      <c r="S53" s="5"/>
      <c r="T53" s="5"/>
      <c r="U53" s="5"/>
      <c r="V53" s="5"/>
      <c r="W53" s="59"/>
      <c r="X53" s="5"/>
      <c r="Y53" s="5"/>
      <c r="Z53" s="5"/>
    </row>
    <row r="54" ht="15.75" customHeight="1">
      <c r="A54" s="32" t="s">
        <v>37</v>
      </c>
      <c r="B54" s="49" t="s">
        <v>19</v>
      </c>
      <c r="C54" s="50" t="s">
        <v>47</v>
      </c>
      <c r="D54" s="9"/>
      <c r="E54" s="21">
        <f>BAKUNGAN!U54+BANJARSARI!X54+REJOSARI!N54+KEMIREN!M54+OLEHSARI!N54+GLAGAH!M54+PASPAN!P54+TAMANSURUH!S54+KENJO!K54+KAMPUNGANYAR!T54</f>
        <v>784</v>
      </c>
      <c r="F54" s="18"/>
      <c r="G54" s="22"/>
      <c r="H54" s="22"/>
      <c r="I54" s="22"/>
      <c r="J54" s="22"/>
      <c r="K54" s="22"/>
      <c r="L54" s="22"/>
      <c r="M54" s="22"/>
      <c r="N54" s="22"/>
      <c r="O54" s="22"/>
      <c r="P54" s="23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5.75" customHeight="1">
      <c r="A55" s="32" t="s">
        <v>39</v>
      </c>
      <c r="B55" s="51"/>
      <c r="C55" s="52" t="s">
        <v>48</v>
      </c>
      <c r="D55" s="53"/>
      <c r="E55" s="21">
        <f>BAKUNGAN!U55+BANJARSARI!X55+REJOSARI!N55+KEMIREN!M55+OLEHSARI!N55+GLAGAH!M55+PASPAN!P55+TAMANSURUH!S55+KENJO!K55+KAMPUNGANYAR!T55</f>
        <v>298</v>
      </c>
      <c r="F55" s="18"/>
      <c r="G55" s="22"/>
      <c r="H55" s="22"/>
      <c r="I55" s="22"/>
      <c r="J55" s="22"/>
      <c r="K55" s="22"/>
      <c r="L55" s="22"/>
      <c r="M55" s="22"/>
      <c r="N55" s="22"/>
      <c r="O55" s="22"/>
      <c r="P55" s="23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5.75" customHeight="1">
      <c r="A56" s="18"/>
      <c r="B56" s="51"/>
      <c r="C56" s="52" t="s">
        <v>49</v>
      </c>
      <c r="D56" s="53"/>
      <c r="E56" s="21">
        <f>BAKUNGAN!U56+BANJARSARI!X56+REJOSARI!N56+KEMIREN!M56+OLEHSARI!N56+GLAGAH!M56+PASPAN!P56+TAMANSURUH!S56+KENJO!K56+KAMPUNGANYAR!T56</f>
        <v>328</v>
      </c>
      <c r="F56" s="18"/>
      <c r="G56" s="22"/>
      <c r="H56" s="22"/>
      <c r="I56" s="22"/>
      <c r="J56" s="22"/>
      <c r="K56" s="22"/>
      <c r="L56" s="22"/>
      <c r="M56" s="22"/>
      <c r="N56" s="22"/>
      <c r="O56" s="22"/>
      <c r="P56" s="23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5.75" customHeight="1">
      <c r="A57" s="18"/>
      <c r="B57" s="51"/>
      <c r="C57" s="52" t="s">
        <v>50</v>
      </c>
      <c r="D57" s="53"/>
      <c r="E57" s="21">
        <f>BAKUNGAN!U57+BANJARSARI!X57+REJOSARI!N57+KEMIREN!M57+OLEHSARI!N57+GLAGAH!M57+PASPAN!P57+TAMANSURUH!S57+KENJO!K57+KAMPUNGANYAR!T57</f>
        <v>84</v>
      </c>
      <c r="F57" s="18"/>
      <c r="G57" s="22"/>
      <c r="H57" s="22"/>
      <c r="I57" s="22"/>
      <c r="J57" s="22"/>
      <c r="K57" s="22"/>
      <c r="L57" s="22"/>
      <c r="M57" s="22"/>
      <c r="N57" s="22"/>
      <c r="O57" s="22"/>
      <c r="P57" s="23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5.75" customHeight="1">
      <c r="A58" s="18"/>
      <c r="B58" s="51"/>
      <c r="C58" s="52" t="s">
        <v>51</v>
      </c>
      <c r="D58" s="53"/>
      <c r="E58" s="21">
        <f>BAKUNGAN!U58+BANJARSARI!X58+REJOSARI!N58+KEMIREN!M58+OLEHSARI!N58+GLAGAH!M58+PASPAN!P58+TAMANSURUH!S58+KENJO!K58+KAMPUNGANYAR!T58</f>
        <v>55</v>
      </c>
      <c r="F58" s="18"/>
      <c r="G58" s="22"/>
      <c r="H58" s="22"/>
      <c r="I58" s="22"/>
      <c r="J58" s="22"/>
      <c r="K58" s="22"/>
      <c r="L58" s="22"/>
      <c r="M58" s="22"/>
      <c r="N58" s="22"/>
      <c r="O58" s="22"/>
      <c r="P58" s="23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5.75" customHeight="1">
      <c r="A59" s="18"/>
      <c r="B59" s="51"/>
      <c r="C59" s="52" t="s">
        <v>52</v>
      </c>
      <c r="D59" s="53"/>
      <c r="E59" s="21">
        <f>BAKUNGAN!U59+BANJARSARI!X59+REJOSARI!N59+KEMIREN!M59+OLEHSARI!N59+GLAGAH!M59+PASPAN!P59+TAMANSURUH!S59+KENJO!K59+KAMPUNGANYAR!T59</f>
        <v>87</v>
      </c>
      <c r="F59" s="18"/>
      <c r="G59" s="22"/>
      <c r="H59" s="22"/>
      <c r="I59" s="22"/>
      <c r="J59" s="22"/>
      <c r="K59" s="22"/>
      <c r="L59" s="22"/>
      <c r="M59" s="22"/>
      <c r="N59" s="22"/>
      <c r="O59" s="22"/>
      <c r="P59" s="23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5.75" customHeight="1">
      <c r="A60" s="18"/>
      <c r="B60" s="51"/>
      <c r="C60" s="52" t="s">
        <v>53</v>
      </c>
      <c r="D60" s="53"/>
      <c r="E60" s="21">
        <f>BAKUNGAN!U60+BANJARSARI!X60+REJOSARI!N60+KEMIREN!M60+OLEHSARI!N60+GLAGAH!M60+PASPAN!P60+TAMANSURUH!S60+KENJO!K60+KAMPUNGANYAR!T60</f>
        <v>20</v>
      </c>
      <c r="F60" s="18"/>
      <c r="G60" s="22"/>
      <c r="H60" s="22"/>
      <c r="I60" s="22"/>
      <c r="J60" s="22"/>
      <c r="K60" s="22"/>
      <c r="L60" s="22"/>
      <c r="M60" s="22"/>
      <c r="N60" s="22"/>
      <c r="O60" s="22"/>
      <c r="P60" s="23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5.75" customHeight="1">
      <c r="A61" s="13" t="s">
        <v>15</v>
      </c>
      <c r="B61" s="49" t="s">
        <v>46</v>
      </c>
      <c r="C61" s="8"/>
      <c r="D61" s="9"/>
      <c r="E61" s="6">
        <f>SUM(E54:E60)</f>
        <v>1656</v>
      </c>
      <c r="F61" s="16"/>
      <c r="G61" s="2"/>
      <c r="H61" s="2"/>
      <c r="I61" s="2"/>
      <c r="J61" s="2"/>
      <c r="K61" s="2"/>
      <c r="L61" s="2"/>
      <c r="M61" s="2"/>
      <c r="N61" s="2"/>
      <c r="O61" s="2"/>
      <c r="P61" s="29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54"/>
      <c r="B62" s="55"/>
      <c r="C62" s="55"/>
      <c r="D62" s="55"/>
      <c r="E62" s="55"/>
      <c r="F62" s="56"/>
      <c r="G62" s="57"/>
      <c r="H62" s="57"/>
      <c r="I62" s="57"/>
      <c r="J62" s="57"/>
      <c r="K62" s="57"/>
      <c r="L62" s="57"/>
      <c r="M62" s="57"/>
      <c r="N62" s="57"/>
      <c r="O62" s="57"/>
      <c r="P62" s="58"/>
      <c r="Q62" s="5"/>
      <c r="R62" s="5"/>
      <c r="S62" s="5"/>
      <c r="T62" s="5"/>
      <c r="U62" s="5"/>
      <c r="V62" s="5"/>
      <c r="W62" s="59"/>
      <c r="X62" s="5"/>
      <c r="Y62" s="5"/>
      <c r="Z62" s="5"/>
    </row>
    <row r="63" ht="15.75" customHeight="1">
      <c r="A63" s="32" t="s">
        <v>37</v>
      </c>
      <c r="B63" s="49" t="s">
        <v>21</v>
      </c>
      <c r="C63" s="50" t="s">
        <v>54</v>
      </c>
      <c r="D63" s="9"/>
      <c r="E63" s="21">
        <f>BAKUNGAN!U63+BANJARSARI!X63+REJOSARI!N63+KEMIREN!M63+OLEHSARI!N63+GLAGAH!M63+PASPAN!P63+TAMANSURUH!S63+KENJO!K63+KAMPUNGANYAR!T63</f>
        <v>906</v>
      </c>
      <c r="F63" s="18"/>
      <c r="G63" s="22"/>
      <c r="H63" s="22"/>
      <c r="I63" s="22"/>
      <c r="J63" s="22"/>
      <c r="K63" s="22"/>
      <c r="L63" s="22"/>
      <c r="M63" s="22"/>
      <c r="N63" s="22"/>
      <c r="O63" s="22"/>
      <c r="P63" s="23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5.75" customHeight="1">
      <c r="A64" s="32" t="s">
        <v>39</v>
      </c>
      <c r="B64" s="51"/>
      <c r="C64" s="52" t="s">
        <v>55</v>
      </c>
      <c r="D64" s="53"/>
      <c r="E64" s="21">
        <f>BAKUNGAN!U64+BANJARSARI!X64+REJOSARI!N64+KEMIREN!M64+OLEHSARI!N64+GLAGAH!M64+PASPAN!P64+TAMANSURUH!S64+KENJO!K64+KAMPUNGANYAR!T64</f>
        <v>427</v>
      </c>
      <c r="F64" s="18"/>
      <c r="G64" s="22"/>
      <c r="H64" s="22"/>
      <c r="I64" s="22"/>
      <c r="J64" s="22"/>
      <c r="K64" s="22"/>
      <c r="L64" s="22"/>
      <c r="M64" s="22"/>
      <c r="N64" s="22"/>
      <c r="O64" s="22"/>
      <c r="P64" s="23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5.75" customHeight="1">
      <c r="A65" s="18"/>
      <c r="B65" s="51"/>
      <c r="C65" s="52" t="s">
        <v>56</v>
      </c>
      <c r="D65" s="53"/>
      <c r="E65" s="21">
        <f>BAKUNGAN!U65+BANJARSARI!X65+REJOSARI!N65+KEMIREN!M65+OLEHSARI!N65+GLAGAH!M65+PASPAN!P65+TAMANSURUH!S65+KENJO!K65+KAMPUNGANYAR!T65</f>
        <v>565</v>
      </c>
      <c r="F65" s="18"/>
      <c r="G65" s="22"/>
      <c r="H65" s="22"/>
      <c r="I65" s="22"/>
      <c r="J65" s="22"/>
      <c r="K65" s="22"/>
      <c r="L65" s="22"/>
      <c r="M65" s="22"/>
      <c r="N65" s="22"/>
      <c r="O65" s="22"/>
      <c r="P65" s="23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5.75" customHeight="1">
      <c r="A66" s="18"/>
      <c r="B66" s="51"/>
      <c r="C66" s="52" t="s">
        <v>57</v>
      </c>
      <c r="D66" s="53"/>
      <c r="E66" s="21">
        <f>BAKUNGAN!U66+BANJARSARI!X66+REJOSARI!N66+KEMIREN!M66+OLEHSARI!N66+GLAGAH!M66+PASPAN!P66+TAMANSURUH!S66+KENJO!K66+KAMPUNGANYAR!T66</f>
        <v>811</v>
      </c>
      <c r="F66" s="18"/>
      <c r="G66" s="22"/>
      <c r="H66" s="22"/>
      <c r="I66" s="22"/>
      <c r="J66" s="22"/>
      <c r="K66" s="22"/>
      <c r="L66" s="22"/>
      <c r="M66" s="22"/>
      <c r="N66" s="22"/>
      <c r="O66" s="22"/>
      <c r="P66" s="23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5.75" customHeight="1">
      <c r="A67" s="18"/>
      <c r="B67" s="51"/>
      <c r="C67" s="52" t="s">
        <v>58</v>
      </c>
      <c r="D67" s="53"/>
      <c r="E67" s="21">
        <f>BAKUNGAN!U67+BANJARSARI!X67+REJOSARI!N67+KEMIREN!M67+OLEHSARI!N67+GLAGAH!M67+PASPAN!P67+TAMANSURUH!S67+KENJO!K67+KAMPUNGANYAR!T67</f>
        <v>69</v>
      </c>
      <c r="F67" s="18"/>
      <c r="G67" s="22"/>
      <c r="H67" s="22"/>
      <c r="I67" s="22"/>
      <c r="J67" s="22"/>
      <c r="K67" s="22"/>
      <c r="L67" s="22"/>
      <c r="M67" s="22"/>
      <c r="N67" s="22"/>
      <c r="O67" s="22"/>
      <c r="P67" s="23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5.75" customHeight="1">
      <c r="A68" s="18"/>
      <c r="B68" s="51"/>
      <c r="C68" s="52" t="s">
        <v>59</v>
      </c>
      <c r="D68" s="53"/>
      <c r="E68" s="21">
        <f>BAKUNGAN!U68+BANJARSARI!X68+REJOSARI!N68+KEMIREN!M68+OLEHSARI!N68+GLAGAH!M68+PASPAN!P68+TAMANSURUH!S68+KENJO!K68+KAMPUNGANYAR!T68</f>
        <v>535</v>
      </c>
      <c r="F68" s="18"/>
      <c r="G68" s="22"/>
      <c r="H68" s="22"/>
      <c r="I68" s="22"/>
      <c r="J68" s="22"/>
      <c r="K68" s="22"/>
      <c r="L68" s="22"/>
      <c r="M68" s="22"/>
      <c r="N68" s="22"/>
      <c r="O68" s="22"/>
      <c r="P68" s="23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5.75" customHeight="1">
      <c r="A69" s="18"/>
      <c r="B69" s="51"/>
      <c r="C69" s="52" t="s">
        <v>60</v>
      </c>
      <c r="D69" s="53"/>
      <c r="E69" s="21">
        <f>BAKUNGAN!U69+BANJARSARI!X69+REJOSARI!N69+KEMIREN!M69+OLEHSARI!N69+GLAGAH!M69+PASPAN!P69+TAMANSURUH!S69+KENJO!K69+KAMPUNGANYAR!T69</f>
        <v>620</v>
      </c>
      <c r="F69" s="18"/>
      <c r="G69" s="22"/>
      <c r="H69" s="22"/>
      <c r="I69" s="22"/>
      <c r="J69" s="22"/>
      <c r="K69" s="22"/>
      <c r="L69" s="22"/>
      <c r="M69" s="22"/>
      <c r="N69" s="22"/>
      <c r="O69" s="22"/>
      <c r="P69" s="23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5.75" customHeight="1">
      <c r="A70" s="13" t="s">
        <v>15</v>
      </c>
      <c r="B70" s="49" t="s">
        <v>46</v>
      </c>
      <c r="C70" s="8"/>
      <c r="D70" s="9"/>
      <c r="E70" s="60">
        <f>SUM(E63:E69)</f>
        <v>3933</v>
      </c>
      <c r="F70" s="16"/>
      <c r="G70" s="2"/>
      <c r="H70" s="2"/>
      <c r="I70" s="2"/>
      <c r="J70" s="2"/>
      <c r="K70" s="2"/>
      <c r="L70" s="2"/>
      <c r="M70" s="2"/>
      <c r="N70" s="2"/>
      <c r="O70" s="2"/>
      <c r="P70" s="29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54"/>
      <c r="B71" s="55"/>
      <c r="C71" s="55"/>
      <c r="D71" s="55"/>
      <c r="E71" s="55"/>
      <c r="F71" s="56"/>
      <c r="G71" s="57"/>
      <c r="H71" s="57"/>
      <c r="I71" s="57"/>
      <c r="J71" s="57"/>
      <c r="K71" s="57"/>
      <c r="L71" s="57"/>
      <c r="M71" s="57"/>
      <c r="N71" s="57"/>
      <c r="O71" s="57"/>
      <c r="P71" s="58"/>
      <c r="Q71" s="5"/>
      <c r="R71" s="5"/>
      <c r="S71" s="5"/>
      <c r="T71" s="5"/>
      <c r="U71" s="5"/>
      <c r="V71" s="5"/>
      <c r="W71" s="59"/>
      <c r="X71" s="5"/>
      <c r="Y71" s="5"/>
      <c r="Z71" s="5"/>
    </row>
    <row r="72" ht="15.75" customHeight="1">
      <c r="A72" s="32" t="s">
        <v>37</v>
      </c>
      <c r="B72" s="49" t="s">
        <v>23</v>
      </c>
      <c r="C72" s="50" t="s">
        <v>61</v>
      </c>
      <c r="D72" s="9"/>
      <c r="E72" s="21">
        <f>BAKUNGAN!U72+BANJARSARI!X72+REJOSARI!N72+KEMIREN!M72+OLEHSARI!N72+GLAGAH!M72+PASPAN!P72+TAMANSURUH!S72+KENJO!K72+KAMPUNGANYAR!T72</f>
        <v>487</v>
      </c>
      <c r="F72" s="18"/>
      <c r="G72" s="22"/>
      <c r="H72" s="22"/>
      <c r="I72" s="22"/>
      <c r="J72" s="22"/>
      <c r="K72" s="22"/>
      <c r="L72" s="22"/>
      <c r="M72" s="22"/>
      <c r="N72" s="22"/>
      <c r="O72" s="22"/>
      <c r="P72" s="23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5.75" customHeight="1">
      <c r="A73" s="32" t="s">
        <v>39</v>
      </c>
      <c r="B73" s="51"/>
      <c r="C73" s="52" t="s">
        <v>62</v>
      </c>
      <c r="D73" s="53"/>
      <c r="E73" s="21">
        <f>BAKUNGAN!U73+BANJARSARI!X73+REJOSARI!N73+KEMIREN!M73+OLEHSARI!N73+GLAGAH!M73+PASPAN!P73+TAMANSURUH!S73+KENJO!K73+KAMPUNGANYAR!T73</f>
        <v>934</v>
      </c>
      <c r="F73" s="18"/>
      <c r="G73" s="22"/>
      <c r="H73" s="22"/>
      <c r="I73" s="22"/>
      <c r="J73" s="22"/>
      <c r="K73" s="22"/>
      <c r="L73" s="22"/>
      <c r="M73" s="22"/>
      <c r="N73" s="22"/>
      <c r="O73" s="22"/>
      <c r="P73" s="23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5.75" customHeight="1">
      <c r="A74" s="18"/>
      <c r="B74" s="51"/>
      <c r="C74" s="52" t="s">
        <v>63</v>
      </c>
      <c r="D74" s="53"/>
      <c r="E74" s="21">
        <f>BAKUNGAN!U74+BANJARSARI!X74+REJOSARI!N74+KEMIREN!M74+OLEHSARI!N74+GLAGAH!M74+PASPAN!P74+TAMANSURUH!S74+KENJO!K74+KAMPUNGANYAR!T74</f>
        <v>51</v>
      </c>
      <c r="F74" s="18"/>
      <c r="G74" s="22"/>
      <c r="H74" s="22"/>
      <c r="I74" s="22"/>
      <c r="J74" s="22"/>
      <c r="K74" s="22"/>
      <c r="L74" s="22"/>
      <c r="M74" s="22"/>
      <c r="N74" s="22"/>
      <c r="O74" s="22"/>
      <c r="P74" s="23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5.75" customHeight="1">
      <c r="A75" s="18"/>
      <c r="B75" s="51"/>
      <c r="C75" s="52" t="s">
        <v>64</v>
      </c>
      <c r="D75" s="53"/>
      <c r="E75" s="21">
        <f>BAKUNGAN!U75+BANJARSARI!X75+REJOSARI!N75+KEMIREN!M75+OLEHSARI!N75+GLAGAH!M75+PASPAN!P75+TAMANSURUH!S75+KENJO!K75+KAMPUNGANYAR!T75</f>
        <v>41</v>
      </c>
      <c r="F75" s="18"/>
      <c r="G75" s="22"/>
      <c r="H75" s="22"/>
      <c r="I75" s="22"/>
      <c r="J75" s="22"/>
      <c r="K75" s="22"/>
      <c r="L75" s="22"/>
      <c r="M75" s="22"/>
      <c r="N75" s="22"/>
      <c r="O75" s="22"/>
      <c r="P75" s="23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5.75" customHeight="1">
      <c r="A76" s="18"/>
      <c r="B76" s="51"/>
      <c r="C76" s="52" t="s">
        <v>65</v>
      </c>
      <c r="D76" s="53"/>
      <c r="E76" s="21">
        <f>BAKUNGAN!U76+BANJARSARI!X76+REJOSARI!N76+KEMIREN!M76+OLEHSARI!N76+GLAGAH!M76+PASPAN!P76+TAMANSURUH!S76+KENJO!K76+KAMPUNGANYAR!T76</f>
        <v>652</v>
      </c>
      <c r="F76" s="18"/>
      <c r="G76" s="22"/>
      <c r="H76" s="22"/>
      <c r="I76" s="22"/>
      <c r="J76" s="22"/>
      <c r="K76" s="22"/>
      <c r="L76" s="22"/>
      <c r="M76" s="22"/>
      <c r="N76" s="22"/>
      <c r="O76" s="22"/>
      <c r="P76" s="23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5.75" customHeight="1">
      <c r="A77" s="18"/>
      <c r="B77" s="51"/>
      <c r="C77" s="52" t="s">
        <v>66</v>
      </c>
      <c r="D77" s="53"/>
      <c r="E77" s="21">
        <f>BAKUNGAN!U77+BANJARSARI!X77+REJOSARI!N77+KEMIREN!M77+OLEHSARI!N77+GLAGAH!M77+PASPAN!P77+TAMANSURUH!S77+KENJO!K77+KAMPUNGANYAR!T77</f>
        <v>25</v>
      </c>
      <c r="F77" s="18"/>
      <c r="G77" s="22"/>
      <c r="H77" s="22"/>
      <c r="I77" s="22"/>
      <c r="J77" s="22"/>
      <c r="K77" s="22"/>
      <c r="L77" s="22"/>
      <c r="M77" s="22"/>
      <c r="N77" s="22"/>
      <c r="O77" s="22"/>
      <c r="P77" s="23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5.75" customHeight="1">
      <c r="A78" s="18"/>
      <c r="B78" s="51"/>
      <c r="C78" s="52" t="s">
        <v>67</v>
      </c>
      <c r="D78" s="53"/>
      <c r="E78" s="21">
        <f>BAKUNGAN!U78+BANJARSARI!X78+REJOSARI!N78+KEMIREN!M78+OLEHSARI!N78+GLAGAH!M78+PASPAN!P78+TAMANSURUH!S78+KENJO!K78+KAMPUNGANYAR!T78</f>
        <v>109</v>
      </c>
      <c r="F78" s="18"/>
      <c r="G78" s="22"/>
      <c r="H78" s="22"/>
      <c r="I78" s="22"/>
      <c r="J78" s="22"/>
      <c r="K78" s="22"/>
      <c r="L78" s="22"/>
      <c r="M78" s="22"/>
      <c r="N78" s="22"/>
      <c r="O78" s="22"/>
      <c r="P78" s="23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5.75" customHeight="1">
      <c r="A79" s="13" t="s">
        <v>15</v>
      </c>
      <c r="B79" s="49" t="s">
        <v>46</v>
      </c>
      <c r="C79" s="8"/>
      <c r="D79" s="9"/>
      <c r="E79" s="60">
        <f>SUM(E72:E78)</f>
        <v>2299</v>
      </c>
      <c r="F79" s="16"/>
      <c r="G79" s="2"/>
      <c r="H79" s="2"/>
      <c r="I79" s="2"/>
      <c r="J79" s="2"/>
      <c r="K79" s="2"/>
      <c r="L79" s="2"/>
      <c r="M79" s="2"/>
      <c r="N79" s="2"/>
      <c r="O79" s="2"/>
      <c r="P79" s="29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54"/>
      <c r="B80" s="55"/>
      <c r="C80" s="55"/>
      <c r="D80" s="55"/>
      <c r="E80" s="55"/>
      <c r="F80" s="56"/>
      <c r="G80" s="57"/>
      <c r="H80" s="57"/>
      <c r="I80" s="57"/>
      <c r="J80" s="57"/>
      <c r="K80" s="57"/>
      <c r="L80" s="57"/>
      <c r="M80" s="57"/>
      <c r="N80" s="57"/>
      <c r="O80" s="57"/>
      <c r="P80" s="58"/>
      <c r="Q80" s="5"/>
      <c r="R80" s="5"/>
      <c r="S80" s="5"/>
      <c r="T80" s="5"/>
      <c r="U80" s="5"/>
      <c r="V80" s="5"/>
      <c r="W80" s="59"/>
      <c r="X80" s="5"/>
      <c r="Y80" s="5"/>
      <c r="Z80" s="5"/>
    </row>
    <row r="81" ht="15.75" customHeight="1">
      <c r="A81" s="32" t="s">
        <v>37</v>
      </c>
      <c r="B81" s="49" t="s">
        <v>68</v>
      </c>
      <c r="C81" s="50" t="s">
        <v>69</v>
      </c>
      <c r="D81" s="9"/>
      <c r="E81" s="21">
        <f>BAKUNGAN!U81+BANJARSARI!X81+REJOSARI!N81+KEMIREN!M81+OLEHSARI!N81+GLAGAH!M81+PASPAN!P81+TAMANSURUH!S81+KENJO!K81+KAMPUNGANYAR!T81</f>
        <v>89</v>
      </c>
      <c r="F81" s="18"/>
      <c r="G81" s="22"/>
      <c r="H81" s="22"/>
      <c r="I81" s="22"/>
      <c r="J81" s="22"/>
      <c r="K81" s="22"/>
      <c r="L81" s="22"/>
      <c r="M81" s="22"/>
      <c r="N81" s="22"/>
      <c r="O81" s="22"/>
      <c r="P81" s="23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5.75" customHeight="1">
      <c r="A82" s="32" t="s">
        <v>39</v>
      </c>
      <c r="B82" s="51"/>
      <c r="C82" s="52" t="s">
        <v>70</v>
      </c>
      <c r="D82" s="53"/>
      <c r="E82" s="21">
        <f>BAKUNGAN!U82+BANJARSARI!X82+REJOSARI!N82+KEMIREN!M82+OLEHSARI!N82+GLAGAH!M82+PASPAN!P82+TAMANSURUH!S82+KENJO!K82+KAMPUNGANYAR!T82</f>
        <v>2253</v>
      </c>
      <c r="F82" s="18"/>
      <c r="G82" s="22"/>
      <c r="H82" s="22"/>
      <c r="I82" s="22"/>
      <c r="J82" s="22"/>
      <c r="K82" s="22"/>
      <c r="L82" s="22"/>
      <c r="M82" s="22"/>
      <c r="N82" s="22"/>
      <c r="O82" s="22"/>
      <c r="P82" s="23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5.75" customHeight="1">
      <c r="A83" s="18"/>
      <c r="B83" s="51"/>
      <c r="C83" s="52" t="s">
        <v>71</v>
      </c>
      <c r="D83" s="53"/>
      <c r="E83" s="21">
        <f>BAKUNGAN!U83+BANJARSARI!X83+REJOSARI!N83+KEMIREN!M83+OLEHSARI!N83+GLAGAH!M83+PASPAN!P83+TAMANSURUH!S83+KENJO!K83+KAMPUNGANYAR!T83</f>
        <v>44</v>
      </c>
      <c r="F83" s="18"/>
      <c r="G83" s="22"/>
      <c r="H83" s="22"/>
      <c r="I83" s="22"/>
      <c r="J83" s="22"/>
      <c r="K83" s="22"/>
      <c r="L83" s="22"/>
      <c r="M83" s="22"/>
      <c r="N83" s="22"/>
      <c r="O83" s="22"/>
      <c r="P83" s="23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5.75" customHeight="1">
      <c r="A84" s="18"/>
      <c r="B84" s="51"/>
      <c r="C84" s="52" t="s">
        <v>72</v>
      </c>
      <c r="D84" s="53"/>
      <c r="E84" s="21">
        <f>BAKUNGAN!U84+BANJARSARI!X84+REJOSARI!N84+KEMIREN!M84+OLEHSARI!N84+GLAGAH!M84+PASPAN!P84+TAMANSURUH!S84+KENJO!K84+KAMPUNGANYAR!T84</f>
        <v>57</v>
      </c>
      <c r="F84" s="18"/>
      <c r="G84" s="22"/>
      <c r="H84" s="22"/>
      <c r="I84" s="22"/>
      <c r="J84" s="22"/>
      <c r="K84" s="22"/>
      <c r="L84" s="22"/>
      <c r="M84" s="22"/>
      <c r="N84" s="22"/>
      <c r="O84" s="22"/>
      <c r="P84" s="23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5.75" customHeight="1">
      <c r="A85" s="18"/>
      <c r="B85" s="51"/>
      <c r="C85" s="52" t="s">
        <v>73</v>
      </c>
      <c r="D85" s="53"/>
      <c r="E85" s="21">
        <f>BAKUNGAN!U85+BANJARSARI!X85+REJOSARI!N85+KEMIREN!M85+OLEHSARI!N85+GLAGAH!M85+PASPAN!P85+TAMANSURUH!S85+KENJO!K85+KAMPUNGANYAR!T85</f>
        <v>28</v>
      </c>
      <c r="F85" s="18"/>
      <c r="G85" s="22"/>
      <c r="H85" s="22"/>
      <c r="I85" s="22"/>
      <c r="J85" s="22"/>
      <c r="K85" s="22"/>
      <c r="L85" s="22"/>
      <c r="M85" s="22"/>
      <c r="N85" s="22"/>
      <c r="O85" s="22"/>
      <c r="P85" s="23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5.75" customHeight="1">
      <c r="A86" s="18"/>
      <c r="B86" s="51"/>
      <c r="C86" s="52" t="s">
        <v>74</v>
      </c>
      <c r="D86" s="53"/>
      <c r="E86" s="21">
        <f>BAKUNGAN!U86+BANJARSARI!X86+REJOSARI!N86+KEMIREN!M86+OLEHSARI!N86+GLAGAH!M86+PASPAN!P86+TAMANSURUH!S86+KENJO!K86+KAMPUNGANYAR!T86</f>
        <v>505</v>
      </c>
      <c r="F86" s="18"/>
      <c r="G86" s="22"/>
      <c r="H86" s="22"/>
      <c r="I86" s="22"/>
      <c r="J86" s="22"/>
      <c r="K86" s="22"/>
      <c r="L86" s="22"/>
      <c r="M86" s="22"/>
      <c r="N86" s="22"/>
      <c r="O86" s="22"/>
      <c r="P86" s="23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5.75" customHeight="1">
      <c r="A87" s="18"/>
      <c r="B87" s="51"/>
      <c r="C87" s="52" t="s">
        <v>75</v>
      </c>
      <c r="D87" s="53"/>
      <c r="E87" s="21">
        <f>BAKUNGAN!U87+BANJARSARI!X87+REJOSARI!N87+KEMIREN!M87+OLEHSARI!N87+GLAGAH!M87+PASPAN!P87+TAMANSURUH!S87+KENJO!K87+KAMPUNGANYAR!T87</f>
        <v>9</v>
      </c>
      <c r="F87" s="18"/>
      <c r="G87" s="22"/>
      <c r="H87" s="22"/>
      <c r="I87" s="22"/>
      <c r="J87" s="22"/>
      <c r="K87" s="22"/>
      <c r="L87" s="22"/>
      <c r="M87" s="22"/>
      <c r="N87" s="22"/>
      <c r="O87" s="22"/>
      <c r="P87" s="23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5.75" customHeight="1">
      <c r="A88" s="13" t="s">
        <v>15</v>
      </c>
      <c r="B88" s="49" t="s">
        <v>46</v>
      </c>
      <c r="C88" s="8"/>
      <c r="D88" s="9"/>
      <c r="E88" s="60">
        <f>SUM(E81:E87)</f>
        <v>2985</v>
      </c>
      <c r="F88" s="16"/>
      <c r="G88" s="2"/>
      <c r="H88" s="2"/>
      <c r="I88" s="2"/>
      <c r="J88" s="2"/>
      <c r="K88" s="2"/>
      <c r="L88" s="2"/>
      <c r="M88" s="2"/>
      <c r="N88" s="2"/>
      <c r="O88" s="2"/>
      <c r="P88" s="29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54"/>
      <c r="B89" s="55"/>
      <c r="C89" s="55"/>
      <c r="D89" s="55"/>
      <c r="E89" s="55"/>
      <c r="F89" s="56"/>
      <c r="G89" s="57"/>
      <c r="H89" s="57"/>
      <c r="I89" s="57"/>
      <c r="J89" s="57"/>
      <c r="K89" s="57"/>
      <c r="L89" s="57"/>
      <c r="M89" s="57"/>
      <c r="N89" s="57"/>
      <c r="O89" s="57"/>
      <c r="P89" s="58"/>
      <c r="Q89" s="5"/>
      <c r="R89" s="5"/>
      <c r="S89" s="5"/>
      <c r="T89" s="5"/>
      <c r="U89" s="5"/>
      <c r="V89" s="5"/>
      <c r="W89" s="59"/>
      <c r="X89" s="5"/>
      <c r="Y89" s="5"/>
      <c r="Z89" s="5"/>
    </row>
    <row r="90" ht="15.75" customHeight="1">
      <c r="A90" s="32" t="s">
        <v>37</v>
      </c>
      <c r="B90" s="49" t="s">
        <v>76</v>
      </c>
      <c r="C90" s="50" t="s">
        <v>77</v>
      </c>
      <c r="D90" s="9"/>
      <c r="E90" s="21">
        <f>BAKUNGAN!U90+BANJARSARI!X90+REJOSARI!N90+KEMIREN!M90+OLEHSARI!N90+GLAGAH!M90+PASPAN!P90+TAMANSURUH!S90+KENJO!K90+KAMPUNGANYAR!T90</f>
        <v>112</v>
      </c>
      <c r="F90" s="18"/>
      <c r="G90" s="22"/>
      <c r="H90" s="22"/>
      <c r="I90" s="22"/>
      <c r="J90" s="22"/>
      <c r="K90" s="22"/>
      <c r="L90" s="22"/>
      <c r="M90" s="22"/>
      <c r="N90" s="22"/>
      <c r="O90" s="22"/>
      <c r="P90" s="23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5.75" customHeight="1">
      <c r="A91" s="32" t="s">
        <v>39</v>
      </c>
      <c r="B91" s="51"/>
      <c r="C91" s="52" t="s">
        <v>78</v>
      </c>
      <c r="D91" s="61"/>
      <c r="E91" s="21">
        <f>BAKUNGAN!U91+BANJARSARI!X91+REJOSARI!N91+KEMIREN!M91+OLEHSARI!N91+GLAGAH!M91+PASPAN!P91+TAMANSURUH!S91+KENJO!K91+KAMPUNGANYAR!T91</f>
        <v>32</v>
      </c>
      <c r="F91" s="18"/>
      <c r="G91" s="22"/>
      <c r="H91" s="22"/>
      <c r="I91" s="22"/>
      <c r="J91" s="22"/>
      <c r="K91" s="22"/>
      <c r="L91" s="22"/>
      <c r="M91" s="22"/>
      <c r="N91" s="22"/>
      <c r="O91" s="22"/>
      <c r="P91" s="23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5.75" customHeight="1">
      <c r="A92" s="13" t="s">
        <v>15</v>
      </c>
      <c r="B92" s="49" t="s">
        <v>46</v>
      </c>
      <c r="C92" s="8"/>
      <c r="D92" s="9"/>
      <c r="E92" s="60">
        <f>SUM(E90:E91)</f>
        <v>144</v>
      </c>
      <c r="F92" s="16"/>
      <c r="G92" s="2"/>
      <c r="H92" s="2"/>
      <c r="I92" s="2"/>
      <c r="J92" s="2"/>
      <c r="K92" s="2"/>
      <c r="L92" s="2"/>
      <c r="M92" s="2"/>
      <c r="N92" s="2"/>
      <c r="O92" s="2"/>
      <c r="P92" s="29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54"/>
      <c r="B93" s="55"/>
      <c r="C93" s="55"/>
      <c r="D93" s="55"/>
      <c r="E93" s="55"/>
      <c r="F93" s="56"/>
      <c r="G93" s="57"/>
      <c r="H93" s="57"/>
      <c r="I93" s="57"/>
      <c r="J93" s="57"/>
      <c r="K93" s="57"/>
      <c r="L93" s="57"/>
      <c r="M93" s="57"/>
      <c r="N93" s="57"/>
      <c r="O93" s="57"/>
      <c r="P93" s="58"/>
      <c r="Q93" s="5"/>
      <c r="R93" s="5"/>
      <c r="S93" s="5"/>
      <c r="T93" s="5"/>
      <c r="U93" s="5"/>
      <c r="V93" s="5"/>
      <c r="W93" s="59"/>
      <c r="X93" s="5"/>
      <c r="Y93" s="5"/>
      <c r="Z93" s="5"/>
    </row>
    <row r="94" ht="15.75" customHeight="1">
      <c r="A94" s="32" t="s">
        <v>37</v>
      </c>
      <c r="B94" s="49" t="s">
        <v>79</v>
      </c>
      <c r="C94" s="50" t="s">
        <v>80</v>
      </c>
      <c r="D94" s="9"/>
      <c r="E94" s="21">
        <f>BAKUNGAN!U94+BANJARSARI!X94+REJOSARI!N94+KEMIREN!M94+OLEHSARI!N94+GLAGAH!M94+PASPAN!P94+TAMANSURUH!S94+KENJO!K94+KAMPUNGANYAR!T94</f>
        <v>235</v>
      </c>
      <c r="F94" s="18"/>
      <c r="G94" s="22"/>
      <c r="H94" s="22"/>
      <c r="I94" s="22"/>
      <c r="J94" s="22"/>
      <c r="K94" s="22"/>
      <c r="L94" s="22"/>
      <c r="M94" s="22"/>
      <c r="N94" s="22"/>
      <c r="O94" s="22"/>
      <c r="P94" s="23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5.75" customHeight="1">
      <c r="A95" s="32" t="s">
        <v>39</v>
      </c>
      <c r="B95" s="51"/>
      <c r="C95" s="52" t="s">
        <v>81</v>
      </c>
      <c r="D95" s="53"/>
      <c r="E95" s="21">
        <f>BAKUNGAN!U95+BANJARSARI!X95+REJOSARI!N95+KEMIREN!M95+OLEHSARI!N95+GLAGAH!M95+PASPAN!P95+TAMANSURUH!S95+KENJO!K95+KAMPUNGANYAR!T95</f>
        <v>964</v>
      </c>
      <c r="F95" s="18"/>
      <c r="G95" s="22"/>
      <c r="H95" s="22"/>
      <c r="I95" s="22"/>
      <c r="J95" s="22"/>
      <c r="K95" s="22"/>
      <c r="L95" s="22"/>
      <c r="M95" s="22"/>
      <c r="N95" s="22"/>
      <c r="O95" s="22"/>
      <c r="P95" s="23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5.75" customHeight="1">
      <c r="A96" s="32"/>
      <c r="B96" s="51"/>
      <c r="C96" s="52" t="s">
        <v>82</v>
      </c>
      <c r="D96" s="53"/>
      <c r="E96" s="21">
        <f>BAKUNGAN!U96+BANJARSARI!X96+REJOSARI!N96+KEMIREN!M96+OLEHSARI!N96+GLAGAH!M96+PASPAN!P96+TAMANSURUH!S96+KENJO!K96+KAMPUNGANYAR!T96</f>
        <v>25</v>
      </c>
      <c r="F96" s="18"/>
      <c r="G96" s="22"/>
      <c r="H96" s="22"/>
      <c r="I96" s="22"/>
      <c r="J96" s="22"/>
      <c r="K96" s="22"/>
      <c r="L96" s="22"/>
      <c r="M96" s="22"/>
      <c r="N96" s="22"/>
      <c r="O96" s="22"/>
      <c r="P96" s="23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5.75" customHeight="1">
      <c r="A97" s="32"/>
      <c r="B97" s="51"/>
      <c r="C97" s="52" t="s">
        <v>83</v>
      </c>
      <c r="D97" s="53"/>
      <c r="E97" s="21">
        <f>BAKUNGAN!U97+BANJARSARI!X97+REJOSARI!N97+KEMIREN!M97+OLEHSARI!N97+GLAGAH!M97+PASPAN!P97+TAMANSURUH!S97+KENJO!K97+KAMPUNGANYAR!T97</f>
        <v>13</v>
      </c>
      <c r="F97" s="18"/>
      <c r="G97" s="22"/>
      <c r="H97" s="22"/>
      <c r="I97" s="22"/>
      <c r="J97" s="22"/>
      <c r="K97" s="22"/>
      <c r="L97" s="22"/>
      <c r="M97" s="22"/>
      <c r="N97" s="22"/>
      <c r="O97" s="22"/>
      <c r="P97" s="23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5.75" customHeight="1">
      <c r="A98" s="32"/>
      <c r="B98" s="51"/>
      <c r="C98" s="52" t="s">
        <v>84</v>
      </c>
      <c r="D98" s="53"/>
      <c r="E98" s="21">
        <f>BAKUNGAN!U98+BANJARSARI!X98+REJOSARI!N98+KEMIREN!M98+OLEHSARI!N98+GLAGAH!M98+PASPAN!P98+TAMANSURUH!S98+KENJO!K98+KAMPUNGANYAR!T98</f>
        <v>4</v>
      </c>
      <c r="F98" s="18"/>
      <c r="G98" s="22"/>
      <c r="H98" s="22"/>
      <c r="I98" s="22"/>
      <c r="J98" s="22"/>
      <c r="K98" s="22"/>
      <c r="L98" s="22"/>
      <c r="M98" s="22"/>
      <c r="N98" s="22"/>
      <c r="O98" s="22"/>
      <c r="P98" s="23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5.75" customHeight="1">
      <c r="A99" s="32"/>
      <c r="B99" s="51"/>
      <c r="C99" s="52" t="s">
        <v>85</v>
      </c>
      <c r="D99" s="53"/>
      <c r="E99" s="21">
        <f>BAKUNGAN!U99+BANJARSARI!X99+REJOSARI!N99+KEMIREN!M99+OLEHSARI!N99+GLAGAH!M99+PASPAN!P99+TAMANSURUH!S99+KENJO!K99+KAMPUNGANYAR!T99</f>
        <v>48</v>
      </c>
      <c r="F99" s="18"/>
      <c r="G99" s="22"/>
      <c r="H99" s="22"/>
      <c r="I99" s="22"/>
      <c r="J99" s="22"/>
      <c r="K99" s="22"/>
      <c r="L99" s="22"/>
      <c r="M99" s="22"/>
      <c r="N99" s="22"/>
      <c r="O99" s="22"/>
      <c r="P99" s="23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5.75" customHeight="1">
      <c r="A100" s="32"/>
      <c r="B100" s="51"/>
      <c r="C100" s="52" t="s">
        <v>86</v>
      </c>
      <c r="D100" s="53"/>
      <c r="E100" s="21">
        <f>BAKUNGAN!U100+BANJARSARI!X100+REJOSARI!N100+KEMIREN!M100+OLEHSARI!N100+GLAGAH!M100+PASPAN!P100+TAMANSURUH!S100+KENJO!K100+KAMPUNGANYAR!T100</f>
        <v>8</v>
      </c>
      <c r="F100" s="18"/>
      <c r="G100" s="22"/>
      <c r="H100" s="22"/>
      <c r="I100" s="22"/>
      <c r="J100" s="22"/>
      <c r="K100" s="22"/>
      <c r="L100" s="22"/>
      <c r="M100" s="22"/>
      <c r="N100" s="22"/>
      <c r="O100" s="22"/>
      <c r="P100" s="23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5.75" customHeight="1">
      <c r="A101" s="13" t="s">
        <v>15</v>
      </c>
      <c r="B101" s="49" t="s">
        <v>46</v>
      </c>
      <c r="C101" s="8"/>
      <c r="D101" s="9"/>
      <c r="E101" s="60">
        <f>SUM(E94:E100)</f>
        <v>1297</v>
      </c>
      <c r="F101" s="16"/>
      <c r="G101" s="2"/>
      <c r="H101" s="2"/>
      <c r="I101" s="2"/>
      <c r="J101" s="2"/>
      <c r="K101" s="2"/>
      <c r="L101" s="2"/>
      <c r="M101" s="2"/>
      <c r="N101" s="2"/>
      <c r="O101" s="2"/>
      <c r="P101" s="29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54"/>
      <c r="B102" s="55"/>
      <c r="C102" s="55"/>
      <c r="D102" s="55"/>
      <c r="E102" s="55"/>
      <c r="F102" s="56"/>
      <c r="G102" s="57"/>
      <c r="H102" s="57"/>
      <c r="I102" s="57"/>
      <c r="J102" s="57"/>
      <c r="K102" s="57"/>
      <c r="L102" s="57"/>
      <c r="M102" s="57"/>
      <c r="N102" s="57"/>
      <c r="O102" s="57"/>
      <c r="P102" s="58"/>
      <c r="Q102" s="5"/>
      <c r="R102" s="5"/>
      <c r="S102" s="5"/>
      <c r="T102" s="5"/>
      <c r="U102" s="5"/>
      <c r="V102" s="5"/>
      <c r="W102" s="59"/>
      <c r="X102" s="5"/>
      <c r="Y102" s="5"/>
      <c r="Z102" s="5"/>
    </row>
    <row r="103" ht="15.75" customHeight="1">
      <c r="A103" s="32" t="s">
        <v>37</v>
      </c>
      <c r="B103" s="49" t="s">
        <v>87</v>
      </c>
      <c r="C103" s="50" t="s">
        <v>88</v>
      </c>
      <c r="D103" s="9"/>
      <c r="E103" s="21">
        <f>BAKUNGAN!U103+BANJARSARI!X103+REJOSARI!N103+KEMIREN!M103+OLEHSARI!N103+GLAGAH!M103+PASPAN!P103+TAMANSURUH!S103+KENJO!K103+KAMPUNGANYAR!T103</f>
        <v>273</v>
      </c>
      <c r="F103" s="18"/>
      <c r="G103" s="22"/>
      <c r="H103" s="22"/>
      <c r="I103" s="22"/>
      <c r="J103" s="22"/>
      <c r="K103" s="22"/>
      <c r="L103" s="22"/>
      <c r="M103" s="22"/>
      <c r="N103" s="22"/>
      <c r="O103" s="22"/>
      <c r="P103" s="23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5.75" customHeight="1">
      <c r="A104" s="32" t="s">
        <v>39</v>
      </c>
      <c r="B104" s="51"/>
      <c r="C104" s="52" t="s">
        <v>89</v>
      </c>
      <c r="D104" s="53"/>
      <c r="E104" s="21">
        <f>BAKUNGAN!U104+BANJARSARI!X104+REJOSARI!N104+KEMIREN!M104+OLEHSARI!N104+GLAGAH!M104+PASPAN!P104+TAMANSURUH!S104+KENJO!K104+KAMPUNGANYAR!T104</f>
        <v>1762</v>
      </c>
      <c r="F104" s="18"/>
      <c r="G104" s="22"/>
      <c r="H104" s="22"/>
      <c r="I104" s="22"/>
      <c r="J104" s="22"/>
      <c r="K104" s="22"/>
      <c r="L104" s="22"/>
      <c r="M104" s="22"/>
      <c r="N104" s="22"/>
      <c r="O104" s="22"/>
      <c r="P104" s="23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5.75" customHeight="1">
      <c r="A105" s="18"/>
      <c r="B105" s="51"/>
      <c r="C105" s="52" t="s">
        <v>90</v>
      </c>
      <c r="D105" s="53"/>
      <c r="E105" s="21">
        <f>BAKUNGAN!U105+BANJARSARI!X105+REJOSARI!N105+KEMIREN!M105+OLEHSARI!N105+GLAGAH!M105+PASPAN!P105+TAMANSURUH!S105+KENJO!K105+KAMPUNGANYAR!T105</f>
        <v>26</v>
      </c>
      <c r="F105" s="18"/>
      <c r="G105" s="22"/>
      <c r="H105" s="22"/>
      <c r="I105" s="22"/>
      <c r="J105" s="22"/>
      <c r="K105" s="22"/>
      <c r="L105" s="22"/>
      <c r="M105" s="22"/>
      <c r="N105" s="22"/>
      <c r="O105" s="22"/>
      <c r="P105" s="23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5.75" customHeight="1">
      <c r="A106" s="18"/>
      <c r="B106" s="51"/>
      <c r="C106" s="52" t="s">
        <v>91</v>
      </c>
      <c r="D106" s="53"/>
      <c r="E106" s="21">
        <f>BAKUNGAN!U106+BANJARSARI!X106+REJOSARI!N106+KEMIREN!M106+OLEHSARI!N106+GLAGAH!M106+PASPAN!P106+TAMANSURUH!S106+KENJO!K106+KAMPUNGANYAR!T106</f>
        <v>22</v>
      </c>
      <c r="F106" s="18"/>
      <c r="G106" s="22"/>
      <c r="H106" s="22"/>
      <c r="I106" s="22"/>
      <c r="J106" s="22"/>
      <c r="K106" s="22"/>
      <c r="L106" s="22"/>
      <c r="M106" s="22"/>
      <c r="N106" s="22"/>
      <c r="O106" s="22"/>
      <c r="P106" s="23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5.75" customHeight="1">
      <c r="A107" s="18"/>
      <c r="B107" s="51"/>
      <c r="C107" s="52" t="s">
        <v>92</v>
      </c>
      <c r="D107" s="53"/>
      <c r="E107" s="21">
        <f>BAKUNGAN!U107+BANJARSARI!X107+REJOSARI!N107+KEMIREN!M107+OLEHSARI!N107+GLAGAH!M107+PASPAN!P107+TAMANSURUH!S107+KENJO!K107+KAMPUNGANYAR!T107</f>
        <v>113</v>
      </c>
      <c r="F107" s="18"/>
      <c r="G107" s="22"/>
      <c r="H107" s="22"/>
      <c r="I107" s="22"/>
      <c r="J107" s="22"/>
      <c r="K107" s="22"/>
      <c r="L107" s="22"/>
      <c r="M107" s="22"/>
      <c r="N107" s="22"/>
      <c r="O107" s="22"/>
      <c r="P107" s="23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5.75" customHeight="1">
      <c r="A108" s="18"/>
      <c r="B108" s="51"/>
      <c r="C108" s="52" t="s">
        <v>93</v>
      </c>
      <c r="D108" s="53"/>
      <c r="E108" s="21">
        <f>BAKUNGAN!U108+BANJARSARI!X108+REJOSARI!N108+KEMIREN!M108+OLEHSARI!N108+GLAGAH!M108+PASPAN!P108+TAMANSURUH!S108+KENJO!K108+KAMPUNGANYAR!T108</f>
        <v>21</v>
      </c>
      <c r="F108" s="18"/>
      <c r="G108" s="22"/>
      <c r="H108" s="22"/>
      <c r="I108" s="22"/>
      <c r="J108" s="22"/>
      <c r="K108" s="22"/>
      <c r="L108" s="22"/>
      <c r="M108" s="22"/>
      <c r="N108" s="22"/>
      <c r="O108" s="22"/>
      <c r="P108" s="23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5.75" customHeight="1">
      <c r="A109" s="18"/>
      <c r="B109" s="51"/>
      <c r="C109" s="52" t="s">
        <v>94</v>
      </c>
      <c r="D109" s="53"/>
      <c r="E109" s="21">
        <f>BAKUNGAN!U109+BANJARSARI!X109+REJOSARI!N109+KEMIREN!M109+OLEHSARI!N109+GLAGAH!M109+PASPAN!P109+TAMANSURUH!S109+KENJO!K109+KAMPUNGANYAR!T109</f>
        <v>107</v>
      </c>
      <c r="F109" s="18"/>
      <c r="G109" s="22"/>
      <c r="H109" s="22"/>
      <c r="I109" s="22"/>
      <c r="J109" s="22"/>
      <c r="K109" s="22"/>
      <c r="L109" s="22"/>
      <c r="M109" s="22"/>
      <c r="N109" s="22"/>
      <c r="O109" s="22"/>
      <c r="P109" s="23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5.75" customHeight="1">
      <c r="A110" s="13" t="s">
        <v>15</v>
      </c>
      <c r="B110" s="49" t="s">
        <v>46</v>
      </c>
      <c r="C110" s="8"/>
      <c r="D110" s="9"/>
      <c r="E110" s="60">
        <f>SUM(E103:E109)</f>
        <v>2324</v>
      </c>
      <c r="F110" s="16"/>
      <c r="G110" s="2"/>
      <c r="H110" s="2"/>
      <c r="I110" s="2"/>
      <c r="J110" s="2"/>
      <c r="K110" s="2"/>
      <c r="L110" s="2"/>
      <c r="M110" s="2"/>
      <c r="N110" s="2"/>
      <c r="O110" s="2"/>
      <c r="P110" s="29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54"/>
      <c r="B111" s="55"/>
      <c r="C111" s="55"/>
      <c r="D111" s="55"/>
      <c r="E111" s="55"/>
      <c r="F111" s="56"/>
      <c r="G111" s="57"/>
      <c r="H111" s="57"/>
      <c r="I111" s="57"/>
      <c r="J111" s="57"/>
      <c r="K111" s="57"/>
      <c r="L111" s="57"/>
      <c r="M111" s="57"/>
      <c r="N111" s="57"/>
      <c r="O111" s="57"/>
      <c r="P111" s="58"/>
      <c r="Q111" s="5"/>
      <c r="R111" s="5"/>
      <c r="S111" s="5"/>
      <c r="T111" s="5"/>
      <c r="U111" s="5"/>
      <c r="V111" s="5"/>
      <c r="W111" s="59"/>
      <c r="X111" s="5"/>
      <c r="Y111" s="5"/>
      <c r="Z111" s="5"/>
    </row>
    <row r="112" ht="15.75" customHeight="1">
      <c r="A112" s="32" t="s">
        <v>37</v>
      </c>
      <c r="B112" s="49" t="s">
        <v>95</v>
      </c>
      <c r="C112" s="50" t="s">
        <v>96</v>
      </c>
      <c r="D112" s="9"/>
      <c r="E112" s="21">
        <f>BAKUNGAN!U112+BANJARSARI!X112+REJOSARI!N112+KEMIREN!M112+OLEHSARI!N112+GLAGAH!M112+PASPAN!P112+TAMANSURUH!S112+KENJO!K112+KAMPUNGANYAR!T112</f>
        <v>8</v>
      </c>
      <c r="F112" s="18"/>
      <c r="G112" s="22"/>
      <c r="H112" s="22"/>
      <c r="I112" s="22"/>
      <c r="J112" s="22"/>
      <c r="K112" s="22"/>
      <c r="L112" s="22"/>
      <c r="M112" s="22"/>
      <c r="N112" s="22"/>
      <c r="O112" s="22"/>
      <c r="P112" s="23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5.75" customHeight="1">
      <c r="A113" s="32" t="s">
        <v>39</v>
      </c>
      <c r="B113" s="49"/>
      <c r="C113" s="52" t="s">
        <v>97</v>
      </c>
      <c r="D113" s="61"/>
      <c r="E113" s="21">
        <f>BAKUNGAN!U113+BANJARSARI!X113+REJOSARI!N113+KEMIREN!M113+OLEHSARI!N113+GLAGAH!M113+PASPAN!P113+TAMANSURUH!S113+KENJO!K113+KAMPUNGANYAR!T113</f>
        <v>6</v>
      </c>
      <c r="F113" s="18"/>
      <c r="G113" s="22"/>
      <c r="H113" s="22"/>
      <c r="I113" s="22"/>
      <c r="J113" s="22"/>
      <c r="K113" s="22"/>
      <c r="L113" s="22"/>
      <c r="M113" s="22"/>
      <c r="N113" s="22"/>
      <c r="O113" s="22"/>
      <c r="P113" s="23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5.75" customHeight="1">
      <c r="A114" s="13" t="s">
        <v>15</v>
      </c>
      <c r="B114" s="49" t="s">
        <v>46</v>
      </c>
      <c r="C114" s="8"/>
      <c r="D114" s="9"/>
      <c r="E114" s="60">
        <f>SUM(E112:E113)</f>
        <v>14</v>
      </c>
      <c r="F114" s="18"/>
      <c r="G114" s="22"/>
      <c r="H114" s="22"/>
      <c r="I114" s="22"/>
      <c r="J114" s="22"/>
      <c r="K114" s="22"/>
      <c r="L114" s="22"/>
      <c r="M114" s="22"/>
      <c r="N114" s="22"/>
      <c r="O114" s="22"/>
      <c r="P114" s="23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5.75" customHeight="1">
      <c r="A115" s="54"/>
      <c r="B115" s="55"/>
      <c r="C115" s="55"/>
      <c r="D115" s="55"/>
      <c r="E115" s="55"/>
      <c r="F115" s="18"/>
      <c r="G115" s="22"/>
      <c r="H115" s="22"/>
      <c r="I115" s="22"/>
      <c r="J115" s="22"/>
      <c r="K115" s="22"/>
      <c r="L115" s="22"/>
      <c r="M115" s="22"/>
      <c r="N115" s="22"/>
      <c r="O115" s="22"/>
      <c r="P115" s="23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5.75" customHeight="1">
      <c r="A116" s="32" t="s">
        <v>37</v>
      </c>
      <c r="B116" s="49" t="s">
        <v>98</v>
      </c>
      <c r="C116" s="50" t="s">
        <v>99</v>
      </c>
      <c r="D116" s="9"/>
      <c r="E116" s="21">
        <f>BAKUNGAN!U116+BANJARSARI!X116+REJOSARI!N116+KEMIREN!M116+OLEHSARI!N116+GLAGAH!M116+PASPAN!P116+TAMANSURUH!S116+KENJO!K116+KAMPUNGANYAR!T116</f>
        <v>143</v>
      </c>
      <c r="F116" s="18"/>
      <c r="G116" s="22"/>
      <c r="H116" s="22"/>
      <c r="I116" s="22"/>
      <c r="J116" s="22"/>
      <c r="K116" s="22"/>
      <c r="L116" s="22"/>
      <c r="M116" s="22"/>
      <c r="N116" s="22"/>
      <c r="O116" s="22"/>
      <c r="P116" s="23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5.75" customHeight="1">
      <c r="A117" s="32" t="s">
        <v>39</v>
      </c>
      <c r="B117" s="51"/>
      <c r="C117" s="52" t="s">
        <v>100</v>
      </c>
      <c r="D117" s="53"/>
      <c r="E117" s="21">
        <f>BAKUNGAN!U117+BANJARSARI!X117+REJOSARI!N117+KEMIREN!M117+OLEHSARI!N117+GLAGAH!M117+PASPAN!P117+TAMANSURUH!S117+KENJO!K117+KAMPUNGANYAR!T117</f>
        <v>733</v>
      </c>
      <c r="F117" s="18"/>
      <c r="G117" s="22"/>
      <c r="H117" s="22"/>
      <c r="I117" s="22"/>
      <c r="J117" s="22"/>
      <c r="K117" s="22"/>
      <c r="L117" s="22"/>
      <c r="M117" s="22"/>
      <c r="N117" s="22"/>
      <c r="O117" s="22"/>
      <c r="P117" s="23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5.75" customHeight="1">
      <c r="A118" s="18"/>
      <c r="B118" s="51"/>
      <c r="C118" s="52" t="s">
        <v>101</v>
      </c>
      <c r="D118" s="53"/>
      <c r="E118" s="21">
        <f>BAKUNGAN!U118+BANJARSARI!X118+REJOSARI!N118+KEMIREN!M118+OLEHSARI!N118+GLAGAH!M118+PASPAN!P118+TAMANSURUH!S118+KENJO!K118+KAMPUNGANYAR!T118</f>
        <v>21</v>
      </c>
      <c r="F118" s="18"/>
      <c r="G118" s="22"/>
      <c r="H118" s="22"/>
      <c r="I118" s="22"/>
      <c r="J118" s="22"/>
      <c r="K118" s="22"/>
      <c r="L118" s="22"/>
      <c r="M118" s="22"/>
      <c r="N118" s="22"/>
      <c r="O118" s="22"/>
      <c r="P118" s="23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5.75" customHeight="1">
      <c r="A119" s="18"/>
      <c r="B119" s="51"/>
      <c r="C119" s="52" t="s">
        <v>102</v>
      </c>
      <c r="D119" s="53"/>
      <c r="E119" s="21">
        <f>BAKUNGAN!U119+BANJARSARI!X119+REJOSARI!N119+KEMIREN!M119+OLEHSARI!N119+GLAGAH!M119+PASPAN!P119+TAMANSURUH!S119+KENJO!K119+KAMPUNGANYAR!T119</f>
        <v>540</v>
      </c>
      <c r="F119" s="16"/>
      <c r="G119" s="2"/>
      <c r="H119" s="2"/>
      <c r="I119" s="2"/>
      <c r="J119" s="2"/>
      <c r="K119" s="2"/>
      <c r="L119" s="2"/>
      <c r="M119" s="2"/>
      <c r="N119" s="2"/>
      <c r="O119" s="2"/>
      <c r="P119" s="29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8"/>
      <c r="B120" s="51"/>
      <c r="C120" s="52" t="s">
        <v>103</v>
      </c>
      <c r="D120" s="53"/>
      <c r="E120" s="21">
        <f>BAKUNGAN!U120+BANJARSARI!X120+REJOSARI!N120+KEMIREN!M120+OLEHSARI!N120+GLAGAH!M120+PASPAN!P120+TAMANSURUH!S120+KENJO!K120+KAMPUNGANYAR!T120</f>
        <v>13</v>
      </c>
      <c r="F120" s="56"/>
      <c r="G120" s="57"/>
      <c r="H120" s="57"/>
      <c r="I120" s="57"/>
      <c r="J120" s="57"/>
      <c r="K120" s="57"/>
      <c r="L120" s="57"/>
      <c r="M120" s="57"/>
      <c r="N120" s="57"/>
      <c r="O120" s="57"/>
      <c r="P120" s="58"/>
      <c r="Q120" s="5"/>
      <c r="R120" s="5"/>
      <c r="S120" s="5"/>
      <c r="T120" s="5"/>
      <c r="U120" s="5"/>
      <c r="V120" s="5"/>
      <c r="W120" s="59"/>
      <c r="X120" s="5"/>
      <c r="Y120" s="5"/>
      <c r="Z120" s="5"/>
    </row>
    <row r="121" ht="15.75" customHeight="1">
      <c r="A121" s="18"/>
      <c r="B121" s="51"/>
      <c r="C121" s="52" t="s">
        <v>104</v>
      </c>
      <c r="D121" s="53"/>
      <c r="E121" s="21">
        <f>BAKUNGAN!U121+BANJARSARI!X121+REJOSARI!N121+KEMIREN!M121+OLEHSARI!N121+GLAGAH!M121+PASPAN!P121+TAMANSURUH!S121+KENJO!K121+KAMPUNGANYAR!T121</f>
        <v>19</v>
      </c>
      <c r="F121" s="18"/>
      <c r="G121" s="22"/>
      <c r="H121" s="22"/>
      <c r="I121" s="22"/>
      <c r="J121" s="22"/>
      <c r="K121" s="22"/>
      <c r="L121" s="22"/>
      <c r="M121" s="22"/>
      <c r="N121" s="22"/>
      <c r="O121" s="22"/>
      <c r="P121" s="23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5.75" customHeight="1">
      <c r="A122" s="18"/>
      <c r="B122" s="51"/>
      <c r="C122" s="52" t="s">
        <v>105</v>
      </c>
      <c r="D122" s="53"/>
      <c r="E122" s="21">
        <f>BAKUNGAN!U122+BANJARSARI!X122+REJOSARI!N122+KEMIREN!M122+OLEHSARI!N122+GLAGAH!M122+PASPAN!P122+TAMANSURUH!S122+KENJO!K122+KAMPUNGANYAR!T122</f>
        <v>372</v>
      </c>
      <c r="F122" s="18"/>
      <c r="G122" s="22"/>
      <c r="H122" s="22"/>
      <c r="I122" s="22"/>
      <c r="J122" s="22"/>
      <c r="K122" s="22"/>
      <c r="L122" s="22"/>
      <c r="M122" s="22"/>
      <c r="N122" s="22"/>
      <c r="O122" s="22"/>
      <c r="P122" s="23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5.75" customHeight="1">
      <c r="A123" s="13" t="s">
        <v>15</v>
      </c>
      <c r="B123" s="49" t="s">
        <v>46</v>
      </c>
      <c r="C123" s="8"/>
      <c r="D123" s="9"/>
      <c r="E123" s="60">
        <f>SUM(E116:E122)</f>
        <v>1841</v>
      </c>
      <c r="F123" s="18"/>
      <c r="G123" s="22"/>
      <c r="H123" s="22"/>
      <c r="I123" s="22"/>
      <c r="J123" s="22"/>
      <c r="K123" s="22"/>
      <c r="L123" s="22"/>
      <c r="M123" s="22"/>
      <c r="N123" s="22"/>
      <c r="O123" s="22"/>
      <c r="P123" s="23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5.75" customHeight="1">
      <c r="A124" s="54"/>
      <c r="B124" s="55"/>
      <c r="C124" s="55"/>
      <c r="D124" s="55"/>
      <c r="E124" s="55"/>
      <c r="F124" s="18"/>
      <c r="G124" s="22"/>
      <c r="H124" s="22"/>
      <c r="I124" s="22"/>
      <c r="J124" s="22"/>
      <c r="K124" s="22"/>
      <c r="L124" s="22"/>
      <c r="M124" s="22"/>
      <c r="N124" s="22"/>
      <c r="O124" s="22"/>
      <c r="P124" s="23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5.75" customHeight="1">
      <c r="A125" s="32" t="s">
        <v>37</v>
      </c>
      <c r="B125" s="49" t="s">
        <v>106</v>
      </c>
      <c r="C125" s="50" t="s">
        <v>107</v>
      </c>
      <c r="D125" s="9"/>
      <c r="E125" s="21">
        <f>BAKUNGAN!U125+BANJARSARI!X125+REJOSARI!N125+KEMIREN!M125+OLEHSARI!N125+GLAGAH!M125+PASPAN!P125+TAMANSURUH!S125+KENJO!K125+KAMPUNGANYAR!T125</f>
        <v>38</v>
      </c>
      <c r="F125" s="18"/>
      <c r="G125" s="22"/>
      <c r="H125" s="22"/>
      <c r="I125" s="22"/>
      <c r="J125" s="22"/>
      <c r="K125" s="22"/>
      <c r="L125" s="22"/>
      <c r="M125" s="22"/>
      <c r="N125" s="22"/>
      <c r="O125" s="22"/>
      <c r="P125" s="23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5.75" customHeight="1">
      <c r="A126" s="32" t="s">
        <v>39</v>
      </c>
      <c r="B126" s="51"/>
      <c r="C126" s="52" t="s">
        <v>108</v>
      </c>
      <c r="D126" s="53"/>
      <c r="E126" s="21">
        <f>BAKUNGAN!U126+BANJARSARI!X126+REJOSARI!N126+KEMIREN!M126+OLEHSARI!N126+GLAGAH!M126+PASPAN!P126+TAMANSURUH!S126+KENJO!K126+KAMPUNGANYAR!T126</f>
        <v>0</v>
      </c>
      <c r="F126" s="18"/>
      <c r="G126" s="22"/>
      <c r="H126" s="22"/>
      <c r="I126" s="22"/>
      <c r="J126" s="22"/>
      <c r="K126" s="22"/>
      <c r="L126" s="22"/>
      <c r="M126" s="22"/>
      <c r="N126" s="22"/>
      <c r="O126" s="22"/>
      <c r="P126" s="23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5.75" customHeight="1">
      <c r="A127" s="13" t="s">
        <v>15</v>
      </c>
      <c r="B127" s="49" t="s">
        <v>46</v>
      </c>
      <c r="C127" s="8"/>
      <c r="D127" s="9"/>
      <c r="E127" s="60">
        <f>SUM(E125:E126)</f>
        <v>38</v>
      </c>
      <c r="F127" s="18"/>
      <c r="G127" s="22"/>
      <c r="H127" s="22"/>
      <c r="I127" s="22"/>
      <c r="J127" s="22"/>
      <c r="K127" s="22"/>
      <c r="L127" s="22"/>
      <c r="M127" s="22"/>
      <c r="N127" s="22"/>
      <c r="O127" s="22"/>
      <c r="P127" s="23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5.75" customHeight="1">
      <c r="A128" s="54"/>
      <c r="B128" s="55"/>
      <c r="C128" s="55"/>
      <c r="D128" s="55"/>
      <c r="E128" s="55"/>
      <c r="F128" s="16"/>
      <c r="G128" s="2"/>
      <c r="H128" s="2"/>
      <c r="I128" s="2"/>
      <c r="J128" s="2"/>
      <c r="K128" s="2"/>
      <c r="L128" s="2"/>
      <c r="M128" s="2"/>
      <c r="N128" s="2"/>
      <c r="O128" s="2"/>
      <c r="P128" s="29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32" t="s">
        <v>37</v>
      </c>
      <c r="B129" s="49" t="s">
        <v>109</v>
      </c>
      <c r="C129" s="50" t="s">
        <v>110</v>
      </c>
      <c r="D129" s="9"/>
      <c r="E129" s="21">
        <f>BAKUNGAN!U129+BANJARSARI!X129+REJOSARI!N129+KEMIREN!M129+OLEHSARI!N129+GLAGAH!M129+PASPAN!P129+TAMANSURUH!S129+KENJO!K129+KAMPUNGANYAR!T129</f>
        <v>87</v>
      </c>
      <c r="F129" s="56"/>
      <c r="G129" s="57"/>
      <c r="H129" s="57"/>
      <c r="I129" s="57"/>
      <c r="J129" s="57"/>
      <c r="K129" s="57"/>
      <c r="L129" s="57"/>
      <c r="M129" s="57"/>
      <c r="N129" s="57"/>
      <c r="O129" s="57"/>
      <c r="P129" s="58"/>
      <c r="Q129" s="5"/>
      <c r="R129" s="5"/>
      <c r="S129" s="5"/>
      <c r="T129" s="5"/>
      <c r="U129" s="5"/>
      <c r="V129" s="5"/>
      <c r="W129" s="59"/>
      <c r="X129" s="5"/>
      <c r="Y129" s="5"/>
      <c r="Z129" s="5"/>
    </row>
    <row r="130" ht="15.75" customHeight="1">
      <c r="A130" s="32" t="s">
        <v>39</v>
      </c>
      <c r="B130" s="51"/>
      <c r="C130" s="52" t="s">
        <v>111</v>
      </c>
      <c r="D130" s="53"/>
      <c r="E130" s="21">
        <f>BAKUNGAN!U130+BANJARSARI!X130+REJOSARI!N130+KEMIREN!M130+OLEHSARI!N130+GLAGAH!M130+PASPAN!P130+TAMANSURUH!S130+KENJO!K130+KAMPUNGANYAR!T130</f>
        <v>285</v>
      </c>
      <c r="F130" s="18"/>
      <c r="G130" s="22"/>
      <c r="H130" s="22"/>
      <c r="I130" s="22"/>
      <c r="J130" s="22"/>
      <c r="K130" s="22"/>
      <c r="L130" s="22"/>
      <c r="M130" s="22"/>
      <c r="N130" s="22"/>
      <c r="O130" s="22"/>
      <c r="P130" s="23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5.75" customHeight="1">
      <c r="A131" s="18"/>
      <c r="B131" s="51"/>
      <c r="C131" s="52" t="s">
        <v>112</v>
      </c>
      <c r="D131" s="53"/>
      <c r="E131" s="21">
        <f>BAKUNGAN!U131+BANJARSARI!X131+REJOSARI!N131+KEMIREN!M131+OLEHSARI!N131+GLAGAH!M131+PASPAN!P131+TAMANSURUH!S131+KENJO!K131+KAMPUNGANYAR!T131</f>
        <v>27</v>
      </c>
      <c r="F131" s="18"/>
      <c r="G131" s="22"/>
      <c r="H131" s="22"/>
      <c r="I131" s="22"/>
      <c r="J131" s="22"/>
      <c r="K131" s="22"/>
      <c r="L131" s="22"/>
      <c r="M131" s="22"/>
      <c r="N131" s="22"/>
      <c r="O131" s="22"/>
      <c r="P131" s="23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5.75" customHeight="1">
      <c r="A132" s="18"/>
      <c r="B132" s="51"/>
      <c r="C132" s="52" t="s">
        <v>113</v>
      </c>
      <c r="D132" s="53"/>
      <c r="E132" s="21">
        <f>BAKUNGAN!U132+BANJARSARI!X132+REJOSARI!N132+KEMIREN!M132+OLEHSARI!N132+GLAGAH!M132+PASPAN!P132+TAMANSURUH!S132+KENJO!K132+KAMPUNGANYAR!T132</f>
        <v>10</v>
      </c>
      <c r="F132" s="16"/>
      <c r="G132" s="2"/>
      <c r="H132" s="2"/>
      <c r="I132" s="2"/>
      <c r="J132" s="2"/>
      <c r="K132" s="2"/>
      <c r="L132" s="2"/>
      <c r="M132" s="2"/>
      <c r="N132" s="2"/>
      <c r="O132" s="2"/>
      <c r="P132" s="29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8"/>
      <c r="B133" s="51"/>
      <c r="C133" s="52" t="s">
        <v>114</v>
      </c>
      <c r="D133" s="53"/>
      <c r="E133" s="21">
        <f>BAKUNGAN!U133+BANJARSARI!X133+REJOSARI!N133+KEMIREN!M133+OLEHSARI!N133+GLAGAH!M133+PASPAN!P133+TAMANSURUH!S133+KENJO!K133+KAMPUNGANYAR!T133</f>
        <v>12</v>
      </c>
      <c r="F133" s="56"/>
      <c r="G133" s="57"/>
      <c r="H133" s="57"/>
      <c r="I133" s="57"/>
      <c r="J133" s="57"/>
      <c r="K133" s="57"/>
      <c r="L133" s="57"/>
      <c r="M133" s="57"/>
      <c r="N133" s="57"/>
      <c r="O133" s="57"/>
      <c r="P133" s="58"/>
      <c r="Q133" s="5"/>
      <c r="R133" s="5"/>
      <c r="S133" s="5"/>
      <c r="T133" s="5"/>
      <c r="U133" s="5"/>
      <c r="V133" s="5"/>
      <c r="W133" s="59"/>
      <c r="X133" s="5"/>
      <c r="Y133" s="5"/>
      <c r="Z133" s="5"/>
    </row>
    <row r="134" ht="15.75" customHeight="1">
      <c r="A134" s="18"/>
      <c r="B134" s="51"/>
      <c r="C134" s="52" t="s">
        <v>115</v>
      </c>
      <c r="D134" s="53"/>
      <c r="E134" s="21">
        <f>BAKUNGAN!U134+BANJARSARI!X134+REJOSARI!N134+KEMIREN!M134+OLEHSARI!N134+GLAGAH!M134+PASPAN!P134+TAMANSURUH!S134+KENJO!K134+KAMPUNGANYAR!T134</f>
        <v>9</v>
      </c>
      <c r="F134" s="18"/>
      <c r="G134" s="22"/>
      <c r="H134" s="22"/>
      <c r="I134" s="22"/>
      <c r="J134" s="22"/>
      <c r="K134" s="22"/>
      <c r="L134" s="22"/>
      <c r="M134" s="22"/>
      <c r="N134" s="22"/>
      <c r="O134" s="22"/>
      <c r="P134" s="23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5.75" customHeight="1">
      <c r="A135" s="18"/>
      <c r="B135" s="51"/>
      <c r="C135" s="52" t="s">
        <v>116</v>
      </c>
      <c r="D135" s="53"/>
      <c r="E135" s="21">
        <f>BAKUNGAN!U135+BANJARSARI!X135+REJOSARI!N135+KEMIREN!M135+OLEHSARI!N135+GLAGAH!M135+PASPAN!P135+TAMANSURUH!S135+KENJO!K135+KAMPUNGANYAR!T135</f>
        <v>1</v>
      </c>
      <c r="F135" s="18"/>
      <c r="G135" s="22"/>
      <c r="H135" s="22"/>
      <c r="I135" s="22"/>
      <c r="J135" s="22"/>
      <c r="K135" s="22"/>
      <c r="L135" s="22"/>
      <c r="M135" s="22"/>
      <c r="N135" s="22"/>
      <c r="O135" s="22"/>
      <c r="P135" s="23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5.75" customHeight="1">
      <c r="A136" s="13" t="s">
        <v>15</v>
      </c>
      <c r="B136" s="49" t="s">
        <v>46</v>
      </c>
      <c r="C136" s="8"/>
      <c r="D136" s="9"/>
      <c r="E136" s="60">
        <f>SUM(E129:E135)</f>
        <v>431</v>
      </c>
      <c r="F136" s="18"/>
      <c r="G136" s="22"/>
      <c r="H136" s="22"/>
      <c r="I136" s="22"/>
      <c r="J136" s="22"/>
      <c r="K136" s="22"/>
      <c r="L136" s="22"/>
      <c r="M136" s="22"/>
      <c r="N136" s="22"/>
      <c r="O136" s="22"/>
      <c r="P136" s="23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5.75" customHeight="1">
      <c r="A137" s="54"/>
      <c r="B137" s="55"/>
      <c r="C137" s="55"/>
      <c r="D137" s="55"/>
      <c r="E137" s="55"/>
      <c r="F137" s="18"/>
      <c r="G137" s="22"/>
      <c r="H137" s="22"/>
      <c r="I137" s="22"/>
      <c r="J137" s="22"/>
      <c r="K137" s="22"/>
      <c r="L137" s="22"/>
      <c r="M137" s="22"/>
      <c r="N137" s="22"/>
      <c r="O137" s="22"/>
      <c r="P137" s="23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5.75" customHeight="1">
      <c r="A138" s="32" t="s">
        <v>37</v>
      </c>
      <c r="B138" s="49" t="s">
        <v>117</v>
      </c>
      <c r="C138" s="50" t="s">
        <v>118</v>
      </c>
      <c r="D138" s="9"/>
      <c r="E138" s="21">
        <f>BAKUNGAN!U138+BANJARSARI!X138+REJOSARI!N138+KEMIREN!M138+OLEHSARI!N138+GLAGAH!M138+PASPAN!P138+TAMANSURUH!S138+KENJO!K138+KAMPUNGANYAR!T138</f>
        <v>25</v>
      </c>
      <c r="F138" s="18"/>
      <c r="G138" s="22"/>
      <c r="H138" s="22"/>
      <c r="I138" s="22"/>
      <c r="J138" s="22"/>
      <c r="K138" s="22"/>
      <c r="L138" s="22"/>
      <c r="M138" s="22"/>
      <c r="N138" s="22"/>
      <c r="O138" s="22"/>
      <c r="P138" s="23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5.75" customHeight="1">
      <c r="A139" s="32" t="s">
        <v>39</v>
      </c>
      <c r="B139" s="51"/>
      <c r="C139" s="52" t="s">
        <v>119</v>
      </c>
      <c r="D139" s="53"/>
      <c r="E139" s="21">
        <f>BAKUNGAN!U139+BANJARSARI!X139+REJOSARI!N139+KEMIREN!M139+OLEHSARI!N139+GLAGAH!M139+PASPAN!P139+TAMANSURUH!S139+KENJO!K139+KAMPUNGANYAR!T139</f>
        <v>12</v>
      </c>
      <c r="F139" s="18"/>
      <c r="G139" s="22"/>
      <c r="H139" s="22"/>
      <c r="I139" s="22"/>
      <c r="J139" s="22"/>
      <c r="K139" s="22"/>
      <c r="L139" s="22"/>
      <c r="M139" s="22"/>
      <c r="N139" s="22"/>
      <c r="O139" s="22"/>
      <c r="P139" s="23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5.75" customHeight="1">
      <c r="A140" s="18"/>
      <c r="B140" s="51"/>
      <c r="C140" s="52" t="s">
        <v>120</v>
      </c>
      <c r="D140" s="53"/>
      <c r="E140" s="21">
        <f>BAKUNGAN!U140+BANJARSARI!X140+REJOSARI!N140+KEMIREN!M140+OLEHSARI!N140+GLAGAH!M140+PASPAN!P140+TAMANSURUH!S140+KENJO!K140+KAMPUNGANYAR!T140</f>
        <v>3</v>
      </c>
      <c r="F140" s="18"/>
      <c r="G140" s="22"/>
      <c r="H140" s="22"/>
      <c r="I140" s="22"/>
      <c r="J140" s="22"/>
      <c r="K140" s="22"/>
      <c r="L140" s="22"/>
      <c r="M140" s="22"/>
      <c r="N140" s="22"/>
      <c r="O140" s="22"/>
      <c r="P140" s="23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5.75" customHeight="1">
      <c r="A141" s="18"/>
      <c r="B141" s="51"/>
      <c r="C141" s="52" t="s">
        <v>121</v>
      </c>
      <c r="D141" s="53"/>
      <c r="E141" s="21">
        <f>BAKUNGAN!U141+BANJARSARI!X141+REJOSARI!N141+KEMIREN!M141+OLEHSARI!N141+GLAGAH!M141+PASPAN!P141+TAMANSURUH!S141+KENJO!K141+KAMPUNGANYAR!T141</f>
        <v>2</v>
      </c>
      <c r="F141" s="16"/>
      <c r="G141" s="2"/>
      <c r="H141" s="2"/>
      <c r="I141" s="2"/>
      <c r="J141" s="2"/>
      <c r="K141" s="2"/>
      <c r="L141" s="2"/>
      <c r="M141" s="2"/>
      <c r="N141" s="2"/>
      <c r="O141" s="2"/>
      <c r="P141" s="29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8"/>
      <c r="B142" s="51"/>
      <c r="C142" s="52" t="s">
        <v>122</v>
      </c>
      <c r="D142" s="53"/>
      <c r="E142" s="21">
        <f>BAKUNGAN!U142+BANJARSARI!X142+REJOSARI!N142+KEMIREN!M142+OLEHSARI!N142+GLAGAH!M142+PASPAN!P142+TAMANSURUH!S142+KENJO!K142+KAMPUNGANYAR!T142</f>
        <v>6</v>
      </c>
      <c r="F142" s="56"/>
      <c r="G142" s="57"/>
      <c r="H142" s="57"/>
      <c r="I142" s="57"/>
      <c r="J142" s="57"/>
      <c r="K142" s="57"/>
      <c r="L142" s="57"/>
      <c r="M142" s="57"/>
      <c r="N142" s="57"/>
      <c r="O142" s="57"/>
      <c r="P142" s="58"/>
      <c r="Q142" s="5"/>
      <c r="R142" s="5"/>
      <c r="S142" s="5"/>
      <c r="T142" s="5"/>
      <c r="U142" s="5"/>
      <c r="V142" s="5"/>
      <c r="W142" s="59"/>
      <c r="X142" s="5"/>
      <c r="Y142" s="5"/>
      <c r="Z142" s="5"/>
    </row>
    <row r="143" ht="15.75" customHeight="1">
      <c r="A143" s="18"/>
      <c r="B143" s="51"/>
      <c r="C143" s="52" t="s">
        <v>123</v>
      </c>
      <c r="D143" s="53"/>
      <c r="E143" s="21">
        <f>BAKUNGAN!U143+BANJARSARI!X143+REJOSARI!N143+KEMIREN!M143+OLEHSARI!N143+GLAGAH!M143+PASPAN!P143+TAMANSURUH!S143+KENJO!K143+KAMPUNGANYAR!T143</f>
        <v>4</v>
      </c>
      <c r="F143" s="18"/>
      <c r="G143" s="22"/>
      <c r="H143" s="22"/>
      <c r="I143" s="22"/>
      <c r="J143" s="22"/>
      <c r="K143" s="22"/>
      <c r="L143" s="22"/>
      <c r="M143" s="22"/>
      <c r="N143" s="22"/>
      <c r="O143" s="22"/>
      <c r="P143" s="23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5.75" customHeight="1">
      <c r="A144" s="18"/>
      <c r="B144" s="51"/>
      <c r="C144" s="52" t="s">
        <v>124</v>
      </c>
      <c r="D144" s="53"/>
      <c r="E144" s="21">
        <f>BAKUNGAN!U144+BANJARSARI!X144+REJOSARI!N144+KEMIREN!M144+OLEHSARI!N144+GLAGAH!M144+PASPAN!P144+TAMANSURUH!S144+KENJO!K144+KAMPUNGANYAR!T144</f>
        <v>34</v>
      </c>
      <c r="F144" s="18"/>
      <c r="G144" s="22"/>
      <c r="H144" s="22"/>
      <c r="I144" s="22"/>
      <c r="J144" s="22"/>
      <c r="K144" s="22"/>
      <c r="L144" s="22"/>
      <c r="M144" s="22"/>
      <c r="N144" s="22"/>
      <c r="O144" s="22"/>
      <c r="P144" s="23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5.75" customHeight="1">
      <c r="A145" s="13" t="s">
        <v>15</v>
      </c>
      <c r="B145" s="49" t="s">
        <v>46</v>
      </c>
      <c r="C145" s="8"/>
      <c r="D145" s="9"/>
      <c r="E145" s="60">
        <f>SUM(E138:E144)</f>
        <v>86</v>
      </c>
      <c r="F145" s="18"/>
      <c r="G145" s="22"/>
      <c r="H145" s="22"/>
      <c r="I145" s="22"/>
      <c r="J145" s="22"/>
      <c r="K145" s="22"/>
      <c r="L145" s="22"/>
      <c r="M145" s="22"/>
      <c r="N145" s="22"/>
      <c r="O145" s="22"/>
      <c r="P145" s="23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5.75" customHeight="1">
      <c r="A146" s="54"/>
      <c r="B146" s="55"/>
      <c r="C146" s="55"/>
      <c r="D146" s="55"/>
      <c r="E146" s="55"/>
      <c r="F146" s="18"/>
      <c r="G146" s="22"/>
      <c r="H146" s="22"/>
      <c r="I146" s="22"/>
      <c r="J146" s="22"/>
      <c r="K146" s="22"/>
      <c r="L146" s="22"/>
      <c r="M146" s="22"/>
      <c r="N146" s="22"/>
      <c r="O146" s="22"/>
      <c r="P146" s="23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5.75" customHeight="1">
      <c r="A147" s="32" t="s">
        <v>37</v>
      </c>
      <c r="B147" s="49" t="s">
        <v>125</v>
      </c>
      <c r="C147" s="50" t="s">
        <v>126</v>
      </c>
      <c r="D147" s="9"/>
      <c r="E147" s="21">
        <f>BAKUNGAN!U147+BANJARSARI!X147+REJOSARI!N147+KEMIREN!M147+OLEHSARI!N147+GLAGAH!M147+PASPAN!P147+TAMANSURUH!S147+KENJO!K147+KAMPUNGANYAR!T147</f>
        <v>250</v>
      </c>
      <c r="F147" s="18"/>
      <c r="G147" s="22"/>
      <c r="H147" s="22"/>
      <c r="I147" s="22"/>
      <c r="J147" s="22"/>
      <c r="K147" s="22"/>
      <c r="L147" s="22"/>
      <c r="M147" s="22"/>
      <c r="N147" s="22"/>
      <c r="O147" s="22"/>
      <c r="P147" s="23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5.75" customHeight="1">
      <c r="A148" s="32" t="s">
        <v>39</v>
      </c>
      <c r="B148" s="51"/>
      <c r="C148" s="52" t="s">
        <v>127</v>
      </c>
      <c r="D148" s="53"/>
      <c r="E148" s="21">
        <f>BAKUNGAN!U148+BANJARSARI!X148+REJOSARI!N148+KEMIREN!M148+OLEHSARI!N148+GLAGAH!M148+PASPAN!P148+TAMANSURUH!S148+KENJO!K148+KAMPUNGANYAR!T148</f>
        <v>417</v>
      </c>
      <c r="F148" s="18"/>
      <c r="G148" s="22"/>
      <c r="H148" s="22"/>
      <c r="I148" s="22"/>
      <c r="J148" s="22"/>
      <c r="K148" s="22"/>
      <c r="L148" s="22"/>
      <c r="M148" s="22"/>
      <c r="N148" s="22"/>
      <c r="O148" s="22"/>
      <c r="P148" s="23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5.75" customHeight="1">
      <c r="A149" s="18"/>
      <c r="B149" s="51"/>
      <c r="C149" s="52" t="s">
        <v>128</v>
      </c>
      <c r="D149" s="53"/>
      <c r="E149" s="21">
        <f>BAKUNGAN!U149+BANJARSARI!X149+REJOSARI!N149+KEMIREN!M149+OLEHSARI!N149+GLAGAH!M149+PASPAN!P149+TAMANSURUH!S149+KENJO!K149+KAMPUNGANYAR!T149</f>
        <v>350</v>
      </c>
      <c r="F149" s="18"/>
      <c r="G149" s="22"/>
      <c r="H149" s="22"/>
      <c r="I149" s="22"/>
      <c r="J149" s="22"/>
      <c r="K149" s="22"/>
      <c r="L149" s="22"/>
      <c r="M149" s="22"/>
      <c r="N149" s="22"/>
      <c r="O149" s="22"/>
      <c r="P149" s="23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5.75" customHeight="1">
      <c r="A150" s="18"/>
      <c r="B150" s="51"/>
      <c r="C150" s="52" t="s">
        <v>129</v>
      </c>
      <c r="D150" s="53"/>
      <c r="E150" s="21">
        <f>BAKUNGAN!U150+BANJARSARI!X150+REJOSARI!N150+KEMIREN!M150+OLEHSARI!N150+GLAGAH!M150+PASPAN!P150+TAMANSURUH!S150+KENJO!K150+KAMPUNGANYAR!T150</f>
        <v>875</v>
      </c>
      <c r="F150" s="16"/>
      <c r="G150" s="2"/>
      <c r="H150" s="2"/>
      <c r="I150" s="2"/>
      <c r="J150" s="2"/>
      <c r="K150" s="2"/>
      <c r="L150" s="2"/>
      <c r="M150" s="2"/>
      <c r="N150" s="2"/>
      <c r="O150" s="2"/>
      <c r="P150" s="29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8"/>
      <c r="B151" s="51"/>
      <c r="C151" s="52" t="s">
        <v>130</v>
      </c>
      <c r="D151" s="53"/>
      <c r="E151" s="21">
        <f>BAKUNGAN!U151+BANJARSARI!X151+REJOSARI!N151+KEMIREN!M151+OLEHSARI!N151+GLAGAH!M151+PASPAN!P151+TAMANSURUH!S151+KENJO!K151+KAMPUNGANYAR!T151</f>
        <v>33</v>
      </c>
      <c r="F151" s="56"/>
      <c r="G151" s="57"/>
      <c r="H151" s="57"/>
      <c r="I151" s="57"/>
      <c r="J151" s="57"/>
      <c r="K151" s="57"/>
      <c r="L151" s="57"/>
      <c r="M151" s="57"/>
      <c r="N151" s="57"/>
      <c r="O151" s="57"/>
      <c r="P151" s="58"/>
      <c r="Q151" s="5"/>
      <c r="R151" s="5"/>
      <c r="S151" s="5"/>
      <c r="T151" s="5"/>
      <c r="U151" s="5"/>
      <c r="V151" s="5"/>
      <c r="W151" s="59"/>
      <c r="X151" s="5"/>
      <c r="Y151" s="5"/>
      <c r="Z151" s="5"/>
    </row>
    <row r="152" ht="15.75" customHeight="1">
      <c r="A152" s="18"/>
      <c r="B152" s="51"/>
      <c r="C152" s="52" t="s">
        <v>131</v>
      </c>
      <c r="D152" s="53"/>
      <c r="E152" s="21">
        <f>BAKUNGAN!U152+BANJARSARI!X152+REJOSARI!N152+KEMIREN!M152+OLEHSARI!N152+GLAGAH!M152+PASPAN!P152+TAMANSURUH!S152+KENJO!K152+KAMPUNGANYAR!T152</f>
        <v>11</v>
      </c>
      <c r="F152" s="18"/>
      <c r="G152" s="22"/>
      <c r="H152" s="22"/>
      <c r="I152" s="22"/>
      <c r="J152" s="22"/>
      <c r="K152" s="22"/>
      <c r="L152" s="22"/>
      <c r="M152" s="22"/>
      <c r="N152" s="22"/>
      <c r="O152" s="22"/>
      <c r="P152" s="23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5.75" customHeight="1">
      <c r="A153" s="18"/>
      <c r="B153" s="51"/>
      <c r="C153" s="52" t="s">
        <v>132</v>
      </c>
      <c r="D153" s="53"/>
      <c r="E153" s="21">
        <f>BAKUNGAN!U153+BANJARSARI!X153+REJOSARI!N153+KEMIREN!M153+OLEHSARI!N153+GLAGAH!M153+PASPAN!P153+TAMANSURUH!S153+KENJO!K153+KAMPUNGANYAR!T153</f>
        <v>28</v>
      </c>
      <c r="F153" s="18"/>
      <c r="G153" s="22"/>
      <c r="H153" s="22"/>
      <c r="I153" s="22"/>
      <c r="J153" s="22"/>
      <c r="K153" s="22"/>
      <c r="L153" s="22"/>
      <c r="M153" s="22"/>
      <c r="N153" s="22"/>
      <c r="O153" s="22"/>
      <c r="P153" s="23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5.75" customHeight="1">
      <c r="A154" s="13" t="s">
        <v>15</v>
      </c>
      <c r="B154" s="49" t="s">
        <v>46</v>
      </c>
      <c r="C154" s="8"/>
      <c r="D154" s="9"/>
      <c r="E154" s="60">
        <f>SUM(E147:E153)</f>
        <v>1964</v>
      </c>
      <c r="F154" s="18"/>
      <c r="G154" s="22"/>
      <c r="H154" s="22"/>
      <c r="I154" s="22"/>
      <c r="J154" s="22"/>
      <c r="K154" s="22"/>
      <c r="L154" s="22"/>
      <c r="M154" s="22"/>
      <c r="N154" s="22"/>
      <c r="O154" s="22"/>
      <c r="P154" s="23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5.75" customHeight="1">
      <c r="A155" s="54"/>
      <c r="B155" s="55"/>
      <c r="C155" s="55"/>
      <c r="D155" s="55"/>
      <c r="E155" s="55"/>
      <c r="F155" s="18"/>
      <c r="G155" s="22"/>
      <c r="H155" s="22"/>
      <c r="I155" s="22"/>
      <c r="J155" s="22"/>
      <c r="K155" s="22"/>
      <c r="L155" s="22"/>
      <c r="M155" s="22"/>
      <c r="N155" s="22"/>
      <c r="O155" s="22"/>
      <c r="P155" s="23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5.75" customHeight="1">
      <c r="A156" s="32" t="s">
        <v>37</v>
      </c>
      <c r="B156" s="49" t="s">
        <v>133</v>
      </c>
      <c r="C156" s="50" t="s">
        <v>134</v>
      </c>
      <c r="D156" s="9"/>
      <c r="E156" s="21">
        <f>BAKUNGAN!U156+BANJARSARI!X156+REJOSARI!N156+KEMIREN!M156+OLEHSARI!N156+GLAGAH!M156+PASPAN!P156+TAMANSURUH!S156+KENJO!K156+KAMPUNGANYAR!T156</f>
        <v>117</v>
      </c>
      <c r="F156" s="18"/>
      <c r="G156" s="22"/>
      <c r="H156" s="22"/>
      <c r="I156" s="22"/>
      <c r="J156" s="22"/>
      <c r="K156" s="22"/>
      <c r="L156" s="22"/>
      <c r="M156" s="22"/>
      <c r="N156" s="22"/>
      <c r="O156" s="22"/>
      <c r="P156" s="23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5.75" customHeight="1">
      <c r="A157" s="32"/>
      <c r="B157" s="49"/>
      <c r="C157" s="52" t="s">
        <v>135</v>
      </c>
      <c r="D157" s="61"/>
      <c r="E157" s="21">
        <f>BAKUNGAN!U157+BANJARSARI!X157+REJOSARI!N157+KEMIREN!M157+OLEHSARI!N157+GLAGAH!M157+PASPAN!P157+TAMANSURUH!S157+KENJO!K157+KAMPUNGANYAR!T157</f>
        <v>73</v>
      </c>
      <c r="F157" s="18"/>
      <c r="G157" s="22"/>
      <c r="H157" s="22"/>
      <c r="I157" s="22"/>
      <c r="J157" s="22"/>
      <c r="K157" s="22"/>
      <c r="L157" s="22"/>
      <c r="M157" s="22"/>
      <c r="N157" s="22"/>
      <c r="O157" s="22"/>
      <c r="P157" s="23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5.75" customHeight="1">
      <c r="A158" s="32"/>
      <c r="B158" s="49"/>
      <c r="C158" s="52" t="s">
        <v>136</v>
      </c>
      <c r="D158" s="61"/>
      <c r="E158" s="21">
        <f>BAKUNGAN!U158+BANJARSARI!X158+REJOSARI!N158+KEMIREN!M158+OLEHSARI!N158+GLAGAH!M158+PASPAN!P158+TAMANSURUH!S158+KENJO!K158+KAMPUNGANYAR!T158</f>
        <v>40</v>
      </c>
      <c r="F158" s="18"/>
      <c r="G158" s="22"/>
      <c r="H158" s="22"/>
      <c r="I158" s="22"/>
      <c r="J158" s="22"/>
      <c r="K158" s="22"/>
      <c r="L158" s="22"/>
      <c r="M158" s="22"/>
      <c r="N158" s="22"/>
      <c r="O158" s="22"/>
      <c r="P158" s="23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5.75" customHeight="1">
      <c r="A159" s="32"/>
      <c r="B159" s="49"/>
      <c r="C159" s="52" t="s">
        <v>137</v>
      </c>
      <c r="D159" s="61"/>
      <c r="E159" s="21">
        <f>BAKUNGAN!U159+BANJARSARI!X159+REJOSARI!N159+KEMIREN!M159+OLEHSARI!N159+GLAGAH!M159+PASPAN!P159+TAMANSURUH!S159+KENJO!K159+KAMPUNGANYAR!T159</f>
        <v>11</v>
      </c>
      <c r="F159" s="16"/>
      <c r="G159" s="2"/>
      <c r="H159" s="2"/>
      <c r="I159" s="2"/>
      <c r="J159" s="2"/>
      <c r="K159" s="2"/>
      <c r="L159" s="2"/>
      <c r="M159" s="2"/>
      <c r="N159" s="2"/>
      <c r="O159" s="2"/>
      <c r="P159" s="29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32" t="s">
        <v>39</v>
      </c>
      <c r="B160" s="51"/>
      <c r="C160" s="52" t="s">
        <v>138</v>
      </c>
      <c r="D160" s="53"/>
      <c r="E160" s="21">
        <f>BAKUNGAN!U160+BANJARSARI!X160+REJOSARI!N160+KEMIREN!M160+OLEHSARI!N160+GLAGAH!M160+PASPAN!P160+TAMANSURUH!S160+KENJO!K160+KAMPUNGANYAR!T160</f>
        <v>14</v>
      </c>
      <c r="F160" s="56"/>
      <c r="G160" s="57"/>
      <c r="H160" s="57"/>
      <c r="I160" s="57"/>
      <c r="J160" s="57"/>
      <c r="K160" s="57"/>
      <c r="L160" s="57"/>
      <c r="M160" s="57"/>
      <c r="N160" s="57"/>
      <c r="O160" s="57"/>
      <c r="P160" s="58"/>
      <c r="Q160" s="5"/>
      <c r="R160" s="5"/>
      <c r="S160" s="5"/>
      <c r="T160" s="5"/>
      <c r="U160" s="5"/>
      <c r="V160" s="5"/>
      <c r="W160" s="59"/>
      <c r="X160" s="5"/>
      <c r="Y160" s="5"/>
      <c r="Z160" s="5"/>
    </row>
    <row r="161" ht="15.75" customHeight="1">
      <c r="A161" s="32"/>
      <c r="B161" s="51"/>
      <c r="C161" s="52" t="s">
        <v>139</v>
      </c>
      <c r="D161" s="53"/>
      <c r="E161" s="21">
        <f>BAKUNGAN!U161+BANJARSARI!X161+REJOSARI!N161+KEMIREN!M161+OLEHSARI!N161+GLAGAH!M161+PASPAN!P161+TAMANSURUH!S161+KENJO!K161+KAMPUNGANYAR!T161</f>
        <v>13</v>
      </c>
      <c r="F161" s="18"/>
      <c r="G161" s="22"/>
      <c r="H161" s="22"/>
      <c r="I161" s="22"/>
      <c r="J161" s="22"/>
      <c r="K161" s="22"/>
      <c r="L161" s="22"/>
      <c r="M161" s="22"/>
      <c r="N161" s="22"/>
      <c r="O161" s="22"/>
      <c r="P161" s="23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5.75" customHeight="1">
      <c r="A162" s="13" t="s">
        <v>15</v>
      </c>
      <c r="B162" s="49" t="s">
        <v>46</v>
      </c>
      <c r="C162" s="8"/>
      <c r="D162" s="9"/>
      <c r="E162" s="60">
        <f>SUM(E156:E161)</f>
        <v>268</v>
      </c>
      <c r="F162" s="18"/>
      <c r="G162" s="22"/>
      <c r="H162" s="22"/>
      <c r="I162" s="22"/>
      <c r="J162" s="22"/>
      <c r="K162" s="22"/>
      <c r="L162" s="22"/>
      <c r="M162" s="22"/>
      <c r="N162" s="22"/>
      <c r="O162" s="22"/>
      <c r="P162" s="23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5.75" customHeight="1">
      <c r="A163" s="54"/>
      <c r="B163" s="55"/>
      <c r="C163" s="55"/>
      <c r="D163" s="55"/>
      <c r="E163" s="55"/>
      <c r="F163" s="18"/>
      <c r="G163" s="22"/>
      <c r="H163" s="22"/>
      <c r="I163" s="22"/>
      <c r="J163" s="22"/>
      <c r="K163" s="22"/>
      <c r="L163" s="22"/>
      <c r="M163" s="22"/>
      <c r="N163" s="22"/>
      <c r="O163" s="22"/>
      <c r="P163" s="23"/>
      <c r="Q163" s="24"/>
      <c r="R163" s="24"/>
      <c r="S163" s="24"/>
      <c r="T163" s="24"/>
      <c r="U163" s="24"/>
      <c r="V163" s="24"/>
      <c r="W163" s="17"/>
      <c r="X163" s="17"/>
      <c r="Y163" s="17"/>
      <c r="Z163" s="17"/>
    </row>
    <row r="164" ht="15.75" customHeight="1">
      <c r="A164" s="32" t="s">
        <v>37</v>
      </c>
      <c r="B164" s="49" t="s">
        <v>140</v>
      </c>
      <c r="C164" s="50" t="s">
        <v>141</v>
      </c>
      <c r="D164" s="9"/>
      <c r="E164" s="21">
        <f>BAKUNGAN!U164+BANJARSARI!X164+REJOSARI!N164+KEMIREN!M164+OLEHSARI!N164+GLAGAH!M164+PASPAN!P164+TAMANSURUH!S164+KENJO!K164+KAMPUNGANYAR!T164</f>
        <v>53</v>
      </c>
      <c r="F164" s="16"/>
      <c r="G164" s="2"/>
      <c r="H164" s="2"/>
      <c r="I164" s="2"/>
      <c r="J164" s="2"/>
      <c r="K164" s="2"/>
      <c r="L164" s="2"/>
      <c r="M164" s="2"/>
      <c r="N164" s="2"/>
      <c r="O164" s="2"/>
      <c r="P164" s="29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32"/>
      <c r="B165" s="49"/>
      <c r="C165" s="52" t="s">
        <v>142</v>
      </c>
      <c r="D165" s="61"/>
      <c r="E165" s="21">
        <f>BAKUNGAN!U165+BANJARSARI!X165+REJOSARI!N165+KEMIREN!M165+OLEHSARI!N165+GLAGAH!M165+PASPAN!P165+TAMANSURUH!S165+KENJO!K165+KAMPUNGANYAR!T165</f>
        <v>23</v>
      </c>
      <c r="F165" s="56"/>
      <c r="G165" s="57"/>
      <c r="H165" s="57"/>
      <c r="I165" s="57"/>
      <c r="J165" s="57"/>
      <c r="K165" s="57"/>
      <c r="L165" s="57"/>
      <c r="M165" s="57"/>
      <c r="N165" s="57"/>
      <c r="O165" s="57"/>
      <c r="P165" s="58"/>
      <c r="Q165" s="5"/>
      <c r="R165" s="5"/>
      <c r="S165" s="5"/>
      <c r="T165" s="5"/>
      <c r="U165" s="5"/>
      <c r="V165" s="5"/>
      <c r="W165" s="59"/>
      <c r="X165" s="5"/>
      <c r="Y165" s="5"/>
      <c r="Z165" s="5"/>
    </row>
    <row r="166" ht="15.75" customHeight="1">
      <c r="A166" s="32"/>
      <c r="B166" s="49"/>
      <c r="C166" s="52" t="s">
        <v>143</v>
      </c>
      <c r="D166" s="61"/>
      <c r="E166" s="21">
        <f>BAKUNGAN!U166+BANJARSARI!X166+REJOSARI!N166+KEMIREN!M166+OLEHSARI!N166+GLAGAH!M166+PASPAN!P166+TAMANSURUH!S166+KENJO!K166+KAMPUNGANYAR!T166</f>
        <v>6</v>
      </c>
      <c r="F166" s="18"/>
      <c r="G166" s="22"/>
      <c r="H166" s="22"/>
      <c r="I166" s="22"/>
      <c r="J166" s="22"/>
      <c r="K166" s="22"/>
      <c r="L166" s="22"/>
      <c r="M166" s="22"/>
      <c r="N166" s="22"/>
      <c r="O166" s="22"/>
      <c r="P166" s="23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5.75" customHeight="1">
      <c r="A167" s="32"/>
      <c r="B167" s="49"/>
      <c r="C167" s="52" t="s">
        <v>144</v>
      </c>
      <c r="D167" s="61"/>
      <c r="E167" s="21">
        <f>BAKUNGAN!U167+BANJARSARI!X167+REJOSARI!N167+KEMIREN!M167+OLEHSARI!N167+GLAGAH!M167+PASPAN!P167+TAMANSURUH!S167+KENJO!K167+KAMPUNGANYAR!T167</f>
        <v>3</v>
      </c>
      <c r="F167" s="18"/>
      <c r="G167" s="22"/>
      <c r="H167" s="22"/>
      <c r="I167" s="22"/>
      <c r="J167" s="22"/>
      <c r="K167" s="22"/>
      <c r="L167" s="22"/>
      <c r="M167" s="22"/>
      <c r="N167" s="22"/>
      <c r="O167" s="22"/>
      <c r="P167" s="23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5.75" customHeight="1">
      <c r="A168" s="32" t="s">
        <v>39</v>
      </c>
      <c r="B168" s="51"/>
      <c r="C168" s="52" t="s">
        <v>145</v>
      </c>
      <c r="D168" s="53"/>
      <c r="E168" s="21">
        <f>BAKUNGAN!U168+BANJARSARI!X168+REJOSARI!N168+KEMIREN!M168+OLEHSARI!N168+GLAGAH!M168+PASPAN!P168+TAMANSURUH!S168+KENJO!K168+KAMPUNGANYAR!T168</f>
        <v>114</v>
      </c>
      <c r="F168" s="18"/>
      <c r="G168" s="22"/>
      <c r="H168" s="22"/>
      <c r="I168" s="22"/>
      <c r="J168" s="22"/>
      <c r="K168" s="22"/>
      <c r="L168" s="22"/>
      <c r="M168" s="22"/>
      <c r="N168" s="22"/>
      <c r="O168" s="22"/>
      <c r="P168" s="23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5.75" customHeight="1">
      <c r="A169" s="18"/>
      <c r="B169" s="51"/>
      <c r="C169" s="52" t="s">
        <v>146</v>
      </c>
      <c r="D169" s="53"/>
      <c r="E169" s="21">
        <f>BAKUNGAN!U169+BANJARSARI!X169+REJOSARI!N169+KEMIREN!M169+OLEHSARI!N169+GLAGAH!M169+PASPAN!P169+TAMANSURUH!S169+KENJO!K169+KAMPUNGANYAR!T169</f>
        <v>50</v>
      </c>
      <c r="F169" s="18"/>
      <c r="G169" s="22"/>
      <c r="H169" s="22"/>
      <c r="I169" s="22"/>
      <c r="J169" s="22"/>
      <c r="K169" s="22"/>
      <c r="L169" s="22"/>
      <c r="M169" s="22"/>
      <c r="N169" s="22"/>
      <c r="O169" s="22"/>
      <c r="P169" s="23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5.75" customHeight="1">
      <c r="A170" s="18"/>
      <c r="B170" s="51"/>
      <c r="C170" s="52" t="s">
        <v>147</v>
      </c>
      <c r="D170" s="53"/>
      <c r="E170" s="21">
        <f>BAKUNGAN!U170+BANJARSARI!X170+REJOSARI!N170+KEMIREN!M170+OLEHSARI!N170+GLAGAH!M170+PASPAN!P170+TAMANSURUH!S170+KENJO!K170+KAMPUNGANYAR!T170</f>
        <v>52</v>
      </c>
      <c r="F170" s="18"/>
      <c r="G170" s="22"/>
      <c r="H170" s="22"/>
      <c r="I170" s="22"/>
      <c r="J170" s="22"/>
      <c r="K170" s="22"/>
      <c r="L170" s="22"/>
      <c r="M170" s="22"/>
      <c r="N170" s="22"/>
      <c r="O170" s="22"/>
      <c r="P170" s="23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5.75" customHeight="1">
      <c r="A171" s="13" t="s">
        <v>15</v>
      </c>
      <c r="B171" s="49" t="s">
        <v>46</v>
      </c>
      <c r="C171" s="8"/>
      <c r="D171" s="9"/>
      <c r="E171" s="60">
        <f>SUM(E164:E170)</f>
        <v>301</v>
      </c>
      <c r="F171" s="18"/>
      <c r="G171" s="22"/>
      <c r="H171" s="22"/>
      <c r="I171" s="22"/>
      <c r="J171" s="22"/>
      <c r="K171" s="22"/>
      <c r="L171" s="22"/>
      <c r="M171" s="22"/>
      <c r="N171" s="22"/>
      <c r="O171" s="22"/>
      <c r="P171" s="23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5.75" customHeight="1">
      <c r="A172" s="54"/>
      <c r="B172" s="55"/>
      <c r="C172" s="55"/>
      <c r="D172" s="55"/>
      <c r="E172" s="55"/>
      <c r="F172" s="18"/>
      <c r="G172" s="22"/>
      <c r="H172" s="22"/>
      <c r="I172" s="22"/>
      <c r="J172" s="22"/>
      <c r="K172" s="22"/>
      <c r="L172" s="22"/>
      <c r="M172" s="22"/>
      <c r="N172" s="22"/>
      <c r="O172" s="22"/>
      <c r="P172" s="23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5.75" customHeight="1">
      <c r="A173" s="32" t="s">
        <v>37</v>
      </c>
      <c r="B173" s="49" t="s">
        <v>148</v>
      </c>
      <c r="C173" s="50" t="s">
        <v>149</v>
      </c>
      <c r="D173" s="9"/>
      <c r="E173" s="21">
        <f>BAKUNGAN!U173+BANJARSARI!X173+REJOSARI!N173+KEMIREN!M173+OLEHSARI!N173+GLAGAH!M173+PASPAN!P173+TAMANSURUH!S173+KENJO!K173+KAMPUNGANYAR!T173</f>
        <v>94</v>
      </c>
      <c r="F173" s="16"/>
      <c r="G173" s="2"/>
      <c r="H173" s="2"/>
      <c r="I173" s="2"/>
      <c r="J173" s="2"/>
      <c r="K173" s="2"/>
      <c r="L173" s="2"/>
      <c r="M173" s="2"/>
      <c r="N173" s="2"/>
      <c r="O173" s="2"/>
      <c r="P173" s="29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32" t="s">
        <v>39</v>
      </c>
      <c r="B174" s="51"/>
      <c r="C174" s="52" t="s">
        <v>150</v>
      </c>
      <c r="D174" s="53"/>
      <c r="E174" s="21">
        <f>BAKUNGAN!U174+BANJARSARI!X174+REJOSARI!N174+KEMIREN!M174+OLEHSARI!N174+GLAGAH!M174+PASPAN!P174+TAMANSURUH!S174+KENJO!K174+KAMPUNGANYAR!T174</f>
        <v>173</v>
      </c>
      <c r="F174" s="56"/>
      <c r="G174" s="57"/>
      <c r="H174" s="57"/>
      <c r="I174" s="57"/>
      <c r="J174" s="57"/>
      <c r="K174" s="57"/>
      <c r="L174" s="57"/>
      <c r="M174" s="57"/>
      <c r="N174" s="57"/>
      <c r="O174" s="57"/>
      <c r="P174" s="58"/>
      <c r="Q174" s="5"/>
      <c r="R174" s="5"/>
      <c r="S174" s="5"/>
      <c r="T174" s="5"/>
      <c r="U174" s="5"/>
      <c r="V174" s="5"/>
      <c r="W174" s="59"/>
      <c r="X174" s="5"/>
      <c r="Y174" s="5"/>
      <c r="Z174" s="5"/>
    </row>
    <row r="175" ht="15.75" customHeight="1">
      <c r="A175" s="18"/>
      <c r="B175" s="51"/>
      <c r="C175" s="52" t="s">
        <v>151</v>
      </c>
      <c r="D175" s="53"/>
      <c r="E175" s="21">
        <f>BAKUNGAN!U175+BANJARSARI!X175+REJOSARI!N175+KEMIREN!M175+OLEHSARI!N175+GLAGAH!M175+PASPAN!P175+TAMANSURUH!S175+KENJO!K175+KAMPUNGANYAR!T175</f>
        <v>31</v>
      </c>
      <c r="F175" s="18"/>
      <c r="G175" s="22"/>
      <c r="H175" s="22"/>
      <c r="I175" s="22"/>
      <c r="J175" s="22"/>
      <c r="K175" s="22"/>
      <c r="L175" s="22"/>
      <c r="M175" s="22"/>
      <c r="N175" s="22"/>
      <c r="O175" s="22"/>
      <c r="P175" s="23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5.75" customHeight="1">
      <c r="A176" s="18"/>
      <c r="B176" s="51"/>
      <c r="C176" s="52" t="s">
        <v>152</v>
      </c>
      <c r="D176" s="53"/>
      <c r="E176" s="21">
        <f>BAKUNGAN!U176+BANJARSARI!X176+REJOSARI!N176+KEMIREN!M176+OLEHSARI!N176+GLAGAH!M176+PASPAN!P176+TAMANSURUH!S176+KENJO!K176+KAMPUNGANYAR!T176</f>
        <v>284</v>
      </c>
      <c r="F176" s="18"/>
      <c r="G176" s="22"/>
      <c r="H176" s="22"/>
      <c r="I176" s="22"/>
      <c r="J176" s="22"/>
      <c r="K176" s="22"/>
      <c r="L176" s="22"/>
      <c r="M176" s="22"/>
      <c r="N176" s="22"/>
      <c r="O176" s="22"/>
      <c r="P176" s="23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5.75" customHeight="1">
      <c r="A177" s="18"/>
      <c r="B177" s="51"/>
      <c r="C177" s="52" t="s">
        <v>153</v>
      </c>
      <c r="D177" s="53"/>
      <c r="E177" s="21">
        <f>BAKUNGAN!U177+BANJARSARI!X177+REJOSARI!N177+KEMIREN!M177+OLEHSARI!N177+GLAGAH!M177+PASPAN!P177+TAMANSURUH!S177+KENJO!K177+KAMPUNGANYAR!T177</f>
        <v>19</v>
      </c>
      <c r="F177" s="18"/>
      <c r="G177" s="22"/>
      <c r="H177" s="22"/>
      <c r="I177" s="22"/>
      <c r="J177" s="22"/>
      <c r="K177" s="22"/>
      <c r="L177" s="22"/>
      <c r="M177" s="22"/>
      <c r="N177" s="22"/>
      <c r="O177" s="22"/>
      <c r="P177" s="23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5.75" customHeight="1">
      <c r="A178" s="18"/>
      <c r="B178" s="51"/>
      <c r="C178" s="52" t="s">
        <v>154</v>
      </c>
      <c r="D178" s="53"/>
      <c r="E178" s="21">
        <f>BAKUNGAN!U178+BANJARSARI!X178+REJOSARI!N178+KEMIREN!M178+OLEHSARI!N178+GLAGAH!M178+PASPAN!P178+TAMANSURUH!S178+KENJO!K178+KAMPUNGANYAR!T178</f>
        <v>9</v>
      </c>
      <c r="F178" s="18"/>
      <c r="G178" s="22"/>
      <c r="H178" s="22"/>
      <c r="I178" s="22"/>
      <c r="J178" s="22"/>
      <c r="K178" s="22"/>
      <c r="L178" s="22"/>
      <c r="M178" s="22"/>
      <c r="N178" s="22"/>
      <c r="O178" s="22"/>
      <c r="P178" s="23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5.75" customHeight="1">
      <c r="A179" s="18"/>
      <c r="B179" s="51"/>
      <c r="C179" s="52" t="s">
        <v>155</v>
      </c>
      <c r="D179" s="53"/>
      <c r="E179" s="21">
        <f>BAKUNGAN!U179+BANJARSARI!X179+REJOSARI!N179+KEMIREN!M179+OLEHSARI!N179+GLAGAH!M179+PASPAN!P179+TAMANSURUH!S179+KENJO!K179+KAMPUNGANYAR!T179</f>
        <v>17</v>
      </c>
      <c r="F179" s="18"/>
      <c r="G179" s="22"/>
      <c r="H179" s="22"/>
      <c r="I179" s="22"/>
      <c r="J179" s="22"/>
      <c r="K179" s="22"/>
      <c r="L179" s="22"/>
      <c r="M179" s="22"/>
      <c r="N179" s="22"/>
      <c r="O179" s="22"/>
      <c r="P179" s="23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5.75" customHeight="1">
      <c r="A180" s="13" t="s">
        <v>15</v>
      </c>
      <c r="B180" s="49" t="s">
        <v>46</v>
      </c>
      <c r="C180" s="8"/>
      <c r="D180" s="9"/>
      <c r="E180" s="60">
        <f>SUM(E173:E179)</f>
        <v>627</v>
      </c>
      <c r="F180" s="18"/>
      <c r="G180" s="22"/>
      <c r="H180" s="22"/>
      <c r="I180" s="22"/>
      <c r="J180" s="22"/>
      <c r="K180" s="22"/>
      <c r="L180" s="22"/>
      <c r="M180" s="22"/>
      <c r="N180" s="22"/>
      <c r="O180" s="22"/>
      <c r="P180" s="23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5.75" customHeight="1">
      <c r="A181" s="54"/>
      <c r="B181" s="55"/>
      <c r="C181" s="55"/>
      <c r="D181" s="55"/>
      <c r="E181" s="55"/>
      <c r="F181" s="18"/>
      <c r="G181" s="22"/>
      <c r="H181" s="22"/>
      <c r="I181" s="22"/>
      <c r="J181" s="22"/>
      <c r="K181" s="22"/>
      <c r="L181" s="22"/>
      <c r="M181" s="22"/>
      <c r="N181" s="22"/>
      <c r="O181" s="22"/>
      <c r="P181" s="23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5.75" customHeight="1">
      <c r="A182" s="32" t="s">
        <v>37</v>
      </c>
      <c r="B182" s="49" t="s">
        <v>156</v>
      </c>
      <c r="C182" s="50" t="s">
        <v>157</v>
      </c>
      <c r="D182" s="9"/>
      <c r="E182" s="21">
        <f>BAKUNGAN!U182+BANJARSARI!X182+REJOSARI!N182+KEMIREN!M182+OLEHSARI!N182+GLAGAH!M182+PASPAN!P182+TAMANSURUH!S182+KENJO!K182+KAMPUNGANYAR!T182</f>
        <v>34</v>
      </c>
      <c r="F182" s="16"/>
      <c r="G182" s="2"/>
      <c r="H182" s="2"/>
      <c r="I182" s="2"/>
      <c r="J182" s="2"/>
      <c r="K182" s="2"/>
      <c r="L182" s="2"/>
      <c r="M182" s="2"/>
      <c r="N182" s="2"/>
      <c r="O182" s="2"/>
      <c r="P182" s="29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32"/>
      <c r="B183" s="49"/>
      <c r="C183" s="52" t="s">
        <v>158</v>
      </c>
      <c r="D183" s="61"/>
      <c r="E183" s="21">
        <f>BAKUNGAN!U183+BANJARSARI!X183+REJOSARI!N183+KEMIREN!M183+OLEHSARI!N183+GLAGAH!M183+PASPAN!P183+TAMANSURUH!S183+KENJO!K183+KAMPUNGANYAR!T183</f>
        <v>48</v>
      </c>
      <c r="F183" s="56"/>
      <c r="G183" s="57"/>
      <c r="H183" s="57"/>
      <c r="I183" s="57"/>
      <c r="J183" s="57"/>
      <c r="K183" s="57"/>
      <c r="L183" s="57"/>
      <c r="M183" s="57"/>
      <c r="N183" s="57"/>
      <c r="O183" s="57"/>
      <c r="P183" s="58"/>
      <c r="Q183" s="5"/>
      <c r="R183" s="5"/>
      <c r="S183" s="5"/>
      <c r="T183" s="5"/>
      <c r="U183" s="5"/>
      <c r="V183" s="5"/>
      <c r="W183" s="59"/>
      <c r="X183" s="5"/>
      <c r="Y183" s="5"/>
      <c r="Z183" s="5"/>
    </row>
    <row r="184" ht="15.75" customHeight="1">
      <c r="A184" s="32"/>
      <c r="B184" s="49"/>
      <c r="C184" s="52" t="s">
        <v>159</v>
      </c>
      <c r="D184" s="61"/>
      <c r="E184" s="21">
        <f>BAKUNGAN!U184+BANJARSARI!X184+REJOSARI!N184+KEMIREN!M184+OLEHSARI!N184+GLAGAH!M184+PASPAN!P184+TAMANSURUH!S184+KENJO!K184+KAMPUNGANYAR!T184</f>
        <v>141</v>
      </c>
      <c r="F184" s="18"/>
      <c r="G184" s="22"/>
      <c r="H184" s="22"/>
      <c r="I184" s="22"/>
      <c r="J184" s="22"/>
      <c r="K184" s="22"/>
      <c r="L184" s="22"/>
      <c r="M184" s="22"/>
      <c r="N184" s="22"/>
      <c r="O184" s="22"/>
      <c r="P184" s="23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5.75" customHeight="1">
      <c r="A185" s="32"/>
      <c r="B185" s="49"/>
      <c r="C185" s="52" t="s">
        <v>160</v>
      </c>
      <c r="D185" s="61"/>
      <c r="E185" s="21">
        <f>BAKUNGAN!U185+BANJARSARI!X185+REJOSARI!N185+KEMIREN!M185+OLEHSARI!N185+GLAGAH!M185+PASPAN!P185+TAMANSURUH!S185+KENJO!K185+KAMPUNGANYAR!T185</f>
        <v>2</v>
      </c>
      <c r="F185" s="18"/>
      <c r="G185" s="22"/>
      <c r="H185" s="22"/>
      <c r="I185" s="22"/>
      <c r="J185" s="22"/>
      <c r="K185" s="22"/>
      <c r="L185" s="22"/>
      <c r="M185" s="22"/>
      <c r="N185" s="22"/>
      <c r="O185" s="22"/>
      <c r="P185" s="23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5.75" customHeight="1">
      <c r="A186" s="32" t="s">
        <v>39</v>
      </c>
      <c r="B186" s="51"/>
      <c r="C186" s="52" t="s">
        <v>161</v>
      </c>
      <c r="D186" s="53"/>
      <c r="E186" s="21">
        <f>BAKUNGAN!U186+BANJARSARI!X186+REJOSARI!N186+KEMIREN!M186+OLEHSARI!N186+GLAGAH!M186+PASPAN!P186+TAMANSURUH!S186+KENJO!K186+KAMPUNGANYAR!T186</f>
        <v>2</v>
      </c>
      <c r="F186" s="16"/>
      <c r="G186" s="2"/>
      <c r="H186" s="2"/>
      <c r="I186" s="2"/>
      <c r="J186" s="2"/>
      <c r="K186" s="2"/>
      <c r="L186" s="2"/>
      <c r="M186" s="2"/>
      <c r="N186" s="2"/>
      <c r="O186" s="2"/>
      <c r="P186" s="29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3" t="s">
        <v>15</v>
      </c>
      <c r="B187" s="49" t="s">
        <v>46</v>
      </c>
      <c r="C187" s="8"/>
      <c r="D187" s="9"/>
      <c r="E187" s="60">
        <f>SUM(E182:E186)</f>
        <v>227</v>
      </c>
      <c r="F187" s="18"/>
      <c r="G187" s="22"/>
      <c r="H187" s="22"/>
      <c r="I187" s="22"/>
      <c r="J187" s="22"/>
      <c r="K187" s="22"/>
      <c r="L187" s="22"/>
      <c r="M187" s="22"/>
      <c r="N187" s="22"/>
      <c r="O187" s="30"/>
      <c r="P187" s="31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32"/>
      <c r="B188" s="49"/>
      <c r="C188" s="62"/>
      <c r="D188" s="61"/>
      <c r="E188" s="60"/>
      <c r="F188" s="18"/>
      <c r="G188" s="22"/>
      <c r="H188" s="22"/>
      <c r="I188" s="22"/>
      <c r="J188" s="22"/>
      <c r="K188" s="22"/>
      <c r="L188" s="22"/>
      <c r="M188" s="22"/>
      <c r="N188" s="22"/>
      <c r="O188" s="30"/>
      <c r="P188" s="31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F189" s="16"/>
      <c r="G189" s="2"/>
      <c r="H189" s="2"/>
      <c r="I189" s="2"/>
      <c r="J189" s="2"/>
      <c r="K189" s="2"/>
      <c r="L189" s="2"/>
      <c r="M189" s="2"/>
      <c r="N189" s="2"/>
      <c r="O189" s="4"/>
      <c r="P189" s="31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4" t="s">
        <v>162</v>
      </c>
      <c r="B190" s="7" t="s">
        <v>163</v>
      </c>
      <c r="C190" s="8"/>
      <c r="D190" s="9"/>
      <c r="E190" s="28"/>
      <c r="F190" s="16"/>
      <c r="G190" s="2"/>
      <c r="H190" s="2"/>
      <c r="I190" s="2"/>
      <c r="J190" s="2"/>
      <c r="K190" s="2"/>
      <c r="L190" s="2"/>
      <c r="M190" s="2"/>
      <c r="N190" s="2"/>
      <c r="O190" s="2"/>
      <c r="P190" s="29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44"/>
      <c r="B191" s="63" t="s">
        <v>164</v>
      </c>
      <c r="C191" s="64" t="s">
        <v>165</v>
      </c>
      <c r="D191" s="9"/>
      <c r="E191" s="21">
        <f>BAKUNGAN!U191+BANJARSARI!X191+REJOSARI!N191+KEMIREN!M191+OLEHSARI!N191+GLAGAH!M191+PASPAN!P191+TAMANSURUH!S191+KENJO!K191+KAMPUNGANYAR!T191</f>
        <v>22421</v>
      </c>
      <c r="F191" s="18"/>
      <c r="G191" s="22"/>
      <c r="H191" s="22"/>
      <c r="I191" s="22"/>
      <c r="J191" s="22"/>
      <c r="K191" s="22"/>
      <c r="L191" s="22"/>
      <c r="M191" s="22"/>
      <c r="N191" s="22"/>
      <c r="O191" s="22"/>
      <c r="P191" s="23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5.75" customHeight="1">
      <c r="A192" s="37"/>
      <c r="B192" s="63" t="s">
        <v>166</v>
      </c>
      <c r="C192" s="64" t="s">
        <v>167</v>
      </c>
      <c r="D192" s="9"/>
      <c r="E192" s="21">
        <f>BAKUNGAN!U192+BANJARSARI!X192+REJOSARI!N192+KEMIREN!M192+OLEHSARI!N192+GLAGAH!M192+PASPAN!P192+TAMANSURUH!S192+KENJO!K192+KAMPUNGANYAR!T192</f>
        <v>1919</v>
      </c>
      <c r="F192" s="16"/>
      <c r="G192" s="2"/>
      <c r="H192" s="2"/>
      <c r="I192" s="2"/>
      <c r="J192" s="2"/>
      <c r="K192" s="2"/>
      <c r="L192" s="2"/>
      <c r="M192" s="2"/>
      <c r="N192" s="2"/>
      <c r="O192" s="2"/>
      <c r="P192" s="29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42"/>
      <c r="B193" s="63" t="s">
        <v>168</v>
      </c>
      <c r="C193" s="64" t="s">
        <v>169</v>
      </c>
      <c r="D193" s="9"/>
      <c r="E193" s="28">
        <f>SUM(E191:E192)</f>
        <v>24340</v>
      </c>
      <c r="F193" s="22"/>
      <c r="G193" s="22"/>
      <c r="H193" s="22"/>
      <c r="I193" s="22"/>
      <c r="J193" s="22"/>
      <c r="K193" s="22"/>
      <c r="L193" s="22"/>
      <c r="M193" s="22"/>
      <c r="N193" s="22"/>
      <c r="O193" s="30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22"/>
      <c r="B194" s="65"/>
      <c r="C194" s="66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hidden="1" customHeight="1">
      <c r="A195" s="22"/>
      <c r="B195" s="65"/>
      <c r="C195" s="66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hidden="1" customHeight="1">
      <c r="A196" s="22"/>
      <c r="B196" s="65"/>
      <c r="C196" s="66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hidden="1" customHeight="1">
      <c r="A197" s="22"/>
      <c r="B197" s="65"/>
      <c r="C197" s="66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30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hidden="1" customHeight="1">
      <c r="A198" s="22"/>
      <c r="B198" s="65"/>
      <c r="C198" s="66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30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hidden="1" customHeight="1">
      <c r="A199" s="22"/>
      <c r="B199" s="65"/>
      <c r="C199" s="66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30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hidden="1" customHeight="1">
      <c r="A200" s="22"/>
      <c r="B200" s="65"/>
      <c r="C200" s="66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30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hidden="1" customHeight="1">
      <c r="A201" s="22"/>
      <c r="B201" s="65"/>
      <c r="C201" s="66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30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hidden="1" customHeight="1">
      <c r="A202" s="22"/>
      <c r="B202" s="65"/>
      <c r="C202" s="66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30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hidden="1" customHeight="1">
      <c r="A203" s="22"/>
      <c r="B203" s="65"/>
      <c r="C203" s="66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30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hidden="1" customHeight="1">
      <c r="A204" s="22"/>
      <c r="B204" s="65"/>
      <c r="C204" s="66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30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hidden="1" customHeight="1">
      <c r="A205" s="22"/>
      <c r="B205" s="65"/>
      <c r="C205" s="66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30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hidden="1" customHeight="1">
      <c r="A206" s="22"/>
      <c r="B206" s="65"/>
      <c r="C206" s="66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30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hidden="1" customHeight="1">
      <c r="A207" s="22"/>
      <c r="B207" s="65"/>
      <c r="C207" s="66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30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hidden="1" customHeight="1">
      <c r="A208" s="22"/>
      <c r="B208" s="65"/>
      <c r="C208" s="66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30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hidden="1" customHeight="1">
      <c r="A209" s="22"/>
      <c r="B209" s="65"/>
      <c r="C209" s="66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30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hidden="1" customHeight="1">
      <c r="A210" s="22"/>
      <c r="B210" s="65"/>
      <c r="C210" s="66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30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hidden="1" customHeight="1">
      <c r="A211" s="22"/>
      <c r="B211" s="65"/>
      <c r="C211" s="66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30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hidden="1" customHeight="1">
      <c r="A212" s="22"/>
      <c r="B212" s="65"/>
      <c r="C212" s="66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30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hidden="1" customHeight="1">
      <c r="A213" s="22"/>
      <c r="B213" s="65"/>
      <c r="C213" s="66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30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hidden="1" customHeight="1">
      <c r="A214" s="22"/>
      <c r="B214" s="65"/>
      <c r="C214" s="66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30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hidden="1" customHeight="1">
      <c r="A215" s="22"/>
      <c r="B215" s="65"/>
      <c r="C215" s="66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30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hidden="1" customHeight="1">
      <c r="A216" s="22"/>
      <c r="B216" s="65"/>
      <c r="C216" s="66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30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hidden="1" customHeight="1">
      <c r="A217" s="22"/>
      <c r="B217" s="65"/>
      <c r="C217" s="66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30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hidden="1" customHeight="1">
      <c r="A218" s="22"/>
      <c r="B218" s="65"/>
      <c r="C218" s="66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30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hidden="1" customHeight="1">
      <c r="A219" s="22"/>
      <c r="B219" s="65"/>
      <c r="C219" s="66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30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hidden="1" customHeight="1">
      <c r="A220" s="22"/>
      <c r="B220" s="65"/>
      <c r="C220" s="66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30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hidden="1" customHeight="1">
      <c r="A221" s="22"/>
      <c r="B221" s="65"/>
      <c r="C221" s="66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30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hidden="1" customHeight="1">
      <c r="A222" s="22"/>
      <c r="B222" s="65"/>
      <c r="C222" s="66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30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hidden="1" customHeight="1">
      <c r="A223" s="22"/>
      <c r="B223" s="65"/>
      <c r="C223" s="66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30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hidden="1" customHeight="1">
      <c r="A224" s="22"/>
      <c r="B224" s="65"/>
      <c r="C224" s="66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30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hidden="1" customHeight="1">
      <c r="A225" s="22"/>
      <c r="B225" s="65"/>
      <c r="C225" s="66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30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hidden="1" customHeight="1">
      <c r="A226" s="22"/>
      <c r="B226" s="65"/>
      <c r="C226" s="66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30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hidden="1" customHeight="1">
      <c r="A227" s="22"/>
      <c r="B227" s="65"/>
      <c r="C227" s="66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30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hidden="1" customHeight="1">
      <c r="A228" s="22"/>
      <c r="B228" s="65"/>
      <c r="C228" s="66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30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hidden="1" customHeight="1">
      <c r="A229" s="22"/>
      <c r="B229" s="65"/>
      <c r="C229" s="66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30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hidden="1" customHeight="1">
      <c r="A230" s="22"/>
      <c r="B230" s="65"/>
      <c r="C230" s="66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30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hidden="1" customHeight="1">
      <c r="A231" s="22"/>
      <c r="B231" s="65"/>
      <c r="C231" s="66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30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hidden="1" customHeight="1">
      <c r="A232" s="22"/>
      <c r="B232" s="65"/>
      <c r="C232" s="66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30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hidden="1" customHeight="1">
      <c r="A233" s="22"/>
      <c r="B233" s="65"/>
      <c r="C233" s="66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30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hidden="1" customHeight="1">
      <c r="A234" s="22"/>
      <c r="B234" s="65"/>
      <c r="C234" s="66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30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hidden="1" customHeight="1">
      <c r="A235" s="22"/>
      <c r="B235" s="65"/>
      <c r="C235" s="66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30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hidden="1" customHeight="1">
      <c r="A236" s="22"/>
      <c r="B236" s="65"/>
      <c r="C236" s="66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30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hidden="1" customHeight="1">
      <c r="A237" s="22"/>
      <c r="B237" s="65"/>
      <c r="C237" s="66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30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hidden="1" customHeight="1">
      <c r="A238" s="22"/>
      <c r="B238" s="65"/>
      <c r="C238" s="66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30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hidden="1" customHeight="1">
      <c r="A239" s="22"/>
      <c r="B239" s="65"/>
      <c r="C239" s="66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30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hidden="1" customHeight="1">
      <c r="A240" s="22"/>
      <c r="B240" s="65"/>
      <c r="C240" s="66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30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hidden="1" customHeight="1">
      <c r="A241" s="22"/>
      <c r="B241" s="65"/>
      <c r="C241" s="66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30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hidden="1" customHeight="1">
      <c r="A242" s="22"/>
      <c r="B242" s="65"/>
      <c r="C242" s="66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30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hidden="1" customHeight="1">
      <c r="A243" s="22"/>
      <c r="B243" s="65"/>
      <c r="C243" s="66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30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hidden="1" customHeight="1">
      <c r="A244" s="22"/>
      <c r="B244" s="65"/>
      <c r="C244" s="66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30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hidden="1" customHeight="1">
      <c r="A245" s="22"/>
      <c r="B245" s="65"/>
      <c r="C245" s="66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30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hidden="1" customHeight="1">
      <c r="A246" s="22"/>
      <c r="B246" s="65"/>
      <c r="C246" s="66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30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hidden="1" customHeight="1">
      <c r="A247" s="22"/>
      <c r="B247" s="65"/>
      <c r="C247" s="66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30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hidden="1" customHeight="1">
      <c r="A248" s="22"/>
      <c r="B248" s="65"/>
      <c r="C248" s="66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30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hidden="1" customHeight="1">
      <c r="A249" s="22"/>
      <c r="B249" s="65"/>
      <c r="C249" s="66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30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hidden="1" customHeight="1">
      <c r="A250" s="22"/>
      <c r="B250" s="65"/>
      <c r="C250" s="66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30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hidden="1" customHeight="1">
      <c r="A251" s="22"/>
      <c r="B251" s="65"/>
      <c r="C251" s="66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30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hidden="1" customHeight="1">
      <c r="A252" s="22"/>
      <c r="B252" s="65"/>
      <c r="C252" s="66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30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hidden="1" customHeight="1">
      <c r="A253" s="22"/>
      <c r="B253" s="65"/>
      <c r="C253" s="66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30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hidden="1" customHeight="1">
      <c r="A254" s="22"/>
      <c r="B254" s="65"/>
      <c r="C254" s="66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30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hidden="1" customHeight="1">
      <c r="A255" s="22"/>
      <c r="B255" s="65"/>
      <c r="C255" s="66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30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hidden="1" customHeight="1">
      <c r="A256" s="22"/>
      <c r="B256" s="65"/>
      <c r="C256" s="66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30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hidden="1" customHeight="1">
      <c r="A257" s="22"/>
      <c r="B257" s="65"/>
      <c r="C257" s="66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30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hidden="1" customHeight="1">
      <c r="A258" s="22"/>
      <c r="B258" s="65"/>
      <c r="C258" s="66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30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hidden="1" customHeight="1">
      <c r="A259" s="22"/>
      <c r="B259" s="65"/>
      <c r="C259" s="66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30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hidden="1" customHeight="1">
      <c r="A260" s="22"/>
      <c r="B260" s="65"/>
      <c r="C260" s="66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30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hidden="1" customHeight="1">
      <c r="A261" s="22"/>
      <c r="B261" s="65"/>
      <c r="C261" s="66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30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hidden="1" customHeight="1">
      <c r="A262" s="22"/>
      <c r="B262" s="65"/>
      <c r="C262" s="66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30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hidden="1" customHeight="1">
      <c r="A263" s="22"/>
      <c r="B263" s="65"/>
      <c r="C263" s="66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30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hidden="1" customHeight="1">
      <c r="A264" s="22"/>
      <c r="B264" s="65"/>
      <c r="C264" s="66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30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hidden="1" customHeight="1">
      <c r="A265" s="22"/>
      <c r="B265" s="65"/>
      <c r="C265" s="66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30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hidden="1" customHeight="1">
      <c r="A266" s="22"/>
      <c r="B266" s="65"/>
      <c r="C266" s="66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30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hidden="1" customHeight="1">
      <c r="A267" s="22"/>
      <c r="B267" s="65"/>
      <c r="C267" s="66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30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hidden="1" customHeight="1">
      <c r="A268" s="22"/>
      <c r="B268" s="65"/>
      <c r="C268" s="66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30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hidden="1" customHeight="1">
      <c r="A269" s="22"/>
      <c r="B269" s="65"/>
      <c r="C269" s="66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30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hidden="1" customHeight="1">
      <c r="A270" s="22"/>
      <c r="B270" s="65"/>
      <c r="C270" s="66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30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hidden="1" customHeight="1">
      <c r="A271" s="22"/>
      <c r="B271" s="65"/>
      <c r="C271" s="66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30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hidden="1" customHeight="1">
      <c r="A272" s="22"/>
      <c r="B272" s="65"/>
      <c r="C272" s="66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30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hidden="1" customHeight="1">
      <c r="A273" s="22"/>
      <c r="B273" s="65"/>
      <c r="C273" s="66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30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hidden="1" customHeight="1">
      <c r="A274" s="22"/>
      <c r="B274" s="65"/>
      <c r="C274" s="66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30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hidden="1" customHeight="1">
      <c r="A275" s="22"/>
      <c r="B275" s="65"/>
      <c r="C275" s="66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30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hidden="1" customHeight="1">
      <c r="A276" s="22"/>
      <c r="B276" s="65"/>
      <c r="C276" s="66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30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hidden="1" customHeight="1">
      <c r="A277" s="22"/>
      <c r="B277" s="65"/>
      <c r="C277" s="66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30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hidden="1" customHeight="1">
      <c r="A278" s="22"/>
      <c r="B278" s="65"/>
      <c r="C278" s="66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30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hidden="1" customHeight="1">
      <c r="A279" s="22"/>
      <c r="B279" s="65"/>
      <c r="C279" s="66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30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hidden="1" customHeight="1">
      <c r="A280" s="22"/>
      <c r="B280" s="65"/>
      <c r="C280" s="66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30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hidden="1" customHeight="1">
      <c r="A281" s="22"/>
      <c r="B281" s="65"/>
      <c r="C281" s="66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30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hidden="1" customHeight="1">
      <c r="A282" s="22"/>
      <c r="B282" s="65"/>
      <c r="C282" s="66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30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hidden="1" customHeight="1">
      <c r="A283" s="22"/>
      <c r="B283" s="65"/>
      <c r="C283" s="66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30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hidden="1" customHeight="1">
      <c r="A284" s="22"/>
      <c r="B284" s="65"/>
      <c r="C284" s="66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30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hidden="1" customHeight="1">
      <c r="A285" s="22"/>
      <c r="B285" s="65"/>
      <c r="C285" s="66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30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hidden="1" customHeight="1">
      <c r="A286" s="22"/>
      <c r="B286" s="65"/>
      <c r="C286" s="66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30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hidden="1" customHeight="1">
      <c r="A287" s="22"/>
      <c r="B287" s="65"/>
      <c r="C287" s="66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30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hidden="1" customHeight="1">
      <c r="A288" s="22"/>
      <c r="B288" s="65"/>
      <c r="C288" s="66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30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hidden="1" customHeight="1">
      <c r="A289" s="22"/>
      <c r="B289" s="65"/>
      <c r="C289" s="66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30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hidden="1" customHeight="1">
      <c r="A290" s="22"/>
      <c r="B290" s="65"/>
      <c r="C290" s="66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30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hidden="1" customHeight="1">
      <c r="A291" s="22"/>
      <c r="B291" s="65"/>
      <c r="C291" s="66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30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hidden="1" customHeight="1">
      <c r="A292" s="22"/>
      <c r="B292" s="65"/>
      <c r="C292" s="66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30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hidden="1" customHeight="1">
      <c r="A293" s="22"/>
      <c r="B293" s="65"/>
      <c r="C293" s="66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30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hidden="1" customHeight="1">
      <c r="A294" s="22"/>
      <c r="B294" s="65"/>
      <c r="C294" s="66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30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hidden="1" customHeight="1">
      <c r="A295" s="22"/>
      <c r="B295" s="65"/>
      <c r="C295" s="66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30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hidden="1" customHeight="1">
      <c r="A296" s="22"/>
      <c r="B296" s="65"/>
      <c r="C296" s="66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30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hidden="1" customHeight="1">
      <c r="A297" s="22"/>
      <c r="B297" s="65"/>
      <c r="C297" s="66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30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hidden="1" customHeight="1">
      <c r="A298" s="22"/>
      <c r="B298" s="65"/>
      <c r="C298" s="66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30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hidden="1" customHeight="1">
      <c r="A299" s="22"/>
      <c r="B299" s="65"/>
      <c r="C299" s="66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30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hidden="1" customHeight="1">
      <c r="A300" s="22"/>
      <c r="B300" s="65"/>
      <c r="C300" s="66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30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hidden="1" customHeight="1">
      <c r="A301" s="22"/>
      <c r="B301" s="65"/>
      <c r="C301" s="66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30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hidden="1" customHeight="1">
      <c r="A302" s="22"/>
      <c r="B302" s="65"/>
      <c r="C302" s="66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30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hidden="1" customHeight="1">
      <c r="A303" s="22"/>
      <c r="B303" s="65"/>
      <c r="C303" s="66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30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hidden="1" customHeight="1">
      <c r="A304" s="22"/>
      <c r="B304" s="65"/>
      <c r="C304" s="66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30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hidden="1" customHeight="1">
      <c r="A305" s="22"/>
      <c r="B305" s="65"/>
      <c r="C305" s="66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30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hidden="1" customHeight="1">
      <c r="A306" s="22"/>
      <c r="B306" s="65"/>
      <c r="C306" s="66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30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hidden="1" customHeight="1">
      <c r="A307" s="22"/>
      <c r="B307" s="65"/>
      <c r="C307" s="66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30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hidden="1" customHeight="1">
      <c r="A308" s="22"/>
      <c r="B308" s="65"/>
      <c r="C308" s="66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30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hidden="1" customHeight="1">
      <c r="A309" s="22"/>
      <c r="B309" s="65"/>
      <c r="C309" s="66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30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hidden="1" customHeight="1">
      <c r="A310" s="22"/>
      <c r="B310" s="65"/>
      <c r="C310" s="66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30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hidden="1" customHeight="1">
      <c r="A311" s="22"/>
      <c r="B311" s="65"/>
      <c r="C311" s="66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30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hidden="1" customHeight="1">
      <c r="A312" s="22"/>
      <c r="B312" s="65"/>
      <c r="C312" s="66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30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hidden="1" customHeight="1">
      <c r="A313" s="22"/>
      <c r="B313" s="65"/>
      <c r="C313" s="66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30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hidden="1" customHeight="1">
      <c r="A314" s="22"/>
      <c r="B314" s="65"/>
      <c r="C314" s="66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30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hidden="1" customHeight="1">
      <c r="A315" s="22"/>
      <c r="B315" s="65"/>
      <c r="C315" s="66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30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hidden="1" customHeight="1">
      <c r="A316" s="22"/>
      <c r="B316" s="65"/>
      <c r="C316" s="66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30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hidden="1" customHeight="1">
      <c r="A317" s="22"/>
      <c r="B317" s="65"/>
      <c r="C317" s="66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30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hidden="1" customHeight="1">
      <c r="A318" s="22"/>
      <c r="B318" s="65"/>
      <c r="C318" s="66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30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hidden="1" customHeight="1">
      <c r="A319" s="22"/>
      <c r="B319" s="65"/>
      <c r="C319" s="66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30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hidden="1" customHeight="1">
      <c r="A320" s="22"/>
      <c r="B320" s="65"/>
      <c r="C320" s="66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30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hidden="1" customHeight="1">
      <c r="A321" s="22"/>
      <c r="B321" s="65"/>
      <c r="C321" s="66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30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hidden="1" customHeight="1">
      <c r="A322" s="22"/>
      <c r="B322" s="65"/>
      <c r="C322" s="66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30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hidden="1" customHeight="1">
      <c r="A323" s="22"/>
      <c r="B323" s="65"/>
      <c r="C323" s="66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30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hidden="1" customHeight="1">
      <c r="A324" s="22"/>
      <c r="B324" s="65"/>
      <c r="C324" s="66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30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hidden="1" customHeight="1">
      <c r="A325" s="22"/>
      <c r="B325" s="65"/>
      <c r="C325" s="66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30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hidden="1" customHeight="1">
      <c r="A326" s="22"/>
      <c r="B326" s="65"/>
      <c r="C326" s="66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30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hidden="1" customHeight="1">
      <c r="A327" s="22"/>
      <c r="B327" s="65"/>
      <c r="C327" s="66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30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hidden="1" customHeight="1">
      <c r="A328" s="22"/>
      <c r="B328" s="65"/>
      <c r="C328" s="66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30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hidden="1" customHeight="1">
      <c r="A329" s="22"/>
      <c r="B329" s="65"/>
      <c r="C329" s="66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30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hidden="1" customHeight="1">
      <c r="A330" s="22"/>
      <c r="B330" s="65"/>
      <c r="C330" s="66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30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hidden="1" customHeight="1">
      <c r="A331" s="22"/>
      <c r="B331" s="65"/>
      <c r="C331" s="66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30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hidden="1" customHeight="1">
      <c r="A332" s="22"/>
      <c r="B332" s="65"/>
      <c r="C332" s="66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30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hidden="1" customHeight="1">
      <c r="A333" s="22"/>
      <c r="B333" s="65"/>
      <c r="C333" s="66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30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hidden="1" customHeight="1">
      <c r="A334" s="22"/>
      <c r="B334" s="65"/>
      <c r="C334" s="66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30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hidden="1" customHeight="1">
      <c r="A335" s="22"/>
      <c r="B335" s="65"/>
      <c r="C335" s="66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30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hidden="1" customHeight="1">
      <c r="A336" s="22"/>
      <c r="B336" s="65"/>
      <c r="C336" s="66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30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hidden="1" customHeight="1">
      <c r="A337" s="22"/>
      <c r="B337" s="65"/>
      <c r="C337" s="66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30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hidden="1" customHeight="1">
      <c r="A338" s="22"/>
      <c r="B338" s="65"/>
      <c r="C338" s="66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30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hidden="1" customHeight="1">
      <c r="A339" s="22"/>
      <c r="B339" s="65"/>
      <c r="C339" s="66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30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hidden="1" customHeight="1">
      <c r="A340" s="22"/>
      <c r="B340" s="65"/>
      <c r="C340" s="66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30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hidden="1" customHeight="1">
      <c r="A341" s="22"/>
      <c r="B341" s="65"/>
      <c r="C341" s="66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30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hidden="1" customHeight="1">
      <c r="A342" s="22"/>
      <c r="B342" s="65"/>
      <c r="C342" s="66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30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hidden="1" customHeight="1">
      <c r="A343" s="22"/>
      <c r="B343" s="65"/>
      <c r="C343" s="66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30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hidden="1" customHeight="1">
      <c r="A344" s="22"/>
      <c r="B344" s="65"/>
      <c r="C344" s="66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30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hidden="1" customHeight="1">
      <c r="A345" s="22"/>
      <c r="B345" s="65"/>
      <c r="C345" s="66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30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hidden="1" customHeight="1">
      <c r="A346" s="22"/>
      <c r="B346" s="65"/>
      <c r="C346" s="66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30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hidden="1" customHeight="1">
      <c r="A347" s="22"/>
      <c r="B347" s="65"/>
      <c r="C347" s="66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30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hidden="1" customHeight="1">
      <c r="A348" s="22"/>
      <c r="B348" s="65"/>
      <c r="C348" s="66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30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hidden="1" customHeight="1">
      <c r="A349" s="22"/>
      <c r="B349" s="65"/>
      <c r="C349" s="66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30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hidden="1" customHeight="1">
      <c r="A350" s="22"/>
      <c r="B350" s="65"/>
      <c r="C350" s="66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30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hidden="1" customHeight="1">
      <c r="A351" s="22"/>
      <c r="B351" s="65"/>
      <c r="C351" s="66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30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hidden="1" customHeight="1">
      <c r="A352" s="22"/>
      <c r="B352" s="65"/>
      <c r="C352" s="66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30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hidden="1" customHeight="1">
      <c r="A353" s="22"/>
      <c r="B353" s="65"/>
      <c r="C353" s="66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30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hidden="1" customHeight="1">
      <c r="A354" s="22"/>
      <c r="B354" s="65"/>
      <c r="C354" s="66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30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hidden="1" customHeight="1">
      <c r="A355" s="22"/>
      <c r="B355" s="65"/>
      <c r="C355" s="66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30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hidden="1" customHeight="1">
      <c r="A356" s="22"/>
      <c r="B356" s="65"/>
      <c r="C356" s="66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30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hidden="1" customHeight="1">
      <c r="A357" s="22"/>
      <c r="B357" s="65"/>
      <c r="C357" s="66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30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hidden="1" customHeight="1">
      <c r="A358" s="22"/>
      <c r="B358" s="65"/>
      <c r="C358" s="66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30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hidden="1" customHeight="1">
      <c r="A359" s="22"/>
      <c r="B359" s="65"/>
      <c r="C359" s="66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30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hidden="1" customHeight="1">
      <c r="A360" s="22"/>
      <c r="B360" s="65"/>
      <c r="C360" s="66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30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hidden="1" customHeight="1">
      <c r="A361" s="22"/>
      <c r="B361" s="65"/>
      <c r="C361" s="66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30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hidden="1" customHeight="1">
      <c r="A362" s="22"/>
      <c r="B362" s="65"/>
      <c r="C362" s="66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30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hidden="1" customHeight="1">
      <c r="A363" s="22"/>
      <c r="B363" s="65"/>
      <c r="C363" s="66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30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hidden="1" customHeight="1">
      <c r="A364" s="22"/>
      <c r="B364" s="65"/>
      <c r="C364" s="66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30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hidden="1" customHeight="1">
      <c r="A365" s="22"/>
      <c r="B365" s="65"/>
      <c r="C365" s="66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30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hidden="1" customHeight="1">
      <c r="A366" s="22"/>
      <c r="B366" s="65"/>
      <c r="C366" s="66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30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hidden="1" customHeight="1">
      <c r="A367" s="22"/>
      <c r="B367" s="65"/>
      <c r="C367" s="66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30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hidden="1" customHeight="1">
      <c r="A368" s="22"/>
      <c r="B368" s="65"/>
      <c r="C368" s="66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30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hidden="1" customHeight="1">
      <c r="A369" s="22"/>
      <c r="B369" s="65"/>
      <c r="C369" s="66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30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hidden="1" customHeight="1">
      <c r="A370" s="22"/>
      <c r="B370" s="65"/>
      <c r="C370" s="66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30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hidden="1" customHeight="1">
      <c r="A371" s="22"/>
      <c r="B371" s="65"/>
      <c r="C371" s="66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30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hidden="1" customHeight="1">
      <c r="A372" s="22"/>
      <c r="B372" s="65"/>
      <c r="C372" s="66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30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hidden="1" customHeight="1">
      <c r="A373" s="22"/>
      <c r="B373" s="65"/>
      <c r="C373" s="66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30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hidden="1" customHeight="1">
      <c r="A374" s="22"/>
      <c r="B374" s="65"/>
      <c r="C374" s="66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30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hidden="1" customHeight="1">
      <c r="A375" s="22"/>
      <c r="B375" s="65"/>
      <c r="C375" s="66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30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hidden="1" customHeight="1">
      <c r="A376" s="22"/>
      <c r="B376" s="65"/>
      <c r="C376" s="66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30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hidden="1" customHeight="1">
      <c r="A377" s="22"/>
      <c r="B377" s="65"/>
      <c r="C377" s="66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30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hidden="1" customHeight="1">
      <c r="A378" s="22"/>
      <c r="B378" s="65"/>
      <c r="C378" s="66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30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hidden="1" customHeight="1">
      <c r="A379" s="22"/>
      <c r="B379" s="65"/>
      <c r="C379" s="66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30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hidden="1" customHeight="1">
      <c r="A380" s="22"/>
      <c r="B380" s="65"/>
      <c r="C380" s="66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30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hidden="1" customHeight="1">
      <c r="A381" s="22"/>
      <c r="B381" s="65"/>
      <c r="C381" s="66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30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hidden="1" customHeight="1">
      <c r="A382" s="22"/>
      <c r="B382" s="65"/>
      <c r="C382" s="66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30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hidden="1" customHeight="1">
      <c r="A383" s="22"/>
      <c r="B383" s="65"/>
      <c r="C383" s="66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30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hidden="1" customHeight="1">
      <c r="A384" s="22"/>
      <c r="B384" s="65"/>
      <c r="C384" s="66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30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hidden="1" customHeight="1">
      <c r="A385" s="22"/>
      <c r="B385" s="65"/>
      <c r="C385" s="66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30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hidden="1" customHeight="1">
      <c r="A386" s="22"/>
      <c r="B386" s="65"/>
      <c r="C386" s="66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30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hidden="1" customHeight="1">
      <c r="A387" s="22"/>
      <c r="B387" s="65"/>
      <c r="C387" s="66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30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hidden="1" customHeight="1">
      <c r="A388" s="22"/>
      <c r="B388" s="65"/>
      <c r="C388" s="66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30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hidden="1" customHeight="1">
      <c r="A389" s="22"/>
      <c r="B389" s="65"/>
      <c r="C389" s="66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30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hidden="1" customHeight="1">
      <c r="A390" s="22"/>
      <c r="B390" s="65"/>
      <c r="C390" s="66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30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hidden="1" customHeight="1">
      <c r="A391" s="22"/>
      <c r="B391" s="65"/>
      <c r="C391" s="66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30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hidden="1" customHeight="1">
      <c r="A392" s="22"/>
      <c r="B392" s="65"/>
      <c r="C392" s="66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30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B136:D136"/>
    <mergeCell ref="C138:D138"/>
    <mergeCell ref="B145:D145"/>
    <mergeCell ref="C147:D147"/>
    <mergeCell ref="B154:D154"/>
    <mergeCell ref="C156:D156"/>
    <mergeCell ref="B162:D162"/>
    <mergeCell ref="C191:D191"/>
    <mergeCell ref="C192:D192"/>
    <mergeCell ref="C193:D193"/>
    <mergeCell ref="C164:D164"/>
    <mergeCell ref="B171:D171"/>
    <mergeCell ref="C173:D173"/>
    <mergeCell ref="B180:D180"/>
    <mergeCell ref="C182:D182"/>
    <mergeCell ref="B187:D187"/>
    <mergeCell ref="B190:D190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101:D101"/>
    <mergeCell ref="C103:D103"/>
    <mergeCell ref="B110:D110"/>
    <mergeCell ref="C112:D112"/>
    <mergeCell ref="B114:D114"/>
    <mergeCell ref="C116:D116"/>
    <mergeCell ref="B123:D123"/>
    <mergeCell ref="C125:D125"/>
    <mergeCell ref="B127:D127"/>
    <mergeCell ref="C129:D129"/>
  </mergeCells>
  <conditionalFormatting sqref="E30">
    <cfRule type="expression" dxfId="0" priority="1">
      <formula>E30&lt;&gt;E193</formula>
    </cfRule>
  </conditionalFormatting>
  <conditionalFormatting sqref="E30">
    <cfRule type="expression" dxfId="0" priority="2">
      <formula>E30&lt;&gt;E34</formula>
    </cfRule>
  </conditionalFormatting>
  <conditionalFormatting sqref="E52">
    <cfRule type="containsBlanks" dxfId="1" priority="3">
      <formula>LEN(TRIM(E52))=0</formula>
    </cfRule>
  </conditionalFormatting>
  <conditionalFormatting sqref="E61">
    <cfRule type="containsBlanks" dxfId="1" priority="4">
      <formula>LEN(TRIM(E61))=0</formula>
    </cfRule>
  </conditionalFormatting>
  <conditionalFormatting sqref="E193">
    <cfRule type="expression" dxfId="0" priority="5">
      <formula>E193&lt;&gt;E30</formula>
    </cfRule>
  </conditionalFormatting>
  <conditionalFormatting sqref="E193">
    <cfRule type="expression" dxfId="0" priority="6">
      <formula>E193&lt;&gt;E34</formula>
    </cfRule>
  </conditionalFormatting>
  <conditionalFormatting sqref="F194:O196">
    <cfRule type="cellIs" dxfId="0" priority="7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</cols>
  <sheetData>
    <row r="1" ht="12.75" customHeight="1"/>
    <row r="2" ht="12.75" customHeight="1">
      <c r="C2" s="1" t="s">
        <v>0</v>
      </c>
      <c r="D2" s="1" t="s">
        <v>1</v>
      </c>
    </row>
    <row r="3" ht="12.75" customHeight="1">
      <c r="C3" s="1" t="s">
        <v>2</v>
      </c>
      <c r="D3" s="1" t="s">
        <v>3</v>
      </c>
    </row>
    <row r="4" ht="12.75" customHeight="1">
      <c r="C4" s="1" t="s">
        <v>4</v>
      </c>
      <c r="D4" s="1" t="s">
        <v>5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170</v>
      </c>
      <c r="D9" s="1" t="s">
        <v>171</v>
      </c>
    </row>
    <row r="10" ht="12.75" customHeight="1"/>
    <row r="11" ht="12.75" customHeight="1"/>
    <row r="12" ht="12.75" customHeight="1">
      <c r="A12" s="6" t="s">
        <v>6</v>
      </c>
      <c r="B12" s="7" t="s">
        <v>7</v>
      </c>
      <c r="C12" s="8"/>
      <c r="D12" s="8"/>
      <c r="E12" s="2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9"/>
      <c r="U12" s="39" t="s">
        <v>8</v>
      </c>
    </row>
    <row r="13" ht="12.75" customHeight="1">
      <c r="A13" s="13" t="s">
        <v>9</v>
      </c>
      <c r="B13" s="14" t="s">
        <v>10</v>
      </c>
      <c r="C13" s="8"/>
      <c r="D13" s="9"/>
      <c r="E13" s="42" t="s">
        <v>172</v>
      </c>
      <c r="F13" s="42" t="s">
        <v>173</v>
      </c>
      <c r="G13" s="42" t="s">
        <v>174</v>
      </c>
      <c r="H13" s="42" t="s">
        <v>175</v>
      </c>
      <c r="I13" s="42" t="s">
        <v>176</v>
      </c>
      <c r="J13" s="42" t="s">
        <v>177</v>
      </c>
      <c r="K13" s="42" t="s">
        <v>178</v>
      </c>
      <c r="L13" s="42" t="s">
        <v>179</v>
      </c>
      <c r="M13" s="42" t="s">
        <v>180</v>
      </c>
      <c r="N13" s="42" t="s">
        <v>181</v>
      </c>
      <c r="O13" s="42" t="s">
        <v>182</v>
      </c>
      <c r="P13" s="42" t="s">
        <v>183</v>
      </c>
      <c r="Q13" s="42" t="s">
        <v>184</v>
      </c>
      <c r="R13" s="42" t="s">
        <v>185</v>
      </c>
      <c r="S13" s="42" t="s">
        <v>186</v>
      </c>
      <c r="T13" s="42" t="s">
        <v>187</v>
      </c>
      <c r="U13" s="27"/>
    </row>
    <row r="14" ht="12.75" customHeight="1">
      <c r="A14" s="18"/>
      <c r="B14" s="19" t="s">
        <v>11</v>
      </c>
      <c r="C14" s="20"/>
      <c r="D14" s="13" t="s">
        <v>12</v>
      </c>
      <c r="E14" s="13">
        <v>119.0</v>
      </c>
      <c r="F14" s="13">
        <v>137.0</v>
      </c>
      <c r="G14" s="13">
        <v>132.0</v>
      </c>
      <c r="H14" s="13">
        <v>130.0</v>
      </c>
      <c r="I14" s="13">
        <v>138.0</v>
      </c>
      <c r="J14" s="13">
        <v>132.0</v>
      </c>
      <c r="K14" s="13">
        <v>139.0</v>
      </c>
      <c r="L14" s="13">
        <v>131.0</v>
      </c>
      <c r="M14" s="13">
        <v>97.0</v>
      </c>
      <c r="N14" s="13">
        <v>134.0</v>
      </c>
      <c r="O14" s="13">
        <v>112.0</v>
      </c>
      <c r="P14" s="13">
        <v>111.0</v>
      </c>
      <c r="Q14" s="13">
        <v>136.0</v>
      </c>
      <c r="R14" s="13">
        <v>120.0</v>
      </c>
      <c r="S14" s="13">
        <v>140.0</v>
      </c>
      <c r="T14" s="13">
        <v>106.0</v>
      </c>
      <c r="U14" s="6">
        <f t="shared" ref="U14:U16" si="1">SUM(E14:T14)</f>
        <v>2014</v>
      </c>
    </row>
    <row r="15" ht="12.75" customHeight="1">
      <c r="A15" s="18"/>
      <c r="B15" s="25"/>
      <c r="C15" s="26"/>
      <c r="D15" s="13" t="s">
        <v>13</v>
      </c>
      <c r="E15" s="13">
        <v>147.0</v>
      </c>
      <c r="F15" s="13">
        <v>142.0</v>
      </c>
      <c r="G15" s="13">
        <v>128.0</v>
      </c>
      <c r="H15" s="13">
        <v>137.0</v>
      </c>
      <c r="I15" s="13">
        <v>156.0</v>
      </c>
      <c r="J15" s="13">
        <v>166.0</v>
      </c>
      <c r="K15" s="13">
        <v>142.0</v>
      </c>
      <c r="L15" s="13">
        <v>128.0</v>
      </c>
      <c r="M15" s="13">
        <v>93.0</v>
      </c>
      <c r="N15" s="13">
        <v>145.0</v>
      </c>
      <c r="O15" s="13">
        <v>123.0</v>
      </c>
      <c r="P15" s="13">
        <v>119.0</v>
      </c>
      <c r="Q15" s="13">
        <v>137.0</v>
      </c>
      <c r="R15" s="13">
        <v>111.0</v>
      </c>
      <c r="S15" s="13">
        <v>159.0</v>
      </c>
      <c r="T15" s="13">
        <v>104.0</v>
      </c>
      <c r="U15" s="6">
        <f t="shared" si="1"/>
        <v>2137</v>
      </c>
    </row>
    <row r="16" ht="12.75" customHeight="1">
      <c r="A16" s="16"/>
      <c r="B16" s="15"/>
      <c r="C16" s="27"/>
      <c r="D16" s="6" t="s">
        <v>14</v>
      </c>
      <c r="E16" s="6">
        <f t="shared" ref="E16:T16" si="2">SUM(E14:E15)</f>
        <v>266</v>
      </c>
      <c r="F16" s="6">
        <f t="shared" si="2"/>
        <v>279</v>
      </c>
      <c r="G16" s="6">
        <f t="shared" si="2"/>
        <v>260</v>
      </c>
      <c r="H16" s="6">
        <f t="shared" si="2"/>
        <v>267</v>
      </c>
      <c r="I16" s="6">
        <f t="shared" si="2"/>
        <v>294</v>
      </c>
      <c r="J16" s="6">
        <f t="shared" si="2"/>
        <v>298</v>
      </c>
      <c r="K16" s="6">
        <f t="shared" si="2"/>
        <v>281</v>
      </c>
      <c r="L16" s="6">
        <f t="shared" si="2"/>
        <v>259</v>
      </c>
      <c r="M16" s="6">
        <f t="shared" si="2"/>
        <v>190</v>
      </c>
      <c r="N16" s="6">
        <f t="shared" si="2"/>
        <v>279</v>
      </c>
      <c r="O16" s="6">
        <f t="shared" si="2"/>
        <v>235</v>
      </c>
      <c r="P16" s="6">
        <f t="shared" si="2"/>
        <v>230</v>
      </c>
      <c r="Q16" s="6">
        <f t="shared" si="2"/>
        <v>273</v>
      </c>
      <c r="R16" s="6">
        <f t="shared" si="2"/>
        <v>231</v>
      </c>
      <c r="S16" s="6">
        <f t="shared" si="2"/>
        <v>299</v>
      </c>
      <c r="T16" s="6">
        <f t="shared" si="2"/>
        <v>210</v>
      </c>
      <c r="U16" s="6">
        <f t="shared" si="1"/>
        <v>4151</v>
      </c>
    </row>
    <row r="17" ht="12.75" customHeight="1">
      <c r="A17" s="21"/>
      <c r="B17" s="8"/>
      <c r="C17" s="8"/>
      <c r="D17" s="9"/>
      <c r="E17" s="13"/>
      <c r="F17" s="13"/>
      <c r="G17" s="13"/>
      <c r="H17" s="13"/>
      <c r="I17" s="13"/>
      <c r="J17" s="13"/>
      <c r="K17" s="13"/>
      <c r="L17" s="13"/>
      <c r="M17" s="13"/>
      <c r="N17" s="67"/>
      <c r="O17" s="67"/>
      <c r="P17" s="67"/>
      <c r="Q17" s="67"/>
      <c r="R17" s="67"/>
      <c r="S17" s="67"/>
      <c r="T17" s="67"/>
      <c r="U17" s="6"/>
    </row>
    <row r="18" ht="12.75" customHeight="1">
      <c r="A18" s="32" t="s">
        <v>15</v>
      </c>
      <c r="B18" s="14" t="s">
        <v>16</v>
      </c>
      <c r="C18" s="8"/>
      <c r="D18" s="9"/>
      <c r="E18" s="13"/>
      <c r="F18" s="13"/>
      <c r="G18" s="13"/>
      <c r="H18" s="13"/>
      <c r="I18" s="13"/>
      <c r="J18" s="13"/>
      <c r="K18" s="13"/>
      <c r="L18" s="13"/>
      <c r="M18" s="13"/>
      <c r="N18" s="67"/>
      <c r="O18" s="67"/>
      <c r="P18" s="67"/>
      <c r="Q18" s="67"/>
      <c r="R18" s="67"/>
      <c r="S18" s="67"/>
      <c r="T18" s="67"/>
      <c r="U18" s="6"/>
    </row>
    <row r="19" ht="12.75" customHeight="1">
      <c r="A19" s="32"/>
      <c r="B19" s="33" t="s">
        <v>17</v>
      </c>
      <c r="C19" s="34" t="s">
        <v>18</v>
      </c>
      <c r="D19" s="13" t="s">
        <v>12</v>
      </c>
      <c r="E19" s="13">
        <v>93.0</v>
      </c>
      <c r="F19" s="13">
        <v>110.0</v>
      </c>
      <c r="G19" s="13">
        <v>101.0</v>
      </c>
      <c r="H19" s="13">
        <v>91.0</v>
      </c>
      <c r="I19" s="13">
        <v>95.0</v>
      </c>
      <c r="J19" s="13">
        <v>93.0</v>
      </c>
      <c r="K19" s="13">
        <v>111.0</v>
      </c>
      <c r="L19" s="13">
        <v>94.0</v>
      </c>
      <c r="M19" s="13">
        <v>75.0</v>
      </c>
      <c r="N19" s="13">
        <v>112.0</v>
      </c>
      <c r="O19" s="13">
        <v>83.0</v>
      </c>
      <c r="P19" s="13">
        <v>83.0</v>
      </c>
      <c r="Q19" s="13">
        <v>92.0</v>
      </c>
      <c r="R19" s="13">
        <v>92.0</v>
      </c>
      <c r="S19" s="13">
        <v>110.0</v>
      </c>
      <c r="T19" s="13">
        <v>90.0</v>
      </c>
      <c r="U19" s="6">
        <f t="shared" ref="U19:U30" si="3">SUM(E19:T19)</f>
        <v>1525</v>
      </c>
    </row>
    <row r="20" ht="12.75" customHeight="1">
      <c r="A20" s="35"/>
      <c r="B20" s="26"/>
      <c r="C20" s="36"/>
      <c r="D20" s="13" t="s">
        <v>13</v>
      </c>
      <c r="E20" s="13">
        <v>122.0</v>
      </c>
      <c r="F20" s="13">
        <v>117.0</v>
      </c>
      <c r="G20" s="13">
        <v>107.0</v>
      </c>
      <c r="H20" s="13">
        <v>129.0</v>
      </c>
      <c r="I20" s="13">
        <v>133.0</v>
      </c>
      <c r="J20" s="13">
        <v>131.0</v>
      </c>
      <c r="K20" s="13">
        <v>122.0</v>
      </c>
      <c r="L20" s="13">
        <v>113.0</v>
      </c>
      <c r="M20" s="13">
        <v>77.0</v>
      </c>
      <c r="N20" s="13">
        <v>127.0</v>
      </c>
      <c r="O20" s="13">
        <v>95.0</v>
      </c>
      <c r="P20" s="13">
        <v>99.0</v>
      </c>
      <c r="Q20" s="13">
        <v>105.0</v>
      </c>
      <c r="R20" s="13">
        <v>85.0</v>
      </c>
      <c r="S20" s="13">
        <v>119.0</v>
      </c>
      <c r="T20" s="13">
        <v>88.0</v>
      </c>
      <c r="U20" s="6">
        <f t="shared" si="3"/>
        <v>1769</v>
      </c>
    </row>
    <row r="21" ht="12.75" customHeight="1">
      <c r="A21" s="37"/>
      <c r="B21" s="27"/>
      <c r="C21" s="38"/>
      <c r="D21" s="6" t="s">
        <v>14</v>
      </c>
      <c r="E21" s="6">
        <f t="shared" ref="E21:T21" si="4">SUM(E19:E20)</f>
        <v>215</v>
      </c>
      <c r="F21" s="6">
        <f t="shared" si="4"/>
        <v>227</v>
      </c>
      <c r="G21" s="6">
        <f t="shared" si="4"/>
        <v>208</v>
      </c>
      <c r="H21" s="6">
        <f t="shared" si="4"/>
        <v>220</v>
      </c>
      <c r="I21" s="6">
        <f t="shared" si="4"/>
        <v>228</v>
      </c>
      <c r="J21" s="6">
        <f t="shared" si="4"/>
        <v>224</v>
      </c>
      <c r="K21" s="6">
        <f t="shared" si="4"/>
        <v>233</v>
      </c>
      <c r="L21" s="6">
        <f t="shared" si="4"/>
        <v>207</v>
      </c>
      <c r="M21" s="6">
        <f t="shared" si="4"/>
        <v>152</v>
      </c>
      <c r="N21" s="6">
        <f t="shared" si="4"/>
        <v>239</v>
      </c>
      <c r="O21" s="6">
        <f t="shared" si="4"/>
        <v>178</v>
      </c>
      <c r="P21" s="6">
        <f t="shared" si="4"/>
        <v>182</v>
      </c>
      <c r="Q21" s="6">
        <f t="shared" si="4"/>
        <v>197</v>
      </c>
      <c r="R21" s="6">
        <f t="shared" si="4"/>
        <v>177</v>
      </c>
      <c r="S21" s="6">
        <f t="shared" si="4"/>
        <v>229</v>
      </c>
      <c r="T21" s="6">
        <f t="shared" si="4"/>
        <v>178</v>
      </c>
      <c r="U21" s="6">
        <f t="shared" si="3"/>
        <v>3294</v>
      </c>
    </row>
    <row r="22" ht="12.75" customHeight="1">
      <c r="A22" s="35"/>
      <c r="B22" s="33" t="s">
        <v>19</v>
      </c>
      <c r="C22" s="34" t="s">
        <v>20</v>
      </c>
      <c r="D22" s="13" t="s">
        <v>12</v>
      </c>
      <c r="E22" s="13">
        <v>0.0</v>
      </c>
      <c r="F22" s="13">
        <v>0.0</v>
      </c>
      <c r="G22" s="13">
        <v>0.0</v>
      </c>
      <c r="H22" s="13">
        <v>0.0</v>
      </c>
      <c r="I22" s="13">
        <v>0.0</v>
      </c>
      <c r="J22" s="13">
        <v>0.0</v>
      </c>
      <c r="K22" s="13">
        <v>0.0</v>
      </c>
      <c r="L22" s="13">
        <v>0.0</v>
      </c>
      <c r="M22" s="13">
        <v>0.0</v>
      </c>
      <c r="N22" s="13">
        <v>1.0</v>
      </c>
      <c r="O22" s="13">
        <v>0.0</v>
      </c>
      <c r="P22" s="13">
        <v>2.0</v>
      </c>
      <c r="Q22" s="13">
        <v>0.0</v>
      </c>
      <c r="R22" s="13">
        <v>0.0</v>
      </c>
      <c r="S22" s="13">
        <v>0.0</v>
      </c>
      <c r="T22" s="13">
        <v>0.0</v>
      </c>
      <c r="U22" s="6">
        <f t="shared" si="3"/>
        <v>3</v>
      </c>
    </row>
    <row r="23" ht="12.75" customHeight="1">
      <c r="A23" s="35"/>
      <c r="B23" s="26"/>
      <c r="C23" s="36"/>
      <c r="D23" s="13" t="s">
        <v>13</v>
      </c>
      <c r="E23" s="13">
        <v>0.0</v>
      </c>
      <c r="F23" s="13">
        <v>0.0</v>
      </c>
      <c r="G23" s="13">
        <v>0.0</v>
      </c>
      <c r="H23" s="13">
        <v>0.0</v>
      </c>
      <c r="I23" s="13">
        <v>0.0</v>
      </c>
      <c r="J23" s="13">
        <v>0.0</v>
      </c>
      <c r="K23" s="13">
        <v>0.0</v>
      </c>
      <c r="L23" s="13">
        <v>0.0</v>
      </c>
      <c r="M23" s="13">
        <v>0.0</v>
      </c>
      <c r="N23" s="13">
        <v>2.0</v>
      </c>
      <c r="O23" s="13">
        <v>0.0</v>
      </c>
      <c r="P23" s="13">
        <v>2.0</v>
      </c>
      <c r="Q23" s="13">
        <v>3.0</v>
      </c>
      <c r="R23" s="13">
        <v>0.0</v>
      </c>
      <c r="S23" s="13">
        <v>0.0</v>
      </c>
      <c r="T23" s="13">
        <v>0.0</v>
      </c>
      <c r="U23" s="6">
        <f t="shared" si="3"/>
        <v>7</v>
      </c>
    </row>
    <row r="24" ht="12.75" customHeight="1">
      <c r="A24" s="37"/>
      <c r="B24" s="27"/>
      <c r="C24" s="38"/>
      <c r="D24" s="6" t="s">
        <v>14</v>
      </c>
      <c r="E24" s="6">
        <f t="shared" ref="E24:T24" si="5">SUM(E22:E23)</f>
        <v>0</v>
      </c>
      <c r="F24" s="6">
        <f t="shared" si="5"/>
        <v>0</v>
      </c>
      <c r="G24" s="6">
        <f t="shared" si="5"/>
        <v>0</v>
      </c>
      <c r="H24" s="6">
        <f t="shared" si="5"/>
        <v>0</v>
      </c>
      <c r="I24" s="6">
        <f t="shared" si="5"/>
        <v>0</v>
      </c>
      <c r="J24" s="6">
        <f t="shared" si="5"/>
        <v>0</v>
      </c>
      <c r="K24" s="6">
        <f t="shared" si="5"/>
        <v>0</v>
      </c>
      <c r="L24" s="6">
        <f t="shared" si="5"/>
        <v>0</v>
      </c>
      <c r="M24" s="6">
        <f t="shared" si="5"/>
        <v>0</v>
      </c>
      <c r="N24" s="6">
        <f t="shared" si="5"/>
        <v>3</v>
      </c>
      <c r="O24" s="6">
        <f t="shared" si="5"/>
        <v>0</v>
      </c>
      <c r="P24" s="6">
        <f t="shared" si="5"/>
        <v>4</v>
      </c>
      <c r="Q24" s="6">
        <f t="shared" si="5"/>
        <v>3</v>
      </c>
      <c r="R24" s="6">
        <f t="shared" si="5"/>
        <v>0</v>
      </c>
      <c r="S24" s="6">
        <f t="shared" si="5"/>
        <v>0</v>
      </c>
      <c r="T24" s="6">
        <f t="shared" si="5"/>
        <v>0</v>
      </c>
      <c r="U24" s="6">
        <f t="shared" si="3"/>
        <v>10</v>
      </c>
    </row>
    <row r="25" ht="12.75" customHeight="1">
      <c r="A25" s="35"/>
      <c r="B25" s="33" t="s">
        <v>21</v>
      </c>
      <c r="C25" s="34" t="s">
        <v>22</v>
      </c>
      <c r="D25" s="13" t="s">
        <v>12</v>
      </c>
      <c r="E25" s="13">
        <v>1.0</v>
      </c>
      <c r="F25" s="13">
        <v>1.0</v>
      </c>
      <c r="G25" s="13">
        <v>2.0</v>
      </c>
      <c r="H25" s="13">
        <v>1.0</v>
      </c>
      <c r="I25" s="13">
        <v>5.0</v>
      </c>
      <c r="J25" s="13">
        <v>10.0</v>
      </c>
      <c r="K25" s="13">
        <v>1.0</v>
      </c>
      <c r="L25" s="13">
        <v>0.0</v>
      </c>
      <c r="M25" s="13">
        <v>0.0</v>
      </c>
      <c r="N25" s="13">
        <v>1.0</v>
      </c>
      <c r="O25" s="13">
        <v>1.0</v>
      </c>
      <c r="P25" s="13">
        <v>3.0</v>
      </c>
      <c r="Q25" s="13">
        <v>5.0</v>
      </c>
      <c r="R25" s="13">
        <v>1.0</v>
      </c>
      <c r="S25" s="13">
        <v>2.0</v>
      </c>
      <c r="T25" s="13">
        <v>1.0</v>
      </c>
      <c r="U25" s="6">
        <f t="shared" si="3"/>
        <v>35</v>
      </c>
    </row>
    <row r="26" ht="12.75" customHeight="1">
      <c r="A26" s="35"/>
      <c r="B26" s="26"/>
      <c r="C26" s="36"/>
      <c r="D26" s="13" t="s">
        <v>13</v>
      </c>
      <c r="E26" s="13">
        <v>0.0</v>
      </c>
      <c r="F26" s="13">
        <v>0.0</v>
      </c>
      <c r="G26" s="13">
        <v>1.0</v>
      </c>
      <c r="H26" s="13">
        <v>2.0</v>
      </c>
      <c r="I26" s="13">
        <v>1.0</v>
      </c>
      <c r="J26" s="13">
        <v>8.0</v>
      </c>
      <c r="K26" s="13">
        <v>2.0</v>
      </c>
      <c r="L26" s="13">
        <v>0.0</v>
      </c>
      <c r="M26" s="13">
        <v>1.0</v>
      </c>
      <c r="N26" s="13">
        <v>0.0</v>
      </c>
      <c r="O26" s="13">
        <v>2.0</v>
      </c>
      <c r="P26" s="13">
        <v>1.0</v>
      </c>
      <c r="Q26" s="13">
        <v>8.0</v>
      </c>
      <c r="R26" s="13">
        <v>2.0</v>
      </c>
      <c r="S26" s="13">
        <v>4.0</v>
      </c>
      <c r="T26" s="13">
        <v>0.0</v>
      </c>
      <c r="U26" s="6">
        <f t="shared" si="3"/>
        <v>32</v>
      </c>
    </row>
    <row r="27" ht="12.75" customHeight="1">
      <c r="A27" s="37"/>
      <c r="B27" s="27"/>
      <c r="C27" s="38"/>
      <c r="D27" s="6" t="s">
        <v>14</v>
      </c>
      <c r="E27" s="6">
        <f t="shared" ref="E27:T27" si="6">SUM(E25:E26)</f>
        <v>1</v>
      </c>
      <c r="F27" s="6">
        <f t="shared" si="6"/>
        <v>1</v>
      </c>
      <c r="G27" s="6">
        <f t="shared" si="6"/>
        <v>3</v>
      </c>
      <c r="H27" s="6">
        <f t="shared" si="6"/>
        <v>3</v>
      </c>
      <c r="I27" s="6">
        <f t="shared" si="6"/>
        <v>6</v>
      </c>
      <c r="J27" s="6">
        <f t="shared" si="6"/>
        <v>18</v>
      </c>
      <c r="K27" s="6">
        <f t="shared" si="6"/>
        <v>3</v>
      </c>
      <c r="L27" s="6">
        <f t="shared" si="6"/>
        <v>0</v>
      </c>
      <c r="M27" s="6">
        <f t="shared" si="6"/>
        <v>1</v>
      </c>
      <c r="N27" s="6">
        <f t="shared" si="6"/>
        <v>1</v>
      </c>
      <c r="O27" s="6">
        <f t="shared" si="6"/>
        <v>3</v>
      </c>
      <c r="P27" s="6">
        <f t="shared" si="6"/>
        <v>4</v>
      </c>
      <c r="Q27" s="6">
        <f t="shared" si="6"/>
        <v>13</v>
      </c>
      <c r="R27" s="6">
        <f t="shared" si="6"/>
        <v>3</v>
      </c>
      <c r="S27" s="6">
        <f t="shared" si="6"/>
        <v>6</v>
      </c>
      <c r="T27" s="6">
        <f t="shared" si="6"/>
        <v>1</v>
      </c>
      <c r="U27" s="6">
        <f t="shared" si="3"/>
        <v>67</v>
      </c>
    </row>
    <row r="28" ht="12.75" customHeight="1">
      <c r="A28" s="37"/>
      <c r="B28" s="39" t="s">
        <v>23</v>
      </c>
      <c r="C28" s="40" t="s">
        <v>24</v>
      </c>
      <c r="D28" s="6" t="s">
        <v>12</v>
      </c>
      <c r="E28" s="6">
        <f t="shared" ref="E28:T28" si="7">SUM(E19,E22,E25)</f>
        <v>94</v>
      </c>
      <c r="F28" s="6">
        <f t="shared" si="7"/>
        <v>111</v>
      </c>
      <c r="G28" s="6">
        <f t="shared" si="7"/>
        <v>103</v>
      </c>
      <c r="H28" s="6">
        <f t="shared" si="7"/>
        <v>92</v>
      </c>
      <c r="I28" s="6">
        <f t="shared" si="7"/>
        <v>100</v>
      </c>
      <c r="J28" s="6">
        <f t="shared" si="7"/>
        <v>103</v>
      </c>
      <c r="K28" s="6">
        <f t="shared" si="7"/>
        <v>112</v>
      </c>
      <c r="L28" s="6">
        <f t="shared" si="7"/>
        <v>94</v>
      </c>
      <c r="M28" s="6">
        <f t="shared" si="7"/>
        <v>75</v>
      </c>
      <c r="N28" s="6">
        <f t="shared" si="7"/>
        <v>114</v>
      </c>
      <c r="O28" s="6">
        <f t="shared" si="7"/>
        <v>84</v>
      </c>
      <c r="P28" s="6">
        <f t="shared" si="7"/>
        <v>88</v>
      </c>
      <c r="Q28" s="6">
        <f t="shared" si="7"/>
        <v>97</v>
      </c>
      <c r="R28" s="6">
        <f t="shared" si="7"/>
        <v>93</v>
      </c>
      <c r="S28" s="6">
        <f t="shared" si="7"/>
        <v>112</v>
      </c>
      <c r="T28" s="6">
        <f t="shared" si="7"/>
        <v>91</v>
      </c>
      <c r="U28" s="6">
        <f t="shared" si="3"/>
        <v>1563</v>
      </c>
    </row>
    <row r="29" ht="12.75" customHeight="1">
      <c r="A29" s="37"/>
      <c r="B29" s="26"/>
      <c r="C29" s="36"/>
      <c r="D29" s="6" t="s">
        <v>13</v>
      </c>
      <c r="E29" s="6">
        <f t="shared" ref="E29:T29" si="8">SUM(E20,E23,E26)</f>
        <v>122</v>
      </c>
      <c r="F29" s="6">
        <f t="shared" si="8"/>
        <v>117</v>
      </c>
      <c r="G29" s="6">
        <f t="shared" si="8"/>
        <v>108</v>
      </c>
      <c r="H29" s="6">
        <f t="shared" si="8"/>
        <v>131</v>
      </c>
      <c r="I29" s="6">
        <f t="shared" si="8"/>
        <v>134</v>
      </c>
      <c r="J29" s="6">
        <f t="shared" si="8"/>
        <v>139</v>
      </c>
      <c r="K29" s="6">
        <f t="shared" si="8"/>
        <v>124</v>
      </c>
      <c r="L29" s="6">
        <f t="shared" si="8"/>
        <v>113</v>
      </c>
      <c r="M29" s="6">
        <f t="shared" si="8"/>
        <v>78</v>
      </c>
      <c r="N29" s="6">
        <f t="shared" si="8"/>
        <v>129</v>
      </c>
      <c r="O29" s="6">
        <f t="shared" si="8"/>
        <v>97</v>
      </c>
      <c r="P29" s="6">
        <f t="shared" si="8"/>
        <v>102</v>
      </c>
      <c r="Q29" s="6">
        <f t="shared" si="8"/>
        <v>116</v>
      </c>
      <c r="R29" s="6">
        <f t="shared" si="8"/>
        <v>87</v>
      </c>
      <c r="S29" s="6">
        <f t="shared" si="8"/>
        <v>123</v>
      </c>
      <c r="T29" s="6">
        <f t="shared" si="8"/>
        <v>88</v>
      </c>
      <c r="U29" s="6">
        <f t="shared" si="3"/>
        <v>1808</v>
      </c>
    </row>
    <row r="30" ht="12.75" customHeight="1">
      <c r="A30" s="37"/>
      <c r="B30" s="27"/>
      <c r="C30" s="38"/>
      <c r="D30" s="6" t="s">
        <v>14</v>
      </c>
      <c r="E30" s="6">
        <f t="shared" ref="E30:T30" si="9">SUM(E28:E29)</f>
        <v>216</v>
      </c>
      <c r="F30" s="6">
        <f t="shared" si="9"/>
        <v>228</v>
      </c>
      <c r="G30" s="6">
        <f t="shared" si="9"/>
        <v>211</v>
      </c>
      <c r="H30" s="6">
        <f t="shared" si="9"/>
        <v>223</v>
      </c>
      <c r="I30" s="6">
        <f t="shared" si="9"/>
        <v>234</v>
      </c>
      <c r="J30" s="6">
        <f t="shared" si="9"/>
        <v>242</v>
      </c>
      <c r="K30" s="6">
        <f t="shared" si="9"/>
        <v>236</v>
      </c>
      <c r="L30" s="6">
        <f t="shared" si="9"/>
        <v>207</v>
      </c>
      <c r="M30" s="6">
        <f t="shared" si="9"/>
        <v>153</v>
      </c>
      <c r="N30" s="6">
        <f t="shared" si="9"/>
        <v>243</v>
      </c>
      <c r="O30" s="6">
        <f t="shared" si="9"/>
        <v>181</v>
      </c>
      <c r="P30" s="6">
        <f t="shared" si="9"/>
        <v>190</v>
      </c>
      <c r="Q30" s="6">
        <f t="shared" si="9"/>
        <v>213</v>
      </c>
      <c r="R30" s="6">
        <f t="shared" si="9"/>
        <v>180</v>
      </c>
      <c r="S30" s="6">
        <f t="shared" si="9"/>
        <v>235</v>
      </c>
      <c r="T30" s="6">
        <f t="shared" si="9"/>
        <v>179</v>
      </c>
      <c r="U30" s="6">
        <f t="shared" si="3"/>
        <v>3371</v>
      </c>
    </row>
    <row r="31" ht="12.75" customHeight="1">
      <c r="A31" s="21"/>
      <c r="B31" s="8"/>
      <c r="C31" s="8"/>
      <c r="D31" s="9"/>
      <c r="E31" s="13"/>
      <c r="F31" s="13"/>
      <c r="G31" s="13"/>
      <c r="H31" s="13"/>
      <c r="I31" s="13"/>
      <c r="J31" s="13"/>
      <c r="K31" s="13"/>
      <c r="L31" s="13"/>
      <c r="M31" s="13"/>
      <c r="N31" s="67"/>
      <c r="O31" s="67"/>
      <c r="P31" s="67"/>
      <c r="Q31" s="67"/>
      <c r="R31" s="67"/>
      <c r="S31" s="67"/>
      <c r="T31" s="67"/>
      <c r="U31" s="6"/>
    </row>
    <row r="32" ht="12.75" customHeight="1">
      <c r="A32" s="42" t="s">
        <v>25</v>
      </c>
      <c r="B32" s="7" t="s">
        <v>26</v>
      </c>
      <c r="C32" s="8"/>
      <c r="D32" s="9"/>
      <c r="E32" s="6"/>
      <c r="F32" s="6"/>
      <c r="G32" s="6"/>
      <c r="H32" s="6"/>
      <c r="I32" s="6"/>
      <c r="J32" s="6"/>
      <c r="K32" s="6"/>
      <c r="L32" s="6"/>
      <c r="M32" s="6"/>
      <c r="N32" s="68"/>
      <c r="O32" s="68"/>
      <c r="P32" s="68"/>
      <c r="Q32" s="68"/>
      <c r="R32" s="68"/>
      <c r="S32" s="68"/>
      <c r="T32" s="68"/>
      <c r="U32" s="6"/>
    </row>
    <row r="33" ht="12.75" customHeight="1">
      <c r="A33" s="13">
        <v>1.0</v>
      </c>
      <c r="B33" s="14" t="s">
        <v>27</v>
      </c>
      <c r="C33" s="8"/>
      <c r="D33" s="9"/>
      <c r="E33" s="13">
        <v>272.0</v>
      </c>
      <c r="F33" s="13">
        <v>285.0</v>
      </c>
      <c r="G33" s="13">
        <v>266.0</v>
      </c>
      <c r="H33" s="13">
        <v>273.0</v>
      </c>
      <c r="I33" s="13">
        <v>300.0</v>
      </c>
      <c r="J33" s="13">
        <v>304.0</v>
      </c>
      <c r="K33" s="13">
        <v>287.0</v>
      </c>
      <c r="L33" s="13">
        <v>265.0</v>
      </c>
      <c r="M33" s="13">
        <v>194.0</v>
      </c>
      <c r="N33" s="13">
        <v>285.0</v>
      </c>
      <c r="O33" s="13">
        <v>240.0</v>
      </c>
      <c r="P33" s="13">
        <v>235.0</v>
      </c>
      <c r="Q33" s="13">
        <v>279.0</v>
      </c>
      <c r="R33" s="13">
        <v>236.0</v>
      </c>
      <c r="S33" s="13">
        <v>305.0</v>
      </c>
      <c r="T33" s="13">
        <v>215.0</v>
      </c>
      <c r="U33" s="6">
        <f t="shared" ref="U33:U36" si="10">SUM(E33:T33)</f>
        <v>4241</v>
      </c>
    </row>
    <row r="34" ht="12.75" customHeight="1">
      <c r="A34" s="13">
        <v>2.0</v>
      </c>
      <c r="B34" s="14" t="s">
        <v>28</v>
      </c>
      <c r="C34" s="8"/>
      <c r="D34" s="9"/>
      <c r="E34" s="6">
        <v>216.0</v>
      </c>
      <c r="F34" s="6">
        <v>228.0</v>
      </c>
      <c r="G34" s="6">
        <v>211.0</v>
      </c>
      <c r="H34" s="6">
        <v>223.0</v>
      </c>
      <c r="I34" s="6">
        <v>234.0</v>
      </c>
      <c r="J34" s="6">
        <v>242.0</v>
      </c>
      <c r="K34" s="6">
        <v>236.0</v>
      </c>
      <c r="L34" s="6">
        <v>207.0</v>
      </c>
      <c r="M34" s="6">
        <v>153.0</v>
      </c>
      <c r="N34" s="6">
        <v>243.0</v>
      </c>
      <c r="O34" s="6">
        <v>181.0</v>
      </c>
      <c r="P34" s="6">
        <v>190.0</v>
      </c>
      <c r="Q34" s="6">
        <v>213.0</v>
      </c>
      <c r="R34" s="6">
        <v>180.0</v>
      </c>
      <c r="S34" s="6">
        <v>235.0</v>
      </c>
      <c r="T34" s="6">
        <v>179.0</v>
      </c>
      <c r="U34" s="6">
        <f t="shared" si="10"/>
        <v>3371</v>
      </c>
    </row>
    <row r="35" ht="12.75" customHeight="1">
      <c r="A35" s="13">
        <v>3.0</v>
      </c>
      <c r="B35" s="14" t="s">
        <v>29</v>
      </c>
      <c r="C35" s="8"/>
      <c r="D35" s="9"/>
      <c r="E35" s="13">
        <v>0.0</v>
      </c>
      <c r="F35" s="13">
        <v>3.0</v>
      </c>
      <c r="G35" s="13">
        <v>0.0</v>
      </c>
      <c r="H35" s="13">
        <v>0.0</v>
      </c>
      <c r="I35" s="13">
        <v>0.0</v>
      </c>
      <c r="J35" s="13">
        <v>4.0</v>
      </c>
      <c r="K35" s="13">
        <v>0.0</v>
      </c>
      <c r="L35" s="13">
        <v>0.0</v>
      </c>
      <c r="M35" s="13">
        <v>0.0</v>
      </c>
      <c r="N35" s="13">
        <v>0.0</v>
      </c>
      <c r="O35" s="13">
        <v>0.0</v>
      </c>
      <c r="P35" s="13">
        <v>0.0</v>
      </c>
      <c r="Q35" s="13">
        <v>1.0</v>
      </c>
      <c r="R35" s="13">
        <v>0.0</v>
      </c>
      <c r="S35" s="13">
        <v>0.0</v>
      </c>
      <c r="T35" s="13">
        <v>1.0</v>
      </c>
      <c r="U35" s="6">
        <f t="shared" si="10"/>
        <v>9</v>
      </c>
    </row>
    <row r="36" ht="12.75" customHeight="1">
      <c r="A36" s="13">
        <v>4.0</v>
      </c>
      <c r="B36" s="14" t="s">
        <v>30</v>
      </c>
      <c r="C36" s="8"/>
      <c r="D36" s="9"/>
      <c r="E36" s="6">
        <f t="shared" ref="E36:T36" si="11">E33-(E34+E35)</f>
        <v>56</v>
      </c>
      <c r="F36" s="6">
        <f t="shared" si="11"/>
        <v>54</v>
      </c>
      <c r="G36" s="6">
        <f t="shared" si="11"/>
        <v>55</v>
      </c>
      <c r="H36" s="6">
        <f t="shared" si="11"/>
        <v>50</v>
      </c>
      <c r="I36" s="6">
        <f t="shared" si="11"/>
        <v>66</v>
      </c>
      <c r="J36" s="6">
        <f t="shared" si="11"/>
        <v>58</v>
      </c>
      <c r="K36" s="6">
        <f t="shared" si="11"/>
        <v>51</v>
      </c>
      <c r="L36" s="6">
        <f t="shared" si="11"/>
        <v>58</v>
      </c>
      <c r="M36" s="6">
        <f t="shared" si="11"/>
        <v>41</v>
      </c>
      <c r="N36" s="6">
        <f t="shared" si="11"/>
        <v>42</v>
      </c>
      <c r="O36" s="6">
        <f t="shared" si="11"/>
        <v>59</v>
      </c>
      <c r="P36" s="6">
        <f t="shared" si="11"/>
        <v>45</v>
      </c>
      <c r="Q36" s="6">
        <f t="shared" si="11"/>
        <v>65</v>
      </c>
      <c r="R36" s="6">
        <f t="shared" si="11"/>
        <v>56</v>
      </c>
      <c r="S36" s="6">
        <f t="shared" si="11"/>
        <v>70</v>
      </c>
      <c r="T36" s="6">
        <f t="shared" si="11"/>
        <v>35</v>
      </c>
      <c r="U36" s="6">
        <f t="shared" si="10"/>
        <v>861</v>
      </c>
    </row>
    <row r="37" ht="12.75" customHeight="1">
      <c r="A37" s="21"/>
      <c r="B37" s="8"/>
      <c r="C37" s="8"/>
      <c r="D37" s="8"/>
      <c r="E37" s="21"/>
      <c r="F37" s="8"/>
      <c r="G37" s="8"/>
      <c r="H37" s="8"/>
      <c r="I37" s="9"/>
      <c r="J37" s="13"/>
      <c r="K37" s="13"/>
      <c r="L37" s="13"/>
      <c r="M37" s="13"/>
      <c r="N37" s="67"/>
      <c r="O37" s="69"/>
      <c r="P37" s="69"/>
      <c r="Q37" s="69"/>
      <c r="R37" s="69"/>
      <c r="S37" s="69"/>
      <c r="T37" s="69"/>
      <c r="U37" s="6"/>
    </row>
    <row r="38" ht="12.75" customHeight="1">
      <c r="A38" s="44" t="s">
        <v>31</v>
      </c>
      <c r="B38" s="7" t="s">
        <v>32</v>
      </c>
      <c r="C38" s="8"/>
      <c r="D38" s="9"/>
      <c r="E38" s="6"/>
      <c r="F38" s="6"/>
      <c r="G38" s="6"/>
      <c r="H38" s="6"/>
      <c r="I38" s="6"/>
      <c r="J38" s="6"/>
      <c r="K38" s="6"/>
      <c r="L38" s="6"/>
      <c r="M38" s="6"/>
      <c r="N38" s="68"/>
      <c r="O38" s="68"/>
      <c r="P38" s="68"/>
      <c r="Q38" s="68"/>
      <c r="R38" s="68"/>
      <c r="S38" s="68"/>
      <c r="T38" s="68"/>
      <c r="U38" s="6"/>
    </row>
    <row r="39" ht="12.75" customHeight="1">
      <c r="A39" s="32"/>
      <c r="B39" s="45" t="s">
        <v>33</v>
      </c>
      <c r="C39" s="20"/>
      <c r="D39" s="13" t="s">
        <v>12</v>
      </c>
      <c r="E39" s="13"/>
      <c r="F39" s="13">
        <v>1.0</v>
      </c>
      <c r="G39" s="13"/>
      <c r="H39" s="13"/>
      <c r="I39" s="13"/>
      <c r="J39" s="13">
        <v>1.0</v>
      </c>
      <c r="K39" s="13"/>
      <c r="L39" s="13"/>
      <c r="M39" s="13"/>
      <c r="N39" s="13"/>
      <c r="O39" s="13"/>
      <c r="P39" s="13"/>
      <c r="Q39" s="13"/>
      <c r="R39" s="13"/>
      <c r="S39" s="13">
        <v>1.0</v>
      </c>
      <c r="T39" s="13"/>
      <c r="U39" s="6">
        <f t="shared" ref="U39:U41" si="12">SUM(E39:T39)</f>
        <v>3</v>
      </c>
    </row>
    <row r="40" ht="12.75" customHeight="1">
      <c r="A40" s="35"/>
      <c r="C40" s="26"/>
      <c r="D40" s="13" t="s">
        <v>13</v>
      </c>
      <c r="E40" s="13"/>
      <c r="F40" s="13">
        <v>1.0</v>
      </c>
      <c r="G40" s="13"/>
      <c r="H40" s="13"/>
      <c r="I40" s="13"/>
      <c r="J40" s="13">
        <v>1.0</v>
      </c>
      <c r="K40" s="13"/>
      <c r="L40" s="13"/>
      <c r="M40" s="13"/>
      <c r="N40" s="13"/>
      <c r="O40" s="13"/>
      <c r="P40" s="13"/>
      <c r="Q40" s="13"/>
      <c r="R40" s="13"/>
      <c r="S40" s="13">
        <v>1.0</v>
      </c>
      <c r="T40" s="13"/>
      <c r="U40" s="6">
        <f t="shared" si="12"/>
        <v>3</v>
      </c>
    </row>
    <row r="41" ht="12.75" customHeight="1">
      <c r="A41" s="42"/>
      <c r="B41" s="46"/>
      <c r="C41" s="27"/>
      <c r="D41" s="6" t="s">
        <v>14</v>
      </c>
      <c r="E41" s="6">
        <f t="shared" ref="E41:T41" si="13">SUM(E39:E40)</f>
        <v>0</v>
      </c>
      <c r="F41" s="6">
        <f t="shared" si="13"/>
        <v>2</v>
      </c>
      <c r="G41" s="6">
        <f t="shared" si="13"/>
        <v>0</v>
      </c>
      <c r="H41" s="6">
        <f t="shared" si="13"/>
        <v>0</v>
      </c>
      <c r="I41" s="6">
        <f t="shared" si="13"/>
        <v>0</v>
      </c>
      <c r="J41" s="6">
        <f t="shared" si="13"/>
        <v>2</v>
      </c>
      <c r="K41" s="6">
        <f t="shared" si="13"/>
        <v>0</v>
      </c>
      <c r="L41" s="6">
        <f t="shared" si="13"/>
        <v>0</v>
      </c>
      <c r="M41" s="6">
        <f t="shared" si="13"/>
        <v>0</v>
      </c>
      <c r="N41" s="6">
        <f t="shared" si="13"/>
        <v>0</v>
      </c>
      <c r="O41" s="6">
        <f t="shared" si="13"/>
        <v>0</v>
      </c>
      <c r="P41" s="6">
        <f t="shared" si="13"/>
        <v>0</v>
      </c>
      <c r="Q41" s="6">
        <f t="shared" si="13"/>
        <v>0</v>
      </c>
      <c r="R41" s="6">
        <f t="shared" si="13"/>
        <v>0</v>
      </c>
      <c r="S41" s="6">
        <f t="shared" si="13"/>
        <v>2</v>
      </c>
      <c r="T41" s="6">
        <f t="shared" si="13"/>
        <v>0</v>
      </c>
      <c r="U41" s="6">
        <f t="shared" si="12"/>
        <v>6</v>
      </c>
    </row>
    <row r="42" ht="12.75" customHeight="1">
      <c r="A42" s="47"/>
      <c r="B42" s="46"/>
      <c r="C42" s="46"/>
      <c r="D42" s="27"/>
      <c r="E42" s="21"/>
      <c r="F42" s="8"/>
      <c r="G42" s="8"/>
      <c r="H42" s="8"/>
      <c r="I42" s="9"/>
      <c r="J42" s="13"/>
      <c r="K42" s="13"/>
      <c r="L42" s="13"/>
      <c r="M42" s="13"/>
      <c r="N42" s="67"/>
      <c r="U42" s="6"/>
    </row>
    <row r="43" ht="12.75" customHeight="1">
      <c r="A43" s="44" t="s">
        <v>34</v>
      </c>
      <c r="B43" s="7" t="s">
        <v>35</v>
      </c>
      <c r="C43" s="8"/>
      <c r="D43" s="9"/>
      <c r="E43" s="28"/>
      <c r="F43" s="6"/>
      <c r="G43" s="6"/>
      <c r="H43" s="6"/>
      <c r="I43" s="6"/>
      <c r="J43" s="6"/>
      <c r="K43" s="6"/>
      <c r="L43" s="6"/>
      <c r="M43" s="6"/>
      <c r="N43" s="68"/>
      <c r="U43" s="6"/>
    </row>
    <row r="44" ht="12.75" customHeight="1">
      <c r="A44" s="45" t="s">
        <v>36</v>
      </c>
      <c r="B44" s="48"/>
      <c r="C44" s="48"/>
      <c r="D44" s="20"/>
      <c r="E44" s="21"/>
      <c r="F44" s="13"/>
      <c r="G44" s="13"/>
      <c r="H44" s="13"/>
      <c r="I44" s="13"/>
      <c r="J44" s="13"/>
      <c r="K44" s="13"/>
      <c r="L44" s="13"/>
      <c r="M44" s="13"/>
      <c r="N44" s="67"/>
      <c r="U44" s="6"/>
    </row>
    <row r="45" ht="12.75" customHeight="1">
      <c r="A45" s="32" t="s">
        <v>37</v>
      </c>
      <c r="B45" s="49" t="s">
        <v>17</v>
      </c>
      <c r="C45" s="50" t="s">
        <v>38</v>
      </c>
      <c r="D45" s="9"/>
      <c r="E45" s="13">
        <v>1.0</v>
      </c>
      <c r="F45" s="13">
        <v>3.0</v>
      </c>
      <c r="G45" s="13">
        <v>6.0</v>
      </c>
      <c r="H45" s="13">
        <v>4.0</v>
      </c>
      <c r="I45" s="13">
        <v>5.0</v>
      </c>
      <c r="J45" s="13">
        <v>5.0</v>
      </c>
      <c r="K45" s="13">
        <v>5.0</v>
      </c>
      <c r="L45" s="13">
        <v>6.0</v>
      </c>
      <c r="M45" s="13">
        <v>2.0</v>
      </c>
      <c r="N45" s="13">
        <v>5.0</v>
      </c>
      <c r="O45" s="13">
        <v>2.0</v>
      </c>
      <c r="P45" s="13">
        <v>5.0</v>
      </c>
      <c r="Q45" s="13">
        <v>3.0</v>
      </c>
      <c r="R45" s="13">
        <v>1.0</v>
      </c>
      <c r="S45" s="13">
        <v>0.0</v>
      </c>
      <c r="T45" s="13">
        <v>3.0</v>
      </c>
      <c r="U45" s="6">
        <f t="shared" ref="U45:U52" si="14">SUM(E45:T45)</f>
        <v>56</v>
      </c>
    </row>
    <row r="46" ht="12.75" customHeight="1">
      <c r="A46" s="32" t="s">
        <v>39</v>
      </c>
      <c r="B46" s="51"/>
      <c r="C46" s="52" t="s">
        <v>40</v>
      </c>
      <c r="D46" s="53"/>
      <c r="E46" s="13">
        <v>4.0</v>
      </c>
      <c r="F46" s="13">
        <v>1.0</v>
      </c>
      <c r="G46" s="13">
        <v>1.0</v>
      </c>
      <c r="H46" s="13">
        <v>4.0</v>
      </c>
      <c r="I46" s="13">
        <v>4.0</v>
      </c>
      <c r="J46" s="13">
        <v>3.0</v>
      </c>
      <c r="K46" s="13">
        <v>0.0</v>
      </c>
      <c r="L46" s="13">
        <v>2.0</v>
      </c>
      <c r="M46" s="13">
        <v>1.0</v>
      </c>
      <c r="N46" s="13">
        <v>1.0</v>
      </c>
      <c r="O46" s="13">
        <v>2.0</v>
      </c>
      <c r="P46" s="13">
        <v>1.0</v>
      </c>
      <c r="Q46" s="13">
        <v>1.0</v>
      </c>
      <c r="R46" s="13">
        <v>1.0</v>
      </c>
      <c r="S46" s="13">
        <v>5.0</v>
      </c>
      <c r="T46" s="13">
        <v>1.0</v>
      </c>
      <c r="U46" s="6">
        <f t="shared" si="14"/>
        <v>32</v>
      </c>
    </row>
    <row r="47" ht="12.75" customHeight="1">
      <c r="A47" s="18"/>
      <c r="B47" s="51"/>
      <c r="C47" s="52" t="s">
        <v>41</v>
      </c>
      <c r="D47" s="53"/>
      <c r="E47" s="13">
        <v>2.0</v>
      </c>
      <c r="F47" s="13">
        <v>1.0</v>
      </c>
      <c r="G47" s="13">
        <v>0.0</v>
      </c>
      <c r="H47" s="13">
        <v>3.0</v>
      </c>
      <c r="I47" s="13">
        <v>0.0</v>
      </c>
      <c r="J47" s="13">
        <v>1.0</v>
      </c>
      <c r="K47" s="13">
        <v>1.0</v>
      </c>
      <c r="L47" s="13">
        <v>0.0</v>
      </c>
      <c r="M47" s="13">
        <v>0.0</v>
      </c>
      <c r="N47" s="13">
        <v>0.0</v>
      </c>
      <c r="O47" s="13">
        <v>0.0</v>
      </c>
      <c r="P47" s="13">
        <v>0.0</v>
      </c>
      <c r="Q47" s="13">
        <v>1.0</v>
      </c>
      <c r="R47" s="13">
        <v>1.0</v>
      </c>
      <c r="S47" s="13">
        <v>1.0</v>
      </c>
      <c r="T47" s="13"/>
      <c r="U47" s="6">
        <f t="shared" si="14"/>
        <v>11</v>
      </c>
    </row>
    <row r="48" ht="12.75" customHeight="1">
      <c r="A48" s="18"/>
      <c r="B48" s="51"/>
      <c r="C48" s="52" t="s">
        <v>42</v>
      </c>
      <c r="D48" s="53"/>
      <c r="E48" s="13">
        <v>3.0</v>
      </c>
      <c r="F48" s="13">
        <v>2.0</v>
      </c>
      <c r="G48" s="13">
        <v>1.0</v>
      </c>
      <c r="H48" s="13">
        <v>2.0</v>
      </c>
      <c r="I48" s="13">
        <v>3.0</v>
      </c>
      <c r="J48" s="13">
        <v>0.0</v>
      </c>
      <c r="K48" s="13">
        <v>5.0</v>
      </c>
      <c r="L48" s="13">
        <v>0.0</v>
      </c>
      <c r="M48" s="13">
        <v>1.0</v>
      </c>
      <c r="N48" s="13">
        <v>0.0</v>
      </c>
      <c r="O48" s="13">
        <v>0.0</v>
      </c>
      <c r="P48" s="13">
        <v>1.0</v>
      </c>
      <c r="Q48" s="13">
        <v>1.0</v>
      </c>
      <c r="R48" s="13">
        <v>1.0</v>
      </c>
      <c r="S48" s="13">
        <v>0.0</v>
      </c>
      <c r="T48" s="13"/>
      <c r="U48" s="6">
        <f t="shared" si="14"/>
        <v>20</v>
      </c>
    </row>
    <row r="49" ht="12.75" customHeight="1">
      <c r="A49" s="18"/>
      <c r="B49" s="51"/>
      <c r="C49" s="52" t="s">
        <v>43</v>
      </c>
      <c r="D49" s="53"/>
      <c r="E49" s="13">
        <v>1.0</v>
      </c>
      <c r="F49" s="13">
        <v>1.0</v>
      </c>
      <c r="G49" s="13">
        <v>0.0</v>
      </c>
      <c r="H49" s="13">
        <v>0.0</v>
      </c>
      <c r="I49" s="13">
        <v>0.0</v>
      </c>
      <c r="J49" s="13">
        <v>1.0</v>
      </c>
      <c r="K49" s="13">
        <v>1.0</v>
      </c>
      <c r="L49" s="13">
        <v>0.0</v>
      </c>
      <c r="M49" s="13">
        <v>0.0</v>
      </c>
      <c r="N49" s="13">
        <v>0.0</v>
      </c>
      <c r="O49" s="13">
        <v>1.0</v>
      </c>
      <c r="P49" s="13">
        <v>1.0</v>
      </c>
      <c r="Q49" s="13">
        <v>0.0</v>
      </c>
      <c r="R49" s="13">
        <v>0.0</v>
      </c>
      <c r="S49" s="13">
        <v>0.0</v>
      </c>
      <c r="T49" s="13"/>
      <c r="U49" s="6">
        <f t="shared" si="14"/>
        <v>6</v>
      </c>
    </row>
    <row r="50" ht="12.75" customHeight="1">
      <c r="A50" s="18"/>
      <c r="B50" s="51"/>
      <c r="C50" s="52" t="s">
        <v>44</v>
      </c>
      <c r="D50" s="53"/>
      <c r="E50" s="13">
        <v>2.0</v>
      </c>
      <c r="F50" s="13">
        <v>1.0</v>
      </c>
      <c r="G50" s="13">
        <v>0.0</v>
      </c>
      <c r="H50" s="13">
        <v>0.0</v>
      </c>
      <c r="I50" s="13">
        <v>0.0</v>
      </c>
      <c r="J50" s="13">
        <v>2.0</v>
      </c>
      <c r="K50" s="13">
        <v>0.0</v>
      </c>
      <c r="L50" s="13">
        <v>0.0</v>
      </c>
      <c r="M50" s="13">
        <v>0.0</v>
      </c>
      <c r="N50" s="13">
        <v>0.0</v>
      </c>
      <c r="O50" s="13">
        <v>0.0</v>
      </c>
      <c r="P50" s="13">
        <v>0.0</v>
      </c>
      <c r="Q50" s="13">
        <v>1.0</v>
      </c>
      <c r="R50" s="13">
        <v>2.0</v>
      </c>
      <c r="S50" s="13">
        <v>0.0</v>
      </c>
      <c r="T50" s="13"/>
      <c r="U50" s="6">
        <f t="shared" si="14"/>
        <v>8</v>
      </c>
    </row>
    <row r="51" ht="12.75" customHeight="1">
      <c r="A51" s="18"/>
      <c r="B51" s="51"/>
      <c r="C51" s="52" t="s">
        <v>45</v>
      </c>
      <c r="D51" s="53"/>
      <c r="E51" s="13">
        <v>0.0</v>
      </c>
      <c r="F51" s="13">
        <v>0.0</v>
      </c>
      <c r="G51" s="13">
        <v>3.0</v>
      </c>
      <c r="H51" s="13">
        <v>0.0</v>
      </c>
      <c r="I51" s="13">
        <v>0.0</v>
      </c>
      <c r="J51" s="13">
        <v>0.0</v>
      </c>
      <c r="K51" s="13">
        <v>1.0</v>
      </c>
      <c r="L51" s="13">
        <v>3.0</v>
      </c>
      <c r="M51" s="13">
        <v>0.0</v>
      </c>
      <c r="N51" s="13">
        <v>0.0</v>
      </c>
      <c r="O51" s="13">
        <v>6.0</v>
      </c>
      <c r="P51" s="13">
        <v>17.0</v>
      </c>
      <c r="Q51" s="13">
        <v>28.0</v>
      </c>
      <c r="R51" s="13">
        <v>15.0</v>
      </c>
      <c r="S51" s="13">
        <v>8.0</v>
      </c>
      <c r="T51" s="13">
        <v>1.0</v>
      </c>
      <c r="U51" s="6">
        <f t="shared" si="14"/>
        <v>82</v>
      </c>
    </row>
    <row r="52" ht="12.75" customHeight="1">
      <c r="A52" s="13" t="s">
        <v>15</v>
      </c>
      <c r="B52" s="49" t="s">
        <v>46</v>
      </c>
      <c r="C52" s="8"/>
      <c r="D52" s="9"/>
      <c r="E52" s="60">
        <f t="shared" ref="E52:T52" si="15">SUM(E45:E51)</f>
        <v>13</v>
      </c>
      <c r="F52" s="60">
        <f t="shared" si="15"/>
        <v>9</v>
      </c>
      <c r="G52" s="60">
        <f t="shared" si="15"/>
        <v>11</v>
      </c>
      <c r="H52" s="60">
        <f t="shared" si="15"/>
        <v>13</v>
      </c>
      <c r="I52" s="60">
        <f t="shared" si="15"/>
        <v>12</v>
      </c>
      <c r="J52" s="60">
        <f t="shared" si="15"/>
        <v>12</v>
      </c>
      <c r="K52" s="60">
        <f t="shared" si="15"/>
        <v>13</v>
      </c>
      <c r="L52" s="60">
        <f t="shared" si="15"/>
        <v>11</v>
      </c>
      <c r="M52" s="60">
        <f t="shared" si="15"/>
        <v>4</v>
      </c>
      <c r="N52" s="60">
        <f t="shared" si="15"/>
        <v>6</v>
      </c>
      <c r="O52" s="60">
        <f t="shared" si="15"/>
        <v>11</v>
      </c>
      <c r="P52" s="60">
        <f t="shared" si="15"/>
        <v>25</v>
      </c>
      <c r="Q52" s="60">
        <f t="shared" si="15"/>
        <v>35</v>
      </c>
      <c r="R52" s="60">
        <f t="shared" si="15"/>
        <v>21</v>
      </c>
      <c r="S52" s="60">
        <f t="shared" si="15"/>
        <v>14</v>
      </c>
      <c r="T52" s="60">
        <f t="shared" si="15"/>
        <v>5</v>
      </c>
      <c r="U52" s="6">
        <f t="shared" si="14"/>
        <v>215</v>
      </c>
    </row>
    <row r="53" ht="12.75" customHeight="1">
      <c r="A53" s="5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6"/>
    </row>
    <row r="54" ht="12.75" customHeight="1">
      <c r="A54" s="32" t="s">
        <v>37</v>
      </c>
      <c r="B54" s="49" t="s">
        <v>19</v>
      </c>
      <c r="C54" s="50" t="s">
        <v>47</v>
      </c>
      <c r="D54" s="9"/>
      <c r="E54" s="13">
        <v>16.0</v>
      </c>
      <c r="F54" s="13">
        <v>7.0</v>
      </c>
      <c r="G54" s="13">
        <v>4.0</v>
      </c>
      <c r="H54" s="13">
        <v>7.0</v>
      </c>
      <c r="I54" s="13">
        <v>6.0</v>
      </c>
      <c r="J54" s="13">
        <v>10.0</v>
      </c>
      <c r="K54" s="13">
        <v>8.0</v>
      </c>
      <c r="L54" s="13">
        <v>5.0</v>
      </c>
      <c r="M54" s="13">
        <v>3.0</v>
      </c>
      <c r="N54" s="13">
        <v>4.0</v>
      </c>
      <c r="O54" s="13">
        <v>4.0</v>
      </c>
      <c r="P54" s="13">
        <v>1.0</v>
      </c>
      <c r="Q54" s="13">
        <v>9.0</v>
      </c>
      <c r="R54" s="13">
        <v>2.0</v>
      </c>
      <c r="S54" s="13">
        <v>9.0</v>
      </c>
      <c r="T54" s="13">
        <v>4.0</v>
      </c>
      <c r="U54" s="6">
        <f t="shared" ref="U54:U61" si="16">SUM(E54:T54)</f>
        <v>99</v>
      </c>
    </row>
    <row r="55" ht="12.75" customHeight="1">
      <c r="A55" s="32" t="s">
        <v>39</v>
      </c>
      <c r="B55" s="51"/>
      <c r="C55" s="52" t="s">
        <v>48</v>
      </c>
      <c r="D55" s="53"/>
      <c r="E55" s="13">
        <v>5.0</v>
      </c>
      <c r="F55" s="13">
        <v>8.0</v>
      </c>
      <c r="G55" s="13">
        <v>7.0</v>
      </c>
      <c r="H55" s="13">
        <v>2.0</v>
      </c>
      <c r="I55" s="13">
        <v>9.0</v>
      </c>
      <c r="J55" s="13">
        <v>3.0</v>
      </c>
      <c r="K55" s="13">
        <v>0.0</v>
      </c>
      <c r="L55" s="13">
        <v>3.0</v>
      </c>
      <c r="M55" s="13">
        <v>3.0</v>
      </c>
      <c r="N55" s="13">
        <v>2.0</v>
      </c>
      <c r="O55" s="13">
        <v>4.0</v>
      </c>
      <c r="P55" s="13">
        <v>3.0</v>
      </c>
      <c r="Q55" s="13">
        <v>1.0</v>
      </c>
      <c r="R55" s="13">
        <v>1.0</v>
      </c>
      <c r="S55" s="13">
        <v>3.0</v>
      </c>
      <c r="T55" s="13"/>
      <c r="U55" s="6">
        <f t="shared" si="16"/>
        <v>54</v>
      </c>
    </row>
    <row r="56" ht="12.75" customHeight="1">
      <c r="A56" s="18"/>
      <c r="B56" s="51"/>
      <c r="C56" s="52" t="s">
        <v>49</v>
      </c>
      <c r="D56" s="53"/>
      <c r="E56" s="13">
        <v>5.0</v>
      </c>
      <c r="F56" s="13">
        <v>2.0</v>
      </c>
      <c r="G56" s="13">
        <v>5.0</v>
      </c>
      <c r="H56" s="13">
        <v>6.0</v>
      </c>
      <c r="I56" s="13">
        <v>2.0</v>
      </c>
      <c r="J56" s="13">
        <v>0.0</v>
      </c>
      <c r="K56" s="13">
        <v>2.0</v>
      </c>
      <c r="L56" s="13">
        <v>11.0</v>
      </c>
      <c r="M56" s="13">
        <v>2.0</v>
      </c>
      <c r="N56" s="13">
        <v>1.0</v>
      </c>
      <c r="O56" s="13">
        <v>1.0</v>
      </c>
      <c r="P56" s="13">
        <v>3.0</v>
      </c>
      <c r="Q56" s="13">
        <v>3.0</v>
      </c>
      <c r="R56" s="13">
        <v>1.0</v>
      </c>
      <c r="S56" s="13">
        <v>2.0</v>
      </c>
      <c r="T56" s="13">
        <v>4.0</v>
      </c>
      <c r="U56" s="6">
        <f t="shared" si="16"/>
        <v>50</v>
      </c>
    </row>
    <row r="57" ht="12.75" customHeight="1">
      <c r="A57" s="18"/>
      <c r="B57" s="51"/>
      <c r="C57" s="52" t="s">
        <v>50</v>
      </c>
      <c r="D57" s="53"/>
      <c r="E57" s="13">
        <v>1.0</v>
      </c>
      <c r="F57" s="13">
        <v>1.0</v>
      </c>
      <c r="G57" s="13">
        <v>0.0</v>
      </c>
      <c r="H57" s="13">
        <v>0.0</v>
      </c>
      <c r="I57" s="13">
        <v>5.0</v>
      </c>
      <c r="J57" s="13">
        <v>3.0</v>
      </c>
      <c r="K57" s="13">
        <v>5.0</v>
      </c>
      <c r="L57" s="13">
        <v>1.0</v>
      </c>
      <c r="M57" s="13">
        <v>0.0</v>
      </c>
      <c r="N57" s="13">
        <v>0.0</v>
      </c>
      <c r="O57" s="13">
        <v>1.0</v>
      </c>
      <c r="P57" s="13">
        <v>0.0</v>
      </c>
      <c r="Q57" s="13">
        <v>2.0</v>
      </c>
      <c r="R57" s="13">
        <v>0.0</v>
      </c>
      <c r="S57" s="13">
        <v>0.0</v>
      </c>
      <c r="T57" s="13">
        <v>1.0</v>
      </c>
      <c r="U57" s="6">
        <f t="shared" si="16"/>
        <v>20</v>
      </c>
    </row>
    <row r="58" ht="12.75" customHeight="1">
      <c r="A58" s="18"/>
      <c r="B58" s="51"/>
      <c r="C58" s="52" t="s">
        <v>51</v>
      </c>
      <c r="D58" s="53"/>
      <c r="E58" s="13">
        <v>2.0</v>
      </c>
      <c r="F58" s="13">
        <v>1.0</v>
      </c>
      <c r="G58" s="13">
        <v>0.0</v>
      </c>
      <c r="H58" s="13">
        <v>1.0</v>
      </c>
      <c r="I58" s="13">
        <v>3.0</v>
      </c>
      <c r="J58" s="13">
        <v>0.0</v>
      </c>
      <c r="K58" s="13">
        <v>0.0</v>
      </c>
      <c r="L58" s="13">
        <v>0.0</v>
      </c>
      <c r="M58" s="13">
        <v>0.0</v>
      </c>
      <c r="N58" s="13">
        <v>0.0</v>
      </c>
      <c r="O58" s="13">
        <v>0.0</v>
      </c>
      <c r="P58" s="13">
        <v>1.0</v>
      </c>
      <c r="Q58" s="13">
        <v>2.0</v>
      </c>
      <c r="R58" s="13">
        <v>0.0</v>
      </c>
      <c r="S58" s="13">
        <v>1.0</v>
      </c>
      <c r="T58" s="13">
        <v>1.0</v>
      </c>
      <c r="U58" s="6">
        <f t="shared" si="16"/>
        <v>12</v>
      </c>
    </row>
    <row r="59" ht="12.75" customHeight="1">
      <c r="A59" s="18"/>
      <c r="B59" s="51"/>
      <c r="C59" s="52" t="s">
        <v>52</v>
      </c>
      <c r="D59" s="53"/>
      <c r="E59" s="13">
        <v>3.0</v>
      </c>
      <c r="F59" s="13">
        <v>0.0</v>
      </c>
      <c r="G59" s="13">
        <v>2.0</v>
      </c>
      <c r="H59" s="13">
        <v>0.0</v>
      </c>
      <c r="I59" s="13">
        <v>0.0</v>
      </c>
      <c r="J59" s="13">
        <v>4.0</v>
      </c>
      <c r="K59" s="13">
        <v>1.0</v>
      </c>
      <c r="L59" s="13">
        <v>0.0</v>
      </c>
      <c r="M59" s="13">
        <v>0.0</v>
      </c>
      <c r="N59" s="13">
        <v>0.0</v>
      </c>
      <c r="O59" s="13">
        <v>0.0</v>
      </c>
      <c r="P59" s="13">
        <v>1.0</v>
      </c>
      <c r="Q59" s="13">
        <v>0.0</v>
      </c>
      <c r="R59" s="13">
        <v>0.0</v>
      </c>
      <c r="S59" s="13">
        <v>4.0</v>
      </c>
      <c r="T59" s="13">
        <v>1.0</v>
      </c>
      <c r="U59" s="6">
        <f t="shared" si="16"/>
        <v>16</v>
      </c>
    </row>
    <row r="60" ht="12.75" customHeight="1">
      <c r="A60" s="18"/>
      <c r="B60" s="51"/>
      <c r="C60" s="52" t="s">
        <v>53</v>
      </c>
      <c r="D60" s="53"/>
      <c r="E60" s="13">
        <v>0.0</v>
      </c>
      <c r="F60" s="13">
        <v>0.0</v>
      </c>
      <c r="G60" s="13">
        <v>0.0</v>
      </c>
      <c r="H60" s="13">
        <v>0.0</v>
      </c>
      <c r="I60" s="13">
        <v>0.0</v>
      </c>
      <c r="J60" s="13">
        <v>0.0</v>
      </c>
      <c r="K60" s="13">
        <v>1.0</v>
      </c>
      <c r="L60" s="13">
        <v>0.0</v>
      </c>
      <c r="M60" s="13">
        <v>0.0</v>
      </c>
      <c r="N60" s="13">
        <v>0.0</v>
      </c>
      <c r="O60" s="13">
        <v>0.0</v>
      </c>
      <c r="P60" s="13">
        <v>0.0</v>
      </c>
      <c r="Q60" s="13">
        <v>0.0</v>
      </c>
      <c r="R60" s="13">
        <v>0.0</v>
      </c>
      <c r="S60" s="13">
        <v>1.0</v>
      </c>
      <c r="T60" s="13">
        <v>1.0</v>
      </c>
      <c r="U60" s="6">
        <f t="shared" si="16"/>
        <v>3</v>
      </c>
    </row>
    <row r="61" ht="12.75" customHeight="1">
      <c r="A61" s="13" t="s">
        <v>15</v>
      </c>
      <c r="B61" s="49" t="s">
        <v>46</v>
      </c>
      <c r="C61" s="8"/>
      <c r="D61" s="9"/>
      <c r="E61" s="60">
        <f t="shared" ref="E61:T61" si="17">SUM(E54:E60)</f>
        <v>32</v>
      </c>
      <c r="F61" s="60">
        <f t="shared" si="17"/>
        <v>19</v>
      </c>
      <c r="G61" s="60">
        <f t="shared" si="17"/>
        <v>18</v>
      </c>
      <c r="H61" s="60">
        <f t="shared" si="17"/>
        <v>16</v>
      </c>
      <c r="I61" s="60">
        <f t="shared" si="17"/>
        <v>25</v>
      </c>
      <c r="J61" s="60">
        <f t="shared" si="17"/>
        <v>20</v>
      </c>
      <c r="K61" s="60">
        <f t="shared" si="17"/>
        <v>17</v>
      </c>
      <c r="L61" s="60">
        <f t="shared" si="17"/>
        <v>20</v>
      </c>
      <c r="M61" s="60">
        <f t="shared" si="17"/>
        <v>8</v>
      </c>
      <c r="N61" s="60">
        <f t="shared" si="17"/>
        <v>7</v>
      </c>
      <c r="O61" s="60">
        <f t="shared" si="17"/>
        <v>10</v>
      </c>
      <c r="P61" s="60">
        <f t="shared" si="17"/>
        <v>9</v>
      </c>
      <c r="Q61" s="60">
        <f t="shared" si="17"/>
        <v>17</v>
      </c>
      <c r="R61" s="60">
        <f t="shared" si="17"/>
        <v>4</v>
      </c>
      <c r="S61" s="60">
        <f t="shared" si="17"/>
        <v>20</v>
      </c>
      <c r="T61" s="60">
        <f t="shared" si="17"/>
        <v>12</v>
      </c>
      <c r="U61" s="6">
        <f t="shared" si="16"/>
        <v>254</v>
      </c>
    </row>
    <row r="62" ht="12.75" customHeight="1">
      <c r="A62" s="54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6"/>
    </row>
    <row r="63" ht="12.75" customHeight="1">
      <c r="A63" s="32" t="s">
        <v>37</v>
      </c>
      <c r="B63" s="49" t="s">
        <v>21</v>
      </c>
      <c r="C63" s="50" t="s">
        <v>54</v>
      </c>
      <c r="D63" s="9"/>
      <c r="E63" s="13">
        <v>9.0</v>
      </c>
      <c r="F63" s="13">
        <v>7.0</v>
      </c>
      <c r="G63" s="13">
        <v>2.0</v>
      </c>
      <c r="H63" s="13">
        <v>6.0</v>
      </c>
      <c r="I63" s="13">
        <v>1.0</v>
      </c>
      <c r="J63" s="13">
        <v>4.0</v>
      </c>
      <c r="K63" s="13">
        <v>7.0</v>
      </c>
      <c r="L63" s="13">
        <v>6.0</v>
      </c>
      <c r="M63" s="13">
        <v>1.0</v>
      </c>
      <c r="N63" s="13">
        <v>5.0</v>
      </c>
      <c r="O63" s="13">
        <v>9.0</v>
      </c>
      <c r="P63" s="13">
        <v>8.0</v>
      </c>
      <c r="Q63" s="13">
        <v>16.0</v>
      </c>
      <c r="R63" s="13">
        <v>10.0</v>
      </c>
      <c r="S63" s="13">
        <v>6.0</v>
      </c>
      <c r="T63" s="13">
        <v>5.0</v>
      </c>
      <c r="U63" s="6">
        <f t="shared" ref="U63:U70" si="18">SUM(E63:T63)</f>
        <v>102</v>
      </c>
    </row>
    <row r="64" ht="12.75" customHeight="1">
      <c r="A64" s="32" t="s">
        <v>39</v>
      </c>
      <c r="B64" s="51"/>
      <c r="C64" s="52" t="s">
        <v>55</v>
      </c>
      <c r="D64" s="53"/>
      <c r="E64" s="13">
        <v>0.0</v>
      </c>
      <c r="F64" s="13">
        <v>3.0</v>
      </c>
      <c r="G64" s="13">
        <v>2.0</v>
      </c>
      <c r="H64" s="13">
        <v>2.0</v>
      </c>
      <c r="I64" s="13">
        <v>2.0</v>
      </c>
      <c r="J64" s="13">
        <v>1.0</v>
      </c>
      <c r="K64" s="13">
        <v>1.0</v>
      </c>
      <c r="L64" s="13">
        <v>3.0</v>
      </c>
      <c r="M64" s="13">
        <v>1.0</v>
      </c>
      <c r="N64" s="13">
        <v>0.0</v>
      </c>
      <c r="O64" s="13">
        <v>8.0</v>
      </c>
      <c r="P64" s="13">
        <v>3.0</v>
      </c>
      <c r="Q64" s="13">
        <v>1.0</v>
      </c>
      <c r="R64" s="13">
        <v>0.0</v>
      </c>
      <c r="S64" s="13">
        <v>3.0</v>
      </c>
      <c r="T64" s="13">
        <v>4.0</v>
      </c>
      <c r="U64" s="6">
        <f t="shared" si="18"/>
        <v>34</v>
      </c>
    </row>
    <row r="65" ht="12.75" customHeight="1">
      <c r="A65" s="18"/>
      <c r="B65" s="51"/>
      <c r="C65" s="52" t="s">
        <v>56</v>
      </c>
      <c r="D65" s="53"/>
      <c r="E65" s="13">
        <v>2.0</v>
      </c>
      <c r="F65" s="13">
        <v>3.0</v>
      </c>
      <c r="G65" s="13">
        <v>3.0</v>
      </c>
      <c r="H65" s="13">
        <v>0.0</v>
      </c>
      <c r="I65" s="13">
        <v>3.0</v>
      </c>
      <c r="J65" s="13">
        <v>8.0</v>
      </c>
      <c r="K65" s="13">
        <v>3.0</v>
      </c>
      <c r="L65" s="13">
        <v>0.0</v>
      </c>
      <c r="M65" s="13">
        <v>0.0</v>
      </c>
      <c r="N65" s="13">
        <v>0.0</v>
      </c>
      <c r="O65" s="13">
        <v>2.0</v>
      </c>
      <c r="P65" s="13">
        <v>8.0</v>
      </c>
      <c r="Q65" s="13">
        <v>2.0</v>
      </c>
      <c r="R65" s="13">
        <v>2.0</v>
      </c>
      <c r="S65" s="13">
        <v>3.0</v>
      </c>
      <c r="T65" s="13">
        <v>13.0</v>
      </c>
      <c r="U65" s="6">
        <f t="shared" si="18"/>
        <v>52</v>
      </c>
    </row>
    <row r="66" ht="12.75" customHeight="1">
      <c r="A66" s="18"/>
      <c r="B66" s="51"/>
      <c r="C66" s="52" t="s">
        <v>57</v>
      </c>
      <c r="D66" s="53"/>
      <c r="E66" s="13">
        <v>2.0</v>
      </c>
      <c r="F66" s="13">
        <v>4.0</v>
      </c>
      <c r="G66" s="13">
        <v>3.0</v>
      </c>
      <c r="H66" s="13">
        <v>3.0</v>
      </c>
      <c r="I66" s="13">
        <v>8.0</v>
      </c>
      <c r="J66" s="13">
        <v>4.0</v>
      </c>
      <c r="K66" s="13">
        <v>6.0</v>
      </c>
      <c r="L66" s="13">
        <v>1.0</v>
      </c>
      <c r="M66" s="13">
        <v>10.0</v>
      </c>
      <c r="N66" s="13">
        <v>6.0</v>
      </c>
      <c r="O66" s="13">
        <v>3.0</v>
      </c>
      <c r="P66" s="13">
        <v>8.0</v>
      </c>
      <c r="Q66" s="13">
        <v>10.0</v>
      </c>
      <c r="R66" s="13">
        <v>2.0</v>
      </c>
      <c r="S66" s="13">
        <v>2.0</v>
      </c>
      <c r="T66" s="13">
        <v>3.0</v>
      </c>
      <c r="U66" s="6">
        <f t="shared" si="18"/>
        <v>75</v>
      </c>
    </row>
    <row r="67" ht="12.75" customHeight="1">
      <c r="A67" s="18"/>
      <c r="B67" s="51"/>
      <c r="C67" s="52" t="s">
        <v>58</v>
      </c>
      <c r="D67" s="53"/>
      <c r="E67" s="13">
        <v>1.0</v>
      </c>
      <c r="F67" s="13">
        <v>0.0</v>
      </c>
      <c r="G67" s="13">
        <v>0.0</v>
      </c>
      <c r="H67" s="13">
        <v>1.0</v>
      </c>
      <c r="I67" s="13">
        <v>0.0</v>
      </c>
      <c r="J67" s="13">
        <v>1.0</v>
      </c>
      <c r="K67" s="13">
        <v>0.0</v>
      </c>
      <c r="L67" s="13">
        <v>0.0</v>
      </c>
      <c r="M67" s="13">
        <v>0.0</v>
      </c>
      <c r="N67" s="13">
        <v>1.0</v>
      </c>
      <c r="O67" s="13">
        <v>1.0</v>
      </c>
      <c r="P67" s="13">
        <v>0.0</v>
      </c>
      <c r="Q67" s="13">
        <v>0.0</v>
      </c>
      <c r="R67" s="13">
        <v>0.0</v>
      </c>
      <c r="S67" s="13">
        <v>2.0</v>
      </c>
      <c r="T67" s="13">
        <v>3.0</v>
      </c>
      <c r="U67" s="6">
        <f t="shared" si="18"/>
        <v>10</v>
      </c>
    </row>
    <row r="68" ht="12.75" customHeight="1">
      <c r="A68" s="18"/>
      <c r="B68" s="51"/>
      <c r="C68" s="52" t="s">
        <v>59</v>
      </c>
      <c r="D68" s="53"/>
      <c r="E68" s="13">
        <v>1.0</v>
      </c>
      <c r="F68" s="13">
        <v>2.0</v>
      </c>
      <c r="G68" s="13">
        <v>9.0</v>
      </c>
      <c r="H68" s="13">
        <v>20.0</v>
      </c>
      <c r="I68" s="13">
        <v>10.0</v>
      </c>
      <c r="J68" s="13">
        <v>28.0</v>
      </c>
      <c r="K68" s="13">
        <v>5.0</v>
      </c>
      <c r="L68" s="13">
        <v>6.0</v>
      </c>
      <c r="M68" s="13">
        <v>43.0</v>
      </c>
      <c r="N68" s="13">
        <v>4.0</v>
      </c>
      <c r="O68" s="13">
        <v>2.0</v>
      </c>
      <c r="P68" s="13">
        <v>7.0</v>
      </c>
      <c r="Q68" s="13">
        <v>1.0</v>
      </c>
      <c r="R68" s="13">
        <v>0.0</v>
      </c>
      <c r="S68" s="13">
        <v>6.0</v>
      </c>
      <c r="T68" s="13"/>
      <c r="U68" s="6">
        <f t="shared" si="18"/>
        <v>144</v>
      </c>
    </row>
    <row r="69" ht="12.75" customHeight="1">
      <c r="A69" s="18"/>
      <c r="B69" s="51"/>
      <c r="C69" s="52" t="s">
        <v>60</v>
      </c>
      <c r="D69" s="53"/>
      <c r="E69" s="13">
        <v>3.0</v>
      </c>
      <c r="F69" s="13">
        <v>1.0</v>
      </c>
      <c r="G69" s="13">
        <v>2.0</v>
      </c>
      <c r="H69" s="13">
        <v>3.0</v>
      </c>
      <c r="I69" s="13">
        <v>5.0</v>
      </c>
      <c r="J69" s="13">
        <v>7.0</v>
      </c>
      <c r="K69" s="13">
        <v>1.0</v>
      </c>
      <c r="L69" s="13">
        <v>5.0</v>
      </c>
      <c r="M69" s="13">
        <v>1.0</v>
      </c>
      <c r="N69" s="13">
        <v>2.0</v>
      </c>
      <c r="O69" s="13">
        <v>0.0</v>
      </c>
      <c r="P69" s="13">
        <v>5.0</v>
      </c>
      <c r="Q69" s="13">
        <v>4.0</v>
      </c>
      <c r="R69" s="13">
        <v>0.0</v>
      </c>
      <c r="S69" s="13">
        <v>2.0</v>
      </c>
      <c r="T69" s="13">
        <v>4.0</v>
      </c>
      <c r="U69" s="6">
        <f t="shared" si="18"/>
        <v>45</v>
      </c>
    </row>
    <row r="70" ht="12.75" customHeight="1">
      <c r="A70" s="13" t="s">
        <v>15</v>
      </c>
      <c r="B70" s="49" t="s">
        <v>46</v>
      </c>
      <c r="C70" s="8"/>
      <c r="D70" s="9"/>
      <c r="E70" s="60">
        <f t="shared" ref="E70:T70" si="19">SUM(E63:E69)</f>
        <v>18</v>
      </c>
      <c r="F70" s="60">
        <f t="shared" si="19"/>
        <v>20</v>
      </c>
      <c r="G70" s="60">
        <f t="shared" si="19"/>
        <v>21</v>
      </c>
      <c r="H70" s="60">
        <f t="shared" si="19"/>
        <v>35</v>
      </c>
      <c r="I70" s="60">
        <f t="shared" si="19"/>
        <v>29</v>
      </c>
      <c r="J70" s="60">
        <f t="shared" si="19"/>
        <v>53</v>
      </c>
      <c r="K70" s="60">
        <f t="shared" si="19"/>
        <v>23</v>
      </c>
      <c r="L70" s="60">
        <f t="shared" si="19"/>
        <v>21</v>
      </c>
      <c r="M70" s="60">
        <f t="shared" si="19"/>
        <v>56</v>
      </c>
      <c r="N70" s="60">
        <f t="shared" si="19"/>
        <v>18</v>
      </c>
      <c r="O70" s="60">
        <f t="shared" si="19"/>
        <v>25</v>
      </c>
      <c r="P70" s="60">
        <f t="shared" si="19"/>
        <v>39</v>
      </c>
      <c r="Q70" s="60">
        <f t="shared" si="19"/>
        <v>34</v>
      </c>
      <c r="R70" s="60">
        <f t="shared" si="19"/>
        <v>14</v>
      </c>
      <c r="S70" s="60">
        <f t="shared" si="19"/>
        <v>24</v>
      </c>
      <c r="T70" s="60">
        <f t="shared" si="19"/>
        <v>32</v>
      </c>
      <c r="U70" s="6">
        <f t="shared" si="18"/>
        <v>462</v>
      </c>
    </row>
    <row r="71" ht="12.75" customHeight="1">
      <c r="A71" s="54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6"/>
    </row>
    <row r="72" ht="12.75" customHeight="1">
      <c r="A72" s="32" t="s">
        <v>37</v>
      </c>
      <c r="B72" s="49" t="s">
        <v>23</v>
      </c>
      <c r="C72" s="50" t="s">
        <v>61</v>
      </c>
      <c r="D72" s="9"/>
      <c r="E72" s="13">
        <v>5.0</v>
      </c>
      <c r="F72" s="13">
        <v>5.0</v>
      </c>
      <c r="G72" s="13">
        <v>2.0</v>
      </c>
      <c r="H72" s="13">
        <v>2.0</v>
      </c>
      <c r="I72" s="13">
        <v>7.0</v>
      </c>
      <c r="J72" s="13">
        <v>2.0</v>
      </c>
      <c r="K72" s="13">
        <v>5.0</v>
      </c>
      <c r="L72" s="13">
        <v>6.0</v>
      </c>
      <c r="M72" s="13">
        <v>1.0</v>
      </c>
      <c r="N72" s="13">
        <v>1.0</v>
      </c>
      <c r="O72" s="13">
        <v>4.0</v>
      </c>
      <c r="P72" s="13">
        <v>4.0</v>
      </c>
      <c r="Q72" s="13">
        <v>5.0</v>
      </c>
      <c r="R72" s="13">
        <v>1.0</v>
      </c>
      <c r="S72" s="13">
        <v>2.0</v>
      </c>
      <c r="T72" s="13">
        <v>1.0</v>
      </c>
      <c r="U72" s="6">
        <f t="shared" ref="U72:U79" si="20">SUM(E72:T72)</f>
        <v>53</v>
      </c>
    </row>
    <row r="73" ht="12.75" customHeight="1">
      <c r="A73" s="32" t="s">
        <v>39</v>
      </c>
      <c r="B73" s="51"/>
      <c r="C73" s="52" t="s">
        <v>62</v>
      </c>
      <c r="D73" s="53"/>
      <c r="E73" s="13">
        <v>7.0</v>
      </c>
      <c r="F73" s="13">
        <v>3.0</v>
      </c>
      <c r="G73" s="13">
        <v>2.0</v>
      </c>
      <c r="H73" s="13">
        <v>2.0</v>
      </c>
      <c r="I73" s="13">
        <v>10.0</v>
      </c>
      <c r="J73" s="13">
        <v>0.0</v>
      </c>
      <c r="K73" s="13">
        <v>4.0</v>
      </c>
      <c r="L73" s="13">
        <v>9.0</v>
      </c>
      <c r="M73" s="13">
        <v>3.0</v>
      </c>
      <c r="N73" s="13">
        <v>0.0</v>
      </c>
      <c r="O73" s="13">
        <v>2.0</v>
      </c>
      <c r="P73" s="13">
        <v>8.0</v>
      </c>
      <c r="Q73" s="13">
        <v>2.0</v>
      </c>
      <c r="R73" s="13">
        <v>0.0</v>
      </c>
      <c r="S73" s="13">
        <v>3.0</v>
      </c>
      <c r="T73" s="13">
        <v>1.0</v>
      </c>
      <c r="U73" s="6">
        <f t="shared" si="20"/>
        <v>56</v>
      </c>
    </row>
    <row r="74" ht="12.75" customHeight="1">
      <c r="A74" s="18"/>
      <c r="B74" s="51"/>
      <c r="C74" s="52" t="s">
        <v>63</v>
      </c>
      <c r="D74" s="53"/>
      <c r="E74" s="13">
        <v>0.0</v>
      </c>
      <c r="F74" s="13">
        <v>2.0</v>
      </c>
      <c r="G74" s="13">
        <v>0.0</v>
      </c>
      <c r="H74" s="13">
        <v>0.0</v>
      </c>
      <c r="I74" s="13">
        <v>0.0</v>
      </c>
      <c r="J74" s="13">
        <v>0.0</v>
      </c>
      <c r="K74" s="13">
        <v>0.0</v>
      </c>
      <c r="L74" s="13">
        <v>0.0</v>
      </c>
      <c r="M74" s="13">
        <v>0.0</v>
      </c>
      <c r="N74" s="13">
        <v>0.0</v>
      </c>
      <c r="O74" s="13">
        <v>0.0</v>
      </c>
      <c r="P74" s="13">
        <v>1.0</v>
      </c>
      <c r="Q74" s="13">
        <v>0.0</v>
      </c>
      <c r="R74" s="13">
        <v>1.0</v>
      </c>
      <c r="S74" s="13">
        <v>0.0</v>
      </c>
      <c r="T74" s="13">
        <v>1.0</v>
      </c>
      <c r="U74" s="6">
        <f t="shared" si="20"/>
        <v>5</v>
      </c>
    </row>
    <row r="75" ht="12.75" customHeight="1">
      <c r="A75" s="18"/>
      <c r="B75" s="51"/>
      <c r="C75" s="52" t="s">
        <v>64</v>
      </c>
      <c r="D75" s="53"/>
      <c r="E75" s="13">
        <v>1.0</v>
      </c>
      <c r="F75" s="13">
        <v>0.0</v>
      </c>
      <c r="G75" s="13">
        <v>0.0</v>
      </c>
      <c r="H75" s="13">
        <v>0.0</v>
      </c>
      <c r="I75" s="13">
        <v>0.0</v>
      </c>
      <c r="J75" s="13">
        <v>0.0</v>
      </c>
      <c r="K75" s="13">
        <v>1.0</v>
      </c>
      <c r="L75" s="13">
        <v>0.0</v>
      </c>
      <c r="M75" s="13">
        <v>0.0</v>
      </c>
      <c r="N75" s="13">
        <v>1.0</v>
      </c>
      <c r="O75" s="13">
        <v>1.0</v>
      </c>
      <c r="P75" s="13">
        <v>1.0</v>
      </c>
      <c r="Q75" s="13">
        <v>0.0</v>
      </c>
      <c r="R75" s="13">
        <v>1.0</v>
      </c>
      <c r="S75" s="13">
        <v>1.0</v>
      </c>
      <c r="T75" s="13"/>
      <c r="U75" s="6">
        <f t="shared" si="20"/>
        <v>7</v>
      </c>
    </row>
    <row r="76" ht="12.75" customHeight="1">
      <c r="A76" s="18"/>
      <c r="B76" s="51"/>
      <c r="C76" s="52" t="s">
        <v>65</v>
      </c>
      <c r="D76" s="53"/>
      <c r="E76" s="13">
        <v>0.0</v>
      </c>
      <c r="F76" s="13">
        <v>3.0</v>
      </c>
      <c r="G76" s="13">
        <v>19.0</v>
      </c>
      <c r="H76" s="13">
        <v>4.0</v>
      </c>
      <c r="I76" s="13">
        <v>5.0</v>
      </c>
      <c r="J76" s="13">
        <v>3.0</v>
      </c>
      <c r="K76" s="13">
        <v>13.0</v>
      </c>
      <c r="L76" s="13">
        <v>4.0</v>
      </c>
      <c r="M76" s="13">
        <v>0.0</v>
      </c>
      <c r="N76" s="13">
        <v>6.0</v>
      </c>
      <c r="O76" s="13">
        <v>6.0</v>
      </c>
      <c r="P76" s="13">
        <v>7.0</v>
      </c>
      <c r="Q76" s="13">
        <v>18.0</v>
      </c>
      <c r="R76" s="13">
        <v>8.0</v>
      </c>
      <c r="S76" s="13">
        <v>10.0</v>
      </c>
      <c r="T76" s="13"/>
      <c r="U76" s="6">
        <f t="shared" si="20"/>
        <v>106</v>
      </c>
    </row>
    <row r="77" ht="12.75" customHeight="1">
      <c r="A77" s="18"/>
      <c r="B77" s="51"/>
      <c r="C77" s="52" t="s">
        <v>66</v>
      </c>
      <c r="D77" s="53"/>
      <c r="E77" s="13">
        <v>0.0</v>
      </c>
      <c r="F77" s="13">
        <v>0.0</v>
      </c>
      <c r="G77" s="13">
        <v>1.0</v>
      </c>
      <c r="H77" s="13">
        <v>0.0</v>
      </c>
      <c r="I77" s="13">
        <v>0.0</v>
      </c>
      <c r="J77" s="13">
        <v>0.0</v>
      </c>
      <c r="K77" s="13">
        <v>0.0</v>
      </c>
      <c r="L77" s="13">
        <v>0.0</v>
      </c>
      <c r="M77" s="13">
        <v>0.0</v>
      </c>
      <c r="N77" s="13">
        <v>0.0</v>
      </c>
      <c r="O77" s="13">
        <v>0.0</v>
      </c>
      <c r="P77" s="13">
        <v>0.0</v>
      </c>
      <c r="Q77" s="13">
        <v>0.0</v>
      </c>
      <c r="R77" s="13">
        <v>0.0</v>
      </c>
      <c r="S77" s="13">
        <v>1.0</v>
      </c>
      <c r="T77" s="13"/>
      <c r="U77" s="6">
        <f t="shared" si="20"/>
        <v>2</v>
      </c>
    </row>
    <row r="78" ht="12.75" customHeight="1">
      <c r="A78" s="18"/>
      <c r="B78" s="51"/>
      <c r="C78" s="52" t="s">
        <v>67</v>
      </c>
      <c r="D78" s="53"/>
      <c r="E78" s="13">
        <v>7.0</v>
      </c>
      <c r="F78" s="13">
        <v>0.0</v>
      </c>
      <c r="G78" s="13">
        <v>2.0</v>
      </c>
      <c r="H78" s="13">
        <v>5.0</v>
      </c>
      <c r="I78" s="13">
        <v>0.0</v>
      </c>
      <c r="J78" s="13">
        <v>0.0</v>
      </c>
      <c r="K78" s="13">
        <v>24.0</v>
      </c>
      <c r="L78" s="13">
        <v>4.0</v>
      </c>
      <c r="M78" s="13">
        <v>1.0</v>
      </c>
      <c r="N78" s="13">
        <v>2.0</v>
      </c>
      <c r="O78" s="13">
        <v>2.0</v>
      </c>
      <c r="P78" s="13">
        <v>0.0</v>
      </c>
      <c r="Q78" s="13">
        <v>0.0</v>
      </c>
      <c r="R78" s="13">
        <v>1.0</v>
      </c>
      <c r="S78" s="13">
        <v>3.0</v>
      </c>
      <c r="T78" s="13"/>
      <c r="U78" s="6">
        <f t="shared" si="20"/>
        <v>51</v>
      </c>
    </row>
    <row r="79" ht="12.75" customHeight="1">
      <c r="A79" s="13" t="s">
        <v>15</v>
      </c>
      <c r="B79" s="49" t="s">
        <v>46</v>
      </c>
      <c r="C79" s="8"/>
      <c r="D79" s="9"/>
      <c r="E79" s="60">
        <f t="shared" ref="E79:T79" si="21">SUM(E72:E78)</f>
        <v>20</v>
      </c>
      <c r="F79" s="60">
        <f t="shared" si="21"/>
        <v>13</v>
      </c>
      <c r="G79" s="60">
        <f t="shared" si="21"/>
        <v>26</v>
      </c>
      <c r="H79" s="60">
        <f t="shared" si="21"/>
        <v>13</v>
      </c>
      <c r="I79" s="60">
        <f t="shared" si="21"/>
        <v>22</v>
      </c>
      <c r="J79" s="60">
        <f t="shared" si="21"/>
        <v>5</v>
      </c>
      <c r="K79" s="60">
        <f t="shared" si="21"/>
        <v>47</v>
      </c>
      <c r="L79" s="60">
        <f t="shared" si="21"/>
        <v>23</v>
      </c>
      <c r="M79" s="60">
        <f t="shared" si="21"/>
        <v>5</v>
      </c>
      <c r="N79" s="60">
        <f t="shared" si="21"/>
        <v>10</v>
      </c>
      <c r="O79" s="60">
        <f t="shared" si="21"/>
        <v>15</v>
      </c>
      <c r="P79" s="60">
        <f t="shared" si="21"/>
        <v>21</v>
      </c>
      <c r="Q79" s="60">
        <f t="shared" si="21"/>
        <v>25</v>
      </c>
      <c r="R79" s="60">
        <f t="shared" si="21"/>
        <v>12</v>
      </c>
      <c r="S79" s="60">
        <f t="shared" si="21"/>
        <v>20</v>
      </c>
      <c r="T79" s="60">
        <f t="shared" si="21"/>
        <v>3</v>
      </c>
      <c r="U79" s="6">
        <f t="shared" si="20"/>
        <v>280</v>
      </c>
    </row>
    <row r="80" ht="12.75" customHeight="1">
      <c r="A80" s="54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6"/>
    </row>
    <row r="81" ht="12.75" customHeight="1">
      <c r="A81" s="32" t="s">
        <v>37</v>
      </c>
      <c r="B81" s="49" t="s">
        <v>68</v>
      </c>
      <c r="C81" s="50" t="s">
        <v>69</v>
      </c>
      <c r="D81" s="9"/>
      <c r="E81" s="13">
        <v>0.0</v>
      </c>
      <c r="F81" s="13">
        <v>0.0</v>
      </c>
      <c r="G81" s="13">
        <v>0.0</v>
      </c>
      <c r="H81" s="13">
        <v>0.0</v>
      </c>
      <c r="I81" s="13">
        <v>0.0</v>
      </c>
      <c r="J81" s="13">
        <v>0.0</v>
      </c>
      <c r="K81" s="13">
        <v>0.0</v>
      </c>
      <c r="L81" s="13">
        <v>0.0</v>
      </c>
      <c r="M81" s="13">
        <v>0.0</v>
      </c>
      <c r="N81" s="13">
        <v>0.0</v>
      </c>
      <c r="O81" s="13">
        <v>0.0</v>
      </c>
      <c r="P81" s="13">
        <v>0.0</v>
      </c>
      <c r="Q81" s="13">
        <v>0.0</v>
      </c>
      <c r="R81" s="13">
        <v>0.0</v>
      </c>
      <c r="S81" s="13">
        <v>0.0</v>
      </c>
      <c r="T81" s="13"/>
      <c r="U81" s="6">
        <f t="shared" ref="U81:U88" si="22">SUM(E81:T81)</f>
        <v>0</v>
      </c>
    </row>
    <row r="82" ht="12.75" customHeight="1">
      <c r="A82" s="32" t="s">
        <v>39</v>
      </c>
      <c r="B82" s="51"/>
      <c r="C82" s="52" t="s">
        <v>70</v>
      </c>
      <c r="D82" s="53"/>
      <c r="E82" s="13">
        <v>71.0</v>
      </c>
      <c r="F82" s="13">
        <v>71.0</v>
      </c>
      <c r="G82" s="13">
        <v>96.0</v>
      </c>
      <c r="H82" s="13">
        <v>73.0</v>
      </c>
      <c r="I82" s="13">
        <v>22.0</v>
      </c>
      <c r="J82" s="13">
        <v>69.0</v>
      </c>
      <c r="K82" s="13">
        <v>73.0</v>
      </c>
      <c r="L82" s="13">
        <v>65.0</v>
      </c>
      <c r="M82" s="13">
        <v>29.0</v>
      </c>
      <c r="N82" s="13">
        <v>18.0</v>
      </c>
      <c r="O82" s="13">
        <v>36.0</v>
      </c>
      <c r="P82" s="13">
        <v>22.0</v>
      </c>
      <c r="Q82" s="13">
        <v>2.0</v>
      </c>
      <c r="R82" s="13">
        <v>57.0</v>
      </c>
      <c r="S82" s="13">
        <v>68.0</v>
      </c>
      <c r="T82" s="13">
        <v>2.0</v>
      </c>
      <c r="U82" s="6">
        <f t="shared" si="22"/>
        <v>774</v>
      </c>
    </row>
    <row r="83" ht="12.75" customHeight="1">
      <c r="A83" s="18"/>
      <c r="B83" s="51"/>
      <c r="C83" s="52" t="s">
        <v>71</v>
      </c>
      <c r="D83" s="53"/>
      <c r="E83" s="13">
        <v>0.0</v>
      </c>
      <c r="F83" s="13">
        <v>0.0</v>
      </c>
      <c r="G83" s="13">
        <v>0.0</v>
      </c>
      <c r="H83" s="13">
        <v>2.0</v>
      </c>
      <c r="I83" s="13">
        <v>1.0</v>
      </c>
      <c r="J83" s="13">
        <v>0.0</v>
      </c>
      <c r="K83" s="13">
        <v>1.0</v>
      </c>
      <c r="L83" s="13">
        <v>1.0</v>
      </c>
      <c r="M83" s="13">
        <v>0.0</v>
      </c>
      <c r="N83" s="13">
        <v>1.0</v>
      </c>
      <c r="O83" s="13">
        <v>0.0</v>
      </c>
      <c r="P83" s="13">
        <v>0.0</v>
      </c>
      <c r="Q83" s="13">
        <v>1.0</v>
      </c>
      <c r="R83" s="13">
        <v>0.0</v>
      </c>
      <c r="S83" s="13">
        <v>0.0</v>
      </c>
      <c r="T83" s="13">
        <v>1.0</v>
      </c>
      <c r="U83" s="6">
        <f t="shared" si="22"/>
        <v>8</v>
      </c>
    </row>
    <row r="84" ht="12.75" customHeight="1">
      <c r="A84" s="18"/>
      <c r="B84" s="51"/>
      <c r="C84" s="52" t="s">
        <v>72</v>
      </c>
      <c r="D84" s="53"/>
      <c r="E84" s="13">
        <v>1.0</v>
      </c>
      <c r="F84" s="13">
        <v>0.0</v>
      </c>
      <c r="G84" s="13">
        <v>0.0</v>
      </c>
      <c r="H84" s="13">
        <v>2.0</v>
      </c>
      <c r="I84" s="13">
        <v>2.0</v>
      </c>
      <c r="J84" s="13">
        <v>5.0</v>
      </c>
      <c r="K84" s="13">
        <v>0.0</v>
      </c>
      <c r="L84" s="13">
        <v>0.0</v>
      </c>
      <c r="M84" s="13">
        <v>3.0</v>
      </c>
      <c r="N84" s="13">
        <v>0.0</v>
      </c>
      <c r="O84" s="13">
        <v>1.0</v>
      </c>
      <c r="P84" s="13">
        <v>1.0</v>
      </c>
      <c r="Q84" s="13">
        <v>0.0</v>
      </c>
      <c r="R84" s="13">
        <v>0.0</v>
      </c>
      <c r="S84" s="13">
        <v>1.0</v>
      </c>
      <c r="T84" s="13"/>
      <c r="U84" s="6">
        <f t="shared" si="22"/>
        <v>16</v>
      </c>
    </row>
    <row r="85" ht="12.75" customHeight="1">
      <c r="A85" s="18"/>
      <c r="B85" s="51"/>
      <c r="C85" s="52" t="s">
        <v>73</v>
      </c>
      <c r="D85" s="53"/>
      <c r="E85" s="13">
        <v>1.0</v>
      </c>
      <c r="F85" s="13">
        <v>2.0</v>
      </c>
      <c r="G85" s="13">
        <v>1.0</v>
      </c>
      <c r="H85" s="13">
        <v>0.0</v>
      </c>
      <c r="I85" s="13">
        <v>1.0</v>
      </c>
      <c r="J85" s="13">
        <v>3.0</v>
      </c>
      <c r="K85" s="13">
        <v>2.0</v>
      </c>
      <c r="L85" s="13">
        <v>0.0</v>
      </c>
      <c r="M85" s="13">
        <v>0.0</v>
      </c>
      <c r="N85" s="13">
        <v>1.0</v>
      </c>
      <c r="O85" s="13">
        <v>0.0</v>
      </c>
      <c r="P85" s="13">
        <v>0.0</v>
      </c>
      <c r="Q85" s="13">
        <v>1.0</v>
      </c>
      <c r="R85" s="13">
        <v>0.0</v>
      </c>
      <c r="S85" s="13">
        <v>0.0</v>
      </c>
      <c r="T85" s="13"/>
      <c r="U85" s="6">
        <f t="shared" si="22"/>
        <v>12</v>
      </c>
    </row>
    <row r="86" ht="12.75" customHeight="1">
      <c r="A86" s="18"/>
      <c r="B86" s="51"/>
      <c r="C86" s="52" t="s">
        <v>74</v>
      </c>
      <c r="D86" s="53"/>
      <c r="E86" s="13">
        <v>1.0</v>
      </c>
      <c r="F86" s="13">
        <v>0.0</v>
      </c>
      <c r="G86" s="13">
        <v>0.0</v>
      </c>
      <c r="H86" s="13">
        <v>0.0</v>
      </c>
      <c r="I86" s="13">
        <v>2.0</v>
      </c>
      <c r="J86" s="13">
        <v>3.0</v>
      </c>
      <c r="K86" s="13">
        <v>2.0</v>
      </c>
      <c r="L86" s="13">
        <v>1.0</v>
      </c>
      <c r="M86" s="13">
        <v>0.0</v>
      </c>
      <c r="N86" s="13">
        <v>0.0</v>
      </c>
      <c r="O86" s="13">
        <v>1.0</v>
      </c>
      <c r="P86" s="13">
        <v>0.0</v>
      </c>
      <c r="Q86" s="13">
        <v>1.0</v>
      </c>
      <c r="R86" s="13">
        <v>0.0</v>
      </c>
      <c r="S86" s="13">
        <v>0.0</v>
      </c>
      <c r="T86" s="13">
        <v>1.0</v>
      </c>
      <c r="U86" s="6">
        <f t="shared" si="22"/>
        <v>12</v>
      </c>
    </row>
    <row r="87" ht="12.75" customHeight="1">
      <c r="A87" s="18"/>
      <c r="B87" s="51"/>
      <c r="C87" s="52" t="s">
        <v>75</v>
      </c>
      <c r="D87" s="53"/>
      <c r="E87" s="13">
        <v>0.0</v>
      </c>
      <c r="F87" s="13">
        <v>0.0</v>
      </c>
      <c r="G87" s="13">
        <v>0.0</v>
      </c>
      <c r="H87" s="13">
        <v>0.0</v>
      </c>
      <c r="I87" s="13">
        <v>0.0</v>
      </c>
      <c r="J87" s="13">
        <v>0.0</v>
      </c>
      <c r="K87" s="13">
        <v>0.0</v>
      </c>
      <c r="L87" s="13">
        <v>0.0</v>
      </c>
      <c r="M87" s="13">
        <v>0.0</v>
      </c>
      <c r="N87" s="13">
        <v>0.0</v>
      </c>
      <c r="O87" s="13">
        <v>0.0</v>
      </c>
      <c r="P87" s="13">
        <v>0.0</v>
      </c>
      <c r="Q87" s="13">
        <v>0.0</v>
      </c>
      <c r="R87" s="13">
        <v>0.0</v>
      </c>
      <c r="S87" s="13">
        <v>0.0</v>
      </c>
      <c r="T87" s="13"/>
      <c r="U87" s="6">
        <f t="shared" si="22"/>
        <v>0</v>
      </c>
    </row>
    <row r="88" ht="12.75" customHeight="1">
      <c r="A88" s="13" t="s">
        <v>15</v>
      </c>
      <c r="B88" s="49" t="s">
        <v>46</v>
      </c>
      <c r="C88" s="8"/>
      <c r="D88" s="9"/>
      <c r="E88" s="60">
        <f t="shared" ref="E88:T88" si="23">SUM(E81:E87)</f>
        <v>74</v>
      </c>
      <c r="F88" s="60">
        <f t="shared" si="23"/>
        <v>73</v>
      </c>
      <c r="G88" s="60">
        <f t="shared" si="23"/>
        <v>97</v>
      </c>
      <c r="H88" s="60">
        <f t="shared" si="23"/>
        <v>77</v>
      </c>
      <c r="I88" s="60">
        <f t="shared" si="23"/>
        <v>28</v>
      </c>
      <c r="J88" s="60">
        <f t="shared" si="23"/>
        <v>80</v>
      </c>
      <c r="K88" s="60">
        <f t="shared" si="23"/>
        <v>78</v>
      </c>
      <c r="L88" s="60">
        <f t="shared" si="23"/>
        <v>67</v>
      </c>
      <c r="M88" s="60">
        <f t="shared" si="23"/>
        <v>32</v>
      </c>
      <c r="N88" s="60">
        <f t="shared" si="23"/>
        <v>20</v>
      </c>
      <c r="O88" s="60">
        <f t="shared" si="23"/>
        <v>38</v>
      </c>
      <c r="P88" s="60">
        <f t="shared" si="23"/>
        <v>23</v>
      </c>
      <c r="Q88" s="60">
        <f t="shared" si="23"/>
        <v>5</v>
      </c>
      <c r="R88" s="60">
        <f t="shared" si="23"/>
        <v>57</v>
      </c>
      <c r="S88" s="60">
        <f t="shared" si="23"/>
        <v>69</v>
      </c>
      <c r="T88" s="60">
        <f t="shared" si="23"/>
        <v>4</v>
      </c>
      <c r="U88" s="6">
        <f t="shared" si="22"/>
        <v>822</v>
      </c>
    </row>
    <row r="89" ht="12.75" customHeight="1">
      <c r="A89" s="54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6"/>
    </row>
    <row r="90" ht="12.75" customHeight="1">
      <c r="A90" s="32" t="s">
        <v>37</v>
      </c>
      <c r="B90" s="49" t="s">
        <v>76</v>
      </c>
      <c r="C90" s="50" t="s">
        <v>77</v>
      </c>
      <c r="D90" s="9"/>
      <c r="E90" s="13">
        <v>1.0</v>
      </c>
      <c r="F90" s="13">
        <v>0.0</v>
      </c>
      <c r="G90" s="13">
        <v>0.0</v>
      </c>
      <c r="H90" s="13">
        <v>0.0</v>
      </c>
      <c r="I90" s="13">
        <v>0.0</v>
      </c>
      <c r="J90" s="13">
        <v>0.0</v>
      </c>
      <c r="K90" s="13">
        <v>1.0</v>
      </c>
      <c r="L90" s="13">
        <v>0.0</v>
      </c>
      <c r="M90" s="13">
        <v>1.0</v>
      </c>
      <c r="N90" s="13">
        <v>0.0</v>
      </c>
      <c r="O90" s="13">
        <v>0.0</v>
      </c>
      <c r="P90" s="13">
        <v>0.0</v>
      </c>
      <c r="Q90" s="13">
        <v>0.0</v>
      </c>
      <c r="R90" s="13">
        <v>1.0</v>
      </c>
      <c r="S90" s="13">
        <v>0.0</v>
      </c>
      <c r="T90" s="13"/>
      <c r="U90" s="6">
        <f t="shared" ref="U90:U92" si="24">SUM(E90:T90)</f>
        <v>4</v>
      </c>
    </row>
    <row r="91" ht="12.75" customHeight="1">
      <c r="A91" s="32" t="s">
        <v>39</v>
      </c>
      <c r="B91" s="51"/>
      <c r="C91" s="52" t="s">
        <v>78</v>
      </c>
      <c r="D91" s="61"/>
      <c r="E91" s="13">
        <v>0.0</v>
      </c>
      <c r="F91" s="13">
        <v>0.0</v>
      </c>
      <c r="G91" s="13">
        <v>1.0</v>
      </c>
      <c r="H91" s="13">
        <v>0.0</v>
      </c>
      <c r="I91" s="13">
        <v>0.0</v>
      </c>
      <c r="J91" s="13">
        <v>1.0</v>
      </c>
      <c r="K91" s="13">
        <v>0.0</v>
      </c>
      <c r="L91" s="13">
        <v>1.0</v>
      </c>
      <c r="M91" s="13">
        <v>0.0</v>
      </c>
      <c r="N91" s="13">
        <v>0.0</v>
      </c>
      <c r="O91" s="13">
        <v>0.0</v>
      </c>
      <c r="P91" s="13">
        <v>1.0</v>
      </c>
      <c r="Q91" s="13">
        <v>0.0</v>
      </c>
      <c r="R91" s="13">
        <v>0.0</v>
      </c>
      <c r="S91" s="13">
        <v>0.0</v>
      </c>
      <c r="T91" s="13"/>
      <c r="U91" s="6">
        <f t="shared" si="24"/>
        <v>4</v>
      </c>
    </row>
    <row r="92" ht="12.75" customHeight="1">
      <c r="A92" s="13" t="s">
        <v>15</v>
      </c>
      <c r="B92" s="49" t="s">
        <v>46</v>
      </c>
      <c r="C92" s="8"/>
      <c r="D92" s="9"/>
      <c r="E92" s="60">
        <f t="shared" ref="E92:T92" si="25">SUM(E90:E91)</f>
        <v>1</v>
      </c>
      <c r="F92" s="60">
        <f t="shared" si="25"/>
        <v>0</v>
      </c>
      <c r="G92" s="60">
        <f t="shared" si="25"/>
        <v>1</v>
      </c>
      <c r="H92" s="60">
        <f t="shared" si="25"/>
        <v>0</v>
      </c>
      <c r="I92" s="60">
        <f t="shared" si="25"/>
        <v>0</v>
      </c>
      <c r="J92" s="60">
        <f t="shared" si="25"/>
        <v>1</v>
      </c>
      <c r="K92" s="60">
        <f t="shared" si="25"/>
        <v>1</v>
      </c>
      <c r="L92" s="60">
        <f t="shared" si="25"/>
        <v>1</v>
      </c>
      <c r="M92" s="60">
        <f t="shared" si="25"/>
        <v>1</v>
      </c>
      <c r="N92" s="60">
        <f t="shared" si="25"/>
        <v>0</v>
      </c>
      <c r="O92" s="60">
        <f t="shared" si="25"/>
        <v>0</v>
      </c>
      <c r="P92" s="60">
        <f t="shared" si="25"/>
        <v>1</v>
      </c>
      <c r="Q92" s="60">
        <f t="shared" si="25"/>
        <v>0</v>
      </c>
      <c r="R92" s="60">
        <f t="shared" si="25"/>
        <v>1</v>
      </c>
      <c r="S92" s="60">
        <f t="shared" si="25"/>
        <v>0</v>
      </c>
      <c r="T92" s="60">
        <f t="shared" si="25"/>
        <v>0</v>
      </c>
      <c r="U92" s="6">
        <f t="shared" si="24"/>
        <v>8</v>
      </c>
    </row>
    <row r="93" ht="12.75" customHeight="1">
      <c r="A93" s="54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6"/>
    </row>
    <row r="94" ht="12.75" customHeight="1">
      <c r="A94" s="32" t="s">
        <v>37</v>
      </c>
      <c r="B94" s="49" t="s">
        <v>79</v>
      </c>
      <c r="C94" s="50" t="s">
        <v>80</v>
      </c>
      <c r="D94" s="9"/>
      <c r="E94" s="13">
        <v>0.0</v>
      </c>
      <c r="F94" s="13">
        <v>3.0</v>
      </c>
      <c r="G94" s="13">
        <v>2.0</v>
      </c>
      <c r="H94" s="13">
        <v>1.0</v>
      </c>
      <c r="I94" s="13">
        <v>1.0</v>
      </c>
      <c r="J94" s="13">
        <v>0.0</v>
      </c>
      <c r="K94" s="13">
        <v>1.0</v>
      </c>
      <c r="L94" s="13">
        <v>0.0</v>
      </c>
      <c r="M94" s="13">
        <v>1.0</v>
      </c>
      <c r="N94" s="13">
        <v>0.0</v>
      </c>
      <c r="O94" s="13">
        <v>1.0</v>
      </c>
      <c r="P94" s="13">
        <v>2.0</v>
      </c>
      <c r="Q94" s="13">
        <v>3.0</v>
      </c>
      <c r="R94" s="13">
        <v>2.0</v>
      </c>
      <c r="S94" s="13">
        <v>0.0</v>
      </c>
      <c r="T94" s="13">
        <v>1.0</v>
      </c>
      <c r="U94" s="6">
        <f t="shared" ref="U94:U101" si="26">SUM(E94:T94)</f>
        <v>18</v>
      </c>
    </row>
    <row r="95" ht="12.75" customHeight="1">
      <c r="A95" s="32" t="s">
        <v>39</v>
      </c>
      <c r="B95" s="51"/>
      <c r="C95" s="52" t="s">
        <v>81</v>
      </c>
      <c r="D95" s="53"/>
      <c r="E95" s="13">
        <v>1.0</v>
      </c>
      <c r="F95" s="13">
        <v>2.0</v>
      </c>
      <c r="G95" s="13">
        <v>2.0</v>
      </c>
      <c r="H95" s="13">
        <v>9.0</v>
      </c>
      <c r="I95" s="13">
        <v>5.0</v>
      </c>
      <c r="J95" s="13">
        <v>2.0</v>
      </c>
      <c r="K95" s="13">
        <v>0.0</v>
      </c>
      <c r="L95" s="13">
        <v>4.0</v>
      </c>
      <c r="M95" s="13">
        <v>4.0</v>
      </c>
      <c r="N95" s="13">
        <v>0.0</v>
      </c>
      <c r="O95" s="13">
        <v>3.0</v>
      </c>
      <c r="P95" s="13">
        <v>1.0</v>
      </c>
      <c r="Q95" s="13">
        <v>1.0</v>
      </c>
      <c r="R95" s="13">
        <v>1.0</v>
      </c>
      <c r="S95" s="13">
        <v>11.0</v>
      </c>
      <c r="T95" s="13">
        <v>19.0</v>
      </c>
      <c r="U95" s="6">
        <f t="shared" si="26"/>
        <v>65</v>
      </c>
    </row>
    <row r="96" ht="12.75" customHeight="1">
      <c r="A96" s="32"/>
      <c r="B96" s="51"/>
      <c r="C96" s="52" t="s">
        <v>82</v>
      </c>
      <c r="D96" s="53"/>
      <c r="E96" s="13">
        <v>0.0</v>
      </c>
      <c r="F96" s="13">
        <v>0.0</v>
      </c>
      <c r="G96" s="13">
        <v>0.0</v>
      </c>
      <c r="H96" s="13">
        <v>0.0</v>
      </c>
      <c r="I96" s="13">
        <v>1.0</v>
      </c>
      <c r="J96" s="13">
        <v>0.0</v>
      </c>
      <c r="K96" s="13">
        <v>0.0</v>
      </c>
      <c r="L96" s="13">
        <v>0.0</v>
      </c>
      <c r="M96" s="13">
        <v>0.0</v>
      </c>
      <c r="N96" s="13">
        <v>0.0</v>
      </c>
      <c r="O96" s="13">
        <v>0.0</v>
      </c>
      <c r="P96" s="13">
        <v>0.0</v>
      </c>
      <c r="Q96" s="13">
        <v>0.0</v>
      </c>
      <c r="R96" s="13">
        <v>0.0</v>
      </c>
      <c r="S96" s="13">
        <v>0.0</v>
      </c>
      <c r="T96" s="13">
        <v>1.0</v>
      </c>
      <c r="U96" s="6">
        <f t="shared" si="26"/>
        <v>2</v>
      </c>
    </row>
    <row r="97" ht="12.75" customHeight="1">
      <c r="A97" s="32"/>
      <c r="B97" s="51"/>
      <c r="C97" s="52" t="s">
        <v>83</v>
      </c>
      <c r="D97" s="53"/>
      <c r="E97" s="13">
        <v>0.0</v>
      </c>
      <c r="F97" s="13">
        <v>0.0</v>
      </c>
      <c r="G97" s="13">
        <v>0.0</v>
      </c>
      <c r="H97" s="13">
        <v>0.0</v>
      </c>
      <c r="I97" s="13">
        <v>1.0</v>
      </c>
      <c r="J97" s="13">
        <v>0.0</v>
      </c>
      <c r="K97" s="13">
        <v>0.0</v>
      </c>
      <c r="L97" s="13">
        <v>0.0</v>
      </c>
      <c r="M97" s="13">
        <v>0.0</v>
      </c>
      <c r="N97" s="13">
        <v>0.0</v>
      </c>
      <c r="O97" s="13">
        <v>0.0</v>
      </c>
      <c r="P97" s="13">
        <v>0.0</v>
      </c>
      <c r="Q97" s="13">
        <v>0.0</v>
      </c>
      <c r="R97" s="13">
        <v>0.0</v>
      </c>
      <c r="S97" s="13">
        <v>0.0</v>
      </c>
      <c r="T97" s="13"/>
      <c r="U97" s="6">
        <f t="shared" si="26"/>
        <v>1</v>
      </c>
    </row>
    <row r="98" ht="12.75" customHeight="1">
      <c r="A98" s="32"/>
      <c r="B98" s="51"/>
      <c r="C98" s="52" t="s">
        <v>84</v>
      </c>
      <c r="D98" s="53"/>
      <c r="E98" s="13">
        <v>0.0</v>
      </c>
      <c r="F98" s="13">
        <v>1.0</v>
      </c>
      <c r="G98" s="13">
        <v>0.0</v>
      </c>
      <c r="H98" s="13">
        <v>0.0</v>
      </c>
      <c r="I98" s="13">
        <v>0.0</v>
      </c>
      <c r="J98" s="13">
        <v>0.0</v>
      </c>
      <c r="K98" s="13">
        <v>0.0</v>
      </c>
      <c r="L98" s="13">
        <v>0.0</v>
      </c>
      <c r="M98" s="13">
        <v>0.0</v>
      </c>
      <c r="N98" s="13">
        <v>0.0</v>
      </c>
      <c r="O98" s="13">
        <v>0.0</v>
      </c>
      <c r="P98" s="13">
        <v>0.0</v>
      </c>
      <c r="Q98" s="13">
        <v>0.0</v>
      </c>
      <c r="R98" s="13">
        <v>0.0</v>
      </c>
      <c r="S98" s="13">
        <v>0.0</v>
      </c>
      <c r="T98" s="13"/>
      <c r="U98" s="6">
        <f t="shared" si="26"/>
        <v>1</v>
      </c>
    </row>
    <row r="99" ht="12.75" customHeight="1">
      <c r="A99" s="32"/>
      <c r="B99" s="51"/>
      <c r="C99" s="52" t="s">
        <v>85</v>
      </c>
      <c r="D99" s="53"/>
      <c r="E99" s="13">
        <v>2.0</v>
      </c>
      <c r="F99" s="13">
        <v>0.0</v>
      </c>
      <c r="G99" s="13">
        <v>0.0</v>
      </c>
      <c r="H99" s="13">
        <v>0.0</v>
      </c>
      <c r="I99" s="13">
        <v>1.0</v>
      </c>
      <c r="J99" s="13">
        <v>1.0</v>
      </c>
      <c r="K99" s="13">
        <v>0.0</v>
      </c>
      <c r="L99" s="13">
        <v>0.0</v>
      </c>
      <c r="M99" s="13">
        <v>1.0</v>
      </c>
      <c r="N99" s="13">
        <v>0.0</v>
      </c>
      <c r="O99" s="13">
        <v>0.0</v>
      </c>
      <c r="P99" s="13">
        <v>0.0</v>
      </c>
      <c r="Q99" s="13">
        <v>0.0</v>
      </c>
      <c r="R99" s="13">
        <v>1.0</v>
      </c>
      <c r="S99" s="13">
        <v>0.0</v>
      </c>
      <c r="T99" s="13">
        <v>1.0</v>
      </c>
      <c r="U99" s="6">
        <f t="shared" si="26"/>
        <v>7</v>
      </c>
    </row>
    <row r="100" ht="12.75" customHeight="1">
      <c r="A100" s="32"/>
      <c r="B100" s="51"/>
      <c r="C100" s="52" t="s">
        <v>86</v>
      </c>
      <c r="D100" s="53"/>
      <c r="E100" s="13">
        <v>0.0</v>
      </c>
      <c r="F100" s="13">
        <v>0.0</v>
      </c>
      <c r="G100" s="13">
        <v>0.0</v>
      </c>
      <c r="H100" s="13">
        <v>0.0</v>
      </c>
      <c r="I100" s="13">
        <v>0.0</v>
      </c>
      <c r="J100" s="13">
        <v>0.0</v>
      </c>
      <c r="K100" s="13">
        <v>0.0</v>
      </c>
      <c r="L100" s="13">
        <v>0.0</v>
      </c>
      <c r="M100" s="13">
        <v>0.0</v>
      </c>
      <c r="N100" s="13">
        <v>0.0</v>
      </c>
      <c r="O100" s="13">
        <v>0.0</v>
      </c>
      <c r="P100" s="13">
        <v>0.0</v>
      </c>
      <c r="Q100" s="13">
        <v>0.0</v>
      </c>
      <c r="R100" s="13">
        <v>0.0</v>
      </c>
      <c r="S100" s="13">
        <v>0.0</v>
      </c>
      <c r="T100" s="13"/>
      <c r="U100" s="6">
        <f t="shared" si="26"/>
        <v>0</v>
      </c>
    </row>
    <row r="101" ht="12.75" customHeight="1">
      <c r="A101" s="13" t="s">
        <v>15</v>
      </c>
      <c r="B101" s="49" t="s">
        <v>46</v>
      </c>
      <c r="C101" s="8"/>
      <c r="D101" s="9"/>
      <c r="E101" s="60">
        <f t="shared" ref="E101:T101" si="27">SUM(E94:E100)</f>
        <v>3</v>
      </c>
      <c r="F101" s="60">
        <f t="shared" si="27"/>
        <v>6</v>
      </c>
      <c r="G101" s="60">
        <f t="shared" si="27"/>
        <v>4</v>
      </c>
      <c r="H101" s="60">
        <f t="shared" si="27"/>
        <v>10</v>
      </c>
      <c r="I101" s="60">
        <f t="shared" si="27"/>
        <v>9</v>
      </c>
      <c r="J101" s="60">
        <f t="shared" si="27"/>
        <v>3</v>
      </c>
      <c r="K101" s="60">
        <f t="shared" si="27"/>
        <v>1</v>
      </c>
      <c r="L101" s="60">
        <f t="shared" si="27"/>
        <v>4</v>
      </c>
      <c r="M101" s="60">
        <f t="shared" si="27"/>
        <v>6</v>
      </c>
      <c r="N101" s="60">
        <f t="shared" si="27"/>
        <v>0</v>
      </c>
      <c r="O101" s="60">
        <f t="shared" si="27"/>
        <v>4</v>
      </c>
      <c r="P101" s="60">
        <f t="shared" si="27"/>
        <v>3</v>
      </c>
      <c r="Q101" s="60">
        <f t="shared" si="27"/>
        <v>4</v>
      </c>
      <c r="R101" s="60">
        <f t="shared" si="27"/>
        <v>4</v>
      </c>
      <c r="S101" s="60">
        <f t="shared" si="27"/>
        <v>11</v>
      </c>
      <c r="T101" s="60">
        <f t="shared" si="27"/>
        <v>22</v>
      </c>
      <c r="U101" s="6">
        <f t="shared" si="26"/>
        <v>94</v>
      </c>
    </row>
    <row r="102" ht="12.75" customHeight="1">
      <c r="A102" s="54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6"/>
    </row>
    <row r="103" ht="12.75" customHeight="1">
      <c r="A103" s="32" t="s">
        <v>37</v>
      </c>
      <c r="B103" s="49" t="s">
        <v>87</v>
      </c>
      <c r="C103" s="50" t="s">
        <v>88</v>
      </c>
      <c r="D103" s="9"/>
      <c r="E103" s="13">
        <v>1.0</v>
      </c>
      <c r="F103" s="13">
        <v>1.0</v>
      </c>
      <c r="G103" s="13">
        <v>0.0</v>
      </c>
      <c r="H103" s="13">
        <v>2.0</v>
      </c>
      <c r="I103" s="13">
        <v>1.0</v>
      </c>
      <c r="J103" s="13">
        <v>2.0</v>
      </c>
      <c r="K103" s="13">
        <v>1.0</v>
      </c>
      <c r="L103" s="13">
        <v>0.0</v>
      </c>
      <c r="M103" s="13">
        <v>1.0</v>
      </c>
      <c r="N103" s="13">
        <v>6.0</v>
      </c>
      <c r="O103" s="13">
        <v>2.0</v>
      </c>
      <c r="P103" s="13">
        <v>2.0</v>
      </c>
      <c r="Q103" s="13">
        <v>4.0</v>
      </c>
      <c r="R103" s="13">
        <v>0.0</v>
      </c>
      <c r="S103" s="13">
        <v>0.0</v>
      </c>
      <c r="T103" s="13"/>
      <c r="U103" s="6">
        <f t="shared" ref="U103:U110" si="28">SUM(E103:T103)</f>
        <v>23</v>
      </c>
    </row>
    <row r="104" ht="12.75" customHeight="1">
      <c r="A104" s="32" t="s">
        <v>39</v>
      </c>
      <c r="B104" s="51"/>
      <c r="C104" s="52" t="s">
        <v>89</v>
      </c>
      <c r="D104" s="53"/>
      <c r="E104" s="13">
        <v>1.0</v>
      </c>
      <c r="F104" s="13">
        <v>1.0</v>
      </c>
      <c r="G104" s="13">
        <v>0.0</v>
      </c>
      <c r="H104" s="13">
        <v>9.0</v>
      </c>
      <c r="I104" s="13">
        <v>23.0</v>
      </c>
      <c r="J104" s="13">
        <v>11.0</v>
      </c>
      <c r="K104" s="13">
        <v>15.0</v>
      </c>
      <c r="L104" s="13">
        <v>3.0</v>
      </c>
      <c r="M104" s="13">
        <v>11.0</v>
      </c>
      <c r="N104" s="13">
        <v>137.0</v>
      </c>
      <c r="O104" s="13">
        <v>4.0</v>
      </c>
      <c r="P104" s="13">
        <v>5.0</v>
      </c>
      <c r="Q104" s="13">
        <v>18.0</v>
      </c>
      <c r="R104" s="13">
        <v>8.0</v>
      </c>
      <c r="S104" s="13">
        <v>6.0</v>
      </c>
      <c r="T104" s="13">
        <v>1.0</v>
      </c>
      <c r="U104" s="6">
        <f t="shared" si="28"/>
        <v>253</v>
      </c>
    </row>
    <row r="105" ht="12.75" customHeight="1">
      <c r="A105" s="18"/>
      <c r="B105" s="51"/>
      <c r="C105" s="52" t="s">
        <v>90</v>
      </c>
      <c r="D105" s="53"/>
      <c r="E105" s="13">
        <v>0.0</v>
      </c>
      <c r="F105" s="13">
        <v>0.0</v>
      </c>
      <c r="G105" s="13">
        <v>0.0</v>
      </c>
      <c r="H105" s="13">
        <v>0.0</v>
      </c>
      <c r="I105" s="13">
        <v>0.0</v>
      </c>
      <c r="J105" s="13">
        <v>0.0</v>
      </c>
      <c r="K105" s="13">
        <v>0.0</v>
      </c>
      <c r="L105" s="13">
        <v>0.0</v>
      </c>
      <c r="M105" s="13">
        <v>0.0</v>
      </c>
      <c r="N105" s="13">
        <v>0.0</v>
      </c>
      <c r="O105" s="13">
        <v>0.0</v>
      </c>
      <c r="P105" s="13">
        <v>0.0</v>
      </c>
      <c r="Q105" s="13">
        <v>0.0</v>
      </c>
      <c r="R105" s="13">
        <v>1.0</v>
      </c>
      <c r="S105" s="13">
        <v>0.0</v>
      </c>
      <c r="T105" s="13"/>
      <c r="U105" s="6">
        <f t="shared" si="28"/>
        <v>1</v>
      </c>
    </row>
    <row r="106" ht="12.75" customHeight="1">
      <c r="A106" s="18"/>
      <c r="B106" s="51"/>
      <c r="C106" s="52" t="s">
        <v>91</v>
      </c>
      <c r="D106" s="53"/>
      <c r="E106" s="13">
        <v>0.0</v>
      </c>
      <c r="F106" s="13">
        <v>0.0</v>
      </c>
      <c r="G106" s="13">
        <v>0.0</v>
      </c>
      <c r="H106" s="13">
        <v>1.0</v>
      </c>
      <c r="I106" s="13">
        <v>0.0</v>
      </c>
      <c r="J106" s="13">
        <v>0.0</v>
      </c>
      <c r="K106" s="13">
        <v>0.0</v>
      </c>
      <c r="L106" s="13">
        <v>0.0</v>
      </c>
      <c r="M106" s="13">
        <v>1.0</v>
      </c>
      <c r="N106" s="13">
        <v>1.0</v>
      </c>
      <c r="O106" s="13">
        <v>0.0</v>
      </c>
      <c r="P106" s="13">
        <v>0.0</v>
      </c>
      <c r="Q106" s="13">
        <v>0.0</v>
      </c>
      <c r="R106" s="13">
        <v>0.0</v>
      </c>
      <c r="S106" s="13">
        <v>1.0</v>
      </c>
      <c r="T106" s="13"/>
      <c r="U106" s="6">
        <f t="shared" si="28"/>
        <v>4</v>
      </c>
    </row>
    <row r="107" ht="12.75" customHeight="1">
      <c r="A107" s="18"/>
      <c r="B107" s="51"/>
      <c r="C107" s="52" t="s">
        <v>92</v>
      </c>
      <c r="D107" s="53"/>
      <c r="E107" s="13">
        <v>0.0</v>
      </c>
      <c r="F107" s="13">
        <v>0.0</v>
      </c>
      <c r="G107" s="13">
        <v>0.0</v>
      </c>
      <c r="H107" s="13">
        <v>0.0</v>
      </c>
      <c r="I107" s="13">
        <v>0.0</v>
      </c>
      <c r="J107" s="13">
        <v>0.0</v>
      </c>
      <c r="K107" s="13">
        <v>1.0</v>
      </c>
      <c r="L107" s="13">
        <v>0.0</v>
      </c>
      <c r="M107" s="13">
        <v>0.0</v>
      </c>
      <c r="N107" s="13">
        <v>1.0</v>
      </c>
      <c r="O107" s="13">
        <v>17.0</v>
      </c>
      <c r="P107" s="13">
        <v>2.0</v>
      </c>
      <c r="Q107" s="13">
        <v>0.0</v>
      </c>
      <c r="R107" s="13">
        <v>3.0</v>
      </c>
      <c r="S107" s="13">
        <v>3.0</v>
      </c>
      <c r="T107" s="13">
        <v>1.0</v>
      </c>
      <c r="U107" s="6">
        <f t="shared" si="28"/>
        <v>28</v>
      </c>
    </row>
    <row r="108" ht="12.75" customHeight="1">
      <c r="A108" s="18"/>
      <c r="B108" s="51"/>
      <c r="C108" s="52" t="s">
        <v>93</v>
      </c>
      <c r="D108" s="53"/>
      <c r="E108" s="13">
        <v>1.0</v>
      </c>
      <c r="F108" s="13">
        <v>0.0</v>
      </c>
      <c r="G108" s="13">
        <v>0.0</v>
      </c>
      <c r="H108" s="13">
        <v>2.0</v>
      </c>
      <c r="I108" s="13">
        <v>2.0</v>
      </c>
      <c r="J108" s="13">
        <v>0.0</v>
      </c>
      <c r="K108" s="13">
        <v>0.0</v>
      </c>
      <c r="L108" s="13">
        <v>0.0</v>
      </c>
      <c r="M108" s="13">
        <v>0.0</v>
      </c>
      <c r="N108" s="13">
        <v>0.0</v>
      </c>
      <c r="O108" s="13">
        <v>0.0</v>
      </c>
      <c r="P108" s="13">
        <v>0.0</v>
      </c>
      <c r="Q108" s="13">
        <v>0.0</v>
      </c>
      <c r="R108" s="13">
        <v>0.0</v>
      </c>
      <c r="S108" s="13">
        <v>0.0</v>
      </c>
      <c r="T108" s="13"/>
      <c r="U108" s="6">
        <f t="shared" si="28"/>
        <v>5</v>
      </c>
    </row>
    <row r="109" ht="12.75" customHeight="1">
      <c r="A109" s="18"/>
      <c r="B109" s="51"/>
      <c r="C109" s="52" t="s">
        <v>94</v>
      </c>
      <c r="D109" s="53"/>
      <c r="E109" s="13">
        <v>0.0</v>
      </c>
      <c r="F109" s="13">
        <v>6.0</v>
      </c>
      <c r="G109" s="13">
        <v>0.0</v>
      </c>
      <c r="H109" s="13">
        <v>1.0</v>
      </c>
      <c r="I109" s="13">
        <v>1.0</v>
      </c>
      <c r="J109" s="13">
        <v>0.0</v>
      </c>
      <c r="K109" s="13">
        <v>0.0</v>
      </c>
      <c r="L109" s="13">
        <v>1.0</v>
      </c>
      <c r="M109" s="13">
        <v>0.0</v>
      </c>
      <c r="N109" s="13">
        <v>0.0</v>
      </c>
      <c r="O109" s="13">
        <v>2.0</v>
      </c>
      <c r="P109" s="13">
        <v>0.0</v>
      </c>
      <c r="Q109" s="13">
        <v>1.0</v>
      </c>
      <c r="R109" s="13">
        <v>1.0</v>
      </c>
      <c r="S109" s="13">
        <v>0.0</v>
      </c>
      <c r="T109" s="13">
        <v>1.0</v>
      </c>
      <c r="U109" s="6">
        <f t="shared" si="28"/>
        <v>14</v>
      </c>
    </row>
    <row r="110" ht="12.75" customHeight="1">
      <c r="A110" s="13" t="s">
        <v>15</v>
      </c>
      <c r="B110" s="49" t="s">
        <v>46</v>
      </c>
      <c r="C110" s="8"/>
      <c r="D110" s="9"/>
      <c r="E110" s="60">
        <f t="shared" ref="E110:T110" si="29">SUM(E103:E109)</f>
        <v>3</v>
      </c>
      <c r="F110" s="60">
        <f t="shared" si="29"/>
        <v>8</v>
      </c>
      <c r="G110" s="60">
        <f t="shared" si="29"/>
        <v>0</v>
      </c>
      <c r="H110" s="60">
        <f t="shared" si="29"/>
        <v>15</v>
      </c>
      <c r="I110" s="60">
        <f t="shared" si="29"/>
        <v>27</v>
      </c>
      <c r="J110" s="60">
        <f t="shared" si="29"/>
        <v>13</v>
      </c>
      <c r="K110" s="60">
        <f t="shared" si="29"/>
        <v>17</v>
      </c>
      <c r="L110" s="60">
        <f t="shared" si="29"/>
        <v>4</v>
      </c>
      <c r="M110" s="60">
        <f t="shared" si="29"/>
        <v>13</v>
      </c>
      <c r="N110" s="60">
        <f t="shared" si="29"/>
        <v>145</v>
      </c>
      <c r="O110" s="60">
        <f t="shared" si="29"/>
        <v>25</v>
      </c>
      <c r="P110" s="60">
        <f t="shared" si="29"/>
        <v>9</v>
      </c>
      <c r="Q110" s="60">
        <f t="shared" si="29"/>
        <v>23</v>
      </c>
      <c r="R110" s="60">
        <f t="shared" si="29"/>
        <v>13</v>
      </c>
      <c r="S110" s="60">
        <f t="shared" si="29"/>
        <v>10</v>
      </c>
      <c r="T110" s="60">
        <f t="shared" si="29"/>
        <v>3</v>
      </c>
      <c r="U110" s="6">
        <f t="shared" si="28"/>
        <v>328</v>
      </c>
    </row>
    <row r="111" ht="12.75" customHeight="1">
      <c r="A111" s="54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6"/>
    </row>
    <row r="112" ht="12.75" customHeight="1">
      <c r="A112" s="32" t="s">
        <v>37</v>
      </c>
      <c r="B112" s="49" t="s">
        <v>95</v>
      </c>
      <c r="C112" s="50" t="s">
        <v>96</v>
      </c>
      <c r="D112" s="9"/>
      <c r="E112" s="13">
        <v>0.0</v>
      </c>
      <c r="F112" s="13">
        <v>0.0</v>
      </c>
      <c r="G112" s="13">
        <v>0.0</v>
      </c>
      <c r="H112" s="13">
        <v>0.0</v>
      </c>
      <c r="I112" s="13">
        <v>0.0</v>
      </c>
      <c r="J112" s="13">
        <v>0.0</v>
      </c>
      <c r="K112" s="13">
        <v>0.0</v>
      </c>
      <c r="L112" s="13">
        <v>0.0</v>
      </c>
      <c r="M112" s="13">
        <v>0.0</v>
      </c>
      <c r="N112" s="13">
        <v>0.0</v>
      </c>
      <c r="O112" s="13">
        <v>0.0</v>
      </c>
      <c r="P112" s="13">
        <v>0.0</v>
      </c>
      <c r="Q112" s="13">
        <v>0.0</v>
      </c>
      <c r="R112" s="13">
        <v>0.0</v>
      </c>
      <c r="S112" s="13">
        <v>0.0</v>
      </c>
      <c r="T112" s="13"/>
      <c r="U112" s="6">
        <f t="shared" ref="U112:U114" si="30">SUM(E112:T112)</f>
        <v>0</v>
      </c>
    </row>
    <row r="113" ht="12.75" customHeight="1">
      <c r="A113" s="32" t="s">
        <v>39</v>
      </c>
      <c r="B113" s="49"/>
      <c r="C113" s="52" t="s">
        <v>97</v>
      </c>
      <c r="D113" s="61"/>
      <c r="E113" s="13">
        <v>0.0</v>
      </c>
      <c r="F113" s="13">
        <v>0.0</v>
      </c>
      <c r="G113" s="13">
        <v>0.0</v>
      </c>
      <c r="H113" s="13">
        <v>0.0</v>
      </c>
      <c r="I113" s="13">
        <v>0.0</v>
      </c>
      <c r="J113" s="13">
        <v>0.0</v>
      </c>
      <c r="K113" s="13">
        <v>0.0</v>
      </c>
      <c r="L113" s="13">
        <v>0.0</v>
      </c>
      <c r="M113" s="13">
        <v>0.0</v>
      </c>
      <c r="N113" s="13">
        <v>0.0</v>
      </c>
      <c r="O113" s="13">
        <v>0.0</v>
      </c>
      <c r="P113" s="13">
        <v>0.0</v>
      </c>
      <c r="Q113" s="13">
        <v>0.0</v>
      </c>
      <c r="R113" s="13">
        <v>0.0</v>
      </c>
      <c r="S113" s="13">
        <v>4.0</v>
      </c>
      <c r="T113" s="13"/>
      <c r="U113" s="6">
        <f t="shared" si="30"/>
        <v>4</v>
      </c>
    </row>
    <row r="114" ht="12.75" customHeight="1">
      <c r="A114" s="13" t="s">
        <v>15</v>
      </c>
      <c r="B114" s="49" t="s">
        <v>46</v>
      </c>
      <c r="C114" s="8"/>
      <c r="D114" s="9"/>
      <c r="E114" s="60">
        <f t="shared" ref="E114:T114" si="31">SUM(E112:E113)</f>
        <v>0</v>
      </c>
      <c r="F114" s="60">
        <f t="shared" si="31"/>
        <v>0</v>
      </c>
      <c r="G114" s="60">
        <f t="shared" si="31"/>
        <v>0</v>
      </c>
      <c r="H114" s="60">
        <f t="shared" si="31"/>
        <v>0</v>
      </c>
      <c r="I114" s="60">
        <f t="shared" si="31"/>
        <v>0</v>
      </c>
      <c r="J114" s="60">
        <f t="shared" si="31"/>
        <v>0</v>
      </c>
      <c r="K114" s="60">
        <f t="shared" si="31"/>
        <v>0</v>
      </c>
      <c r="L114" s="60">
        <f t="shared" si="31"/>
        <v>0</v>
      </c>
      <c r="M114" s="60">
        <f t="shared" si="31"/>
        <v>0</v>
      </c>
      <c r="N114" s="60">
        <f t="shared" si="31"/>
        <v>0</v>
      </c>
      <c r="O114" s="60">
        <f t="shared" si="31"/>
        <v>0</v>
      </c>
      <c r="P114" s="60">
        <f t="shared" si="31"/>
        <v>0</v>
      </c>
      <c r="Q114" s="60">
        <f t="shared" si="31"/>
        <v>0</v>
      </c>
      <c r="R114" s="60">
        <f t="shared" si="31"/>
        <v>0</v>
      </c>
      <c r="S114" s="60">
        <f t="shared" si="31"/>
        <v>4</v>
      </c>
      <c r="T114" s="60">
        <f t="shared" si="31"/>
        <v>0</v>
      </c>
      <c r="U114" s="6">
        <f t="shared" si="30"/>
        <v>4</v>
      </c>
    </row>
    <row r="115" ht="12.75" customHeight="1">
      <c r="A115" s="54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6"/>
    </row>
    <row r="116" ht="12.75" customHeight="1">
      <c r="A116" s="32" t="s">
        <v>37</v>
      </c>
      <c r="B116" s="49" t="s">
        <v>98</v>
      </c>
      <c r="C116" s="50" t="s">
        <v>99</v>
      </c>
      <c r="D116" s="9"/>
      <c r="E116" s="13">
        <v>0.0</v>
      </c>
      <c r="F116" s="13">
        <v>1.0</v>
      </c>
      <c r="G116" s="13">
        <v>0.0</v>
      </c>
      <c r="H116" s="13">
        <v>0.0</v>
      </c>
      <c r="I116" s="13">
        <v>6.0</v>
      </c>
      <c r="J116" s="13">
        <v>0.0</v>
      </c>
      <c r="K116" s="13">
        <v>0.0</v>
      </c>
      <c r="L116" s="13">
        <v>0.0</v>
      </c>
      <c r="M116" s="13">
        <v>1.0</v>
      </c>
      <c r="N116" s="13">
        <v>0.0</v>
      </c>
      <c r="O116" s="13">
        <v>0.0</v>
      </c>
      <c r="P116" s="13">
        <v>0.0</v>
      </c>
      <c r="Q116" s="13">
        <v>0.0</v>
      </c>
      <c r="R116" s="13">
        <v>2.0</v>
      </c>
      <c r="S116" s="13">
        <v>0.0</v>
      </c>
      <c r="T116" s="13"/>
      <c r="U116" s="6">
        <f t="shared" ref="U116:U123" si="32">SUM(E116:T116)</f>
        <v>10</v>
      </c>
    </row>
    <row r="117" ht="12.75" customHeight="1">
      <c r="A117" s="32" t="s">
        <v>39</v>
      </c>
      <c r="B117" s="51"/>
      <c r="C117" s="52" t="s">
        <v>100</v>
      </c>
      <c r="D117" s="53"/>
      <c r="E117" s="13">
        <v>1.0</v>
      </c>
      <c r="F117" s="13">
        <v>0.0</v>
      </c>
      <c r="G117" s="13">
        <v>0.0</v>
      </c>
      <c r="H117" s="13">
        <v>0.0</v>
      </c>
      <c r="I117" s="13">
        <v>30.0</v>
      </c>
      <c r="J117" s="13">
        <v>2.0</v>
      </c>
      <c r="K117" s="13">
        <v>0.0</v>
      </c>
      <c r="L117" s="13">
        <v>0.0</v>
      </c>
      <c r="M117" s="13">
        <v>3.0</v>
      </c>
      <c r="N117" s="13">
        <v>2.0</v>
      </c>
      <c r="O117" s="13">
        <v>1.0</v>
      </c>
      <c r="P117" s="13">
        <v>0.0</v>
      </c>
      <c r="Q117" s="13">
        <v>2.0</v>
      </c>
      <c r="R117" s="13">
        <v>2.0</v>
      </c>
      <c r="S117" s="13">
        <v>0.0</v>
      </c>
      <c r="T117" s="13"/>
      <c r="U117" s="6">
        <f t="shared" si="32"/>
        <v>43</v>
      </c>
    </row>
    <row r="118" ht="12.75" customHeight="1">
      <c r="A118" s="18"/>
      <c r="B118" s="51"/>
      <c r="C118" s="52" t="s">
        <v>101</v>
      </c>
      <c r="D118" s="53"/>
      <c r="E118" s="13">
        <v>0.0</v>
      </c>
      <c r="F118" s="13">
        <v>0.0</v>
      </c>
      <c r="G118" s="13">
        <v>0.0</v>
      </c>
      <c r="H118" s="13">
        <v>0.0</v>
      </c>
      <c r="I118" s="13">
        <v>0.0</v>
      </c>
      <c r="J118" s="13">
        <v>0.0</v>
      </c>
      <c r="K118" s="13">
        <v>0.0</v>
      </c>
      <c r="L118" s="13">
        <v>0.0</v>
      </c>
      <c r="M118" s="13">
        <v>0.0</v>
      </c>
      <c r="N118" s="13">
        <v>0.0</v>
      </c>
      <c r="O118" s="13">
        <v>1.0</v>
      </c>
      <c r="P118" s="13">
        <v>0.0</v>
      </c>
      <c r="Q118" s="13">
        <v>0.0</v>
      </c>
      <c r="R118" s="13">
        <v>1.0</v>
      </c>
      <c r="S118" s="13">
        <v>0.0</v>
      </c>
      <c r="T118" s="13">
        <v>1.0</v>
      </c>
      <c r="U118" s="6">
        <f t="shared" si="32"/>
        <v>3</v>
      </c>
    </row>
    <row r="119" ht="12.75" customHeight="1">
      <c r="A119" s="18"/>
      <c r="B119" s="51"/>
      <c r="C119" s="52" t="s">
        <v>102</v>
      </c>
      <c r="D119" s="53"/>
      <c r="E119" s="13">
        <v>0.0</v>
      </c>
      <c r="F119" s="13">
        <v>0.0</v>
      </c>
      <c r="G119" s="13">
        <v>0.0</v>
      </c>
      <c r="H119" s="13">
        <v>0.0</v>
      </c>
      <c r="I119" s="13">
        <v>0.0</v>
      </c>
      <c r="J119" s="13">
        <v>0.0</v>
      </c>
      <c r="K119" s="13">
        <v>1.0</v>
      </c>
      <c r="L119" s="13">
        <v>1.0</v>
      </c>
      <c r="M119" s="13">
        <v>0.0</v>
      </c>
      <c r="N119" s="13">
        <v>0.0</v>
      </c>
      <c r="O119" s="13">
        <v>0.0</v>
      </c>
      <c r="P119" s="13">
        <v>0.0</v>
      </c>
      <c r="Q119" s="13">
        <v>0.0</v>
      </c>
      <c r="R119" s="13">
        <v>11.0</v>
      </c>
      <c r="S119" s="13">
        <v>0.0</v>
      </c>
      <c r="T119" s="13">
        <v>1.0</v>
      </c>
      <c r="U119" s="6">
        <f t="shared" si="32"/>
        <v>14</v>
      </c>
    </row>
    <row r="120" ht="12.75" customHeight="1">
      <c r="A120" s="18"/>
      <c r="B120" s="51"/>
      <c r="C120" s="52" t="s">
        <v>103</v>
      </c>
      <c r="D120" s="53"/>
      <c r="E120" s="13">
        <v>0.0</v>
      </c>
      <c r="F120" s="13">
        <v>0.0</v>
      </c>
      <c r="G120" s="13">
        <v>0.0</v>
      </c>
      <c r="H120" s="13">
        <v>0.0</v>
      </c>
      <c r="I120" s="13">
        <v>1.0</v>
      </c>
      <c r="J120" s="13">
        <v>0.0</v>
      </c>
      <c r="K120" s="13">
        <v>0.0</v>
      </c>
      <c r="L120" s="13">
        <v>0.0</v>
      </c>
      <c r="M120" s="13">
        <v>0.0</v>
      </c>
      <c r="N120" s="13">
        <v>0.0</v>
      </c>
      <c r="O120" s="13">
        <v>0.0</v>
      </c>
      <c r="P120" s="13">
        <v>0.0</v>
      </c>
      <c r="Q120" s="13">
        <v>0.0</v>
      </c>
      <c r="R120" s="13">
        <v>0.0</v>
      </c>
      <c r="S120" s="13">
        <v>0.0</v>
      </c>
      <c r="T120" s="13"/>
      <c r="U120" s="6">
        <f t="shared" si="32"/>
        <v>1</v>
      </c>
    </row>
    <row r="121" ht="12.75" customHeight="1">
      <c r="A121" s="18"/>
      <c r="B121" s="51"/>
      <c r="C121" s="52" t="s">
        <v>104</v>
      </c>
      <c r="D121" s="53"/>
      <c r="E121" s="13">
        <v>1.0</v>
      </c>
      <c r="F121" s="13">
        <v>2.0</v>
      </c>
      <c r="G121" s="13">
        <v>0.0</v>
      </c>
      <c r="H121" s="13">
        <v>0.0</v>
      </c>
      <c r="I121" s="13">
        <v>0.0</v>
      </c>
      <c r="J121" s="13">
        <v>2.0</v>
      </c>
      <c r="K121" s="13">
        <v>0.0</v>
      </c>
      <c r="L121" s="13">
        <v>0.0</v>
      </c>
      <c r="M121" s="13">
        <v>0.0</v>
      </c>
      <c r="N121" s="13">
        <v>1.0</v>
      </c>
      <c r="O121" s="13">
        <v>0.0</v>
      </c>
      <c r="P121" s="13">
        <v>0.0</v>
      </c>
      <c r="Q121" s="13">
        <v>0.0</v>
      </c>
      <c r="R121" s="13">
        <v>0.0</v>
      </c>
      <c r="S121" s="13">
        <v>2.0</v>
      </c>
      <c r="T121" s="13"/>
      <c r="U121" s="6">
        <f t="shared" si="32"/>
        <v>8</v>
      </c>
    </row>
    <row r="122" ht="12.75" customHeight="1">
      <c r="A122" s="18"/>
      <c r="B122" s="51"/>
      <c r="C122" s="52" t="s">
        <v>105</v>
      </c>
      <c r="D122" s="53"/>
      <c r="E122" s="13">
        <v>0.0</v>
      </c>
      <c r="F122" s="13">
        <v>0.0</v>
      </c>
      <c r="G122" s="13">
        <v>0.0</v>
      </c>
      <c r="H122" s="13">
        <v>0.0</v>
      </c>
      <c r="I122" s="13">
        <v>0.0</v>
      </c>
      <c r="J122" s="13">
        <v>0.0</v>
      </c>
      <c r="K122" s="13">
        <v>0.0</v>
      </c>
      <c r="L122" s="13">
        <v>0.0</v>
      </c>
      <c r="M122" s="13">
        <v>0.0</v>
      </c>
      <c r="N122" s="13">
        <v>0.0</v>
      </c>
      <c r="O122" s="13">
        <v>0.0</v>
      </c>
      <c r="P122" s="13">
        <v>0.0</v>
      </c>
      <c r="Q122" s="13">
        <v>0.0</v>
      </c>
      <c r="R122" s="13">
        <v>1.0</v>
      </c>
      <c r="S122" s="13">
        <v>0.0</v>
      </c>
      <c r="T122" s="13"/>
      <c r="U122" s="6">
        <f t="shared" si="32"/>
        <v>1</v>
      </c>
    </row>
    <row r="123" ht="12.75" customHeight="1">
      <c r="A123" s="13" t="s">
        <v>15</v>
      </c>
      <c r="B123" s="49" t="s">
        <v>46</v>
      </c>
      <c r="C123" s="8"/>
      <c r="D123" s="9"/>
      <c r="E123" s="60">
        <f t="shared" ref="E123:T123" si="33">SUM(E116:E122)</f>
        <v>2</v>
      </c>
      <c r="F123" s="60">
        <f t="shared" si="33"/>
        <v>3</v>
      </c>
      <c r="G123" s="60">
        <f t="shared" si="33"/>
        <v>0</v>
      </c>
      <c r="H123" s="60">
        <f t="shared" si="33"/>
        <v>0</v>
      </c>
      <c r="I123" s="60">
        <f t="shared" si="33"/>
        <v>37</v>
      </c>
      <c r="J123" s="60">
        <f t="shared" si="33"/>
        <v>4</v>
      </c>
      <c r="K123" s="60">
        <f t="shared" si="33"/>
        <v>1</v>
      </c>
      <c r="L123" s="60">
        <f t="shared" si="33"/>
        <v>1</v>
      </c>
      <c r="M123" s="60">
        <f t="shared" si="33"/>
        <v>4</v>
      </c>
      <c r="N123" s="60">
        <f t="shared" si="33"/>
        <v>3</v>
      </c>
      <c r="O123" s="60">
        <f t="shared" si="33"/>
        <v>2</v>
      </c>
      <c r="P123" s="60">
        <f t="shared" si="33"/>
        <v>0</v>
      </c>
      <c r="Q123" s="60">
        <f t="shared" si="33"/>
        <v>2</v>
      </c>
      <c r="R123" s="60">
        <f t="shared" si="33"/>
        <v>17</v>
      </c>
      <c r="S123" s="60">
        <f t="shared" si="33"/>
        <v>2</v>
      </c>
      <c r="T123" s="60">
        <f t="shared" si="33"/>
        <v>2</v>
      </c>
      <c r="U123" s="6">
        <f t="shared" si="32"/>
        <v>80</v>
      </c>
    </row>
    <row r="124" ht="12.75" customHeight="1">
      <c r="A124" s="54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6"/>
    </row>
    <row r="125" ht="12.75" customHeight="1">
      <c r="A125" s="32" t="s">
        <v>37</v>
      </c>
      <c r="B125" s="49" t="s">
        <v>106</v>
      </c>
      <c r="C125" s="50" t="s">
        <v>107</v>
      </c>
      <c r="D125" s="9"/>
      <c r="E125" s="13">
        <v>1.0</v>
      </c>
      <c r="F125" s="13">
        <v>0.0</v>
      </c>
      <c r="G125" s="13">
        <v>1.0</v>
      </c>
      <c r="H125" s="13">
        <v>0.0</v>
      </c>
      <c r="I125" s="13">
        <v>2.0</v>
      </c>
      <c r="J125" s="13">
        <v>0.0</v>
      </c>
      <c r="K125" s="13">
        <v>0.0</v>
      </c>
      <c r="L125" s="13">
        <v>0.0</v>
      </c>
      <c r="M125" s="13">
        <v>0.0</v>
      </c>
      <c r="N125" s="13">
        <v>1.0</v>
      </c>
      <c r="O125" s="13">
        <v>1.0</v>
      </c>
      <c r="P125" s="13">
        <v>0.0</v>
      </c>
      <c r="Q125" s="13">
        <v>1.0</v>
      </c>
      <c r="R125" s="13">
        <v>0.0</v>
      </c>
      <c r="S125" s="13">
        <v>1.0</v>
      </c>
      <c r="T125" s="13">
        <v>2.0</v>
      </c>
      <c r="U125" s="6">
        <f t="shared" ref="U125:U127" si="34">SUM(E125:T125)</f>
        <v>10</v>
      </c>
    </row>
    <row r="126" ht="12.75" customHeight="1">
      <c r="A126" s="32" t="s">
        <v>39</v>
      </c>
      <c r="B126" s="51"/>
      <c r="C126" s="52" t="s">
        <v>108</v>
      </c>
      <c r="D126" s="5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6">
        <f t="shared" si="34"/>
        <v>0</v>
      </c>
    </row>
    <row r="127" ht="12.75" customHeight="1">
      <c r="A127" s="13" t="s">
        <v>15</v>
      </c>
      <c r="B127" s="49" t="s">
        <v>46</v>
      </c>
      <c r="C127" s="8"/>
      <c r="D127" s="9"/>
      <c r="E127" s="60">
        <f t="shared" ref="E127:T127" si="35">SUM(E125:E126)</f>
        <v>1</v>
      </c>
      <c r="F127" s="60">
        <f t="shared" si="35"/>
        <v>0</v>
      </c>
      <c r="G127" s="60">
        <f t="shared" si="35"/>
        <v>1</v>
      </c>
      <c r="H127" s="60">
        <f t="shared" si="35"/>
        <v>0</v>
      </c>
      <c r="I127" s="60">
        <f t="shared" si="35"/>
        <v>2</v>
      </c>
      <c r="J127" s="60">
        <f t="shared" si="35"/>
        <v>0</v>
      </c>
      <c r="K127" s="60">
        <f t="shared" si="35"/>
        <v>0</v>
      </c>
      <c r="L127" s="60">
        <f t="shared" si="35"/>
        <v>0</v>
      </c>
      <c r="M127" s="60">
        <f t="shared" si="35"/>
        <v>0</v>
      </c>
      <c r="N127" s="60">
        <f t="shared" si="35"/>
        <v>1</v>
      </c>
      <c r="O127" s="60">
        <f t="shared" si="35"/>
        <v>1</v>
      </c>
      <c r="P127" s="60">
        <f t="shared" si="35"/>
        <v>0</v>
      </c>
      <c r="Q127" s="60">
        <f t="shared" si="35"/>
        <v>1</v>
      </c>
      <c r="R127" s="60">
        <f t="shared" si="35"/>
        <v>0</v>
      </c>
      <c r="S127" s="60">
        <f t="shared" si="35"/>
        <v>1</v>
      </c>
      <c r="T127" s="60">
        <f t="shared" si="35"/>
        <v>2</v>
      </c>
      <c r="U127" s="6">
        <f t="shared" si="34"/>
        <v>10</v>
      </c>
    </row>
    <row r="128" ht="12.75" customHeight="1">
      <c r="A128" s="54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6"/>
    </row>
    <row r="129" ht="12.75" customHeight="1">
      <c r="A129" s="32" t="s">
        <v>37</v>
      </c>
      <c r="B129" s="49" t="s">
        <v>109</v>
      </c>
      <c r="C129" s="50" t="s">
        <v>110</v>
      </c>
      <c r="D129" s="9"/>
      <c r="E129" s="13">
        <v>0.0</v>
      </c>
      <c r="F129" s="13">
        <v>0.0</v>
      </c>
      <c r="G129" s="13">
        <v>1.0</v>
      </c>
      <c r="H129" s="13">
        <v>1.0</v>
      </c>
      <c r="I129" s="13">
        <v>3.0</v>
      </c>
      <c r="J129" s="13">
        <v>1.0</v>
      </c>
      <c r="K129" s="13">
        <v>0.0</v>
      </c>
      <c r="L129" s="13">
        <v>0.0</v>
      </c>
      <c r="M129" s="13">
        <v>0.0</v>
      </c>
      <c r="N129" s="13">
        <v>1.0</v>
      </c>
      <c r="O129" s="13">
        <v>0.0</v>
      </c>
      <c r="P129" s="13">
        <v>1.0</v>
      </c>
      <c r="Q129" s="13">
        <v>0.0</v>
      </c>
      <c r="R129" s="13">
        <v>0.0</v>
      </c>
      <c r="S129" s="13">
        <v>1.0</v>
      </c>
      <c r="T129" s="13">
        <v>3.0</v>
      </c>
      <c r="U129" s="6">
        <f t="shared" ref="U129:U136" si="36">SUM(E129:T129)</f>
        <v>12</v>
      </c>
    </row>
    <row r="130" ht="12.75" customHeight="1">
      <c r="A130" s="32" t="s">
        <v>39</v>
      </c>
      <c r="B130" s="51"/>
      <c r="C130" s="52" t="s">
        <v>111</v>
      </c>
      <c r="D130" s="53"/>
      <c r="E130" s="13">
        <v>7.0</v>
      </c>
      <c r="F130" s="13">
        <v>4.0</v>
      </c>
      <c r="G130" s="13">
        <v>9.0</v>
      </c>
      <c r="H130" s="13">
        <v>0.0</v>
      </c>
      <c r="I130" s="13">
        <v>0.0</v>
      </c>
      <c r="J130" s="13">
        <v>0.0</v>
      </c>
      <c r="K130" s="13">
        <v>1.0</v>
      </c>
      <c r="L130" s="13">
        <v>2.0</v>
      </c>
      <c r="M130" s="13">
        <v>0.0</v>
      </c>
      <c r="N130" s="13">
        <v>1.0</v>
      </c>
      <c r="O130" s="13">
        <v>2.0</v>
      </c>
      <c r="P130" s="13">
        <v>0.0</v>
      </c>
      <c r="Q130" s="13">
        <v>0.0</v>
      </c>
      <c r="R130" s="13">
        <v>1.0</v>
      </c>
      <c r="S130" s="13">
        <v>3.0</v>
      </c>
      <c r="T130" s="13">
        <v>26.0</v>
      </c>
      <c r="U130" s="6">
        <f t="shared" si="36"/>
        <v>56</v>
      </c>
    </row>
    <row r="131" ht="12.75" customHeight="1">
      <c r="A131" s="18"/>
      <c r="B131" s="51"/>
      <c r="C131" s="52" t="s">
        <v>112</v>
      </c>
      <c r="D131" s="53"/>
      <c r="E131" s="13">
        <v>0.0</v>
      </c>
      <c r="F131" s="13">
        <v>0.0</v>
      </c>
      <c r="G131" s="13">
        <v>0.0</v>
      </c>
      <c r="H131" s="13">
        <v>0.0</v>
      </c>
      <c r="I131" s="13">
        <v>0.0</v>
      </c>
      <c r="J131" s="13">
        <v>0.0</v>
      </c>
      <c r="K131" s="13">
        <v>0.0</v>
      </c>
      <c r="L131" s="13">
        <v>0.0</v>
      </c>
      <c r="M131" s="13">
        <v>0.0</v>
      </c>
      <c r="N131" s="13">
        <v>0.0</v>
      </c>
      <c r="O131" s="13">
        <v>0.0</v>
      </c>
      <c r="P131" s="13">
        <v>1.0</v>
      </c>
      <c r="Q131" s="13">
        <v>0.0</v>
      </c>
      <c r="R131" s="13">
        <v>0.0</v>
      </c>
      <c r="S131" s="13">
        <v>1.0</v>
      </c>
      <c r="T131" s="13"/>
      <c r="U131" s="6">
        <f t="shared" si="36"/>
        <v>2</v>
      </c>
    </row>
    <row r="132" ht="12.75" customHeight="1">
      <c r="A132" s="18"/>
      <c r="B132" s="51"/>
      <c r="C132" s="52" t="s">
        <v>113</v>
      </c>
      <c r="D132" s="53"/>
      <c r="E132" s="13">
        <v>0.0</v>
      </c>
      <c r="F132" s="13">
        <v>2.0</v>
      </c>
      <c r="G132" s="13">
        <v>0.0</v>
      </c>
      <c r="H132" s="13">
        <v>0.0</v>
      </c>
      <c r="I132" s="13">
        <v>0.0</v>
      </c>
      <c r="J132" s="13">
        <v>1.0</v>
      </c>
      <c r="K132" s="13">
        <v>0.0</v>
      </c>
      <c r="L132" s="13">
        <v>0.0</v>
      </c>
      <c r="M132" s="13">
        <v>0.0</v>
      </c>
      <c r="N132" s="13">
        <v>0.0</v>
      </c>
      <c r="O132" s="13">
        <v>0.0</v>
      </c>
      <c r="P132" s="13">
        <v>0.0</v>
      </c>
      <c r="Q132" s="13">
        <v>0.0</v>
      </c>
      <c r="R132" s="13">
        <v>0.0</v>
      </c>
      <c r="S132" s="13">
        <v>0.0</v>
      </c>
      <c r="T132" s="13"/>
      <c r="U132" s="6">
        <f t="shared" si="36"/>
        <v>3</v>
      </c>
    </row>
    <row r="133" ht="12.75" customHeight="1">
      <c r="A133" s="18"/>
      <c r="B133" s="51"/>
      <c r="C133" s="52" t="s">
        <v>114</v>
      </c>
      <c r="D133" s="53"/>
      <c r="E133" s="13">
        <v>1.0</v>
      </c>
      <c r="F133" s="13">
        <v>1.0</v>
      </c>
      <c r="G133" s="13">
        <v>0.0</v>
      </c>
      <c r="H133" s="13">
        <v>0.0</v>
      </c>
      <c r="I133" s="13">
        <v>0.0</v>
      </c>
      <c r="J133" s="13">
        <v>0.0</v>
      </c>
      <c r="K133" s="13">
        <v>0.0</v>
      </c>
      <c r="L133" s="13">
        <v>0.0</v>
      </c>
      <c r="M133" s="13">
        <v>0.0</v>
      </c>
      <c r="N133" s="13">
        <v>0.0</v>
      </c>
      <c r="O133" s="13">
        <v>0.0</v>
      </c>
      <c r="P133" s="13">
        <v>0.0</v>
      </c>
      <c r="Q133" s="13">
        <v>0.0</v>
      </c>
      <c r="R133" s="13">
        <v>0.0</v>
      </c>
      <c r="S133" s="13">
        <v>0.0</v>
      </c>
      <c r="T133" s="13"/>
      <c r="U133" s="6">
        <f t="shared" si="36"/>
        <v>2</v>
      </c>
    </row>
    <row r="134" ht="12.75" customHeight="1">
      <c r="A134" s="18"/>
      <c r="B134" s="51"/>
      <c r="C134" s="52" t="s">
        <v>115</v>
      </c>
      <c r="D134" s="53"/>
      <c r="E134" s="13">
        <v>0.0</v>
      </c>
      <c r="F134" s="13">
        <v>0.0</v>
      </c>
      <c r="G134" s="13">
        <v>0.0</v>
      </c>
      <c r="H134" s="13">
        <v>0.0</v>
      </c>
      <c r="I134" s="13">
        <v>0.0</v>
      </c>
      <c r="J134" s="13">
        <v>0.0</v>
      </c>
      <c r="K134" s="13">
        <v>0.0</v>
      </c>
      <c r="L134" s="13">
        <v>0.0</v>
      </c>
      <c r="M134" s="13">
        <v>0.0</v>
      </c>
      <c r="N134" s="13">
        <v>0.0</v>
      </c>
      <c r="O134" s="13">
        <v>0.0</v>
      </c>
      <c r="P134" s="13">
        <v>0.0</v>
      </c>
      <c r="Q134" s="13">
        <v>0.0</v>
      </c>
      <c r="R134" s="13">
        <v>0.0</v>
      </c>
      <c r="S134" s="13">
        <v>0.0</v>
      </c>
      <c r="T134" s="13"/>
      <c r="U134" s="6">
        <f t="shared" si="36"/>
        <v>0</v>
      </c>
    </row>
    <row r="135" ht="12.75" customHeight="1">
      <c r="A135" s="18"/>
      <c r="B135" s="51"/>
      <c r="C135" s="52" t="s">
        <v>116</v>
      </c>
      <c r="D135" s="53"/>
      <c r="E135" s="13">
        <v>0.0</v>
      </c>
      <c r="F135" s="13">
        <v>0.0</v>
      </c>
      <c r="G135" s="13">
        <v>0.0</v>
      </c>
      <c r="H135" s="13">
        <v>0.0</v>
      </c>
      <c r="I135" s="13">
        <v>0.0</v>
      </c>
      <c r="J135" s="13">
        <v>0.0</v>
      </c>
      <c r="K135" s="13">
        <v>0.0</v>
      </c>
      <c r="L135" s="13">
        <v>0.0</v>
      </c>
      <c r="M135" s="13">
        <v>0.0</v>
      </c>
      <c r="N135" s="13">
        <v>0.0</v>
      </c>
      <c r="O135" s="13">
        <v>0.0</v>
      </c>
      <c r="P135" s="13">
        <v>0.0</v>
      </c>
      <c r="Q135" s="13">
        <v>0.0</v>
      </c>
      <c r="R135" s="13">
        <v>0.0</v>
      </c>
      <c r="S135" s="13">
        <v>0.0</v>
      </c>
      <c r="T135" s="13"/>
      <c r="U135" s="6">
        <f t="shared" si="36"/>
        <v>0</v>
      </c>
    </row>
    <row r="136" ht="12.75" customHeight="1">
      <c r="A136" s="13" t="s">
        <v>15</v>
      </c>
      <c r="B136" s="49" t="s">
        <v>46</v>
      </c>
      <c r="C136" s="8"/>
      <c r="D136" s="9"/>
      <c r="E136" s="60">
        <f t="shared" ref="E136:T136" si="37">SUM(E129:E135)</f>
        <v>8</v>
      </c>
      <c r="F136" s="60">
        <f t="shared" si="37"/>
        <v>7</v>
      </c>
      <c r="G136" s="60">
        <f t="shared" si="37"/>
        <v>10</v>
      </c>
      <c r="H136" s="60">
        <f t="shared" si="37"/>
        <v>1</v>
      </c>
      <c r="I136" s="60">
        <f t="shared" si="37"/>
        <v>3</v>
      </c>
      <c r="J136" s="60">
        <f t="shared" si="37"/>
        <v>2</v>
      </c>
      <c r="K136" s="60">
        <f t="shared" si="37"/>
        <v>1</v>
      </c>
      <c r="L136" s="60">
        <f t="shared" si="37"/>
        <v>2</v>
      </c>
      <c r="M136" s="60">
        <f t="shared" si="37"/>
        <v>0</v>
      </c>
      <c r="N136" s="60">
        <f t="shared" si="37"/>
        <v>2</v>
      </c>
      <c r="O136" s="60">
        <f t="shared" si="37"/>
        <v>2</v>
      </c>
      <c r="P136" s="60">
        <f t="shared" si="37"/>
        <v>2</v>
      </c>
      <c r="Q136" s="60">
        <f t="shared" si="37"/>
        <v>0</v>
      </c>
      <c r="R136" s="60">
        <f t="shared" si="37"/>
        <v>1</v>
      </c>
      <c r="S136" s="60">
        <f t="shared" si="37"/>
        <v>5</v>
      </c>
      <c r="T136" s="60">
        <f t="shared" si="37"/>
        <v>29</v>
      </c>
      <c r="U136" s="6">
        <f t="shared" si="36"/>
        <v>75</v>
      </c>
    </row>
    <row r="137" ht="12.75" customHeight="1">
      <c r="A137" s="54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6"/>
    </row>
    <row r="138" ht="12.75" customHeight="1">
      <c r="A138" s="32" t="s">
        <v>37</v>
      </c>
      <c r="B138" s="49" t="s">
        <v>117</v>
      </c>
      <c r="C138" s="50" t="s">
        <v>118</v>
      </c>
      <c r="D138" s="9"/>
      <c r="E138" s="13">
        <v>0.0</v>
      </c>
      <c r="F138" s="13">
        <v>0.0</v>
      </c>
      <c r="G138" s="13">
        <v>0.0</v>
      </c>
      <c r="H138" s="13">
        <v>1.0</v>
      </c>
      <c r="I138" s="13">
        <v>0.0</v>
      </c>
      <c r="J138" s="13">
        <v>1.0</v>
      </c>
      <c r="K138" s="13">
        <v>0.0</v>
      </c>
      <c r="L138" s="13">
        <v>0.0</v>
      </c>
      <c r="M138" s="13">
        <v>0.0</v>
      </c>
      <c r="N138" s="13">
        <v>0.0</v>
      </c>
      <c r="O138" s="13">
        <v>0.0</v>
      </c>
      <c r="P138" s="13">
        <v>0.0</v>
      </c>
      <c r="Q138" s="13">
        <v>0.0</v>
      </c>
      <c r="R138" s="13">
        <v>0.0</v>
      </c>
      <c r="S138" s="13">
        <v>0.0</v>
      </c>
      <c r="T138" s="13"/>
      <c r="U138" s="6">
        <f t="shared" ref="U138:U145" si="38">SUM(E138:T138)</f>
        <v>2</v>
      </c>
    </row>
    <row r="139" ht="12.75" customHeight="1">
      <c r="A139" s="32" t="s">
        <v>39</v>
      </c>
      <c r="B139" s="51"/>
      <c r="C139" s="52" t="s">
        <v>119</v>
      </c>
      <c r="D139" s="53"/>
      <c r="E139" s="13">
        <v>1.0</v>
      </c>
      <c r="F139" s="13">
        <v>0.0</v>
      </c>
      <c r="G139" s="13">
        <v>0.0</v>
      </c>
      <c r="H139" s="13">
        <v>0.0</v>
      </c>
      <c r="I139" s="13">
        <v>0.0</v>
      </c>
      <c r="J139" s="13">
        <v>0.0</v>
      </c>
      <c r="K139" s="13">
        <v>0.0</v>
      </c>
      <c r="L139" s="13">
        <v>0.0</v>
      </c>
      <c r="M139" s="13">
        <v>0.0</v>
      </c>
      <c r="N139" s="13">
        <v>0.0</v>
      </c>
      <c r="O139" s="13">
        <v>2.0</v>
      </c>
      <c r="P139" s="13">
        <v>0.0</v>
      </c>
      <c r="Q139" s="13">
        <v>0.0</v>
      </c>
      <c r="R139" s="13">
        <v>0.0</v>
      </c>
      <c r="S139" s="13">
        <v>0.0</v>
      </c>
      <c r="T139" s="13"/>
      <c r="U139" s="6">
        <f t="shared" si="38"/>
        <v>3</v>
      </c>
    </row>
    <row r="140" ht="12.75" customHeight="1">
      <c r="A140" s="18"/>
      <c r="B140" s="51"/>
      <c r="C140" s="52" t="s">
        <v>120</v>
      </c>
      <c r="D140" s="53"/>
      <c r="E140" s="70">
        <v>0.0</v>
      </c>
      <c r="F140" s="70">
        <v>0.0</v>
      </c>
      <c r="G140" s="70">
        <v>0.0</v>
      </c>
      <c r="H140" s="70">
        <v>0.0</v>
      </c>
      <c r="I140" s="70">
        <v>0.0</v>
      </c>
      <c r="J140" s="70">
        <v>0.0</v>
      </c>
      <c r="K140" s="70">
        <v>0.0</v>
      </c>
      <c r="L140" s="70">
        <v>0.0</v>
      </c>
      <c r="M140" s="70">
        <v>0.0</v>
      </c>
      <c r="N140" s="70">
        <v>0.0</v>
      </c>
      <c r="O140" s="70">
        <v>0.0</v>
      </c>
      <c r="P140" s="70">
        <v>0.0</v>
      </c>
      <c r="Q140" s="70">
        <v>0.0</v>
      </c>
      <c r="R140" s="70">
        <v>0.0</v>
      </c>
      <c r="S140" s="70">
        <v>0.0</v>
      </c>
      <c r="T140" s="13"/>
      <c r="U140" s="6">
        <f t="shared" si="38"/>
        <v>0</v>
      </c>
    </row>
    <row r="141" ht="12.75" customHeight="1">
      <c r="A141" s="18"/>
      <c r="B141" s="51"/>
      <c r="C141" s="52" t="s">
        <v>121</v>
      </c>
      <c r="D141" s="53"/>
      <c r="E141" s="13">
        <v>0.0</v>
      </c>
      <c r="F141" s="13">
        <v>0.0</v>
      </c>
      <c r="G141" s="13">
        <v>0.0</v>
      </c>
      <c r="H141" s="13">
        <v>0.0</v>
      </c>
      <c r="I141" s="13">
        <v>1.0</v>
      </c>
      <c r="J141" s="13">
        <v>0.0</v>
      </c>
      <c r="K141" s="13">
        <v>0.0</v>
      </c>
      <c r="L141" s="13">
        <v>0.0</v>
      </c>
      <c r="M141" s="13">
        <v>0.0</v>
      </c>
      <c r="N141" s="13">
        <v>0.0</v>
      </c>
      <c r="O141" s="13">
        <v>0.0</v>
      </c>
      <c r="P141" s="13">
        <v>0.0</v>
      </c>
      <c r="Q141" s="13">
        <v>0.0</v>
      </c>
      <c r="R141" s="13">
        <v>0.0</v>
      </c>
      <c r="S141" s="13">
        <v>0.0</v>
      </c>
      <c r="T141" s="13"/>
      <c r="U141" s="6">
        <f t="shared" si="38"/>
        <v>1</v>
      </c>
    </row>
    <row r="142" ht="12.75" customHeight="1">
      <c r="A142" s="18"/>
      <c r="B142" s="51"/>
      <c r="C142" s="52" t="s">
        <v>122</v>
      </c>
      <c r="D142" s="53"/>
      <c r="E142" s="13">
        <v>0.0</v>
      </c>
      <c r="F142" s="13">
        <v>0.0</v>
      </c>
      <c r="G142" s="13">
        <v>0.0</v>
      </c>
      <c r="H142" s="13">
        <v>0.0</v>
      </c>
      <c r="I142" s="13">
        <v>0.0</v>
      </c>
      <c r="J142" s="13">
        <v>0.0</v>
      </c>
      <c r="K142" s="13">
        <v>1.0</v>
      </c>
      <c r="L142" s="13">
        <v>0.0</v>
      </c>
      <c r="M142" s="13">
        <v>0.0</v>
      </c>
      <c r="N142" s="13">
        <v>0.0</v>
      </c>
      <c r="O142" s="13">
        <v>0.0</v>
      </c>
      <c r="P142" s="13">
        <v>0.0</v>
      </c>
      <c r="Q142" s="13">
        <v>0.0</v>
      </c>
      <c r="R142" s="13">
        <v>1.0</v>
      </c>
      <c r="S142" s="13">
        <v>0.0</v>
      </c>
      <c r="T142" s="13"/>
      <c r="U142" s="6">
        <f t="shared" si="38"/>
        <v>2</v>
      </c>
    </row>
    <row r="143" ht="12.75" customHeight="1">
      <c r="A143" s="18"/>
      <c r="B143" s="51"/>
      <c r="C143" s="52" t="s">
        <v>123</v>
      </c>
      <c r="D143" s="53"/>
      <c r="E143" s="13">
        <v>0.0</v>
      </c>
      <c r="F143" s="13">
        <v>0.0</v>
      </c>
      <c r="G143" s="13">
        <v>0.0</v>
      </c>
      <c r="H143" s="13">
        <v>0.0</v>
      </c>
      <c r="I143" s="13">
        <v>0.0</v>
      </c>
      <c r="J143" s="13">
        <v>0.0</v>
      </c>
      <c r="K143" s="13">
        <v>0.0</v>
      </c>
      <c r="L143" s="13">
        <v>0.0</v>
      </c>
      <c r="M143" s="13">
        <v>1.0</v>
      </c>
      <c r="N143" s="13">
        <v>0.0</v>
      </c>
      <c r="O143" s="13">
        <v>0.0</v>
      </c>
      <c r="P143" s="13">
        <v>0.0</v>
      </c>
      <c r="Q143" s="13">
        <v>0.0</v>
      </c>
      <c r="R143" s="13">
        <v>0.0</v>
      </c>
      <c r="S143" s="13">
        <v>0.0</v>
      </c>
      <c r="T143" s="13"/>
      <c r="U143" s="6">
        <f t="shared" si="38"/>
        <v>1</v>
      </c>
    </row>
    <row r="144" ht="12.75" customHeight="1">
      <c r="A144" s="18"/>
      <c r="B144" s="51"/>
      <c r="C144" s="52" t="s">
        <v>124</v>
      </c>
      <c r="D144" s="53"/>
      <c r="E144" s="13">
        <v>0.0</v>
      </c>
      <c r="F144" s="13">
        <v>1.0</v>
      </c>
      <c r="G144" s="13">
        <v>0.0</v>
      </c>
      <c r="H144" s="13">
        <v>1.0</v>
      </c>
      <c r="I144" s="13">
        <v>0.0</v>
      </c>
      <c r="J144" s="13">
        <v>0.0</v>
      </c>
      <c r="K144" s="13">
        <v>0.0</v>
      </c>
      <c r="L144" s="13">
        <v>0.0</v>
      </c>
      <c r="M144" s="13">
        <v>4.0</v>
      </c>
      <c r="N144" s="13">
        <v>0.0</v>
      </c>
      <c r="O144" s="13">
        <v>0.0</v>
      </c>
      <c r="P144" s="13">
        <v>0.0</v>
      </c>
      <c r="Q144" s="13">
        <v>0.0</v>
      </c>
      <c r="R144" s="13">
        <v>0.0</v>
      </c>
      <c r="S144" s="13">
        <v>0.0</v>
      </c>
      <c r="T144" s="13"/>
      <c r="U144" s="6">
        <f t="shared" si="38"/>
        <v>6</v>
      </c>
    </row>
    <row r="145" ht="12.75" customHeight="1">
      <c r="A145" s="13" t="s">
        <v>15</v>
      </c>
      <c r="B145" s="49" t="s">
        <v>46</v>
      </c>
      <c r="C145" s="8"/>
      <c r="D145" s="9"/>
      <c r="E145" s="60">
        <f t="shared" ref="E145:T145" si="39">SUM(E138:E144)</f>
        <v>1</v>
      </c>
      <c r="F145" s="60">
        <f t="shared" si="39"/>
        <v>1</v>
      </c>
      <c r="G145" s="60">
        <f t="shared" si="39"/>
        <v>0</v>
      </c>
      <c r="H145" s="60">
        <f t="shared" si="39"/>
        <v>2</v>
      </c>
      <c r="I145" s="60">
        <f t="shared" si="39"/>
        <v>1</v>
      </c>
      <c r="J145" s="60">
        <f t="shared" si="39"/>
        <v>1</v>
      </c>
      <c r="K145" s="60">
        <f t="shared" si="39"/>
        <v>1</v>
      </c>
      <c r="L145" s="60">
        <f t="shared" si="39"/>
        <v>0</v>
      </c>
      <c r="M145" s="60">
        <f t="shared" si="39"/>
        <v>5</v>
      </c>
      <c r="N145" s="60">
        <f t="shared" si="39"/>
        <v>0</v>
      </c>
      <c r="O145" s="60">
        <f t="shared" si="39"/>
        <v>2</v>
      </c>
      <c r="P145" s="60">
        <f t="shared" si="39"/>
        <v>0</v>
      </c>
      <c r="Q145" s="60">
        <f t="shared" si="39"/>
        <v>0</v>
      </c>
      <c r="R145" s="60">
        <f t="shared" si="39"/>
        <v>1</v>
      </c>
      <c r="S145" s="60">
        <f t="shared" si="39"/>
        <v>0</v>
      </c>
      <c r="T145" s="60">
        <f t="shared" si="39"/>
        <v>0</v>
      </c>
      <c r="U145" s="6">
        <f t="shared" si="38"/>
        <v>15</v>
      </c>
    </row>
    <row r="146" ht="12.75" customHeight="1">
      <c r="A146" s="54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6"/>
    </row>
    <row r="147" ht="12.75" customHeight="1">
      <c r="A147" s="32" t="s">
        <v>37</v>
      </c>
      <c r="B147" s="49" t="s">
        <v>125</v>
      </c>
      <c r="C147" s="50" t="s">
        <v>126</v>
      </c>
      <c r="D147" s="9"/>
      <c r="E147" s="13">
        <v>2.0</v>
      </c>
      <c r="F147" s="13">
        <v>7.0</v>
      </c>
      <c r="G147" s="13">
        <v>1.0</v>
      </c>
      <c r="H147" s="13">
        <v>4.0</v>
      </c>
      <c r="I147" s="13">
        <v>1.0</v>
      </c>
      <c r="J147" s="13">
        <v>3.0</v>
      </c>
      <c r="K147" s="13">
        <v>2.0</v>
      </c>
      <c r="L147" s="13">
        <v>3.0</v>
      </c>
      <c r="M147" s="13">
        <v>0.0</v>
      </c>
      <c r="N147" s="13">
        <v>2.0</v>
      </c>
      <c r="O147" s="13">
        <v>0.0</v>
      </c>
      <c r="P147" s="13">
        <v>0.0</v>
      </c>
      <c r="Q147" s="13">
        <v>7.0</v>
      </c>
      <c r="R147" s="13">
        <v>1.0</v>
      </c>
      <c r="S147" s="13">
        <v>3.0</v>
      </c>
      <c r="T147" s="13">
        <v>3.0</v>
      </c>
      <c r="U147" s="6">
        <f t="shared" ref="U147:U154" si="40">SUM(E147:T147)</f>
        <v>39</v>
      </c>
    </row>
    <row r="148" ht="12.75" customHeight="1">
      <c r="A148" s="32" t="s">
        <v>39</v>
      </c>
      <c r="B148" s="51"/>
      <c r="C148" s="52" t="s">
        <v>127</v>
      </c>
      <c r="D148" s="53"/>
      <c r="E148" s="13">
        <v>1.0</v>
      </c>
      <c r="F148" s="13">
        <v>3.0</v>
      </c>
      <c r="G148" s="13">
        <v>4.0</v>
      </c>
      <c r="H148" s="13">
        <v>4.0</v>
      </c>
      <c r="I148" s="13">
        <v>1.0</v>
      </c>
      <c r="J148" s="13">
        <v>0.0</v>
      </c>
      <c r="K148" s="13">
        <v>1.0</v>
      </c>
      <c r="L148" s="13">
        <v>15.0</v>
      </c>
      <c r="M148" s="13">
        <v>2.0</v>
      </c>
      <c r="N148" s="13">
        <v>4.0</v>
      </c>
      <c r="O148" s="13">
        <v>5.0</v>
      </c>
      <c r="P148" s="13">
        <v>3.0</v>
      </c>
      <c r="Q148" s="13">
        <v>0.0</v>
      </c>
      <c r="R148" s="13">
        <v>0.0</v>
      </c>
      <c r="S148" s="13">
        <v>0.0</v>
      </c>
      <c r="T148" s="13">
        <v>1.0</v>
      </c>
      <c r="U148" s="6">
        <f t="shared" si="40"/>
        <v>44</v>
      </c>
    </row>
    <row r="149" ht="12.75" customHeight="1">
      <c r="A149" s="18"/>
      <c r="B149" s="51"/>
      <c r="C149" s="52" t="s">
        <v>128</v>
      </c>
      <c r="D149" s="53"/>
      <c r="E149" s="13">
        <v>1.0</v>
      </c>
      <c r="F149" s="13">
        <v>4.0</v>
      </c>
      <c r="G149" s="13">
        <v>0.0</v>
      </c>
      <c r="H149" s="13">
        <v>0.0</v>
      </c>
      <c r="I149" s="13">
        <v>1.0</v>
      </c>
      <c r="J149" s="13">
        <v>8.0</v>
      </c>
      <c r="K149" s="13">
        <v>0.0</v>
      </c>
      <c r="L149" s="13">
        <v>0.0</v>
      </c>
      <c r="M149" s="13">
        <v>0.0</v>
      </c>
      <c r="N149" s="13">
        <v>5.0</v>
      </c>
      <c r="O149" s="13">
        <v>7.0</v>
      </c>
      <c r="P149" s="13">
        <v>1.0</v>
      </c>
      <c r="Q149" s="13">
        <v>0.0</v>
      </c>
      <c r="R149" s="13">
        <v>0.0</v>
      </c>
      <c r="S149" s="13">
        <v>2.0</v>
      </c>
      <c r="T149" s="13">
        <v>3.0</v>
      </c>
      <c r="U149" s="6">
        <f t="shared" si="40"/>
        <v>32</v>
      </c>
    </row>
    <row r="150" ht="12.75" customHeight="1">
      <c r="A150" s="18"/>
      <c r="B150" s="51"/>
      <c r="C150" s="52" t="s">
        <v>129</v>
      </c>
      <c r="D150" s="53"/>
      <c r="E150" s="13">
        <v>4.0</v>
      </c>
      <c r="F150" s="13">
        <v>2.0</v>
      </c>
      <c r="G150" s="13">
        <v>0.0</v>
      </c>
      <c r="H150" s="13">
        <v>3.0</v>
      </c>
      <c r="I150" s="13">
        <v>0.0</v>
      </c>
      <c r="J150" s="13">
        <v>4.0</v>
      </c>
      <c r="K150" s="13">
        <v>0.0</v>
      </c>
      <c r="L150" s="13">
        <v>1.0</v>
      </c>
      <c r="M150" s="13">
        <v>2.0</v>
      </c>
      <c r="N150" s="13">
        <v>2.0</v>
      </c>
      <c r="O150" s="13">
        <v>7.0</v>
      </c>
      <c r="P150" s="13">
        <v>5.0</v>
      </c>
      <c r="Q150" s="13">
        <v>20.0</v>
      </c>
      <c r="R150" s="13">
        <v>1.0</v>
      </c>
      <c r="S150" s="13">
        <v>2.0</v>
      </c>
      <c r="T150" s="13">
        <v>37.0</v>
      </c>
      <c r="U150" s="6">
        <f t="shared" si="40"/>
        <v>90</v>
      </c>
    </row>
    <row r="151" ht="12.75" customHeight="1">
      <c r="A151" s="18"/>
      <c r="B151" s="51"/>
      <c r="C151" s="52" t="s">
        <v>130</v>
      </c>
      <c r="D151" s="53"/>
      <c r="E151" s="13">
        <v>2.0</v>
      </c>
      <c r="F151" s="13">
        <v>0.0</v>
      </c>
      <c r="G151" s="13">
        <v>0.0</v>
      </c>
      <c r="H151" s="13">
        <v>2.0</v>
      </c>
      <c r="I151" s="13">
        <v>0.0</v>
      </c>
      <c r="J151" s="13">
        <v>0.0</v>
      </c>
      <c r="K151" s="13">
        <v>1.0</v>
      </c>
      <c r="L151" s="13">
        <v>0.0</v>
      </c>
      <c r="M151" s="13">
        <v>0.0</v>
      </c>
      <c r="N151" s="13">
        <v>0.0</v>
      </c>
      <c r="O151" s="13">
        <v>0.0</v>
      </c>
      <c r="P151" s="13">
        <v>0.0</v>
      </c>
      <c r="Q151" s="13">
        <v>1.0</v>
      </c>
      <c r="R151" s="13">
        <v>1.0</v>
      </c>
      <c r="S151" s="13">
        <v>1.0</v>
      </c>
      <c r="T151" s="13"/>
      <c r="U151" s="6">
        <f t="shared" si="40"/>
        <v>8</v>
      </c>
    </row>
    <row r="152" ht="12.75" customHeight="1">
      <c r="A152" s="18"/>
      <c r="B152" s="51"/>
      <c r="C152" s="52" t="s">
        <v>131</v>
      </c>
      <c r="D152" s="53"/>
      <c r="E152" s="13">
        <v>0.0</v>
      </c>
      <c r="F152" s="13">
        <v>0.0</v>
      </c>
      <c r="G152" s="13">
        <v>0.0</v>
      </c>
      <c r="H152" s="13">
        <v>0.0</v>
      </c>
      <c r="I152" s="13">
        <v>0.0</v>
      </c>
      <c r="J152" s="13">
        <v>0.0</v>
      </c>
      <c r="K152" s="13">
        <v>0.0</v>
      </c>
      <c r="L152" s="13">
        <v>0.0</v>
      </c>
      <c r="M152" s="13">
        <v>0.0</v>
      </c>
      <c r="N152" s="13">
        <v>0.0</v>
      </c>
      <c r="O152" s="13">
        <v>0.0</v>
      </c>
      <c r="P152" s="13">
        <v>1.0</v>
      </c>
      <c r="Q152" s="13">
        <v>0.0</v>
      </c>
      <c r="R152" s="13">
        <v>0.0</v>
      </c>
      <c r="S152" s="13">
        <v>0.0</v>
      </c>
      <c r="T152" s="13"/>
      <c r="U152" s="6">
        <f t="shared" si="40"/>
        <v>1</v>
      </c>
    </row>
    <row r="153" ht="12.75" customHeight="1">
      <c r="A153" s="18"/>
      <c r="B153" s="51"/>
      <c r="C153" s="52" t="s">
        <v>132</v>
      </c>
      <c r="D153" s="53"/>
      <c r="E153" s="13">
        <v>0.0</v>
      </c>
      <c r="F153" s="13">
        <v>1.0</v>
      </c>
      <c r="G153" s="13">
        <v>1.0</v>
      </c>
      <c r="H153" s="13">
        <v>1.0</v>
      </c>
      <c r="I153" s="13">
        <v>0.0</v>
      </c>
      <c r="J153" s="13">
        <v>2.0</v>
      </c>
      <c r="K153" s="13">
        <v>0.0</v>
      </c>
      <c r="L153" s="13">
        <v>0.0</v>
      </c>
      <c r="M153" s="13">
        <v>0.0</v>
      </c>
      <c r="N153" s="13">
        <v>0.0</v>
      </c>
      <c r="O153" s="13">
        <v>0.0</v>
      </c>
      <c r="P153" s="13">
        <v>0.0</v>
      </c>
      <c r="Q153" s="13">
        <v>0.0</v>
      </c>
      <c r="R153" s="13">
        <v>1.0</v>
      </c>
      <c r="S153" s="13">
        <v>0.0</v>
      </c>
      <c r="T153" s="13"/>
      <c r="U153" s="6">
        <f t="shared" si="40"/>
        <v>6</v>
      </c>
    </row>
    <row r="154" ht="12.75" customHeight="1">
      <c r="A154" s="13" t="s">
        <v>15</v>
      </c>
      <c r="B154" s="49" t="s">
        <v>46</v>
      </c>
      <c r="C154" s="8"/>
      <c r="D154" s="9"/>
      <c r="E154" s="60">
        <f t="shared" ref="E154:T154" si="41">SUM(E147:E153)</f>
        <v>10</v>
      </c>
      <c r="F154" s="60">
        <f t="shared" si="41"/>
        <v>17</v>
      </c>
      <c r="G154" s="60">
        <f t="shared" si="41"/>
        <v>6</v>
      </c>
      <c r="H154" s="60">
        <f t="shared" si="41"/>
        <v>14</v>
      </c>
      <c r="I154" s="60">
        <f t="shared" si="41"/>
        <v>3</v>
      </c>
      <c r="J154" s="60">
        <f t="shared" si="41"/>
        <v>17</v>
      </c>
      <c r="K154" s="60">
        <f t="shared" si="41"/>
        <v>4</v>
      </c>
      <c r="L154" s="60">
        <f t="shared" si="41"/>
        <v>19</v>
      </c>
      <c r="M154" s="60">
        <f t="shared" si="41"/>
        <v>4</v>
      </c>
      <c r="N154" s="60">
        <f t="shared" si="41"/>
        <v>13</v>
      </c>
      <c r="O154" s="60">
        <f t="shared" si="41"/>
        <v>19</v>
      </c>
      <c r="P154" s="60">
        <f t="shared" si="41"/>
        <v>10</v>
      </c>
      <c r="Q154" s="60">
        <f t="shared" si="41"/>
        <v>28</v>
      </c>
      <c r="R154" s="60">
        <f t="shared" si="41"/>
        <v>4</v>
      </c>
      <c r="S154" s="60">
        <f t="shared" si="41"/>
        <v>8</v>
      </c>
      <c r="T154" s="60">
        <f t="shared" si="41"/>
        <v>44</v>
      </c>
      <c r="U154" s="6">
        <f t="shared" si="40"/>
        <v>220</v>
      </c>
    </row>
    <row r="155" ht="12.75" customHeight="1">
      <c r="A155" s="54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6"/>
    </row>
    <row r="156" ht="12.75" customHeight="1">
      <c r="A156" s="32" t="s">
        <v>37</v>
      </c>
      <c r="B156" s="49" t="s">
        <v>133</v>
      </c>
      <c r="C156" s="50" t="s">
        <v>134</v>
      </c>
      <c r="D156" s="9"/>
      <c r="E156" s="13">
        <v>2.0</v>
      </c>
      <c r="F156" s="13">
        <v>4.0</v>
      </c>
      <c r="G156" s="13">
        <v>0.0</v>
      </c>
      <c r="H156" s="13">
        <v>0.0</v>
      </c>
      <c r="I156" s="13">
        <v>7.0</v>
      </c>
      <c r="J156" s="13">
        <v>4.0</v>
      </c>
      <c r="K156" s="13">
        <v>5.0</v>
      </c>
      <c r="L156" s="13">
        <v>0.0</v>
      </c>
      <c r="M156" s="13">
        <v>1.0</v>
      </c>
      <c r="N156" s="13">
        <v>0.0</v>
      </c>
      <c r="O156" s="13">
        <v>0.0</v>
      </c>
      <c r="P156" s="13">
        <v>2.0</v>
      </c>
      <c r="Q156" s="13">
        <v>0.0</v>
      </c>
      <c r="R156" s="13">
        <v>0.0</v>
      </c>
      <c r="S156" s="13">
        <v>0.0</v>
      </c>
      <c r="T156" s="13">
        <v>1.0</v>
      </c>
      <c r="U156" s="6">
        <f t="shared" ref="U156:U162" si="42">SUM(E156:T156)</f>
        <v>26</v>
      </c>
    </row>
    <row r="157" ht="12.75" customHeight="1">
      <c r="A157" s="32"/>
      <c r="B157" s="49"/>
      <c r="C157" s="52" t="s">
        <v>135</v>
      </c>
      <c r="D157" s="61"/>
      <c r="E157" s="13">
        <v>1.0</v>
      </c>
      <c r="F157" s="13">
        <v>3.0</v>
      </c>
      <c r="G157" s="13">
        <v>0.0</v>
      </c>
      <c r="H157" s="13">
        <v>0.0</v>
      </c>
      <c r="I157" s="13">
        <v>2.0</v>
      </c>
      <c r="J157" s="13">
        <v>0.0</v>
      </c>
      <c r="K157" s="13">
        <v>2.0</v>
      </c>
      <c r="L157" s="13">
        <v>1.0</v>
      </c>
      <c r="M157" s="13">
        <v>2.0</v>
      </c>
      <c r="N157" s="13">
        <v>0.0</v>
      </c>
      <c r="O157" s="13">
        <v>0.0</v>
      </c>
      <c r="P157" s="13">
        <v>0.0</v>
      </c>
      <c r="Q157" s="13">
        <v>0.0</v>
      </c>
      <c r="R157" s="13">
        <v>0.0</v>
      </c>
      <c r="S157" s="13">
        <v>3.0</v>
      </c>
      <c r="T157" s="13">
        <v>1.0</v>
      </c>
      <c r="U157" s="6">
        <f t="shared" si="42"/>
        <v>15</v>
      </c>
    </row>
    <row r="158" ht="12.75" customHeight="1">
      <c r="A158" s="32"/>
      <c r="B158" s="49"/>
      <c r="C158" s="52" t="s">
        <v>136</v>
      </c>
      <c r="D158" s="61"/>
      <c r="E158" s="13">
        <v>0.0</v>
      </c>
      <c r="F158" s="13">
        <v>1.0</v>
      </c>
      <c r="G158" s="13">
        <v>0.0</v>
      </c>
      <c r="H158" s="13">
        <v>1.0</v>
      </c>
      <c r="I158" s="13">
        <v>1.0</v>
      </c>
      <c r="J158" s="13">
        <v>1.0</v>
      </c>
      <c r="K158" s="13">
        <v>0.0</v>
      </c>
      <c r="L158" s="13">
        <v>0.0</v>
      </c>
      <c r="M158" s="13">
        <v>0.0</v>
      </c>
      <c r="N158" s="13">
        <v>1.0</v>
      </c>
      <c r="O158" s="13">
        <v>0.0</v>
      </c>
      <c r="P158" s="13">
        <v>1.0</v>
      </c>
      <c r="Q158" s="13">
        <v>0.0</v>
      </c>
      <c r="R158" s="13">
        <v>0.0</v>
      </c>
      <c r="S158" s="13">
        <v>0.0</v>
      </c>
      <c r="T158" s="13"/>
      <c r="U158" s="6">
        <f t="shared" si="42"/>
        <v>6</v>
      </c>
    </row>
    <row r="159" ht="12.75" customHeight="1">
      <c r="A159" s="32"/>
      <c r="B159" s="49"/>
      <c r="C159" s="52" t="s">
        <v>137</v>
      </c>
      <c r="D159" s="61"/>
      <c r="E159" s="13">
        <v>0.0</v>
      </c>
      <c r="F159" s="13">
        <v>0.0</v>
      </c>
      <c r="G159" s="13">
        <v>0.0</v>
      </c>
      <c r="H159" s="13">
        <v>0.0</v>
      </c>
      <c r="I159" s="13">
        <v>1.0</v>
      </c>
      <c r="J159" s="13">
        <v>1.0</v>
      </c>
      <c r="K159" s="13">
        <v>0.0</v>
      </c>
      <c r="L159" s="13">
        <v>0.0</v>
      </c>
      <c r="M159" s="13">
        <v>0.0</v>
      </c>
      <c r="N159" s="13">
        <v>2.0</v>
      </c>
      <c r="O159" s="13">
        <v>0.0</v>
      </c>
      <c r="P159" s="13">
        <v>1.0</v>
      </c>
      <c r="Q159" s="13">
        <v>0.0</v>
      </c>
      <c r="R159" s="13">
        <v>0.0</v>
      </c>
      <c r="S159" s="13">
        <v>0.0</v>
      </c>
      <c r="T159" s="13"/>
      <c r="U159" s="6">
        <f t="shared" si="42"/>
        <v>5</v>
      </c>
    </row>
    <row r="160" ht="12.75" customHeight="1">
      <c r="A160" s="32" t="s">
        <v>39</v>
      </c>
      <c r="B160" s="51"/>
      <c r="C160" s="52" t="s">
        <v>138</v>
      </c>
      <c r="D160" s="53"/>
      <c r="E160" s="13">
        <v>0.0</v>
      </c>
      <c r="F160" s="13">
        <v>1.0</v>
      </c>
      <c r="G160" s="13">
        <v>0.0</v>
      </c>
      <c r="H160" s="13">
        <v>1.0</v>
      </c>
      <c r="I160" s="13">
        <v>0.0</v>
      </c>
      <c r="J160" s="13">
        <v>0.0</v>
      </c>
      <c r="K160" s="13">
        <v>0.0</v>
      </c>
      <c r="L160" s="13">
        <v>0.0</v>
      </c>
      <c r="M160" s="13">
        <v>0.0</v>
      </c>
      <c r="N160" s="13">
        <v>0.0</v>
      </c>
      <c r="O160" s="13">
        <v>0.0</v>
      </c>
      <c r="P160" s="13">
        <v>0.0</v>
      </c>
      <c r="Q160" s="13">
        <v>0.0</v>
      </c>
      <c r="R160" s="13">
        <v>2.0</v>
      </c>
      <c r="S160" s="13">
        <v>0.0</v>
      </c>
      <c r="T160" s="13"/>
      <c r="U160" s="6">
        <f t="shared" si="42"/>
        <v>4</v>
      </c>
    </row>
    <row r="161" ht="12.75" customHeight="1">
      <c r="A161" s="32"/>
      <c r="B161" s="51"/>
      <c r="C161" s="52" t="s">
        <v>139</v>
      </c>
      <c r="D161" s="53"/>
      <c r="E161" s="13">
        <v>0.0</v>
      </c>
      <c r="F161" s="13">
        <v>0.0</v>
      </c>
      <c r="G161" s="13">
        <v>0.0</v>
      </c>
      <c r="H161" s="13">
        <v>0.0</v>
      </c>
      <c r="I161" s="13">
        <v>3.0</v>
      </c>
      <c r="J161" s="13">
        <v>0.0</v>
      </c>
      <c r="K161" s="13">
        <v>1.0</v>
      </c>
      <c r="L161" s="13">
        <v>0.0</v>
      </c>
      <c r="M161" s="13">
        <v>0.0</v>
      </c>
      <c r="N161" s="13">
        <v>0.0</v>
      </c>
      <c r="O161" s="13">
        <v>0.0</v>
      </c>
      <c r="P161" s="13">
        <v>2.0</v>
      </c>
      <c r="Q161" s="13">
        <v>1.0</v>
      </c>
      <c r="R161" s="13">
        <v>1.0</v>
      </c>
      <c r="S161" s="13">
        <v>2.0</v>
      </c>
      <c r="T161" s="13"/>
      <c r="U161" s="6">
        <f t="shared" si="42"/>
        <v>10</v>
      </c>
    </row>
    <row r="162" ht="12.75" customHeight="1">
      <c r="A162" s="13" t="s">
        <v>15</v>
      </c>
      <c r="B162" s="49" t="s">
        <v>46</v>
      </c>
      <c r="C162" s="8"/>
      <c r="D162" s="9"/>
      <c r="E162" s="60">
        <f t="shared" ref="E162:T162" si="43">SUM(E156:E161)</f>
        <v>3</v>
      </c>
      <c r="F162" s="60">
        <f t="shared" si="43"/>
        <v>9</v>
      </c>
      <c r="G162" s="60">
        <f t="shared" si="43"/>
        <v>0</v>
      </c>
      <c r="H162" s="60">
        <f t="shared" si="43"/>
        <v>2</v>
      </c>
      <c r="I162" s="60">
        <f t="shared" si="43"/>
        <v>14</v>
      </c>
      <c r="J162" s="60">
        <f t="shared" si="43"/>
        <v>6</v>
      </c>
      <c r="K162" s="60">
        <f t="shared" si="43"/>
        <v>8</v>
      </c>
      <c r="L162" s="60">
        <f t="shared" si="43"/>
        <v>1</v>
      </c>
      <c r="M162" s="60">
        <f t="shared" si="43"/>
        <v>3</v>
      </c>
      <c r="N162" s="60">
        <f t="shared" si="43"/>
        <v>3</v>
      </c>
      <c r="O162" s="60">
        <f t="shared" si="43"/>
        <v>0</v>
      </c>
      <c r="P162" s="60">
        <f t="shared" si="43"/>
        <v>6</v>
      </c>
      <c r="Q162" s="60">
        <f t="shared" si="43"/>
        <v>1</v>
      </c>
      <c r="R162" s="60">
        <f t="shared" si="43"/>
        <v>3</v>
      </c>
      <c r="S162" s="60">
        <f t="shared" si="43"/>
        <v>5</v>
      </c>
      <c r="T162" s="60">
        <f t="shared" si="43"/>
        <v>2</v>
      </c>
      <c r="U162" s="6">
        <f t="shared" si="42"/>
        <v>66</v>
      </c>
    </row>
    <row r="163" ht="12.75" customHeight="1">
      <c r="A163" s="54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6"/>
    </row>
    <row r="164" ht="12.75" customHeight="1">
      <c r="A164" s="32" t="s">
        <v>37</v>
      </c>
      <c r="B164" s="49" t="s">
        <v>140</v>
      </c>
      <c r="C164" s="50" t="s">
        <v>141</v>
      </c>
      <c r="D164" s="9"/>
      <c r="E164" s="13">
        <v>1.0</v>
      </c>
      <c r="F164" s="13">
        <v>2.0</v>
      </c>
      <c r="G164" s="13">
        <v>0.0</v>
      </c>
      <c r="H164" s="13">
        <v>1.0</v>
      </c>
      <c r="I164" s="13">
        <v>0.0</v>
      </c>
      <c r="J164" s="13">
        <v>0.0</v>
      </c>
      <c r="K164" s="13">
        <v>0.0</v>
      </c>
      <c r="L164" s="13">
        <v>0.0</v>
      </c>
      <c r="M164" s="13">
        <v>0.0</v>
      </c>
      <c r="N164" s="13">
        <v>0.0</v>
      </c>
      <c r="O164" s="13">
        <v>1.0</v>
      </c>
      <c r="P164" s="13">
        <v>1.0</v>
      </c>
      <c r="Q164" s="13">
        <v>0.0</v>
      </c>
      <c r="R164" s="13">
        <v>0.0</v>
      </c>
      <c r="S164" s="13">
        <v>2.0</v>
      </c>
      <c r="T164" s="13">
        <v>1.0</v>
      </c>
      <c r="U164" s="6">
        <f t="shared" ref="U164:U171" si="44">SUM(E164:T164)</f>
        <v>9</v>
      </c>
    </row>
    <row r="165" ht="12.75" customHeight="1">
      <c r="A165" s="32"/>
      <c r="B165" s="49"/>
      <c r="C165" s="52" t="s">
        <v>142</v>
      </c>
      <c r="D165" s="61"/>
      <c r="E165" s="13">
        <v>0.0</v>
      </c>
      <c r="F165" s="13">
        <v>0.0</v>
      </c>
      <c r="G165" s="13">
        <v>0.0</v>
      </c>
      <c r="H165" s="13">
        <v>0.0</v>
      </c>
      <c r="I165" s="13">
        <v>0.0</v>
      </c>
      <c r="J165" s="13">
        <v>0.0</v>
      </c>
      <c r="K165" s="13">
        <v>0.0</v>
      </c>
      <c r="L165" s="13">
        <v>0.0</v>
      </c>
      <c r="M165" s="13">
        <v>0.0</v>
      </c>
      <c r="N165" s="13">
        <v>0.0</v>
      </c>
      <c r="O165" s="13">
        <v>0.0</v>
      </c>
      <c r="P165" s="13">
        <v>0.0</v>
      </c>
      <c r="Q165" s="13">
        <v>0.0</v>
      </c>
      <c r="R165" s="13">
        <v>0.0</v>
      </c>
      <c r="S165" s="13">
        <v>0.0</v>
      </c>
      <c r="T165" s="13"/>
      <c r="U165" s="6">
        <f t="shared" si="44"/>
        <v>0</v>
      </c>
    </row>
    <row r="166" ht="12.75" customHeight="1">
      <c r="A166" s="32"/>
      <c r="B166" s="49"/>
      <c r="C166" s="52" t="s">
        <v>143</v>
      </c>
      <c r="D166" s="61"/>
      <c r="E166" s="13">
        <v>0.0</v>
      </c>
      <c r="F166" s="13">
        <v>0.0</v>
      </c>
      <c r="G166" s="13">
        <v>0.0</v>
      </c>
      <c r="H166" s="13">
        <v>0.0</v>
      </c>
      <c r="I166" s="13">
        <v>0.0</v>
      </c>
      <c r="J166" s="13">
        <v>0.0</v>
      </c>
      <c r="K166" s="13">
        <v>0.0</v>
      </c>
      <c r="L166" s="13">
        <v>0.0</v>
      </c>
      <c r="M166" s="13">
        <v>1.0</v>
      </c>
      <c r="N166" s="13">
        <v>0.0</v>
      </c>
      <c r="O166" s="13">
        <v>0.0</v>
      </c>
      <c r="P166" s="13">
        <v>0.0</v>
      </c>
      <c r="Q166" s="13">
        <v>0.0</v>
      </c>
      <c r="R166" s="13">
        <v>0.0</v>
      </c>
      <c r="S166" s="13">
        <v>0.0</v>
      </c>
      <c r="T166" s="13">
        <v>1.0</v>
      </c>
      <c r="U166" s="6">
        <f t="shared" si="44"/>
        <v>2</v>
      </c>
    </row>
    <row r="167" ht="12.75" customHeight="1">
      <c r="A167" s="32"/>
      <c r="B167" s="49"/>
      <c r="C167" s="52" t="s">
        <v>144</v>
      </c>
      <c r="D167" s="61"/>
      <c r="E167" s="13">
        <v>0.0</v>
      </c>
      <c r="F167" s="13">
        <v>0.0</v>
      </c>
      <c r="G167" s="13">
        <v>0.0</v>
      </c>
      <c r="H167" s="13">
        <v>0.0</v>
      </c>
      <c r="I167" s="13">
        <v>0.0</v>
      </c>
      <c r="J167" s="13">
        <v>0.0</v>
      </c>
      <c r="K167" s="13">
        <v>0.0</v>
      </c>
      <c r="L167" s="13">
        <v>0.0</v>
      </c>
      <c r="M167" s="13">
        <v>0.0</v>
      </c>
      <c r="N167" s="13">
        <v>0.0</v>
      </c>
      <c r="O167" s="13">
        <v>0.0</v>
      </c>
      <c r="P167" s="13">
        <v>0.0</v>
      </c>
      <c r="Q167" s="13">
        <v>0.0</v>
      </c>
      <c r="R167" s="13">
        <v>0.0</v>
      </c>
      <c r="S167" s="13">
        <v>0.0</v>
      </c>
      <c r="T167" s="13"/>
      <c r="U167" s="6">
        <f t="shared" si="44"/>
        <v>0</v>
      </c>
    </row>
    <row r="168" ht="12.75" customHeight="1">
      <c r="A168" s="32" t="s">
        <v>39</v>
      </c>
      <c r="B168" s="51"/>
      <c r="C168" s="52" t="s">
        <v>145</v>
      </c>
      <c r="D168" s="53"/>
      <c r="E168" s="13">
        <v>0.0</v>
      </c>
      <c r="F168" s="13">
        <v>0.0</v>
      </c>
      <c r="G168" s="13">
        <v>0.0</v>
      </c>
      <c r="H168" s="13">
        <v>0.0</v>
      </c>
      <c r="I168" s="13">
        <v>0.0</v>
      </c>
      <c r="J168" s="13">
        <v>0.0</v>
      </c>
      <c r="K168" s="13">
        <v>0.0</v>
      </c>
      <c r="L168" s="13">
        <v>0.0</v>
      </c>
      <c r="M168" s="13">
        <v>0.0</v>
      </c>
      <c r="N168" s="13">
        <v>0.0</v>
      </c>
      <c r="O168" s="13">
        <v>2.0</v>
      </c>
      <c r="P168" s="13">
        <v>0.0</v>
      </c>
      <c r="Q168" s="13">
        <v>0.0</v>
      </c>
      <c r="R168" s="13">
        <v>0.0</v>
      </c>
      <c r="S168" s="13">
        <v>0.0</v>
      </c>
      <c r="T168" s="13"/>
      <c r="U168" s="6">
        <f t="shared" si="44"/>
        <v>2</v>
      </c>
    </row>
    <row r="169" ht="12.75" customHeight="1">
      <c r="A169" s="18"/>
      <c r="B169" s="51"/>
      <c r="C169" s="52" t="s">
        <v>146</v>
      </c>
      <c r="D169" s="53"/>
      <c r="E169" s="13">
        <v>0.0</v>
      </c>
      <c r="F169" s="13">
        <v>0.0</v>
      </c>
      <c r="G169" s="13">
        <v>0.0</v>
      </c>
      <c r="H169" s="13">
        <v>0.0</v>
      </c>
      <c r="I169" s="13">
        <v>0.0</v>
      </c>
      <c r="J169" s="13">
        <v>2.0</v>
      </c>
      <c r="K169" s="13">
        <v>0.0</v>
      </c>
      <c r="L169" s="13">
        <v>0.0</v>
      </c>
      <c r="M169" s="13">
        <v>0.0</v>
      </c>
      <c r="N169" s="13">
        <v>1.0</v>
      </c>
      <c r="O169" s="13">
        <v>0.0</v>
      </c>
      <c r="P169" s="13">
        <v>0.0</v>
      </c>
      <c r="Q169" s="13">
        <v>0.0</v>
      </c>
      <c r="R169" s="13">
        <v>0.0</v>
      </c>
      <c r="S169" s="13">
        <v>0.0</v>
      </c>
      <c r="T169" s="13">
        <v>3.0</v>
      </c>
      <c r="U169" s="6">
        <f t="shared" si="44"/>
        <v>6</v>
      </c>
    </row>
    <row r="170" ht="12.75" customHeight="1">
      <c r="A170" s="18"/>
      <c r="B170" s="51"/>
      <c r="C170" s="52" t="s">
        <v>147</v>
      </c>
      <c r="D170" s="53"/>
      <c r="E170" s="13">
        <v>0.0</v>
      </c>
      <c r="F170" s="13">
        <v>0.0</v>
      </c>
      <c r="G170" s="13">
        <v>0.0</v>
      </c>
      <c r="H170" s="13">
        <v>0.0</v>
      </c>
      <c r="I170" s="13">
        <v>0.0</v>
      </c>
      <c r="J170" s="13">
        <v>0.0</v>
      </c>
      <c r="K170" s="13">
        <v>0.0</v>
      </c>
      <c r="L170" s="13">
        <v>0.0</v>
      </c>
      <c r="M170" s="13">
        <v>0.0</v>
      </c>
      <c r="N170" s="13">
        <v>0.0</v>
      </c>
      <c r="O170" s="13">
        <v>0.0</v>
      </c>
      <c r="P170" s="13">
        <v>0.0</v>
      </c>
      <c r="Q170" s="13">
        <v>0.0</v>
      </c>
      <c r="R170" s="13">
        <v>0.0</v>
      </c>
      <c r="S170" s="13">
        <v>2.0</v>
      </c>
      <c r="T170" s="13"/>
      <c r="U170" s="6">
        <f t="shared" si="44"/>
        <v>2</v>
      </c>
    </row>
    <row r="171" ht="12.75" customHeight="1">
      <c r="A171" s="13" t="s">
        <v>15</v>
      </c>
      <c r="B171" s="49" t="s">
        <v>46</v>
      </c>
      <c r="C171" s="8"/>
      <c r="D171" s="9"/>
      <c r="E171" s="60">
        <f t="shared" ref="E171:T171" si="45">SUM(E164:E170)</f>
        <v>1</v>
      </c>
      <c r="F171" s="60">
        <f t="shared" si="45"/>
        <v>2</v>
      </c>
      <c r="G171" s="60">
        <f t="shared" si="45"/>
        <v>0</v>
      </c>
      <c r="H171" s="60">
        <f t="shared" si="45"/>
        <v>1</v>
      </c>
      <c r="I171" s="60">
        <f t="shared" si="45"/>
        <v>0</v>
      </c>
      <c r="J171" s="60">
        <f t="shared" si="45"/>
        <v>2</v>
      </c>
      <c r="K171" s="60">
        <f t="shared" si="45"/>
        <v>0</v>
      </c>
      <c r="L171" s="60">
        <f t="shared" si="45"/>
        <v>0</v>
      </c>
      <c r="M171" s="60">
        <f t="shared" si="45"/>
        <v>1</v>
      </c>
      <c r="N171" s="60">
        <f t="shared" si="45"/>
        <v>1</v>
      </c>
      <c r="O171" s="60">
        <f t="shared" si="45"/>
        <v>3</v>
      </c>
      <c r="P171" s="60">
        <f t="shared" si="45"/>
        <v>1</v>
      </c>
      <c r="Q171" s="60">
        <f t="shared" si="45"/>
        <v>0</v>
      </c>
      <c r="R171" s="60">
        <f t="shared" si="45"/>
        <v>0</v>
      </c>
      <c r="S171" s="60">
        <f t="shared" si="45"/>
        <v>4</v>
      </c>
      <c r="T171" s="60">
        <f t="shared" si="45"/>
        <v>5</v>
      </c>
      <c r="U171" s="6">
        <f t="shared" si="44"/>
        <v>21</v>
      </c>
    </row>
    <row r="172" ht="12.75" customHeight="1">
      <c r="A172" s="54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6"/>
    </row>
    <row r="173" ht="12.75" customHeight="1">
      <c r="A173" s="32" t="s">
        <v>37</v>
      </c>
      <c r="B173" s="49" t="s">
        <v>148</v>
      </c>
      <c r="C173" s="50" t="s">
        <v>149</v>
      </c>
      <c r="D173" s="9"/>
      <c r="E173" s="13">
        <v>2.0</v>
      </c>
      <c r="F173" s="13">
        <v>0.0</v>
      </c>
      <c r="G173" s="13">
        <v>0.0</v>
      </c>
      <c r="H173" s="13">
        <v>0.0</v>
      </c>
      <c r="I173" s="13">
        <v>0.0</v>
      </c>
      <c r="J173" s="13">
        <v>1.0</v>
      </c>
      <c r="K173" s="13">
        <v>0.0</v>
      </c>
      <c r="L173" s="13">
        <v>0.0</v>
      </c>
      <c r="M173" s="13">
        <v>1.0</v>
      </c>
      <c r="N173" s="13">
        <v>0.0</v>
      </c>
      <c r="O173" s="13">
        <v>1.0</v>
      </c>
      <c r="P173" s="13"/>
      <c r="Q173" s="70">
        <v>3.0</v>
      </c>
      <c r="R173" s="70">
        <v>1.0</v>
      </c>
      <c r="S173" s="70">
        <v>0.0</v>
      </c>
      <c r="T173" s="13"/>
      <c r="U173" s="6">
        <f t="shared" ref="U173:U180" si="46">SUM(E173:T173)</f>
        <v>9</v>
      </c>
    </row>
    <row r="174" ht="12.75" customHeight="1">
      <c r="A174" s="32" t="s">
        <v>39</v>
      </c>
      <c r="B174" s="51"/>
      <c r="C174" s="52" t="s">
        <v>150</v>
      </c>
      <c r="D174" s="53"/>
      <c r="E174" s="13">
        <v>0.0</v>
      </c>
      <c r="F174" s="13">
        <v>2.0</v>
      </c>
      <c r="G174" s="13">
        <v>1.0</v>
      </c>
      <c r="H174" s="13">
        <v>1.0</v>
      </c>
      <c r="I174" s="13">
        <v>3.0</v>
      </c>
      <c r="J174" s="13">
        <v>0.0</v>
      </c>
      <c r="K174" s="13">
        <v>2.0</v>
      </c>
      <c r="L174" s="13">
        <v>2.0</v>
      </c>
      <c r="M174" s="13">
        <v>0.0</v>
      </c>
      <c r="N174" s="13">
        <v>2.0</v>
      </c>
      <c r="O174" s="13">
        <v>0.0</v>
      </c>
      <c r="P174" s="13"/>
      <c r="Q174" s="70">
        <v>0.0</v>
      </c>
      <c r="R174" s="70">
        <v>0.0</v>
      </c>
      <c r="S174" s="70">
        <v>0.0</v>
      </c>
      <c r="T174" s="13"/>
      <c r="U174" s="6">
        <f t="shared" si="46"/>
        <v>13</v>
      </c>
    </row>
    <row r="175" ht="12.75" customHeight="1">
      <c r="A175" s="18"/>
      <c r="B175" s="51"/>
      <c r="C175" s="52" t="s">
        <v>151</v>
      </c>
      <c r="D175" s="53"/>
      <c r="E175" s="13">
        <v>0.0</v>
      </c>
      <c r="F175" s="13">
        <v>0.0</v>
      </c>
      <c r="G175" s="13">
        <v>1.0</v>
      </c>
      <c r="H175" s="13">
        <v>0.0</v>
      </c>
      <c r="I175" s="13">
        <v>1.0</v>
      </c>
      <c r="J175" s="13">
        <v>1.0</v>
      </c>
      <c r="K175" s="13">
        <v>0.0</v>
      </c>
      <c r="L175" s="13">
        <v>0.0</v>
      </c>
      <c r="M175" s="13">
        <v>1.0</v>
      </c>
      <c r="N175" s="13">
        <v>0.0</v>
      </c>
      <c r="O175" s="13">
        <v>2.0</v>
      </c>
      <c r="P175" s="13"/>
      <c r="Q175" s="70">
        <v>0.0</v>
      </c>
      <c r="R175" s="70">
        <v>1.0</v>
      </c>
      <c r="S175" s="70">
        <v>0.0</v>
      </c>
      <c r="T175" s="13"/>
      <c r="U175" s="6">
        <f t="shared" si="46"/>
        <v>7</v>
      </c>
    </row>
    <row r="176" ht="12.75" customHeight="1">
      <c r="A176" s="18"/>
      <c r="B176" s="51"/>
      <c r="C176" s="52" t="s">
        <v>152</v>
      </c>
      <c r="D176" s="53"/>
      <c r="E176" s="13">
        <v>4.0</v>
      </c>
      <c r="F176" s="13">
        <v>4.0</v>
      </c>
      <c r="G176" s="13">
        <v>3.0</v>
      </c>
      <c r="H176" s="13">
        <v>5.0</v>
      </c>
      <c r="I176" s="13">
        <v>5.0</v>
      </c>
      <c r="J176" s="13">
        <v>3.0</v>
      </c>
      <c r="K176" s="13">
        <v>5.0</v>
      </c>
      <c r="L176" s="13">
        <v>15.0</v>
      </c>
      <c r="M176" s="13">
        <v>2.0</v>
      </c>
      <c r="N176" s="13">
        <v>0.0</v>
      </c>
      <c r="O176" s="13">
        <v>5.0</v>
      </c>
      <c r="P176" s="71">
        <v>15.0</v>
      </c>
      <c r="Q176" s="71">
        <v>5.0</v>
      </c>
      <c r="R176" s="70">
        <v>1.0</v>
      </c>
      <c r="S176" s="70">
        <v>14.0</v>
      </c>
      <c r="T176" s="13"/>
      <c r="U176" s="6">
        <f t="shared" si="46"/>
        <v>86</v>
      </c>
    </row>
    <row r="177" ht="12.75" customHeight="1">
      <c r="A177" s="18"/>
      <c r="B177" s="51"/>
      <c r="C177" s="52" t="s">
        <v>153</v>
      </c>
      <c r="D177" s="53"/>
      <c r="E177" s="13">
        <v>0.0</v>
      </c>
      <c r="F177" s="13">
        <v>1.0</v>
      </c>
      <c r="G177" s="13">
        <v>0.0</v>
      </c>
      <c r="H177" s="13">
        <v>0.0</v>
      </c>
      <c r="I177" s="13">
        <v>0.0</v>
      </c>
      <c r="J177" s="13">
        <v>0.0</v>
      </c>
      <c r="K177" s="13">
        <v>0.0</v>
      </c>
      <c r="L177" s="13">
        <v>0.0</v>
      </c>
      <c r="M177" s="13">
        <v>0.0</v>
      </c>
      <c r="N177" s="13">
        <v>0.0</v>
      </c>
      <c r="O177" s="13">
        <v>0.0</v>
      </c>
      <c r="P177" s="13"/>
      <c r="Q177" s="70">
        <v>0.0</v>
      </c>
      <c r="R177" s="70">
        <v>0.0</v>
      </c>
      <c r="S177" s="70">
        <v>1.0</v>
      </c>
      <c r="T177" s="13"/>
      <c r="U177" s="6">
        <f t="shared" si="46"/>
        <v>2</v>
      </c>
    </row>
    <row r="178" ht="12.75" customHeight="1">
      <c r="A178" s="18"/>
      <c r="B178" s="51"/>
      <c r="C178" s="52" t="s">
        <v>154</v>
      </c>
      <c r="D178" s="53"/>
      <c r="E178" s="13">
        <v>0.0</v>
      </c>
      <c r="F178" s="13">
        <v>0.0</v>
      </c>
      <c r="G178" s="13">
        <v>0.0</v>
      </c>
      <c r="H178" s="13">
        <v>1.0</v>
      </c>
      <c r="I178" s="13">
        <v>0.0</v>
      </c>
      <c r="J178" s="13">
        <v>0.0</v>
      </c>
      <c r="K178" s="13">
        <v>0.0</v>
      </c>
      <c r="L178" s="13">
        <v>0.0</v>
      </c>
      <c r="M178" s="13">
        <v>1.0</v>
      </c>
      <c r="N178" s="13">
        <v>1.0</v>
      </c>
      <c r="O178" s="13">
        <v>0.0</v>
      </c>
      <c r="P178" s="13">
        <v>1.0</v>
      </c>
      <c r="Q178" s="70">
        <v>0.0</v>
      </c>
      <c r="R178" s="70">
        <v>0.0</v>
      </c>
      <c r="S178" s="70">
        <v>1.0</v>
      </c>
      <c r="T178" s="13"/>
      <c r="U178" s="6">
        <f t="shared" si="46"/>
        <v>5</v>
      </c>
    </row>
    <row r="179" ht="12.75" customHeight="1">
      <c r="A179" s="18"/>
      <c r="B179" s="51"/>
      <c r="C179" s="52" t="s">
        <v>155</v>
      </c>
      <c r="D179" s="53"/>
      <c r="E179" s="13">
        <v>0.0</v>
      </c>
      <c r="F179" s="13">
        <v>0.0</v>
      </c>
      <c r="G179" s="13">
        <v>2.0</v>
      </c>
      <c r="H179" s="13">
        <v>0.0</v>
      </c>
      <c r="I179" s="13">
        <v>0.0</v>
      </c>
      <c r="J179" s="13">
        <v>1.0</v>
      </c>
      <c r="K179" s="13">
        <v>0.0</v>
      </c>
      <c r="L179" s="13">
        <v>0.0</v>
      </c>
      <c r="M179" s="13">
        <v>0.0</v>
      </c>
      <c r="N179" s="13">
        <v>0.0</v>
      </c>
      <c r="O179" s="13">
        <v>0.0</v>
      </c>
      <c r="P179" s="13"/>
      <c r="Q179" s="70">
        <v>0.0</v>
      </c>
      <c r="R179" s="70">
        <v>0.0</v>
      </c>
      <c r="S179" s="70">
        <v>0.0</v>
      </c>
      <c r="T179" s="13"/>
      <c r="U179" s="6">
        <f t="shared" si="46"/>
        <v>3</v>
      </c>
    </row>
    <row r="180" ht="12.75" customHeight="1">
      <c r="A180" s="13" t="s">
        <v>15</v>
      </c>
      <c r="B180" s="49" t="s">
        <v>46</v>
      </c>
      <c r="C180" s="8"/>
      <c r="D180" s="9"/>
      <c r="E180" s="60">
        <f t="shared" ref="E180:T180" si="47">SUM(E173:E179)</f>
        <v>6</v>
      </c>
      <c r="F180" s="60">
        <f t="shared" si="47"/>
        <v>7</v>
      </c>
      <c r="G180" s="60">
        <f t="shared" si="47"/>
        <v>7</v>
      </c>
      <c r="H180" s="60">
        <f t="shared" si="47"/>
        <v>7</v>
      </c>
      <c r="I180" s="60">
        <f t="shared" si="47"/>
        <v>9</v>
      </c>
      <c r="J180" s="60">
        <f t="shared" si="47"/>
        <v>6</v>
      </c>
      <c r="K180" s="60">
        <f t="shared" si="47"/>
        <v>7</v>
      </c>
      <c r="L180" s="60">
        <f t="shared" si="47"/>
        <v>17</v>
      </c>
      <c r="M180" s="60">
        <f t="shared" si="47"/>
        <v>5</v>
      </c>
      <c r="N180" s="60">
        <f t="shared" si="47"/>
        <v>3</v>
      </c>
      <c r="O180" s="60">
        <f t="shared" si="47"/>
        <v>8</v>
      </c>
      <c r="P180" s="60">
        <f t="shared" si="47"/>
        <v>16</v>
      </c>
      <c r="Q180" s="60">
        <f t="shared" si="47"/>
        <v>8</v>
      </c>
      <c r="R180" s="60">
        <f t="shared" si="47"/>
        <v>3</v>
      </c>
      <c r="S180" s="60">
        <f t="shared" si="47"/>
        <v>16</v>
      </c>
      <c r="T180" s="60">
        <f t="shared" si="47"/>
        <v>0</v>
      </c>
      <c r="U180" s="6">
        <f t="shared" si="46"/>
        <v>125</v>
      </c>
    </row>
    <row r="181" ht="12.75" customHeight="1">
      <c r="A181" s="54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6"/>
    </row>
    <row r="182" ht="12.75" customHeight="1">
      <c r="A182" s="32" t="s">
        <v>37</v>
      </c>
      <c r="B182" s="49" t="s">
        <v>156</v>
      </c>
      <c r="C182" s="50" t="s">
        <v>157</v>
      </c>
      <c r="D182" s="9"/>
      <c r="E182" s="13">
        <v>0.0</v>
      </c>
      <c r="F182" s="13">
        <v>0.0</v>
      </c>
      <c r="G182" s="13">
        <v>0.0</v>
      </c>
      <c r="H182" s="13">
        <v>0.0</v>
      </c>
      <c r="I182" s="13">
        <v>0.0</v>
      </c>
      <c r="J182" s="13">
        <v>0.0</v>
      </c>
      <c r="K182" s="13">
        <v>0.0</v>
      </c>
      <c r="L182" s="13">
        <v>0.0</v>
      </c>
      <c r="M182" s="13">
        <v>0.0</v>
      </c>
      <c r="N182" s="13">
        <v>0.0</v>
      </c>
      <c r="O182" s="13">
        <v>0.0</v>
      </c>
      <c r="P182" s="13">
        <v>0.0</v>
      </c>
      <c r="Q182" s="13">
        <v>0.0</v>
      </c>
      <c r="R182" s="13">
        <v>0.0</v>
      </c>
      <c r="S182" s="13"/>
      <c r="T182" s="13"/>
      <c r="U182" s="6">
        <f t="shared" ref="U182:U187" si="48">SUM(E182:T182)</f>
        <v>0</v>
      </c>
    </row>
    <row r="183" ht="12.75" customHeight="1">
      <c r="A183" s="32"/>
      <c r="B183" s="49"/>
      <c r="C183" s="52" t="s">
        <v>158</v>
      </c>
      <c r="D183" s="61"/>
      <c r="E183" s="13">
        <v>1.0</v>
      </c>
      <c r="F183" s="13">
        <v>0.0</v>
      </c>
      <c r="G183" s="13">
        <v>0.0</v>
      </c>
      <c r="H183" s="13">
        <v>0.0</v>
      </c>
      <c r="I183" s="13">
        <v>0.0</v>
      </c>
      <c r="J183" s="13">
        <v>0.0</v>
      </c>
      <c r="K183" s="13">
        <v>0.0</v>
      </c>
      <c r="L183" s="13">
        <v>1.0</v>
      </c>
      <c r="M183" s="13">
        <v>1.0</v>
      </c>
      <c r="N183" s="13">
        <v>0.0</v>
      </c>
      <c r="O183" s="13">
        <v>0.0</v>
      </c>
      <c r="P183" s="13">
        <v>0.0</v>
      </c>
      <c r="Q183" s="13">
        <v>1.0</v>
      </c>
      <c r="R183" s="13">
        <v>0.0</v>
      </c>
      <c r="S183" s="13">
        <v>1.0</v>
      </c>
      <c r="T183" s="13"/>
      <c r="U183" s="6">
        <f t="shared" si="48"/>
        <v>5</v>
      </c>
    </row>
    <row r="184" ht="12.75" customHeight="1">
      <c r="A184" s="32"/>
      <c r="B184" s="49"/>
      <c r="C184" s="52" t="s">
        <v>159</v>
      </c>
      <c r="D184" s="61"/>
      <c r="E184" s="13">
        <v>1.0</v>
      </c>
      <c r="F184" s="13">
        <v>0.0</v>
      </c>
      <c r="G184" s="13">
        <v>0.0</v>
      </c>
      <c r="H184" s="13">
        <v>1.0</v>
      </c>
      <c r="I184" s="13">
        <v>0.0</v>
      </c>
      <c r="J184" s="13">
        <v>0.0</v>
      </c>
      <c r="K184" s="13">
        <v>0.0</v>
      </c>
      <c r="L184" s="13">
        <v>0.0</v>
      </c>
      <c r="M184" s="13">
        <v>0.0</v>
      </c>
      <c r="N184" s="13">
        <v>0.0</v>
      </c>
      <c r="O184" s="13">
        <v>0.0</v>
      </c>
      <c r="P184" s="13">
        <v>0.0</v>
      </c>
      <c r="Q184" s="13">
        <v>0.0</v>
      </c>
      <c r="R184" s="13">
        <v>0.0</v>
      </c>
      <c r="S184" s="13">
        <v>1.0</v>
      </c>
      <c r="T184" s="13"/>
      <c r="U184" s="6">
        <f t="shared" si="48"/>
        <v>3</v>
      </c>
    </row>
    <row r="185" ht="12.75" customHeight="1">
      <c r="A185" s="32"/>
      <c r="B185" s="49"/>
      <c r="C185" s="52" t="s">
        <v>160</v>
      </c>
      <c r="D185" s="61"/>
      <c r="E185" s="13">
        <v>0.0</v>
      </c>
      <c r="F185" s="13">
        <v>0.0</v>
      </c>
      <c r="G185" s="13">
        <v>0.0</v>
      </c>
      <c r="H185" s="13">
        <v>0.0</v>
      </c>
      <c r="I185" s="13">
        <v>0.0</v>
      </c>
      <c r="J185" s="13">
        <v>0.0</v>
      </c>
      <c r="K185" s="13">
        <v>0.0</v>
      </c>
      <c r="L185" s="13">
        <v>0.0</v>
      </c>
      <c r="M185" s="13">
        <v>0.0</v>
      </c>
      <c r="N185" s="13">
        <v>0.0</v>
      </c>
      <c r="O185" s="13">
        <v>0.0</v>
      </c>
      <c r="P185" s="13">
        <v>0.0</v>
      </c>
      <c r="Q185" s="13">
        <v>0.0</v>
      </c>
      <c r="R185" s="13">
        <v>0.0</v>
      </c>
      <c r="S185" s="13"/>
      <c r="T185" s="13"/>
      <c r="U185" s="6">
        <f t="shared" si="48"/>
        <v>0</v>
      </c>
    </row>
    <row r="186" ht="12.75" customHeight="1">
      <c r="A186" s="32" t="s">
        <v>39</v>
      </c>
      <c r="B186" s="51"/>
      <c r="C186" s="52" t="s">
        <v>161</v>
      </c>
      <c r="D186" s="53"/>
      <c r="E186" s="13">
        <v>0.0</v>
      </c>
      <c r="F186" s="13">
        <v>0.0</v>
      </c>
      <c r="G186" s="13">
        <v>0.0</v>
      </c>
      <c r="H186" s="13">
        <v>0.0</v>
      </c>
      <c r="I186" s="13">
        <v>0.0</v>
      </c>
      <c r="J186" s="13">
        <v>0.0</v>
      </c>
      <c r="K186" s="13">
        <v>0.0</v>
      </c>
      <c r="L186" s="13">
        <v>0.0</v>
      </c>
      <c r="M186" s="13">
        <v>0.0</v>
      </c>
      <c r="N186" s="13">
        <v>0.0</v>
      </c>
      <c r="O186" s="13">
        <v>0.0</v>
      </c>
      <c r="P186" s="13">
        <v>0.0</v>
      </c>
      <c r="Q186" s="13">
        <v>0.0</v>
      </c>
      <c r="R186" s="13">
        <v>0.0</v>
      </c>
      <c r="S186" s="13"/>
      <c r="T186" s="13"/>
      <c r="U186" s="6">
        <f t="shared" si="48"/>
        <v>0</v>
      </c>
    </row>
    <row r="187" ht="12.75" customHeight="1">
      <c r="A187" s="13" t="s">
        <v>15</v>
      </c>
      <c r="B187" s="49" t="s">
        <v>46</v>
      </c>
      <c r="C187" s="8"/>
      <c r="D187" s="9"/>
      <c r="E187" s="60">
        <f t="shared" ref="E187:T187" si="49">SUM(E182:E186)</f>
        <v>2</v>
      </c>
      <c r="F187" s="60">
        <f t="shared" si="49"/>
        <v>0</v>
      </c>
      <c r="G187" s="60">
        <f t="shared" si="49"/>
        <v>0</v>
      </c>
      <c r="H187" s="60">
        <f t="shared" si="49"/>
        <v>1</v>
      </c>
      <c r="I187" s="60">
        <f t="shared" si="49"/>
        <v>0</v>
      </c>
      <c r="J187" s="60">
        <f t="shared" si="49"/>
        <v>0</v>
      </c>
      <c r="K187" s="60">
        <f t="shared" si="49"/>
        <v>0</v>
      </c>
      <c r="L187" s="60">
        <f t="shared" si="49"/>
        <v>1</v>
      </c>
      <c r="M187" s="60">
        <f t="shared" si="49"/>
        <v>1</v>
      </c>
      <c r="N187" s="60">
        <f t="shared" si="49"/>
        <v>0</v>
      </c>
      <c r="O187" s="60">
        <f t="shared" si="49"/>
        <v>0</v>
      </c>
      <c r="P187" s="60">
        <f t="shared" si="49"/>
        <v>0</v>
      </c>
      <c r="Q187" s="60">
        <f t="shared" si="49"/>
        <v>1</v>
      </c>
      <c r="R187" s="60">
        <f t="shared" si="49"/>
        <v>0</v>
      </c>
      <c r="S187" s="60">
        <f t="shared" si="49"/>
        <v>2</v>
      </c>
      <c r="T187" s="60">
        <f t="shared" si="49"/>
        <v>0</v>
      </c>
      <c r="U187" s="6">
        <f t="shared" si="48"/>
        <v>8</v>
      </c>
    </row>
    <row r="188" ht="12.75" customHeight="1">
      <c r="A188" s="21"/>
      <c r="B188" s="8"/>
      <c r="C188" s="8"/>
      <c r="D188" s="9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6"/>
    </row>
    <row r="189" ht="12.75" customHeight="1">
      <c r="A189" s="47"/>
      <c r="B189" s="46"/>
      <c r="C189" s="46"/>
      <c r="D189" s="27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6"/>
    </row>
    <row r="190" ht="12.75" customHeight="1">
      <c r="A190" s="44" t="s">
        <v>162</v>
      </c>
      <c r="B190" s="7" t="s">
        <v>163</v>
      </c>
      <c r="C190" s="8"/>
      <c r="D190" s="9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 ht="12.75" customHeight="1">
      <c r="A191" s="44"/>
      <c r="B191" s="63" t="s">
        <v>164</v>
      </c>
      <c r="C191" s="64" t="s">
        <v>165</v>
      </c>
      <c r="D191" s="9"/>
      <c r="E191" s="13">
        <f t="shared" ref="E191:T191" si="50">E187+E180+E171+E162+E154+E145+E136+E127+E123+E114+E110+E101+E92+E88+E79+E70+E61+E52</f>
        <v>198</v>
      </c>
      <c r="F191" s="13">
        <f t="shared" si="50"/>
        <v>194</v>
      </c>
      <c r="G191" s="13">
        <f t="shared" si="50"/>
        <v>202</v>
      </c>
      <c r="H191" s="13">
        <f t="shared" si="50"/>
        <v>207</v>
      </c>
      <c r="I191" s="13">
        <f t="shared" si="50"/>
        <v>221</v>
      </c>
      <c r="J191" s="13">
        <f t="shared" si="50"/>
        <v>225</v>
      </c>
      <c r="K191" s="13">
        <f t="shared" si="50"/>
        <v>219</v>
      </c>
      <c r="L191" s="13">
        <f t="shared" si="50"/>
        <v>192</v>
      </c>
      <c r="M191" s="13">
        <f t="shared" si="50"/>
        <v>148</v>
      </c>
      <c r="N191" s="13">
        <f t="shared" si="50"/>
        <v>232</v>
      </c>
      <c r="O191" s="13">
        <f t="shared" si="50"/>
        <v>165</v>
      </c>
      <c r="P191" s="13">
        <f t="shared" si="50"/>
        <v>165</v>
      </c>
      <c r="Q191" s="13">
        <f t="shared" si="50"/>
        <v>184</v>
      </c>
      <c r="R191" s="13">
        <f t="shared" si="50"/>
        <v>155</v>
      </c>
      <c r="S191" s="13">
        <f t="shared" si="50"/>
        <v>215</v>
      </c>
      <c r="T191" s="13">
        <f t="shared" si="50"/>
        <v>165</v>
      </c>
      <c r="U191" s="6">
        <f t="shared" ref="U191:U193" si="51">SUM(E191:T191)</f>
        <v>3087</v>
      </c>
    </row>
    <row r="192" ht="12.75" customHeight="1">
      <c r="A192" s="37"/>
      <c r="B192" s="63" t="s">
        <v>166</v>
      </c>
      <c r="C192" s="64" t="s">
        <v>167</v>
      </c>
      <c r="D192" s="9"/>
      <c r="E192" s="13">
        <v>18.0</v>
      </c>
      <c r="F192" s="13">
        <v>34.0</v>
      </c>
      <c r="G192" s="13">
        <v>9.0</v>
      </c>
      <c r="H192" s="13">
        <v>16.0</v>
      </c>
      <c r="I192" s="13">
        <v>13.0</v>
      </c>
      <c r="J192" s="13">
        <v>17.0</v>
      </c>
      <c r="K192" s="13">
        <v>17.0</v>
      </c>
      <c r="L192" s="13">
        <v>15.0</v>
      </c>
      <c r="M192" s="13">
        <v>5.0</v>
      </c>
      <c r="N192" s="13">
        <v>11.0</v>
      </c>
      <c r="O192" s="13">
        <v>16.0</v>
      </c>
      <c r="P192" s="13">
        <v>25.0</v>
      </c>
      <c r="Q192" s="13">
        <v>28.0</v>
      </c>
      <c r="R192" s="13">
        <v>26.0</v>
      </c>
      <c r="S192" s="13">
        <v>20.0</v>
      </c>
      <c r="T192" s="13">
        <v>14.0</v>
      </c>
      <c r="U192" s="6">
        <f t="shared" si="51"/>
        <v>284</v>
      </c>
    </row>
    <row r="193" ht="12.75" customHeight="1">
      <c r="A193" s="42"/>
      <c r="B193" s="63" t="s">
        <v>168</v>
      </c>
      <c r="C193" s="64" t="s">
        <v>169</v>
      </c>
      <c r="D193" s="9"/>
      <c r="E193" s="6">
        <f t="shared" ref="E193:T193" si="52">SUM(E191:E192)</f>
        <v>216</v>
      </c>
      <c r="F193" s="6">
        <f t="shared" si="52"/>
        <v>228</v>
      </c>
      <c r="G193" s="6">
        <f t="shared" si="52"/>
        <v>211</v>
      </c>
      <c r="H193" s="6">
        <f t="shared" si="52"/>
        <v>223</v>
      </c>
      <c r="I193" s="6">
        <f t="shared" si="52"/>
        <v>234</v>
      </c>
      <c r="J193" s="6">
        <f t="shared" si="52"/>
        <v>242</v>
      </c>
      <c r="K193" s="6">
        <f t="shared" si="52"/>
        <v>236</v>
      </c>
      <c r="L193" s="6">
        <f t="shared" si="52"/>
        <v>207</v>
      </c>
      <c r="M193" s="6">
        <f t="shared" si="52"/>
        <v>153</v>
      </c>
      <c r="N193" s="6">
        <f t="shared" si="52"/>
        <v>243</v>
      </c>
      <c r="O193" s="6">
        <f t="shared" si="52"/>
        <v>181</v>
      </c>
      <c r="P193" s="6">
        <f t="shared" si="52"/>
        <v>190</v>
      </c>
      <c r="Q193" s="6">
        <f t="shared" si="52"/>
        <v>212</v>
      </c>
      <c r="R193" s="6">
        <f t="shared" si="52"/>
        <v>181</v>
      </c>
      <c r="S193" s="6">
        <f t="shared" si="52"/>
        <v>235</v>
      </c>
      <c r="T193" s="6">
        <f t="shared" si="52"/>
        <v>179</v>
      </c>
      <c r="U193" s="6">
        <f t="shared" si="51"/>
        <v>3371</v>
      </c>
    </row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110:D110"/>
    <mergeCell ref="C112:D112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5:D145"/>
    <mergeCell ref="C147:D147"/>
    <mergeCell ref="B154:D154"/>
    <mergeCell ref="C156:D156"/>
    <mergeCell ref="A188:D188"/>
    <mergeCell ref="A189:D189"/>
    <mergeCell ref="B190:D190"/>
    <mergeCell ref="C191:D191"/>
    <mergeCell ref="C192:D192"/>
    <mergeCell ref="C193:D193"/>
    <mergeCell ref="B162:D162"/>
    <mergeCell ref="C164:D164"/>
    <mergeCell ref="B171:D171"/>
    <mergeCell ref="C173:D173"/>
    <mergeCell ref="B180:D180"/>
    <mergeCell ref="C182:D182"/>
    <mergeCell ref="B187:D187"/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101:D101"/>
    <mergeCell ref="C103:D103"/>
  </mergeCells>
  <conditionalFormatting sqref="E30:T30">
    <cfRule type="expression" dxfId="0" priority="1">
      <formula>E30&lt;&gt;E62</formula>
    </cfRule>
  </conditionalFormatting>
  <conditionalFormatting sqref="E34:T34">
    <cfRule type="expression" dxfId="0" priority="2">
      <formula>E34&lt;&gt;E62</formula>
    </cfRule>
  </conditionalFormatting>
  <conditionalFormatting sqref="E14:T15">
    <cfRule type="containsBlanks" dxfId="1" priority="3">
      <formula>LEN(TRIM(E14))=0</formula>
    </cfRule>
  </conditionalFormatting>
  <conditionalFormatting sqref="E19:T20">
    <cfRule type="containsBlanks" dxfId="1" priority="4">
      <formula>LEN(TRIM(E19))=0</formula>
    </cfRule>
  </conditionalFormatting>
  <conditionalFormatting sqref="E22:T23 E25:T26 E33:T33 E35:T35 E39:T40">
    <cfRule type="containsBlanks" dxfId="1" priority="5">
      <formula>LEN(TRIM(E22))=0</formula>
    </cfRule>
  </conditionalFormatting>
  <conditionalFormatting sqref="E30:T30">
    <cfRule type="expression" dxfId="0" priority="6">
      <formula>E30&lt;&gt;E34</formula>
    </cfRule>
  </conditionalFormatting>
  <conditionalFormatting sqref="E34:T34">
    <cfRule type="expression" dxfId="2" priority="7">
      <formula>E30&lt;&gt;E34</formula>
    </cfRule>
  </conditionalFormatting>
  <conditionalFormatting sqref="E34:T34">
    <cfRule type="expression" dxfId="3" priority="8">
      <formula>E30=E34</formula>
    </cfRule>
  </conditionalFormatting>
  <conditionalFormatting sqref="E34:T34">
    <cfRule type="expression" dxfId="0" priority="9">
      <formula>E34&lt;&gt;E30</formula>
    </cfRule>
  </conditionalFormatting>
  <conditionalFormatting sqref="E45:T51">
    <cfRule type="containsBlanks" dxfId="1" priority="10">
      <formula>LEN(TRIM(E45))=0</formula>
    </cfRule>
  </conditionalFormatting>
  <conditionalFormatting sqref="E54:T60">
    <cfRule type="containsBlanks" dxfId="1" priority="11">
      <formula>LEN(TRIM(E54))=0</formula>
    </cfRule>
  </conditionalFormatting>
  <conditionalFormatting sqref="E63:T69">
    <cfRule type="containsBlanks" dxfId="1" priority="12">
      <formula>LEN(TRIM(E63))=0</formula>
    </cfRule>
  </conditionalFormatting>
  <conditionalFormatting sqref="E72:T78">
    <cfRule type="containsBlanks" dxfId="1" priority="13">
      <formula>LEN(TRIM(E72))=0</formula>
    </cfRule>
  </conditionalFormatting>
  <conditionalFormatting sqref="E81:T87">
    <cfRule type="containsBlanks" dxfId="1" priority="14">
      <formula>LEN(TRIM(E81))=0</formula>
    </cfRule>
  </conditionalFormatting>
  <conditionalFormatting sqref="E90:T91">
    <cfRule type="containsBlanks" dxfId="1" priority="15">
      <formula>LEN(TRIM(E90))=0</formula>
    </cfRule>
  </conditionalFormatting>
  <conditionalFormatting sqref="E94:T100">
    <cfRule type="containsBlanks" dxfId="1" priority="16">
      <formula>LEN(TRIM(E94))=0</formula>
    </cfRule>
  </conditionalFormatting>
  <conditionalFormatting sqref="E103:T109">
    <cfRule type="containsBlanks" dxfId="1" priority="17">
      <formula>LEN(TRIM(E103))=0</formula>
    </cfRule>
  </conditionalFormatting>
  <conditionalFormatting sqref="E112:T113">
    <cfRule type="containsBlanks" dxfId="1" priority="18">
      <formula>LEN(TRIM(E112))=0</formula>
    </cfRule>
  </conditionalFormatting>
  <conditionalFormatting sqref="E116:T122">
    <cfRule type="containsBlanks" dxfId="1" priority="19">
      <formula>LEN(TRIM(E116))=0</formula>
    </cfRule>
  </conditionalFormatting>
  <conditionalFormatting sqref="E125:T126">
    <cfRule type="containsBlanks" dxfId="1" priority="20">
      <formula>LEN(TRIM(E125))=0</formula>
    </cfRule>
  </conditionalFormatting>
  <conditionalFormatting sqref="E129:T135">
    <cfRule type="containsBlanks" dxfId="1" priority="21">
      <formula>LEN(TRIM(E129))=0</formula>
    </cfRule>
  </conditionalFormatting>
  <conditionalFormatting sqref="E138:T144">
    <cfRule type="containsBlanks" dxfId="1" priority="22">
      <formula>LEN(TRIM(E138))=0</formula>
    </cfRule>
  </conditionalFormatting>
  <conditionalFormatting sqref="E147:T153">
    <cfRule type="containsBlanks" dxfId="1" priority="23">
      <formula>LEN(TRIM(E147))=0</formula>
    </cfRule>
  </conditionalFormatting>
  <conditionalFormatting sqref="E156:T161">
    <cfRule type="containsBlanks" dxfId="1" priority="24">
      <formula>LEN(TRIM(E156))=0</formula>
    </cfRule>
  </conditionalFormatting>
  <conditionalFormatting sqref="E164:T170">
    <cfRule type="containsBlanks" dxfId="1" priority="25">
      <formula>LEN(TRIM(E164))=0</formula>
    </cfRule>
  </conditionalFormatting>
  <conditionalFormatting sqref="E173:T179">
    <cfRule type="containsBlanks" dxfId="1" priority="26">
      <formula>LEN(TRIM(E173))=0</formula>
    </cfRule>
  </conditionalFormatting>
  <conditionalFormatting sqref="E182:T186">
    <cfRule type="containsBlanks" dxfId="1" priority="27">
      <formula>LEN(TRIM(E182))=0</formula>
    </cfRule>
  </conditionalFormatting>
  <conditionalFormatting sqref="E191:T192">
    <cfRule type="containsBlanks" dxfId="1" priority="28">
      <formula>LEN(TRIM(E191))=0</formula>
    </cfRule>
  </conditionalFormatting>
  <conditionalFormatting sqref="E193:T193">
    <cfRule type="expression" dxfId="0" priority="29">
      <formula>E193&lt;&gt;#REF!</formula>
    </cfRule>
  </conditionalFormatting>
  <conditionalFormatting sqref="E193:T193">
    <cfRule type="expression" dxfId="2" priority="30">
      <formula>#REF!&lt;&gt;E193</formula>
    </cfRule>
  </conditionalFormatting>
  <conditionalFormatting sqref="E193:T193">
    <cfRule type="expression" dxfId="3" priority="31">
      <formula>#REF!=E193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4" width="8.71"/>
  </cols>
  <sheetData>
    <row r="1" ht="12.75" customHeight="1"/>
    <row r="2" ht="12.75" customHeight="1">
      <c r="C2" s="1" t="s">
        <v>0</v>
      </c>
      <c r="D2" s="1" t="s">
        <v>1</v>
      </c>
    </row>
    <row r="3" ht="12.75" customHeight="1">
      <c r="C3" s="1" t="s">
        <v>2</v>
      </c>
      <c r="D3" s="1" t="s">
        <v>3</v>
      </c>
    </row>
    <row r="4" ht="12.75" customHeight="1">
      <c r="C4" s="1" t="s">
        <v>4</v>
      </c>
      <c r="D4" s="1" t="s">
        <v>5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170</v>
      </c>
      <c r="D9" s="1" t="s">
        <v>188</v>
      </c>
    </row>
    <row r="10" ht="12.75" customHeight="1"/>
    <row r="11" ht="12.75" customHeight="1"/>
    <row r="12" ht="12.75" customHeight="1">
      <c r="A12" s="6" t="s">
        <v>6</v>
      </c>
      <c r="B12" s="7" t="s">
        <v>7</v>
      </c>
      <c r="C12" s="8"/>
      <c r="D12" s="8"/>
      <c r="E12" s="2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39" t="s">
        <v>8</v>
      </c>
    </row>
    <row r="13" ht="12.75" customHeight="1">
      <c r="A13" s="13" t="s">
        <v>9</v>
      </c>
      <c r="B13" s="14" t="s">
        <v>10</v>
      </c>
      <c r="C13" s="8"/>
      <c r="D13" s="9"/>
      <c r="E13" s="42" t="s">
        <v>172</v>
      </c>
      <c r="F13" s="42" t="s">
        <v>173</v>
      </c>
      <c r="G13" s="42" t="s">
        <v>174</v>
      </c>
      <c r="H13" s="42" t="s">
        <v>175</v>
      </c>
      <c r="I13" s="42" t="s">
        <v>176</v>
      </c>
      <c r="J13" s="42" t="s">
        <v>177</v>
      </c>
      <c r="K13" s="42" t="s">
        <v>178</v>
      </c>
      <c r="L13" s="42" t="s">
        <v>179</v>
      </c>
      <c r="M13" s="42" t="s">
        <v>180</v>
      </c>
      <c r="N13" s="42" t="s">
        <v>181</v>
      </c>
      <c r="O13" s="42" t="s">
        <v>182</v>
      </c>
      <c r="P13" s="42" t="s">
        <v>183</v>
      </c>
      <c r="Q13" s="42" t="s">
        <v>184</v>
      </c>
      <c r="R13" s="42" t="s">
        <v>185</v>
      </c>
      <c r="S13" s="42" t="s">
        <v>186</v>
      </c>
      <c r="T13" s="42" t="s">
        <v>187</v>
      </c>
      <c r="U13" s="42" t="s">
        <v>189</v>
      </c>
      <c r="V13" s="42" t="s">
        <v>190</v>
      </c>
      <c r="W13" s="42" t="s">
        <v>191</v>
      </c>
      <c r="X13" s="27"/>
    </row>
    <row r="14" ht="12.75" customHeight="1">
      <c r="A14" s="18"/>
      <c r="B14" s="19" t="s">
        <v>11</v>
      </c>
      <c r="C14" s="20"/>
      <c r="D14" s="13" t="s">
        <v>12</v>
      </c>
      <c r="E14" s="13">
        <v>140.0</v>
      </c>
      <c r="F14" s="13">
        <v>149.0</v>
      </c>
      <c r="G14" s="13">
        <v>130.0</v>
      </c>
      <c r="H14" s="13">
        <v>134.0</v>
      </c>
      <c r="I14" s="13">
        <v>135.0</v>
      </c>
      <c r="J14" s="13">
        <v>130.0</v>
      </c>
      <c r="K14" s="13">
        <v>140.0</v>
      </c>
      <c r="L14" s="13">
        <v>132.0</v>
      </c>
      <c r="M14" s="13">
        <v>136.0</v>
      </c>
      <c r="N14" s="13">
        <v>154.0</v>
      </c>
      <c r="O14" s="13">
        <v>124.0</v>
      </c>
      <c r="P14" s="13">
        <v>111.0</v>
      </c>
      <c r="Q14" s="13">
        <v>113.0</v>
      </c>
      <c r="R14" s="13">
        <v>137.0</v>
      </c>
      <c r="S14" s="13">
        <v>97.0</v>
      </c>
      <c r="T14" s="13">
        <v>116.0</v>
      </c>
      <c r="U14" s="13">
        <v>119.0</v>
      </c>
      <c r="V14" s="13">
        <v>119.0</v>
      </c>
      <c r="W14" s="13">
        <v>135.0</v>
      </c>
      <c r="X14" s="6">
        <f t="shared" ref="X14:X16" si="1">SUM(E14:W14)</f>
        <v>2451</v>
      </c>
    </row>
    <row r="15" ht="12.75" customHeight="1">
      <c r="A15" s="18"/>
      <c r="B15" s="25"/>
      <c r="C15" s="26"/>
      <c r="D15" s="13" t="s">
        <v>13</v>
      </c>
      <c r="E15" s="13">
        <v>154.0</v>
      </c>
      <c r="F15" s="13">
        <v>139.0</v>
      </c>
      <c r="G15" s="13">
        <v>149.0</v>
      </c>
      <c r="H15" s="13">
        <v>149.0</v>
      </c>
      <c r="I15" s="13">
        <v>147.0</v>
      </c>
      <c r="J15" s="13">
        <v>152.0</v>
      </c>
      <c r="K15" s="13">
        <v>146.0</v>
      </c>
      <c r="L15" s="13">
        <v>155.0</v>
      </c>
      <c r="M15" s="13">
        <v>152.0</v>
      </c>
      <c r="N15" s="13">
        <v>144.0</v>
      </c>
      <c r="O15" s="13">
        <v>140.0</v>
      </c>
      <c r="P15" s="13">
        <v>118.0</v>
      </c>
      <c r="Q15" s="13">
        <v>120.0</v>
      </c>
      <c r="R15" s="13">
        <v>136.0</v>
      </c>
      <c r="S15" s="13">
        <v>114.0</v>
      </c>
      <c r="T15" s="13">
        <v>117.0</v>
      </c>
      <c r="U15" s="13">
        <v>113.0</v>
      </c>
      <c r="V15" s="13">
        <v>124.0</v>
      </c>
      <c r="W15" s="13">
        <v>153.0</v>
      </c>
      <c r="X15" s="6">
        <f t="shared" si="1"/>
        <v>2622</v>
      </c>
    </row>
    <row r="16" ht="12.75" customHeight="1">
      <c r="A16" s="16"/>
      <c r="B16" s="15"/>
      <c r="C16" s="27"/>
      <c r="D16" s="6" t="s">
        <v>14</v>
      </c>
      <c r="E16" s="6">
        <f t="shared" ref="E16:W16" si="2">SUM(E14:E15)</f>
        <v>294</v>
      </c>
      <c r="F16" s="6">
        <f t="shared" si="2"/>
        <v>288</v>
      </c>
      <c r="G16" s="6">
        <f t="shared" si="2"/>
        <v>279</v>
      </c>
      <c r="H16" s="6">
        <f t="shared" si="2"/>
        <v>283</v>
      </c>
      <c r="I16" s="6">
        <f t="shared" si="2"/>
        <v>282</v>
      </c>
      <c r="J16" s="6">
        <f t="shared" si="2"/>
        <v>282</v>
      </c>
      <c r="K16" s="6">
        <f t="shared" si="2"/>
        <v>286</v>
      </c>
      <c r="L16" s="6">
        <f t="shared" si="2"/>
        <v>287</v>
      </c>
      <c r="M16" s="6">
        <f t="shared" si="2"/>
        <v>288</v>
      </c>
      <c r="N16" s="6">
        <f t="shared" si="2"/>
        <v>298</v>
      </c>
      <c r="O16" s="6">
        <f t="shared" si="2"/>
        <v>264</v>
      </c>
      <c r="P16" s="6">
        <f t="shared" si="2"/>
        <v>229</v>
      </c>
      <c r="Q16" s="6">
        <f t="shared" si="2"/>
        <v>233</v>
      </c>
      <c r="R16" s="6">
        <f t="shared" si="2"/>
        <v>273</v>
      </c>
      <c r="S16" s="6">
        <f t="shared" si="2"/>
        <v>211</v>
      </c>
      <c r="T16" s="6">
        <f t="shared" si="2"/>
        <v>233</v>
      </c>
      <c r="U16" s="6">
        <f t="shared" si="2"/>
        <v>232</v>
      </c>
      <c r="V16" s="6">
        <f t="shared" si="2"/>
        <v>243</v>
      </c>
      <c r="W16" s="6">
        <f t="shared" si="2"/>
        <v>288</v>
      </c>
      <c r="X16" s="6">
        <f t="shared" si="1"/>
        <v>5073</v>
      </c>
    </row>
    <row r="17" ht="12.75" customHeight="1">
      <c r="A17" s="21"/>
      <c r="B17" s="8"/>
      <c r="C17" s="8"/>
      <c r="D17" s="9"/>
      <c r="E17" s="13"/>
      <c r="F17" s="13"/>
      <c r="G17" s="13"/>
      <c r="H17" s="13"/>
      <c r="I17" s="13"/>
      <c r="J17" s="13"/>
      <c r="K17" s="13"/>
      <c r="L17" s="13"/>
      <c r="M17" s="13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"/>
    </row>
    <row r="18" ht="12.75" customHeight="1">
      <c r="A18" s="32" t="s">
        <v>15</v>
      </c>
      <c r="B18" s="14" t="s">
        <v>16</v>
      </c>
      <c r="C18" s="8"/>
      <c r="D18" s="9"/>
      <c r="E18" s="13"/>
      <c r="F18" s="13"/>
      <c r="G18" s="13"/>
      <c r="H18" s="13"/>
      <c r="I18" s="13"/>
      <c r="J18" s="13"/>
      <c r="K18" s="13"/>
      <c r="L18" s="13"/>
      <c r="M18" s="13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"/>
    </row>
    <row r="19" ht="12.75" customHeight="1">
      <c r="A19" s="32"/>
      <c r="B19" s="33" t="s">
        <v>17</v>
      </c>
      <c r="C19" s="34" t="s">
        <v>18</v>
      </c>
      <c r="D19" s="13" t="s">
        <v>12</v>
      </c>
      <c r="E19" s="13">
        <v>110.0</v>
      </c>
      <c r="F19" s="13">
        <v>108.0</v>
      </c>
      <c r="G19" s="13">
        <v>103.0</v>
      </c>
      <c r="H19" s="13">
        <v>106.0</v>
      </c>
      <c r="I19" s="13">
        <v>108.0</v>
      </c>
      <c r="J19" s="13">
        <v>96.0</v>
      </c>
      <c r="K19" s="13">
        <v>108.0</v>
      </c>
      <c r="L19" s="13">
        <v>83.0</v>
      </c>
      <c r="M19" s="13">
        <v>115.0</v>
      </c>
      <c r="N19" s="13">
        <v>120.0</v>
      </c>
      <c r="O19" s="13">
        <v>101.0</v>
      </c>
      <c r="P19" s="13">
        <v>91.0</v>
      </c>
      <c r="Q19" s="13">
        <v>92.0</v>
      </c>
      <c r="R19" s="13">
        <v>99.0</v>
      </c>
      <c r="S19" s="13">
        <v>80.0</v>
      </c>
      <c r="T19" s="13">
        <v>87.0</v>
      </c>
      <c r="U19" s="13">
        <v>106.0</v>
      </c>
      <c r="V19" s="13">
        <v>94.0</v>
      </c>
      <c r="W19" s="13">
        <v>100.0</v>
      </c>
      <c r="X19" s="6">
        <f t="shared" ref="X19:X30" si="3">SUM(E19:W19)</f>
        <v>1907</v>
      </c>
    </row>
    <row r="20" ht="12.75" customHeight="1">
      <c r="A20" s="35"/>
      <c r="B20" s="26"/>
      <c r="C20" s="36"/>
      <c r="D20" s="13" t="s">
        <v>13</v>
      </c>
      <c r="E20" s="13">
        <v>125.0</v>
      </c>
      <c r="F20" s="13">
        <v>115.0</v>
      </c>
      <c r="G20" s="13">
        <v>118.0</v>
      </c>
      <c r="H20" s="13">
        <v>107.0</v>
      </c>
      <c r="I20" s="13">
        <v>120.0</v>
      </c>
      <c r="J20" s="13">
        <v>122.0</v>
      </c>
      <c r="K20" s="13">
        <v>132.0</v>
      </c>
      <c r="L20" s="13">
        <v>119.0</v>
      </c>
      <c r="M20" s="13">
        <v>125.0</v>
      </c>
      <c r="N20" s="13">
        <v>117.0</v>
      </c>
      <c r="O20" s="13">
        <v>120.0</v>
      </c>
      <c r="P20" s="13">
        <v>104.0</v>
      </c>
      <c r="Q20" s="13">
        <v>99.0</v>
      </c>
      <c r="R20" s="13">
        <v>115.0</v>
      </c>
      <c r="S20" s="13">
        <v>95.0</v>
      </c>
      <c r="T20" s="13">
        <v>101.0</v>
      </c>
      <c r="U20" s="13">
        <v>104.0</v>
      </c>
      <c r="V20" s="13">
        <v>105.0</v>
      </c>
      <c r="W20" s="13">
        <v>129.0</v>
      </c>
      <c r="X20" s="6">
        <f t="shared" si="3"/>
        <v>2172</v>
      </c>
    </row>
    <row r="21" ht="12.75" customHeight="1">
      <c r="A21" s="37"/>
      <c r="B21" s="27"/>
      <c r="C21" s="38"/>
      <c r="D21" s="6" t="s">
        <v>14</v>
      </c>
      <c r="E21" s="6">
        <f t="shared" ref="E21:W21" si="4">SUM(E19:E20)</f>
        <v>235</v>
      </c>
      <c r="F21" s="6">
        <f t="shared" si="4"/>
        <v>223</v>
      </c>
      <c r="G21" s="6">
        <f t="shared" si="4"/>
        <v>221</v>
      </c>
      <c r="H21" s="6">
        <f t="shared" si="4"/>
        <v>213</v>
      </c>
      <c r="I21" s="6">
        <f t="shared" si="4"/>
        <v>228</v>
      </c>
      <c r="J21" s="6">
        <f t="shared" si="4"/>
        <v>218</v>
      </c>
      <c r="K21" s="6">
        <f t="shared" si="4"/>
        <v>240</v>
      </c>
      <c r="L21" s="6">
        <f t="shared" si="4"/>
        <v>202</v>
      </c>
      <c r="M21" s="6">
        <f t="shared" si="4"/>
        <v>240</v>
      </c>
      <c r="N21" s="6">
        <f t="shared" si="4"/>
        <v>237</v>
      </c>
      <c r="O21" s="6">
        <f t="shared" si="4"/>
        <v>221</v>
      </c>
      <c r="P21" s="6">
        <f t="shared" si="4"/>
        <v>195</v>
      </c>
      <c r="Q21" s="6">
        <f t="shared" si="4"/>
        <v>191</v>
      </c>
      <c r="R21" s="6">
        <f t="shared" si="4"/>
        <v>214</v>
      </c>
      <c r="S21" s="6">
        <f t="shared" si="4"/>
        <v>175</v>
      </c>
      <c r="T21" s="6">
        <f t="shared" si="4"/>
        <v>188</v>
      </c>
      <c r="U21" s="6">
        <f t="shared" si="4"/>
        <v>210</v>
      </c>
      <c r="V21" s="6">
        <f t="shared" si="4"/>
        <v>199</v>
      </c>
      <c r="W21" s="6">
        <f t="shared" si="4"/>
        <v>229</v>
      </c>
      <c r="X21" s="6">
        <f t="shared" si="3"/>
        <v>4079</v>
      </c>
    </row>
    <row r="22" ht="12.75" customHeight="1">
      <c r="A22" s="35"/>
      <c r="B22" s="33" t="s">
        <v>19</v>
      </c>
      <c r="C22" s="34" t="s">
        <v>20</v>
      </c>
      <c r="D22" s="13" t="s">
        <v>12</v>
      </c>
      <c r="E22" s="13">
        <v>0.0</v>
      </c>
      <c r="F22" s="13">
        <v>0.0</v>
      </c>
      <c r="G22" s="13">
        <v>0.0</v>
      </c>
      <c r="H22" s="13">
        <v>0.0</v>
      </c>
      <c r="I22" s="13">
        <v>0.0</v>
      </c>
      <c r="J22" s="13">
        <v>0.0</v>
      </c>
      <c r="K22" s="13">
        <v>0.0</v>
      </c>
      <c r="L22" s="13">
        <v>0.0</v>
      </c>
      <c r="M22" s="13">
        <v>0.0</v>
      </c>
      <c r="N22" s="13">
        <v>0.0</v>
      </c>
      <c r="O22" s="13">
        <v>0.0</v>
      </c>
      <c r="P22" s="13">
        <v>0.0</v>
      </c>
      <c r="Q22" s="13">
        <v>0.0</v>
      </c>
      <c r="R22" s="13">
        <v>0.0</v>
      </c>
      <c r="S22" s="13">
        <v>0.0</v>
      </c>
      <c r="T22" s="13">
        <v>0.0</v>
      </c>
      <c r="U22" s="13">
        <v>1.0</v>
      </c>
      <c r="V22" s="13">
        <v>0.0</v>
      </c>
      <c r="W22" s="13">
        <v>1.0</v>
      </c>
      <c r="X22" s="6">
        <f t="shared" si="3"/>
        <v>2</v>
      </c>
    </row>
    <row r="23" ht="12.75" customHeight="1">
      <c r="A23" s="35"/>
      <c r="B23" s="26"/>
      <c r="C23" s="36"/>
      <c r="D23" s="13" t="s">
        <v>13</v>
      </c>
      <c r="E23" s="13">
        <v>0.0</v>
      </c>
      <c r="F23" s="13">
        <v>0.0</v>
      </c>
      <c r="G23" s="13">
        <v>2.0</v>
      </c>
      <c r="H23" s="13">
        <v>0.0</v>
      </c>
      <c r="I23" s="13">
        <v>0.0</v>
      </c>
      <c r="J23" s="13">
        <v>0.0</v>
      </c>
      <c r="K23" s="13">
        <v>0.0</v>
      </c>
      <c r="L23" s="13">
        <v>0.0</v>
      </c>
      <c r="M23" s="13">
        <v>0.0</v>
      </c>
      <c r="N23" s="13">
        <v>1.0</v>
      </c>
      <c r="O23" s="13">
        <v>1.0</v>
      </c>
      <c r="P23" s="13">
        <v>0.0</v>
      </c>
      <c r="Q23" s="13">
        <v>1.0</v>
      </c>
      <c r="R23" s="13">
        <v>2.0</v>
      </c>
      <c r="S23" s="13">
        <v>1.0</v>
      </c>
      <c r="T23" s="13">
        <v>0.0</v>
      </c>
      <c r="U23" s="13">
        <v>1.0</v>
      </c>
      <c r="V23" s="13">
        <v>0.0</v>
      </c>
      <c r="W23" s="13">
        <v>2.0</v>
      </c>
      <c r="X23" s="6">
        <f t="shared" si="3"/>
        <v>11</v>
      </c>
    </row>
    <row r="24" ht="12.75" customHeight="1">
      <c r="A24" s="37"/>
      <c r="B24" s="27"/>
      <c r="C24" s="38"/>
      <c r="D24" s="6" t="s">
        <v>14</v>
      </c>
      <c r="E24" s="6">
        <f t="shared" ref="E24:W24" si="5">SUM(E22:E23)</f>
        <v>0</v>
      </c>
      <c r="F24" s="6">
        <f t="shared" si="5"/>
        <v>0</v>
      </c>
      <c r="G24" s="6">
        <f t="shared" si="5"/>
        <v>2</v>
      </c>
      <c r="H24" s="6">
        <f t="shared" si="5"/>
        <v>0</v>
      </c>
      <c r="I24" s="6">
        <f t="shared" si="5"/>
        <v>0</v>
      </c>
      <c r="J24" s="6">
        <f t="shared" si="5"/>
        <v>0</v>
      </c>
      <c r="K24" s="6">
        <f t="shared" si="5"/>
        <v>0</v>
      </c>
      <c r="L24" s="6">
        <f t="shared" si="5"/>
        <v>0</v>
      </c>
      <c r="M24" s="6">
        <f t="shared" si="5"/>
        <v>0</v>
      </c>
      <c r="N24" s="6">
        <f t="shared" si="5"/>
        <v>1</v>
      </c>
      <c r="O24" s="6">
        <f t="shared" si="5"/>
        <v>1</v>
      </c>
      <c r="P24" s="6">
        <f t="shared" si="5"/>
        <v>0</v>
      </c>
      <c r="Q24" s="6">
        <f t="shared" si="5"/>
        <v>1</v>
      </c>
      <c r="R24" s="6">
        <f t="shared" si="5"/>
        <v>2</v>
      </c>
      <c r="S24" s="6">
        <f t="shared" si="5"/>
        <v>1</v>
      </c>
      <c r="T24" s="6">
        <f t="shared" si="5"/>
        <v>0</v>
      </c>
      <c r="U24" s="6">
        <f t="shared" si="5"/>
        <v>2</v>
      </c>
      <c r="V24" s="6">
        <f t="shared" si="5"/>
        <v>0</v>
      </c>
      <c r="W24" s="6">
        <f t="shared" si="5"/>
        <v>3</v>
      </c>
      <c r="X24" s="6">
        <f t="shared" si="3"/>
        <v>13</v>
      </c>
    </row>
    <row r="25" ht="12.75" customHeight="1">
      <c r="A25" s="35"/>
      <c r="B25" s="33" t="s">
        <v>21</v>
      </c>
      <c r="C25" s="34" t="s">
        <v>22</v>
      </c>
      <c r="D25" s="13" t="s">
        <v>12</v>
      </c>
      <c r="E25" s="13">
        <v>1.0</v>
      </c>
      <c r="F25" s="13">
        <v>0.0</v>
      </c>
      <c r="G25" s="13">
        <v>0.0</v>
      </c>
      <c r="H25" s="13">
        <v>0.0</v>
      </c>
      <c r="I25" s="13">
        <v>2.0</v>
      </c>
      <c r="J25" s="13">
        <v>0.0</v>
      </c>
      <c r="K25" s="13">
        <v>3.0</v>
      </c>
      <c r="L25" s="13">
        <v>2.0</v>
      </c>
      <c r="M25" s="13">
        <v>1.0</v>
      </c>
      <c r="N25" s="13">
        <v>3.0</v>
      </c>
      <c r="O25" s="13">
        <v>0.0</v>
      </c>
      <c r="P25" s="13">
        <v>0.0</v>
      </c>
      <c r="Q25" s="13">
        <v>0.0</v>
      </c>
      <c r="R25" s="13">
        <v>1.0</v>
      </c>
      <c r="S25" s="13">
        <v>2.0</v>
      </c>
      <c r="T25" s="13">
        <v>0.0</v>
      </c>
      <c r="U25" s="13">
        <v>2.0</v>
      </c>
      <c r="V25" s="13">
        <v>0.0</v>
      </c>
      <c r="W25" s="13">
        <v>0.0</v>
      </c>
      <c r="X25" s="6">
        <f t="shared" si="3"/>
        <v>17</v>
      </c>
    </row>
    <row r="26" ht="12.75" customHeight="1">
      <c r="A26" s="35"/>
      <c r="B26" s="26"/>
      <c r="C26" s="36"/>
      <c r="D26" s="13" t="s">
        <v>13</v>
      </c>
      <c r="E26" s="13">
        <v>1.0</v>
      </c>
      <c r="F26" s="13">
        <v>0.0</v>
      </c>
      <c r="G26" s="13">
        <v>0.0</v>
      </c>
      <c r="H26" s="13">
        <v>1.0</v>
      </c>
      <c r="I26" s="13">
        <v>1.0</v>
      </c>
      <c r="J26" s="13">
        <v>3.0</v>
      </c>
      <c r="K26" s="13">
        <v>2.0</v>
      </c>
      <c r="L26" s="13">
        <v>6.0</v>
      </c>
      <c r="M26" s="13">
        <v>1.0</v>
      </c>
      <c r="N26" s="13">
        <v>2.0</v>
      </c>
      <c r="O26" s="13">
        <v>1.0</v>
      </c>
      <c r="P26" s="13">
        <v>0.0</v>
      </c>
      <c r="Q26" s="13">
        <v>2.0</v>
      </c>
      <c r="R26" s="13">
        <v>2.0</v>
      </c>
      <c r="S26" s="13">
        <v>3.0</v>
      </c>
      <c r="T26" s="13">
        <v>0.0</v>
      </c>
      <c r="U26" s="13">
        <v>5.0</v>
      </c>
      <c r="V26" s="13">
        <v>1.0</v>
      </c>
      <c r="W26" s="13">
        <v>1.0</v>
      </c>
      <c r="X26" s="6">
        <f t="shared" si="3"/>
        <v>32</v>
      </c>
    </row>
    <row r="27" ht="12.75" customHeight="1">
      <c r="A27" s="37"/>
      <c r="B27" s="27"/>
      <c r="C27" s="38"/>
      <c r="D27" s="6" t="s">
        <v>14</v>
      </c>
      <c r="E27" s="6">
        <f t="shared" ref="E27:W27" si="6">SUM(E25:E26)</f>
        <v>2</v>
      </c>
      <c r="F27" s="6">
        <f t="shared" si="6"/>
        <v>0</v>
      </c>
      <c r="G27" s="6">
        <f t="shared" si="6"/>
        <v>0</v>
      </c>
      <c r="H27" s="6">
        <f t="shared" si="6"/>
        <v>1</v>
      </c>
      <c r="I27" s="6">
        <f t="shared" si="6"/>
        <v>3</v>
      </c>
      <c r="J27" s="6">
        <f t="shared" si="6"/>
        <v>3</v>
      </c>
      <c r="K27" s="6">
        <f t="shared" si="6"/>
        <v>5</v>
      </c>
      <c r="L27" s="6">
        <f t="shared" si="6"/>
        <v>8</v>
      </c>
      <c r="M27" s="6">
        <f t="shared" si="6"/>
        <v>2</v>
      </c>
      <c r="N27" s="6">
        <f t="shared" si="6"/>
        <v>5</v>
      </c>
      <c r="O27" s="6">
        <f t="shared" si="6"/>
        <v>1</v>
      </c>
      <c r="P27" s="6">
        <f t="shared" si="6"/>
        <v>0</v>
      </c>
      <c r="Q27" s="6">
        <f t="shared" si="6"/>
        <v>2</v>
      </c>
      <c r="R27" s="6">
        <f t="shared" si="6"/>
        <v>3</v>
      </c>
      <c r="S27" s="6">
        <f t="shared" si="6"/>
        <v>5</v>
      </c>
      <c r="T27" s="6">
        <f t="shared" si="6"/>
        <v>0</v>
      </c>
      <c r="U27" s="6">
        <f t="shared" si="6"/>
        <v>7</v>
      </c>
      <c r="V27" s="6">
        <f t="shared" si="6"/>
        <v>1</v>
      </c>
      <c r="W27" s="6">
        <f t="shared" si="6"/>
        <v>1</v>
      </c>
      <c r="X27" s="6">
        <f t="shared" si="3"/>
        <v>49</v>
      </c>
    </row>
    <row r="28" ht="12.75" customHeight="1">
      <c r="A28" s="37"/>
      <c r="B28" s="39" t="s">
        <v>23</v>
      </c>
      <c r="C28" s="40" t="s">
        <v>24</v>
      </c>
      <c r="D28" s="6" t="s">
        <v>12</v>
      </c>
      <c r="E28" s="6">
        <f t="shared" ref="E28:W28" si="7">SUM(E19,E22,E25)</f>
        <v>111</v>
      </c>
      <c r="F28" s="6">
        <f t="shared" si="7"/>
        <v>108</v>
      </c>
      <c r="G28" s="6">
        <f t="shared" si="7"/>
        <v>103</v>
      </c>
      <c r="H28" s="6">
        <f t="shared" si="7"/>
        <v>106</v>
      </c>
      <c r="I28" s="6">
        <f t="shared" si="7"/>
        <v>110</v>
      </c>
      <c r="J28" s="6">
        <f t="shared" si="7"/>
        <v>96</v>
      </c>
      <c r="K28" s="6">
        <f t="shared" si="7"/>
        <v>111</v>
      </c>
      <c r="L28" s="6">
        <f t="shared" si="7"/>
        <v>85</v>
      </c>
      <c r="M28" s="6">
        <f t="shared" si="7"/>
        <v>116</v>
      </c>
      <c r="N28" s="6">
        <f t="shared" si="7"/>
        <v>123</v>
      </c>
      <c r="O28" s="6">
        <f t="shared" si="7"/>
        <v>101</v>
      </c>
      <c r="P28" s="6">
        <f t="shared" si="7"/>
        <v>91</v>
      </c>
      <c r="Q28" s="6">
        <f t="shared" si="7"/>
        <v>92</v>
      </c>
      <c r="R28" s="6">
        <f t="shared" si="7"/>
        <v>100</v>
      </c>
      <c r="S28" s="6">
        <f t="shared" si="7"/>
        <v>82</v>
      </c>
      <c r="T28" s="6">
        <f t="shared" si="7"/>
        <v>87</v>
      </c>
      <c r="U28" s="6">
        <f t="shared" si="7"/>
        <v>109</v>
      </c>
      <c r="V28" s="6">
        <f t="shared" si="7"/>
        <v>94</v>
      </c>
      <c r="W28" s="6">
        <f t="shared" si="7"/>
        <v>101</v>
      </c>
      <c r="X28" s="6">
        <f t="shared" si="3"/>
        <v>1926</v>
      </c>
    </row>
    <row r="29" ht="12.75" customHeight="1">
      <c r="A29" s="37"/>
      <c r="B29" s="26"/>
      <c r="C29" s="36"/>
      <c r="D29" s="6" t="s">
        <v>13</v>
      </c>
      <c r="E29" s="6">
        <f t="shared" ref="E29:W29" si="8">SUM(E20,E23,E26)</f>
        <v>126</v>
      </c>
      <c r="F29" s="6">
        <f t="shared" si="8"/>
        <v>115</v>
      </c>
      <c r="G29" s="6">
        <f t="shared" si="8"/>
        <v>120</v>
      </c>
      <c r="H29" s="6">
        <f t="shared" si="8"/>
        <v>108</v>
      </c>
      <c r="I29" s="6">
        <f t="shared" si="8"/>
        <v>121</v>
      </c>
      <c r="J29" s="6">
        <f t="shared" si="8"/>
        <v>125</v>
      </c>
      <c r="K29" s="6">
        <f t="shared" si="8"/>
        <v>134</v>
      </c>
      <c r="L29" s="6">
        <f t="shared" si="8"/>
        <v>125</v>
      </c>
      <c r="M29" s="6">
        <f t="shared" si="8"/>
        <v>126</v>
      </c>
      <c r="N29" s="6">
        <f t="shared" si="8"/>
        <v>120</v>
      </c>
      <c r="O29" s="6">
        <f t="shared" si="8"/>
        <v>122</v>
      </c>
      <c r="P29" s="6">
        <f t="shared" si="8"/>
        <v>104</v>
      </c>
      <c r="Q29" s="6">
        <f t="shared" si="8"/>
        <v>102</v>
      </c>
      <c r="R29" s="6">
        <f t="shared" si="8"/>
        <v>119</v>
      </c>
      <c r="S29" s="6">
        <f t="shared" si="8"/>
        <v>99</v>
      </c>
      <c r="T29" s="6">
        <f t="shared" si="8"/>
        <v>101</v>
      </c>
      <c r="U29" s="6">
        <f t="shared" si="8"/>
        <v>110</v>
      </c>
      <c r="V29" s="6">
        <f t="shared" si="8"/>
        <v>106</v>
      </c>
      <c r="W29" s="6">
        <f t="shared" si="8"/>
        <v>132</v>
      </c>
      <c r="X29" s="6">
        <f t="shared" si="3"/>
        <v>2215</v>
      </c>
    </row>
    <row r="30" ht="12.75" customHeight="1">
      <c r="A30" s="37"/>
      <c r="B30" s="27"/>
      <c r="C30" s="38"/>
      <c r="D30" s="6" t="s">
        <v>14</v>
      </c>
      <c r="E30" s="6">
        <f t="shared" ref="E30:W30" si="9">SUM(E28:E29)</f>
        <v>237</v>
      </c>
      <c r="F30" s="6">
        <f t="shared" si="9"/>
        <v>223</v>
      </c>
      <c r="G30" s="6">
        <f t="shared" si="9"/>
        <v>223</v>
      </c>
      <c r="H30" s="6">
        <f t="shared" si="9"/>
        <v>214</v>
      </c>
      <c r="I30" s="6">
        <f t="shared" si="9"/>
        <v>231</v>
      </c>
      <c r="J30" s="6">
        <f t="shared" si="9"/>
        <v>221</v>
      </c>
      <c r="K30" s="6">
        <f t="shared" si="9"/>
        <v>245</v>
      </c>
      <c r="L30" s="6">
        <f t="shared" si="9"/>
        <v>210</v>
      </c>
      <c r="M30" s="6">
        <f t="shared" si="9"/>
        <v>242</v>
      </c>
      <c r="N30" s="6">
        <f t="shared" si="9"/>
        <v>243</v>
      </c>
      <c r="O30" s="6">
        <f t="shared" si="9"/>
        <v>223</v>
      </c>
      <c r="P30" s="6">
        <f t="shared" si="9"/>
        <v>195</v>
      </c>
      <c r="Q30" s="6">
        <f t="shared" si="9"/>
        <v>194</v>
      </c>
      <c r="R30" s="6">
        <f t="shared" si="9"/>
        <v>219</v>
      </c>
      <c r="S30" s="6">
        <f t="shared" si="9"/>
        <v>181</v>
      </c>
      <c r="T30" s="6">
        <f t="shared" si="9"/>
        <v>188</v>
      </c>
      <c r="U30" s="6">
        <f t="shared" si="9"/>
        <v>219</v>
      </c>
      <c r="V30" s="6">
        <f t="shared" si="9"/>
        <v>200</v>
      </c>
      <c r="W30" s="6">
        <f t="shared" si="9"/>
        <v>233</v>
      </c>
      <c r="X30" s="6">
        <f t="shared" si="3"/>
        <v>4141</v>
      </c>
    </row>
    <row r="31" ht="12.75" customHeight="1">
      <c r="A31" s="21"/>
      <c r="B31" s="8"/>
      <c r="C31" s="8"/>
      <c r="D31" s="9"/>
      <c r="E31" s="13"/>
      <c r="F31" s="13"/>
      <c r="G31" s="13"/>
      <c r="H31" s="13"/>
      <c r="I31" s="13"/>
      <c r="J31" s="13"/>
      <c r="K31" s="13"/>
      <c r="L31" s="13"/>
      <c r="M31" s="13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"/>
    </row>
    <row r="32" ht="12.75" customHeight="1">
      <c r="A32" s="42" t="s">
        <v>25</v>
      </c>
      <c r="B32" s="7" t="s">
        <v>26</v>
      </c>
      <c r="C32" s="8"/>
      <c r="D32" s="9"/>
      <c r="E32" s="6"/>
      <c r="F32" s="6"/>
      <c r="G32" s="6"/>
      <c r="H32" s="6"/>
      <c r="I32" s="6"/>
      <c r="J32" s="6"/>
      <c r="K32" s="6"/>
      <c r="L32" s="6"/>
      <c r="M32" s="6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"/>
    </row>
    <row r="33" ht="12.75" customHeight="1">
      <c r="A33" s="13">
        <v>1.0</v>
      </c>
      <c r="B33" s="14" t="s">
        <v>27</v>
      </c>
      <c r="C33" s="8"/>
      <c r="D33" s="9"/>
      <c r="E33" s="13">
        <v>300.0</v>
      </c>
      <c r="F33" s="13">
        <v>294.0</v>
      </c>
      <c r="G33" s="13">
        <v>285.0</v>
      </c>
      <c r="H33" s="13">
        <v>289.0</v>
      </c>
      <c r="I33" s="13">
        <v>288.0</v>
      </c>
      <c r="J33" s="13">
        <v>288.0</v>
      </c>
      <c r="K33" s="13">
        <v>296.0</v>
      </c>
      <c r="L33" s="13">
        <v>293.0</v>
      </c>
      <c r="M33" s="13">
        <v>294.0</v>
      </c>
      <c r="N33" s="13">
        <v>304.0</v>
      </c>
      <c r="O33" s="13">
        <v>270.0</v>
      </c>
      <c r="P33" s="13">
        <v>234.0</v>
      </c>
      <c r="Q33" s="13">
        <v>238.0</v>
      </c>
      <c r="R33" s="13">
        <v>279.0</v>
      </c>
      <c r="S33" s="13">
        <v>217.0</v>
      </c>
      <c r="T33" s="13">
        <v>238.0</v>
      </c>
      <c r="U33" s="13">
        <v>237.0</v>
      </c>
      <c r="V33" s="13">
        <v>248.0</v>
      </c>
      <c r="W33" s="13">
        <v>294.0</v>
      </c>
      <c r="X33" s="6">
        <f t="shared" ref="X33:X36" si="10">SUM(E33:W33)</f>
        <v>5186</v>
      </c>
    </row>
    <row r="34" ht="12.75" customHeight="1">
      <c r="A34" s="13">
        <v>2.0</v>
      </c>
      <c r="B34" s="14" t="s">
        <v>28</v>
      </c>
      <c r="C34" s="8"/>
      <c r="D34" s="9"/>
      <c r="E34" s="6">
        <v>237.0</v>
      </c>
      <c r="F34" s="6">
        <v>223.0</v>
      </c>
      <c r="G34" s="6">
        <v>223.0</v>
      </c>
      <c r="H34" s="6">
        <v>214.0</v>
      </c>
      <c r="I34" s="6">
        <v>231.0</v>
      </c>
      <c r="J34" s="6">
        <v>221.0</v>
      </c>
      <c r="K34" s="6">
        <v>245.0</v>
      </c>
      <c r="L34" s="6">
        <v>210.0</v>
      </c>
      <c r="M34" s="6">
        <v>242.0</v>
      </c>
      <c r="N34" s="6">
        <v>243.0</v>
      </c>
      <c r="O34" s="6">
        <v>223.0</v>
      </c>
      <c r="P34" s="6">
        <v>195.0</v>
      </c>
      <c r="Q34" s="6">
        <v>194.0</v>
      </c>
      <c r="R34" s="6">
        <v>219.0</v>
      </c>
      <c r="S34" s="6">
        <v>181.0</v>
      </c>
      <c r="T34" s="6">
        <v>188.0</v>
      </c>
      <c r="U34" s="6">
        <v>219.0</v>
      </c>
      <c r="V34" s="6">
        <v>200.0</v>
      </c>
      <c r="W34" s="6">
        <v>233.0</v>
      </c>
      <c r="X34" s="6">
        <f t="shared" si="10"/>
        <v>4141</v>
      </c>
    </row>
    <row r="35" ht="12.75" customHeight="1">
      <c r="A35" s="13">
        <v>3.0</v>
      </c>
      <c r="B35" s="14" t="s">
        <v>29</v>
      </c>
      <c r="C35" s="8"/>
      <c r="D35" s="9"/>
      <c r="E35" s="13">
        <v>0.0</v>
      </c>
      <c r="F35" s="13">
        <v>1.0</v>
      </c>
      <c r="G35" s="13">
        <v>0.0</v>
      </c>
      <c r="H35" s="13">
        <v>0.0</v>
      </c>
      <c r="I35" s="13">
        <v>0.0</v>
      </c>
      <c r="J35" s="13">
        <v>0.0</v>
      </c>
      <c r="K35" s="13">
        <v>0.0</v>
      </c>
      <c r="L35" s="13">
        <v>0.0</v>
      </c>
      <c r="M35" s="13">
        <v>0.0</v>
      </c>
      <c r="N35" s="13">
        <v>0.0</v>
      </c>
      <c r="O35" s="13">
        <v>0.0</v>
      </c>
      <c r="P35" s="13">
        <v>0.0</v>
      </c>
      <c r="Q35" s="13">
        <v>1.0</v>
      </c>
      <c r="R35" s="13">
        <v>0.0</v>
      </c>
      <c r="S35" s="13">
        <v>0.0</v>
      </c>
      <c r="T35" s="13">
        <v>3.0</v>
      </c>
      <c r="U35" s="13">
        <v>0.0</v>
      </c>
      <c r="V35" s="13">
        <v>0.0</v>
      </c>
      <c r="W35" s="13">
        <v>0.0</v>
      </c>
      <c r="X35" s="6">
        <f t="shared" si="10"/>
        <v>5</v>
      </c>
    </row>
    <row r="36" ht="12.75" customHeight="1">
      <c r="A36" s="13">
        <v>4.0</v>
      </c>
      <c r="B36" s="14" t="s">
        <v>30</v>
      </c>
      <c r="C36" s="8"/>
      <c r="D36" s="9"/>
      <c r="E36" s="6">
        <f t="shared" ref="E36:W36" si="11">E33-(E34+E35)</f>
        <v>63</v>
      </c>
      <c r="F36" s="6">
        <f t="shared" si="11"/>
        <v>70</v>
      </c>
      <c r="G36" s="6">
        <f t="shared" si="11"/>
        <v>62</v>
      </c>
      <c r="H36" s="6">
        <f t="shared" si="11"/>
        <v>75</v>
      </c>
      <c r="I36" s="6">
        <f t="shared" si="11"/>
        <v>57</v>
      </c>
      <c r="J36" s="6">
        <f t="shared" si="11"/>
        <v>67</v>
      </c>
      <c r="K36" s="6">
        <f t="shared" si="11"/>
        <v>51</v>
      </c>
      <c r="L36" s="6">
        <f t="shared" si="11"/>
        <v>83</v>
      </c>
      <c r="M36" s="6">
        <f t="shared" si="11"/>
        <v>52</v>
      </c>
      <c r="N36" s="6">
        <f t="shared" si="11"/>
        <v>61</v>
      </c>
      <c r="O36" s="6">
        <f t="shared" si="11"/>
        <v>47</v>
      </c>
      <c r="P36" s="6">
        <f t="shared" si="11"/>
        <v>39</v>
      </c>
      <c r="Q36" s="6">
        <f t="shared" si="11"/>
        <v>43</v>
      </c>
      <c r="R36" s="6">
        <f t="shared" si="11"/>
        <v>60</v>
      </c>
      <c r="S36" s="6">
        <f t="shared" si="11"/>
        <v>36</v>
      </c>
      <c r="T36" s="6">
        <f t="shared" si="11"/>
        <v>47</v>
      </c>
      <c r="U36" s="6">
        <f t="shared" si="11"/>
        <v>18</v>
      </c>
      <c r="V36" s="6">
        <f t="shared" si="11"/>
        <v>48</v>
      </c>
      <c r="W36" s="6">
        <f t="shared" si="11"/>
        <v>61</v>
      </c>
      <c r="X36" s="6">
        <f t="shared" si="10"/>
        <v>1040</v>
      </c>
    </row>
    <row r="37" ht="12.75" customHeight="1">
      <c r="A37" s="21"/>
      <c r="B37" s="8"/>
      <c r="C37" s="8"/>
      <c r="D37" s="8"/>
      <c r="E37" s="21"/>
      <c r="F37" s="8"/>
      <c r="G37" s="8"/>
      <c r="H37" s="8"/>
      <c r="I37" s="9"/>
      <c r="J37" s="13"/>
      <c r="K37" s="13"/>
      <c r="L37" s="13"/>
      <c r="M37" s="13"/>
      <c r="N37" s="67"/>
      <c r="O37" s="69"/>
      <c r="P37" s="69"/>
      <c r="Q37" s="69"/>
      <c r="R37" s="69"/>
      <c r="S37" s="69"/>
      <c r="T37" s="69"/>
      <c r="U37" s="69"/>
      <c r="V37" s="69"/>
      <c r="W37" s="69"/>
      <c r="X37" s="6"/>
    </row>
    <row r="38" ht="12.75" customHeight="1">
      <c r="A38" s="44" t="s">
        <v>31</v>
      </c>
      <c r="B38" s="7" t="s">
        <v>32</v>
      </c>
      <c r="C38" s="8"/>
      <c r="D38" s="9"/>
      <c r="E38" s="6"/>
      <c r="F38" s="6"/>
      <c r="G38" s="6"/>
      <c r="H38" s="6"/>
      <c r="I38" s="6"/>
      <c r="J38" s="6"/>
      <c r="K38" s="6"/>
      <c r="L38" s="6"/>
      <c r="M38" s="6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"/>
    </row>
    <row r="39" ht="12.75" customHeight="1">
      <c r="A39" s="32"/>
      <c r="B39" s="45" t="s">
        <v>33</v>
      </c>
      <c r="C39" s="20"/>
      <c r="D39" s="13" t="s">
        <v>12</v>
      </c>
      <c r="E39" s="13"/>
      <c r="F39" s="13"/>
      <c r="G39" s="13"/>
      <c r="H39" s="13"/>
      <c r="I39" s="13"/>
      <c r="J39" s="13"/>
      <c r="K39" s="13">
        <v>2.0</v>
      </c>
      <c r="L39" s="13">
        <v>1.0</v>
      </c>
      <c r="M39" s="13">
        <v>1.0</v>
      </c>
      <c r="N39" s="13"/>
      <c r="O39" s="13"/>
      <c r="P39" s="13"/>
      <c r="Q39" s="13"/>
      <c r="R39" s="13"/>
      <c r="S39" s="13"/>
      <c r="T39" s="13"/>
      <c r="U39" s="13">
        <v>1.0</v>
      </c>
      <c r="V39" s="13"/>
      <c r="W39" s="13"/>
      <c r="X39" s="6">
        <f t="shared" ref="X39:X41" si="12">SUM(E39:W39)</f>
        <v>5</v>
      </c>
    </row>
    <row r="40" ht="12.75" customHeight="1">
      <c r="A40" s="35"/>
      <c r="C40" s="26"/>
      <c r="D40" s="13" t="s">
        <v>13</v>
      </c>
      <c r="E40" s="13"/>
      <c r="F40" s="13"/>
      <c r="G40" s="13">
        <v>2.0</v>
      </c>
      <c r="H40" s="13"/>
      <c r="I40" s="13"/>
      <c r="J40" s="13"/>
      <c r="K40" s="13"/>
      <c r="L40" s="13">
        <v>2.0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6">
        <f t="shared" si="12"/>
        <v>4</v>
      </c>
    </row>
    <row r="41" ht="12.75" customHeight="1">
      <c r="A41" s="42"/>
      <c r="B41" s="46"/>
      <c r="C41" s="27"/>
      <c r="D41" s="6" t="s">
        <v>14</v>
      </c>
      <c r="E41" s="6">
        <f t="shared" ref="E41:W41" si="13">SUM(E39:E40)</f>
        <v>0</v>
      </c>
      <c r="F41" s="6">
        <f t="shared" si="13"/>
        <v>0</v>
      </c>
      <c r="G41" s="6">
        <f t="shared" si="13"/>
        <v>2</v>
      </c>
      <c r="H41" s="6">
        <f t="shared" si="13"/>
        <v>0</v>
      </c>
      <c r="I41" s="6">
        <f t="shared" si="13"/>
        <v>0</v>
      </c>
      <c r="J41" s="6">
        <f t="shared" si="13"/>
        <v>0</v>
      </c>
      <c r="K41" s="6">
        <f t="shared" si="13"/>
        <v>2</v>
      </c>
      <c r="L41" s="6">
        <f t="shared" si="13"/>
        <v>3</v>
      </c>
      <c r="M41" s="6">
        <f t="shared" si="13"/>
        <v>1</v>
      </c>
      <c r="N41" s="6">
        <f t="shared" si="13"/>
        <v>0</v>
      </c>
      <c r="O41" s="6">
        <f t="shared" si="13"/>
        <v>0</v>
      </c>
      <c r="P41" s="6">
        <f t="shared" si="13"/>
        <v>0</v>
      </c>
      <c r="Q41" s="6">
        <f t="shared" si="13"/>
        <v>0</v>
      </c>
      <c r="R41" s="6">
        <f t="shared" si="13"/>
        <v>0</v>
      </c>
      <c r="S41" s="6">
        <f t="shared" si="13"/>
        <v>0</v>
      </c>
      <c r="T41" s="6">
        <f t="shared" si="13"/>
        <v>0</v>
      </c>
      <c r="U41" s="6">
        <f t="shared" si="13"/>
        <v>1</v>
      </c>
      <c r="V41" s="6">
        <f t="shared" si="13"/>
        <v>0</v>
      </c>
      <c r="W41" s="6">
        <f t="shared" si="13"/>
        <v>0</v>
      </c>
      <c r="X41" s="6">
        <f t="shared" si="12"/>
        <v>9</v>
      </c>
    </row>
    <row r="42" ht="12.75" customHeight="1">
      <c r="A42" s="47"/>
      <c r="B42" s="46"/>
      <c r="C42" s="46"/>
      <c r="D42" s="27"/>
      <c r="E42" s="21"/>
      <c r="F42" s="8"/>
      <c r="G42" s="8"/>
      <c r="H42" s="8"/>
      <c r="I42" s="9"/>
      <c r="J42" s="13"/>
      <c r="K42" s="13"/>
      <c r="L42" s="13"/>
      <c r="M42" s="13"/>
      <c r="N42" s="67"/>
      <c r="X42" s="6"/>
    </row>
    <row r="43" ht="12.75" customHeight="1">
      <c r="A43" s="44" t="s">
        <v>34</v>
      </c>
      <c r="B43" s="7" t="s">
        <v>35</v>
      </c>
      <c r="C43" s="8"/>
      <c r="D43" s="9"/>
      <c r="E43" s="28"/>
      <c r="F43" s="6"/>
      <c r="G43" s="6"/>
      <c r="H43" s="6"/>
      <c r="I43" s="6"/>
      <c r="J43" s="6"/>
      <c r="K43" s="6"/>
      <c r="L43" s="6"/>
      <c r="M43" s="6"/>
      <c r="N43" s="68"/>
      <c r="X43" s="6"/>
    </row>
    <row r="44" ht="12.75" customHeight="1">
      <c r="A44" s="45" t="s">
        <v>36</v>
      </c>
      <c r="B44" s="48"/>
      <c r="C44" s="48"/>
      <c r="D44" s="20"/>
      <c r="E44" s="21"/>
      <c r="F44" s="13"/>
      <c r="G44" s="13"/>
      <c r="H44" s="13"/>
      <c r="I44" s="13"/>
      <c r="J44" s="13"/>
      <c r="K44" s="13"/>
      <c r="L44" s="13"/>
      <c r="M44" s="13"/>
      <c r="N44" s="67"/>
      <c r="X44" s="6"/>
    </row>
    <row r="45" ht="12.75" customHeight="1">
      <c r="A45" s="32" t="s">
        <v>37</v>
      </c>
      <c r="B45" s="49" t="s">
        <v>17</v>
      </c>
      <c r="C45" s="50" t="s">
        <v>38</v>
      </c>
      <c r="D45" s="9"/>
      <c r="E45" s="13">
        <v>3.0</v>
      </c>
      <c r="F45" s="13">
        <v>1.0</v>
      </c>
      <c r="G45" s="13">
        <v>8.0</v>
      </c>
      <c r="H45" s="13">
        <v>5.0</v>
      </c>
      <c r="I45" s="13">
        <v>2.0</v>
      </c>
      <c r="J45" s="13">
        <v>3.0</v>
      </c>
      <c r="K45" s="13">
        <v>4.0</v>
      </c>
      <c r="L45" s="13">
        <v>1.0</v>
      </c>
      <c r="M45" s="13">
        <v>2.0</v>
      </c>
      <c r="N45" s="13">
        <v>3.0</v>
      </c>
      <c r="O45" s="13">
        <v>6.0</v>
      </c>
      <c r="P45" s="13">
        <v>6.0</v>
      </c>
      <c r="Q45" s="13">
        <v>5.0</v>
      </c>
      <c r="R45" s="13">
        <v>6.0</v>
      </c>
      <c r="S45" s="13">
        <v>6.0</v>
      </c>
      <c r="T45" s="13">
        <v>2.0</v>
      </c>
      <c r="U45" s="13">
        <v>0.0</v>
      </c>
      <c r="V45" s="13">
        <v>4.0</v>
      </c>
      <c r="W45" s="13">
        <v>2.0</v>
      </c>
      <c r="X45" s="6">
        <f t="shared" ref="X45:X52" si="14">SUM(E45:W45)</f>
        <v>69</v>
      </c>
    </row>
    <row r="46" ht="12.75" customHeight="1">
      <c r="A46" s="32" t="s">
        <v>39</v>
      </c>
      <c r="B46" s="51"/>
      <c r="C46" s="52" t="s">
        <v>40</v>
      </c>
      <c r="D46" s="53"/>
      <c r="E46" s="13">
        <v>5.0</v>
      </c>
      <c r="F46" s="13">
        <v>5.0</v>
      </c>
      <c r="G46" s="13">
        <v>1.0</v>
      </c>
      <c r="H46" s="13">
        <v>6.0</v>
      </c>
      <c r="I46" s="13">
        <v>1.0</v>
      </c>
      <c r="J46" s="13">
        <v>2.0</v>
      </c>
      <c r="K46" s="13">
        <v>2.0</v>
      </c>
      <c r="L46" s="13">
        <v>1.0</v>
      </c>
      <c r="M46" s="13">
        <v>1.0</v>
      </c>
      <c r="N46" s="13">
        <v>2.0</v>
      </c>
      <c r="O46" s="13">
        <v>3.0</v>
      </c>
      <c r="P46" s="13">
        <v>3.0</v>
      </c>
      <c r="Q46" s="13">
        <v>4.0</v>
      </c>
      <c r="R46" s="13">
        <v>1.0</v>
      </c>
      <c r="S46" s="13">
        <v>1.0</v>
      </c>
      <c r="T46" s="13">
        <v>1.0</v>
      </c>
      <c r="U46" s="13">
        <v>1.0</v>
      </c>
      <c r="V46" s="13">
        <v>1.0</v>
      </c>
      <c r="W46" s="13">
        <v>2.0</v>
      </c>
      <c r="X46" s="6">
        <f t="shared" si="14"/>
        <v>43</v>
      </c>
    </row>
    <row r="47" ht="12.75" customHeight="1">
      <c r="A47" s="18"/>
      <c r="B47" s="51"/>
      <c r="C47" s="52" t="s">
        <v>41</v>
      </c>
      <c r="D47" s="53"/>
      <c r="E47" s="13">
        <v>4.0</v>
      </c>
      <c r="F47" s="13">
        <v>0.0</v>
      </c>
      <c r="G47" s="13">
        <v>3.0</v>
      </c>
      <c r="H47" s="13">
        <v>0.0</v>
      </c>
      <c r="I47" s="13">
        <v>1.0</v>
      </c>
      <c r="J47" s="13">
        <v>2.0</v>
      </c>
      <c r="K47" s="13">
        <v>2.0</v>
      </c>
      <c r="L47" s="13">
        <v>1.0</v>
      </c>
      <c r="M47" s="13">
        <v>2.0</v>
      </c>
      <c r="N47" s="13">
        <v>1.0</v>
      </c>
      <c r="O47" s="13">
        <v>0.0</v>
      </c>
      <c r="P47" s="13">
        <v>3.0</v>
      </c>
      <c r="Q47" s="13">
        <v>3.0</v>
      </c>
      <c r="R47" s="13">
        <v>0.0</v>
      </c>
      <c r="S47" s="13">
        <v>0.0</v>
      </c>
      <c r="T47" s="13">
        <v>0.0</v>
      </c>
      <c r="U47" s="13">
        <v>0.0</v>
      </c>
      <c r="V47" s="13">
        <v>0.0</v>
      </c>
      <c r="W47" s="13">
        <v>0.0</v>
      </c>
      <c r="X47" s="6">
        <f t="shared" si="14"/>
        <v>22</v>
      </c>
    </row>
    <row r="48" ht="12.75" customHeight="1">
      <c r="A48" s="18"/>
      <c r="B48" s="51"/>
      <c r="C48" s="52" t="s">
        <v>42</v>
      </c>
      <c r="D48" s="53"/>
      <c r="E48" s="13">
        <v>1.0</v>
      </c>
      <c r="F48" s="13">
        <v>2.0</v>
      </c>
      <c r="G48" s="13">
        <v>1.0</v>
      </c>
      <c r="H48" s="13">
        <v>11.0</v>
      </c>
      <c r="I48" s="13">
        <v>8.0</v>
      </c>
      <c r="J48" s="13">
        <v>3.0</v>
      </c>
      <c r="K48" s="13">
        <v>5.0</v>
      </c>
      <c r="L48" s="13">
        <v>7.0</v>
      </c>
      <c r="M48" s="13">
        <v>16.0</v>
      </c>
      <c r="N48" s="13">
        <v>4.0</v>
      </c>
      <c r="O48" s="13">
        <v>2.0</v>
      </c>
      <c r="P48" s="13">
        <v>2.0</v>
      </c>
      <c r="Q48" s="13">
        <v>11.0</v>
      </c>
      <c r="R48" s="13">
        <v>3.0</v>
      </c>
      <c r="S48" s="13">
        <v>3.0</v>
      </c>
      <c r="T48" s="13">
        <v>4.0</v>
      </c>
      <c r="U48" s="13">
        <v>0.0</v>
      </c>
      <c r="V48" s="13">
        <v>0.0</v>
      </c>
      <c r="W48" s="13">
        <v>3.0</v>
      </c>
      <c r="X48" s="6">
        <f t="shared" si="14"/>
        <v>86</v>
      </c>
    </row>
    <row r="49" ht="12.75" customHeight="1">
      <c r="A49" s="18"/>
      <c r="B49" s="51"/>
      <c r="C49" s="52" t="s">
        <v>43</v>
      </c>
      <c r="D49" s="53"/>
      <c r="E49" s="13">
        <v>0.0</v>
      </c>
      <c r="F49" s="13">
        <v>0.0</v>
      </c>
      <c r="G49" s="13">
        <v>0.0</v>
      </c>
      <c r="H49" s="13">
        <v>0.0</v>
      </c>
      <c r="I49" s="13">
        <v>0.0</v>
      </c>
      <c r="J49" s="13">
        <v>0.0</v>
      </c>
      <c r="K49" s="13">
        <v>0.0</v>
      </c>
      <c r="L49" s="13">
        <v>0.0</v>
      </c>
      <c r="M49" s="13">
        <v>0.0</v>
      </c>
      <c r="N49" s="13">
        <v>1.0</v>
      </c>
      <c r="O49" s="13">
        <v>0.0</v>
      </c>
      <c r="P49" s="13">
        <v>0.0</v>
      </c>
      <c r="Q49" s="13">
        <v>0.0</v>
      </c>
      <c r="R49" s="13">
        <v>0.0</v>
      </c>
      <c r="S49" s="13">
        <v>0.0</v>
      </c>
      <c r="T49" s="13">
        <v>0.0</v>
      </c>
      <c r="U49" s="13">
        <v>0.0</v>
      </c>
      <c r="V49" s="13">
        <v>0.0</v>
      </c>
      <c r="W49" s="13">
        <v>0.0</v>
      </c>
      <c r="X49" s="6">
        <f t="shared" si="14"/>
        <v>1</v>
      </c>
    </row>
    <row r="50" ht="12.75" customHeight="1">
      <c r="A50" s="18"/>
      <c r="B50" s="51"/>
      <c r="C50" s="52" t="s">
        <v>44</v>
      </c>
      <c r="D50" s="53"/>
      <c r="E50" s="13">
        <v>0.0</v>
      </c>
      <c r="F50" s="13">
        <v>0.0</v>
      </c>
      <c r="G50" s="13">
        <v>0.0</v>
      </c>
      <c r="H50" s="13">
        <v>1.0</v>
      </c>
      <c r="I50" s="13">
        <v>0.0</v>
      </c>
      <c r="J50" s="13">
        <v>0.0</v>
      </c>
      <c r="K50" s="13">
        <v>0.0</v>
      </c>
      <c r="L50" s="13">
        <v>2.0</v>
      </c>
      <c r="M50" s="13">
        <v>0.0</v>
      </c>
      <c r="N50" s="13">
        <v>1.0</v>
      </c>
      <c r="O50" s="13">
        <v>1.0</v>
      </c>
      <c r="P50" s="13">
        <v>0.0</v>
      </c>
      <c r="Q50" s="13">
        <v>0.0</v>
      </c>
      <c r="R50" s="13">
        <v>1.0</v>
      </c>
      <c r="S50" s="13">
        <v>0.0</v>
      </c>
      <c r="T50" s="13">
        <v>0.0</v>
      </c>
      <c r="U50" s="13">
        <v>0.0</v>
      </c>
      <c r="V50" s="13">
        <v>0.0</v>
      </c>
      <c r="W50" s="13">
        <v>0.0</v>
      </c>
      <c r="X50" s="6">
        <f t="shared" si="14"/>
        <v>6</v>
      </c>
    </row>
    <row r="51" ht="12.75" customHeight="1">
      <c r="A51" s="18"/>
      <c r="B51" s="51"/>
      <c r="C51" s="52" t="s">
        <v>45</v>
      </c>
      <c r="D51" s="53"/>
      <c r="E51" s="13">
        <v>0.0</v>
      </c>
      <c r="F51" s="13">
        <v>0.0</v>
      </c>
      <c r="G51" s="13">
        <v>0.0</v>
      </c>
      <c r="H51" s="13">
        <v>2.0</v>
      </c>
      <c r="I51" s="13">
        <v>1.0</v>
      </c>
      <c r="J51" s="13">
        <v>8.0</v>
      </c>
      <c r="K51" s="13">
        <v>2.0</v>
      </c>
      <c r="L51" s="13">
        <v>0.0</v>
      </c>
      <c r="M51" s="13">
        <v>1.0</v>
      </c>
      <c r="N51" s="13">
        <v>0.0</v>
      </c>
      <c r="O51" s="13">
        <v>10.0</v>
      </c>
      <c r="P51" s="13">
        <v>16.0</v>
      </c>
      <c r="Q51" s="13">
        <v>2.0</v>
      </c>
      <c r="R51" s="13">
        <v>0.0</v>
      </c>
      <c r="S51" s="13">
        <v>2.0</v>
      </c>
      <c r="T51" s="13">
        <v>0.0</v>
      </c>
      <c r="U51" s="13">
        <v>0.0</v>
      </c>
      <c r="V51" s="13">
        <v>0.0</v>
      </c>
      <c r="W51" s="13">
        <v>0.0</v>
      </c>
      <c r="X51" s="6">
        <f t="shared" si="14"/>
        <v>44</v>
      </c>
    </row>
    <row r="52" ht="12.75" customHeight="1">
      <c r="A52" s="13" t="s">
        <v>15</v>
      </c>
      <c r="B52" s="49" t="s">
        <v>46</v>
      </c>
      <c r="C52" s="8"/>
      <c r="D52" s="9"/>
      <c r="E52" s="60">
        <f t="shared" ref="E52:W52" si="15">SUM(E45:E51)</f>
        <v>13</v>
      </c>
      <c r="F52" s="60">
        <f t="shared" si="15"/>
        <v>8</v>
      </c>
      <c r="G52" s="60">
        <f t="shared" si="15"/>
        <v>13</v>
      </c>
      <c r="H52" s="60">
        <f t="shared" si="15"/>
        <v>25</v>
      </c>
      <c r="I52" s="60">
        <f t="shared" si="15"/>
        <v>13</v>
      </c>
      <c r="J52" s="60">
        <f t="shared" si="15"/>
        <v>18</v>
      </c>
      <c r="K52" s="60">
        <f t="shared" si="15"/>
        <v>15</v>
      </c>
      <c r="L52" s="60">
        <f t="shared" si="15"/>
        <v>12</v>
      </c>
      <c r="M52" s="60">
        <f t="shared" si="15"/>
        <v>22</v>
      </c>
      <c r="N52" s="60">
        <f t="shared" si="15"/>
        <v>12</v>
      </c>
      <c r="O52" s="60">
        <f t="shared" si="15"/>
        <v>22</v>
      </c>
      <c r="P52" s="60">
        <f t="shared" si="15"/>
        <v>30</v>
      </c>
      <c r="Q52" s="60">
        <f t="shared" si="15"/>
        <v>25</v>
      </c>
      <c r="R52" s="60">
        <f t="shared" si="15"/>
        <v>11</v>
      </c>
      <c r="S52" s="60">
        <f t="shared" si="15"/>
        <v>12</v>
      </c>
      <c r="T52" s="60">
        <f t="shared" si="15"/>
        <v>7</v>
      </c>
      <c r="U52" s="60">
        <f t="shared" si="15"/>
        <v>1</v>
      </c>
      <c r="V52" s="60">
        <f t="shared" si="15"/>
        <v>5</v>
      </c>
      <c r="W52" s="60">
        <f t="shared" si="15"/>
        <v>7</v>
      </c>
      <c r="X52" s="6">
        <f t="shared" si="14"/>
        <v>271</v>
      </c>
    </row>
    <row r="53" ht="12.75" customHeight="1">
      <c r="A53" s="5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6"/>
    </row>
    <row r="54" ht="12.75" customHeight="1">
      <c r="A54" s="32" t="s">
        <v>37</v>
      </c>
      <c r="B54" s="49" t="s">
        <v>19</v>
      </c>
      <c r="C54" s="50" t="s">
        <v>47</v>
      </c>
      <c r="D54" s="9"/>
      <c r="E54" s="13">
        <v>9.0</v>
      </c>
      <c r="F54" s="13">
        <v>6.0</v>
      </c>
      <c r="G54" s="13">
        <v>7.0</v>
      </c>
      <c r="H54" s="13">
        <v>12.0</v>
      </c>
      <c r="I54" s="13">
        <v>8.0</v>
      </c>
      <c r="J54" s="13">
        <v>5.0</v>
      </c>
      <c r="K54" s="13">
        <v>9.0</v>
      </c>
      <c r="L54" s="13">
        <v>11.0</v>
      </c>
      <c r="M54" s="13">
        <v>10.0</v>
      </c>
      <c r="N54" s="13">
        <v>11.0</v>
      </c>
      <c r="O54" s="13">
        <v>3.0</v>
      </c>
      <c r="P54" s="13">
        <v>0.0</v>
      </c>
      <c r="Q54" s="13">
        <v>4.0</v>
      </c>
      <c r="R54" s="13">
        <v>10.0</v>
      </c>
      <c r="S54" s="13">
        <v>9.0</v>
      </c>
      <c r="T54" s="13">
        <v>8.0</v>
      </c>
      <c r="U54" s="13">
        <v>3.0</v>
      </c>
      <c r="V54" s="13">
        <v>0.0</v>
      </c>
      <c r="W54" s="13">
        <v>3.0</v>
      </c>
      <c r="X54" s="6">
        <f t="shared" ref="X54:X61" si="16">SUM(E54:W54)</f>
        <v>128</v>
      </c>
    </row>
    <row r="55" ht="12.75" customHeight="1">
      <c r="A55" s="32" t="s">
        <v>39</v>
      </c>
      <c r="B55" s="51"/>
      <c r="C55" s="52" t="s">
        <v>48</v>
      </c>
      <c r="D55" s="53"/>
      <c r="E55" s="13">
        <v>2.0</v>
      </c>
      <c r="F55" s="13">
        <v>1.0</v>
      </c>
      <c r="G55" s="13">
        <v>5.0</v>
      </c>
      <c r="H55" s="13">
        <v>4.0</v>
      </c>
      <c r="I55" s="13">
        <v>2.0</v>
      </c>
      <c r="J55" s="13">
        <v>4.0</v>
      </c>
      <c r="K55" s="13">
        <v>7.0</v>
      </c>
      <c r="L55" s="13">
        <v>5.0</v>
      </c>
      <c r="M55" s="13">
        <v>5.0</v>
      </c>
      <c r="N55" s="13">
        <v>5.0</v>
      </c>
      <c r="O55" s="13">
        <v>1.0</v>
      </c>
      <c r="P55" s="13">
        <v>2.0</v>
      </c>
      <c r="Q55" s="13">
        <v>2.0</v>
      </c>
      <c r="R55" s="13">
        <v>2.0</v>
      </c>
      <c r="S55" s="13">
        <v>1.0</v>
      </c>
      <c r="T55" s="13">
        <v>4.0</v>
      </c>
      <c r="U55" s="13">
        <v>2.0</v>
      </c>
      <c r="V55" s="13">
        <v>1.0</v>
      </c>
      <c r="W55" s="13">
        <v>3.0</v>
      </c>
      <c r="X55" s="6">
        <f t="shared" si="16"/>
        <v>58</v>
      </c>
    </row>
    <row r="56" ht="12.75" customHeight="1">
      <c r="A56" s="18"/>
      <c r="B56" s="51"/>
      <c r="C56" s="52" t="s">
        <v>49</v>
      </c>
      <c r="D56" s="53"/>
      <c r="E56" s="13">
        <v>5.0</v>
      </c>
      <c r="F56" s="13">
        <v>4.0</v>
      </c>
      <c r="G56" s="13">
        <v>7.0</v>
      </c>
      <c r="H56" s="13">
        <v>5.0</v>
      </c>
      <c r="I56" s="13">
        <v>4.0</v>
      </c>
      <c r="J56" s="13">
        <v>4.0</v>
      </c>
      <c r="K56" s="13">
        <v>2.0</v>
      </c>
      <c r="L56" s="13">
        <v>8.0</v>
      </c>
      <c r="M56" s="13">
        <v>4.0</v>
      </c>
      <c r="N56" s="13">
        <v>10.0</v>
      </c>
      <c r="O56" s="13">
        <v>0.0</v>
      </c>
      <c r="P56" s="13">
        <v>3.0</v>
      </c>
      <c r="Q56" s="13">
        <v>3.0</v>
      </c>
      <c r="R56" s="13">
        <v>6.0</v>
      </c>
      <c r="S56" s="13">
        <v>1.0</v>
      </c>
      <c r="T56" s="13">
        <v>5.0</v>
      </c>
      <c r="U56" s="13">
        <v>3.0</v>
      </c>
      <c r="V56" s="13">
        <v>4.0</v>
      </c>
      <c r="W56" s="13">
        <v>0.0</v>
      </c>
      <c r="X56" s="6">
        <f t="shared" si="16"/>
        <v>78</v>
      </c>
    </row>
    <row r="57" ht="12.75" customHeight="1">
      <c r="A57" s="18"/>
      <c r="B57" s="51"/>
      <c r="C57" s="52" t="s">
        <v>50</v>
      </c>
      <c r="D57" s="53"/>
      <c r="E57" s="13">
        <v>1.0</v>
      </c>
      <c r="F57" s="13">
        <v>0.0</v>
      </c>
      <c r="G57" s="13">
        <v>1.0</v>
      </c>
      <c r="H57" s="13">
        <v>3.0</v>
      </c>
      <c r="I57" s="13">
        <v>0.0</v>
      </c>
      <c r="J57" s="13">
        <v>1.0</v>
      </c>
      <c r="K57" s="13">
        <v>2.0</v>
      </c>
      <c r="L57" s="13">
        <v>1.0</v>
      </c>
      <c r="M57" s="13">
        <v>2.0</v>
      </c>
      <c r="N57" s="13">
        <v>0.0</v>
      </c>
      <c r="O57" s="13">
        <v>1.0</v>
      </c>
      <c r="P57" s="13">
        <v>0.0</v>
      </c>
      <c r="Q57" s="13">
        <v>0.0</v>
      </c>
      <c r="R57" s="13">
        <v>1.0</v>
      </c>
      <c r="S57" s="13">
        <v>1.0</v>
      </c>
      <c r="T57" s="13">
        <v>3.0</v>
      </c>
      <c r="U57" s="13">
        <v>0.0</v>
      </c>
      <c r="V57" s="13">
        <v>1.0</v>
      </c>
      <c r="W57" s="13">
        <v>0.0</v>
      </c>
      <c r="X57" s="6">
        <f t="shared" si="16"/>
        <v>18</v>
      </c>
    </row>
    <row r="58" ht="12.75" customHeight="1">
      <c r="A58" s="18"/>
      <c r="B58" s="51"/>
      <c r="C58" s="52" t="s">
        <v>51</v>
      </c>
      <c r="D58" s="53"/>
      <c r="E58" s="13">
        <v>0.0</v>
      </c>
      <c r="F58" s="13">
        <v>0.0</v>
      </c>
      <c r="G58" s="13">
        <v>1.0</v>
      </c>
      <c r="H58" s="13">
        <v>2.0</v>
      </c>
      <c r="I58" s="13">
        <v>1.0</v>
      </c>
      <c r="J58" s="13">
        <v>0.0</v>
      </c>
      <c r="K58" s="13">
        <v>1.0</v>
      </c>
      <c r="L58" s="13">
        <v>1.0</v>
      </c>
      <c r="M58" s="13">
        <v>2.0</v>
      </c>
      <c r="N58" s="13">
        <v>2.0</v>
      </c>
      <c r="O58" s="13">
        <v>0.0</v>
      </c>
      <c r="P58" s="13">
        <v>1.0</v>
      </c>
      <c r="Q58" s="13">
        <v>1.0</v>
      </c>
      <c r="R58" s="13">
        <v>1.0</v>
      </c>
      <c r="S58" s="13">
        <v>0.0</v>
      </c>
      <c r="T58" s="13">
        <v>0.0</v>
      </c>
      <c r="U58" s="13">
        <v>1.0</v>
      </c>
      <c r="V58" s="13">
        <v>0.0</v>
      </c>
      <c r="W58" s="13">
        <v>0.0</v>
      </c>
      <c r="X58" s="6">
        <f t="shared" si="16"/>
        <v>14</v>
      </c>
    </row>
    <row r="59" ht="12.75" customHeight="1">
      <c r="A59" s="18"/>
      <c r="B59" s="51"/>
      <c r="C59" s="52" t="s">
        <v>52</v>
      </c>
      <c r="D59" s="53"/>
      <c r="E59" s="13">
        <v>0.0</v>
      </c>
      <c r="F59" s="13">
        <v>1.0</v>
      </c>
      <c r="G59" s="13">
        <v>0.0</v>
      </c>
      <c r="H59" s="13">
        <v>1.0</v>
      </c>
      <c r="I59" s="13">
        <v>0.0</v>
      </c>
      <c r="J59" s="13">
        <v>0.0</v>
      </c>
      <c r="K59" s="13">
        <v>2.0</v>
      </c>
      <c r="L59" s="13">
        <v>0.0</v>
      </c>
      <c r="M59" s="13">
        <v>0.0</v>
      </c>
      <c r="N59" s="13">
        <v>0.0</v>
      </c>
      <c r="O59" s="13">
        <v>3.0</v>
      </c>
      <c r="P59" s="13">
        <v>0.0</v>
      </c>
      <c r="Q59" s="13">
        <v>0.0</v>
      </c>
      <c r="R59" s="13">
        <v>3.0</v>
      </c>
      <c r="S59" s="13">
        <v>0.0</v>
      </c>
      <c r="T59" s="13">
        <v>3.0</v>
      </c>
      <c r="U59" s="13">
        <v>0.0</v>
      </c>
      <c r="V59" s="13">
        <v>3.0</v>
      </c>
      <c r="W59" s="13">
        <v>10.0</v>
      </c>
      <c r="X59" s="6">
        <f t="shared" si="16"/>
        <v>26</v>
      </c>
    </row>
    <row r="60" ht="12.75" customHeight="1">
      <c r="A60" s="18"/>
      <c r="B60" s="51"/>
      <c r="C60" s="52" t="s">
        <v>53</v>
      </c>
      <c r="D60" s="53"/>
      <c r="E60" s="13">
        <v>1.0</v>
      </c>
      <c r="F60" s="13">
        <v>0.0</v>
      </c>
      <c r="G60" s="13">
        <v>1.0</v>
      </c>
      <c r="H60" s="13">
        <v>0.0</v>
      </c>
      <c r="I60" s="13">
        <v>0.0</v>
      </c>
      <c r="J60" s="13">
        <v>0.0</v>
      </c>
      <c r="K60" s="13">
        <v>0.0</v>
      </c>
      <c r="L60" s="13">
        <v>1.0</v>
      </c>
      <c r="M60" s="13">
        <v>0.0</v>
      </c>
      <c r="N60" s="13">
        <v>0.0</v>
      </c>
      <c r="O60" s="13">
        <v>1.0</v>
      </c>
      <c r="P60" s="13">
        <v>0.0</v>
      </c>
      <c r="Q60" s="13">
        <v>0.0</v>
      </c>
      <c r="R60" s="13">
        <v>0.0</v>
      </c>
      <c r="S60" s="13">
        <v>0.0</v>
      </c>
      <c r="T60" s="13">
        <v>0.0</v>
      </c>
      <c r="U60" s="13">
        <v>0.0</v>
      </c>
      <c r="V60" s="13">
        <v>0.0</v>
      </c>
      <c r="W60" s="13">
        <v>1.0</v>
      </c>
      <c r="X60" s="6">
        <f t="shared" si="16"/>
        <v>5</v>
      </c>
    </row>
    <row r="61" ht="12.75" customHeight="1">
      <c r="A61" s="13" t="s">
        <v>15</v>
      </c>
      <c r="B61" s="49" t="s">
        <v>46</v>
      </c>
      <c r="C61" s="8"/>
      <c r="D61" s="9"/>
      <c r="E61" s="60">
        <f t="shared" ref="E61:W61" si="17">SUM(E54:E60)</f>
        <v>18</v>
      </c>
      <c r="F61" s="60">
        <f t="shared" si="17"/>
        <v>12</v>
      </c>
      <c r="G61" s="60">
        <f t="shared" si="17"/>
        <v>22</v>
      </c>
      <c r="H61" s="60">
        <f t="shared" si="17"/>
        <v>27</v>
      </c>
      <c r="I61" s="60">
        <f t="shared" si="17"/>
        <v>15</v>
      </c>
      <c r="J61" s="60">
        <f t="shared" si="17"/>
        <v>14</v>
      </c>
      <c r="K61" s="60">
        <f t="shared" si="17"/>
        <v>23</v>
      </c>
      <c r="L61" s="60">
        <f t="shared" si="17"/>
        <v>27</v>
      </c>
      <c r="M61" s="60">
        <f t="shared" si="17"/>
        <v>23</v>
      </c>
      <c r="N61" s="60">
        <f t="shared" si="17"/>
        <v>28</v>
      </c>
      <c r="O61" s="60">
        <f t="shared" si="17"/>
        <v>9</v>
      </c>
      <c r="P61" s="60">
        <f t="shared" si="17"/>
        <v>6</v>
      </c>
      <c r="Q61" s="60">
        <f t="shared" si="17"/>
        <v>10</v>
      </c>
      <c r="R61" s="60">
        <f t="shared" si="17"/>
        <v>23</v>
      </c>
      <c r="S61" s="60">
        <f t="shared" si="17"/>
        <v>12</v>
      </c>
      <c r="T61" s="60">
        <f t="shared" si="17"/>
        <v>23</v>
      </c>
      <c r="U61" s="60">
        <f t="shared" si="17"/>
        <v>9</v>
      </c>
      <c r="V61" s="60">
        <f t="shared" si="17"/>
        <v>9</v>
      </c>
      <c r="W61" s="60">
        <f t="shared" si="17"/>
        <v>17</v>
      </c>
      <c r="X61" s="6">
        <f t="shared" si="16"/>
        <v>327</v>
      </c>
    </row>
    <row r="62" ht="12.75" customHeight="1">
      <c r="A62" s="54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6"/>
    </row>
    <row r="63" ht="12.75" customHeight="1">
      <c r="A63" s="32" t="s">
        <v>37</v>
      </c>
      <c r="B63" s="49" t="s">
        <v>21</v>
      </c>
      <c r="C63" s="50" t="s">
        <v>54</v>
      </c>
      <c r="D63" s="9"/>
      <c r="E63" s="13">
        <v>7.0</v>
      </c>
      <c r="F63" s="13">
        <v>6.0</v>
      </c>
      <c r="G63" s="13">
        <v>5.0</v>
      </c>
      <c r="H63" s="13">
        <v>9.0</v>
      </c>
      <c r="I63" s="13">
        <v>9.0</v>
      </c>
      <c r="J63" s="13">
        <v>8.0</v>
      </c>
      <c r="K63" s="13">
        <v>7.0</v>
      </c>
      <c r="L63" s="13">
        <v>6.0</v>
      </c>
      <c r="M63" s="13">
        <v>3.0</v>
      </c>
      <c r="N63" s="13">
        <v>11.0</v>
      </c>
      <c r="O63" s="13">
        <v>9.0</v>
      </c>
      <c r="P63" s="13">
        <v>7.0</v>
      </c>
      <c r="Q63" s="13">
        <v>3.0</v>
      </c>
      <c r="R63" s="13">
        <v>12.0</v>
      </c>
      <c r="S63" s="13">
        <v>18.0</v>
      </c>
      <c r="T63" s="13">
        <v>12.0</v>
      </c>
      <c r="U63" s="13">
        <v>8.0</v>
      </c>
      <c r="V63" s="13">
        <v>4.0</v>
      </c>
      <c r="W63" s="13">
        <v>12.0</v>
      </c>
      <c r="X63" s="6">
        <f t="shared" ref="X63:X70" si="18">SUM(E63:W63)</f>
        <v>156</v>
      </c>
    </row>
    <row r="64" ht="12.75" customHeight="1">
      <c r="A64" s="32" t="s">
        <v>39</v>
      </c>
      <c r="B64" s="51"/>
      <c r="C64" s="52" t="s">
        <v>55</v>
      </c>
      <c r="D64" s="53"/>
      <c r="E64" s="13">
        <v>2.0</v>
      </c>
      <c r="F64" s="13">
        <v>2.0</v>
      </c>
      <c r="G64" s="13">
        <v>3.0</v>
      </c>
      <c r="H64" s="13">
        <v>4.0</v>
      </c>
      <c r="I64" s="13">
        <v>3.0</v>
      </c>
      <c r="J64" s="13">
        <v>3.0</v>
      </c>
      <c r="K64" s="13">
        <v>14.0</v>
      </c>
      <c r="L64" s="13">
        <v>6.0</v>
      </c>
      <c r="M64" s="13">
        <v>3.0</v>
      </c>
      <c r="N64" s="13">
        <v>1.0</v>
      </c>
      <c r="O64" s="13">
        <v>4.0</v>
      </c>
      <c r="P64" s="13">
        <v>4.0</v>
      </c>
      <c r="Q64" s="13">
        <v>0.0</v>
      </c>
      <c r="R64" s="13">
        <v>10.0</v>
      </c>
      <c r="S64" s="13">
        <v>10.0</v>
      </c>
      <c r="T64" s="13">
        <v>2.0</v>
      </c>
      <c r="U64" s="13">
        <v>5.0</v>
      </c>
      <c r="V64" s="13">
        <v>1.0</v>
      </c>
      <c r="W64" s="13">
        <v>6.0</v>
      </c>
      <c r="X64" s="6">
        <f t="shared" si="18"/>
        <v>83</v>
      </c>
    </row>
    <row r="65" ht="12.75" customHeight="1">
      <c r="A65" s="18"/>
      <c r="B65" s="51"/>
      <c r="C65" s="52" t="s">
        <v>56</v>
      </c>
      <c r="D65" s="53"/>
      <c r="E65" s="13">
        <v>2.0</v>
      </c>
      <c r="F65" s="13">
        <v>2.0</v>
      </c>
      <c r="G65" s="13">
        <v>8.0</v>
      </c>
      <c r="H65" s="13">
        <v>1.0</v>
      </c>
      <c r="I65" s="13">
        <v>1.0</v>
      </c>
      <c r="J65" s="13">
        <v>2.0</v>
      </c>
      <c r="K65" s="13">
        <v>1.0</v>
      </c>
      <c r="L65" s="13">
        <v>3.0</v>
      </c>
      <c r="M65" s="13">
        <v>7.0</v>
      </c>
      <c r="N65" s="13">
        <v>5.0</v>
      </c>
      <c r="O65" s="13">
        <v>2.0</v>
      </c>
      <c r="P65" s="13">
        <v>6.0</v>
      </c>
      <c r="Q65" s="13">
        <v>1.0</v>
      </c>
      <c r="R65" s="13">
        <v>6.0</v>
      </c>
      <c r="S65" s="13">
        <v>4.0</v>
      </c>
      <c r="T65" s="13">
        <v>23.0</v>
      </c>
      <c r="U65" s="13">
        <v>1.0</v>
      </c>
      <c r="V65" s="13">
        <v>6.0</v>
      </c>
      <c r="W65" s="13">
        <v>4.0</v>
      </c>
      <c r="X65" s="6">
        <f t="shared" si="18"/>
        <v>85</v>
      </c>
    </row>
    <row r="66" ht="12.75" customHeight="1">
      <c r="A66" s="18"/>
      <c r="B66" s="51"/>
      <c r="C66" s="52" t="s">
        <v>57</v>
      </c>
      <c r="D66" s="53"/>
      <c r="E66" s="13">
        <v>7.0</v>
      </c>
      <c r="F66" s="13">
        <v>1.0</v>
      </c>
      <c r="G66" s="13">
        <v>9.0</v>
      </c>
      <c r="H66" s="13">
        <v>9.0</v>
      </c>
      <c r="I66" s="13">
        <v>4.0</v>
      </c>
      <c r="J66" s="13">
        <v>12.0</v>
      </c>
      <c r="K66" s="13">
        <v>4.0</v>
      </c>
      <c r="L66" s="13">
        <v>3.0</v>
      </c>
      <c r="M66" s="13">
        <v>4.0</v>
      </c>
      <c r="N66" s="13">
        <v>7.0</v>
      </c>
      <c r="O66" s="13">
        <v>1.0</v>
      </c>
      <c r="P66" s="13">
        <v>1.0</v>
      </c>
      <c r="Q66" s="13">
        <v>6.0</v>
      </c>
      <c r="R66" s="13">
        <v>33.0</v>
      </c>
      <c r="S66" s="13">
        <v>28.0</v>
      </c>
      <c r="T66" s="13">
        <v>6.0</v>
      </c>
      <c r="U66" s="13">
        <v>3.0</v>
      </c>
      <c r="V66" s="13">
        <v>9.0</v>
      </c>
      <c r="W66" s="13">
        <v>6.0</v>
      </c>
      <c r="X66" s="6">
        <f t="shared" si="18"/>
        <v>153</v>
      </c>
    </row>
    <row r="67" ht="12.75" customHeight="1">
      <c r="A67" s="18"/>
      <c r="B67" s="51"/>
      <c r="C67" s="52" t="s">
        <v>58</v>
      </c>
      <c r="D67" s="53"/>
      <c r="E67" s="13">
        <v>0.0</v>
      </c>
      <c r="F67" s="13">
        <v>2.0</v>
      </c>
      <c r="G67" s="13">
        <v>3.0</v>
      </c>
      <c r="H67" s="13">
        <v>1.0</v>
      </c>
      <c r="I67" s="13">
        <v>2.0</v>
      </c>
      <c r="J67" s="13">
        <v>1.0</v>
      </c>
      <c r="K67" s="13">
        <v>1.0</v>
      </c>
      <c r="L67" s="13">
        <v>0.0</v>
      </c>
      <c r="M67" s="13">
        <v>1.0</v>
      </c>
      <c r="N67" s="13">
        <v>0.0</v>
      </c>
      <c r="O67" s="13">
        <v>0.0</v>
      </c>
      <c r="P67" s="13">
        <v>3.0</v>
      </c>
      <c r="Q67" s="13">
        <v>0.0</v>
      </c>
      <c r="R67" s="13">
        <v>3.0</v>
      </c>
      <c r="S67" s="13">
        <v>0.0</v>
      </c>
      <c r="T67" s="13">
        <v>0.0</v>
      </c>
      <c r="U67" s="13">
        <v>1.0</v>
      </c>
      <c r="V67" s="13">
        <v>1.0</v>
      </c>
      <c r="W67" s="13">
        <v>0.0</v>
      </c>
      <c r="X67" s="6">
        <f t="shared" si="18"/>
        <v>19</v>
      </c>
    </row>
    <row r="68" ht="12.75" customHeight="1">
      <c r="A68" s="18"/>
      <c r="B68" s="51"/>
      <c r="C68" s="52" t="s">
        <v>59</v>
      </c>
      <c r="D68" s="53"/>
      <c r="E68" s="13">
        <v>5.0</v>
      </c>
      <c r="F68" s="13">
        <v>6.0</v>
      </c>
      <c r="G68" s="13">
        <v>1.0</v>
      </c>
      <c r="H68" s="13">
        <v>7.0</v>
      </c>
      <c r="I68" s="13">
        <v>0.0</v>
      </c>
      <c r="J68" s="13">
        <v>3.0</v>
      </c>
      <c r="K68" s="13">
        <v>3.0</v>
      </c>
      <c r="L68" s="13">
        <v>3.0</v>
      </c>
      <c r="M68" s="13">
        <v>7.0</v>
      </c>
      <c r="N68" s="13">
        <v>9.0</v>
      </c>
      <c r="O68" s="13">
        <v>1.0</v>
      </c>
      <c r="P68" s="13">
        <v>9.0</v>
      </c>
      <c r="Q68" s="13">
        <v>1.0</v>
      </c>
      <c r="R68" s="13">
        <v>3.0</v>
      </c>
      <c r="S68" s="13">
        <v>5.0</v>
      </c>
      <c r="T68" s="13">
        <v>2.0</v>
      </c>
      <c r="U68" s="13">
        <v>0.0</v>
      </c>
      <c r="V68" s="13">
        <v>5.0</v>
      </c>
      <c r="W68" s="13">
        <v>5.0</v>
      </c>
      <c r="X68" s="6">
        <f t="shared" si="18"/>
        <v>75</v>
      </c>
    </row>
    <row r="69" ht="12.75" customHeight="1">
      <c r="A69" s="18"/>
      <c r="B69" s="51"/>
      <c r="C69" s="52" t="s">
        <v>60</v>
      </c>
      <c r="D69" s="53"/>
      <c r="E69" s="13">
        <v>5.0</v>
      </c>
      <c r="F69" s="13">
        <v>4.0</v>
      </c>
      <c r="G69" s="13">
        <v>11.0</v>
      </c>
      <c r="H69" s="13">
        <v>5.0</v>
      </c>
      <c r="I69" s="13">
        <v>8.0</v>
      </c>
      <c r="J69" s="13">
        <v>4.0</v>
      </c>
      <c r="K69" s="13">
        <v>3.0</v>
      </c>
      <c r="L69" s="13">
        <v>4.0</v>
      </c>
      <c r="M69" s="13">
        <v>5.0</v>
      </c>
      <c r="N69" s="13">
        <v>1.0</v>
      </c>
      <c r="O69" s="13">
        <v>23.0</v>
      </c>
      <c r="P69" s="13">
        <v>48.0</v>
      </c>
      <c r="Q69" s="13">
        <v>3.0</v>
      </c>
      <c r="R69" s="13">
        <v>1.0</v>
      </c>
      <c r="S69" s="13">
        <v>3.0</v>
      </c>
      <c r="T69" s="13">
        <v>23.0</v>
      </c>
      <c r="U69" s="13">
        <v>6.0</v>
      </c>
      <c r="V69" s="13">
        <v>2.0</v>
      </c>
      <c r="W69" s="13">
        <v>1.0</v>
      </c>
      <c r="X69" s="6">
        <f t="shared" si="18"/>
        <v>160</v>
      </c>
    </row>
    <row r="70" ht="12.75" customHeight="1">
      <c r="A70" s="13" t="s">
        <v>15</v>
      </c>
      <c r="B70" s="49" t="s">
        <v>46</v>
      </c>
      <c r="C70" s="8"/>
      <c r="D70" s="9"/>
      <c r="E70" s="60">
        <f t="shared" ref="E70:W70" si="19">SUM(E63:E69)</f>
        <v>28</v>
      </c>
      <c r="F70" s="60">
        <f t="shared" si="19"/>
        <v>23</v>
      </c>
      <c r="G70" s="60">
        <f t="shared" si="19"/>
        <v>40</v>
      </c>
      <c r="H70" s="60">
        <f t="shared" si="19"/>
        <v>36</v>
      </c>
      <c r="I70" s="60">
        <f t="shared" si="19"/>
        <v>27</v>
      </c>
      <c r="J70" s="60">
        <f t="shared" si="19"/>
        <v>33</v>
      </c>
      <c r="K70" s="60">
        <f t="shared" si="19"/>
        <v>33</v>
      </c>
      <c r="L70" s="60">
        <f t="shared" si="19"/>
        <v>25</v>
      </c>
      <c r="M70" s="60">
        <f t="shared" si="19"/>
        <v>30</v>
      </c>
      <c r="N70" s="60">
        <f t="shared" si="19"/>
        <v>34</v>
      </c>
      <c r="O70" s="60">
        <f t="shared" si="19"/>
        <v>40</v>
      </c>
      <c r="P70" s="60">
        <f t="shared" si="19"/>
        <v>78</v>
      </c>
      <c r="Q70" s="60">
        <f t="shared" si="19"/>
        <v>14</v>
      </c>
      <c r="R70" s="60">
        <f t="shared" si="19"/>
        <v>68</v>
      </c>
      <c r="S70" s="60">
        <f t="shared" si="19"/>
        <v>68</v>
      </c>
      <c r="T70" s="60">
        <f t="shared" si="19"/>
        <v>68</v>
      </c>
      <c r="U70" s="60">
        <f t="shared" si="19"/>
        <v>24</v>
      </c>
      <c r="V70" s="60">
        <f t="shared" si="19"/>
        <v>28</v>
      </c>
      <c r="W70" s="60">
        <f t="shared" si="19"/>
        <v>34</v>
      </c>
      <c r="X70" s="6">
        <f t="shared" si="18"/>
        <v>731</v>
      </c>
    </row>
    <row r="71" ht="12.75" customHeight="1">
      <c r="A71" s="54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6"/>
    </row>
    <row r="72" ht="12.75" customHeight="1">
      <c r="A72" s="32" t="s">
        <v>37</v>
      </c>
      <c r="B72" s="49" t="s">
        <v>23</v>
      </c>
      <c r="C72" s="50" t="s">
        <v>61</v>
      </c>
      <c r="D72" s="9"/>
      <c r="E72" s="13">
        <v>4.0</v>
      </c>
      <c r="F72" s="13">
        <v>7.0</v>
      </c>
      <c r="G72" s="13">
        <v>8.0</v>
      </c>
      <c r="H72" s="13">
        <v>2.0</v>
      </c>
      <c r="I72" s="13">
        <v>13.0</v>
      </c>
      <c r="J72" s="13">
        <v>7.0</v>
      </c>
      <c r="K72" s="13">
        <v>6.0</v>
      </c>
      <c r="L72" s="13">
        <v>1.0</v>
      </c>
      <c r="M72" s="13">
        <v>1.0</v>
      </c>
      <c r="N72" s="13">
        <v>0.0</v>
      </c>
      <c r="O72" s="13">
        <v>1.0</v>
      </c>
      <c r="P72" s="13">
        <v>2.0</v>
      </c>
      <c r="Q72" s="13">
        <v>3.0</v>
      </c>
      <c r="R72" s="13">
        <v>7.0</v>
      </c>
      <c r="S72" s="13">
        <v>2.0</v>
      </c>
      <c r="T72" s="13">
        <v>0.0</v>
      </c>
      <c r="U72" s="13">
        <v>11.0</v>
      </c>
      <c r="V72" s="13">
        <v>0.0</v>
      </c>
      <c r="W72" s="13">
        <v>3.0</v>
      </c>
      <c r="X72" s="6">
        <f t="shared" ref="X72:X79" si="20">SUM(E72:W72)</f>
        <v>78</v>
      </c>
    </row>
    <row r="73" ht="12.75" customHeight="1">
      <c r="A73" s="32" t="s">
        <v>39</v>
      </c>
      <c r="B73" s="51"/>
      <c r="C73" s="52" t="s">
        <v>62</v>
      </c>
      <c r="D73" s="53"/>
      <c r="E73" s="13">
        <v>0.0</v>
      </c>
      <c r="F73" s="13">
        <v>1.0</v>
      </c>
      <c r="G73" s="13">
        <v>3.0</v>
      </c>
      <c r="H73" s="13">
        <v>2.0</v>
      </c>
      <c r="I73" s="13">
        <v>4.0</v>
      </c>
      <c r="J73" s="13">
        <v>6.0</v>
      </c>
      <c r="K73" s="13">
        <v>1.0</v>
      </c>
      <c r="L73" s="13">
        <v>4.0</v>
      </c>
      <c r="M73" s="13">
        <v>11.0</v>
      </c>
      <c r="N73" s="13">
        <v>2.0</v>
      </c>
      <c r="O73" s="13">
        <v>4.0</v>
      </c>
      <c r="P73" s="13">
        <v>1.0</v>
      </c>
      <c r="Q73" s="13">
        <v>18.0</v>
      </c>
      <c r="R73" s="13">
        <v>5.0</v>
      </c>
      <c r="S73" s="13">
        <v>12.0</v>
      </c>
      <c r="T73" s="13">
        <v>1.0</v>
      </c>
      <c r="U73" s="13">
        <v>4.0</v>
      </c>
      <c r="V73" s="13">
        <v>4.0</v>
      </c>
      <c r="W73" s="13">
        <v>2.0</v>
      </c>
      <c r="X73" s="6">
        <f t="shared" si="20"/>
        <v>85</v>
      </c>
    </row>
    <row r="74" ht="12.75" customHeight="1">
      <c r="A74" s="18"/>
      <c r="B74" s="51"/>
      <c r="C74" s="52" t="s">
        <v>63</v>
      </c>
      <c r="D74" s="53"/>
      <c r="E74" s="13">
        <v>1.0</v>
      </c>
      <c r="F74" s="13">
        <v>1.0</v>
      </c>
      <c r="G74" s="13">
        <v>1.0</v>
      </c>
      <c r="H74" s="13">
        <v>0.0</v>
      </c>
      <c r="I74" s="13">
        <v>0.0</v>
      </c>
      <c r="J74" s="13">
        <v>1.0</v>
      </c>
      <c r="K74" s="13">
        <v>0.0</v>
      </c>
      <c r="L74" s="13">
        <v>0.0</v>
      </c>
      <c r="M74" s="13">
        <v>2.0</v>
      </c>
      <c r="N74" s="13">
        <v>0.0</v>
      </c>
      <c r="O74" s="13">
        <v>0.0</v>
      </c>
      <c r="P74" s="13">
        <v>0.0</v>
      </c>
      <c r="Q74" s="13">
        <v>1.0</v>
      </c>
      <c r="R74" s="13">
        <v>0.0</v>
      </c>
      <c r="S74" s="13">
        <v>2.0</v>
      </c>
      <c r="T74" s="13">
        <v>0.0</v>
      </c>
      <c r="U74" s="13">
        <v>0.0</v>
      </c>
      <c r="V74" s="13">
        <v>0.0</v>
      </c>
      <c r="W74" s="13">
        <v>0.0</v>
      </c>
      <c r="X74" s="6">
        <f t="shared" si="20"/>
        <v>9</v>
      </c>
    </row>
    <row r="75" ht="12.75" customHeight="1">
      <c r="A75" s="18"/>
      <c r="B75" s="51"/>
      <c r="C75" s="52" t="s">
        <v>64</v>
      </c>
      <c r="D75" s="53"/>
      <c r="E75" s="13">
        <v>0.0</v>
      </c>
      <c r="F75" s="13">
        <v>1.0</v>
      </c>
      <c r="G75" s="13">
        <v>1.0</v>
      </c>
      <c r="H75" s="13">
        <v>0.0</v>
      </c>
      <c r="I75" s="13">
        <v>0.0</v>
      </c>
      <c r="J75" s="13">
        <v>0.0</v>
      </c>
      <c r="K75" s="13">
        <v>0.0</v>
      </c>
      <c r="L75" s="13">
        <v>0.0</v>
      </c>
      <c r="M75" s="13">
        <v>0.0</v>
      </c>
      <c r="N75" s="13">
        <v>1.0</v>
      </c>
      <c r="O75" s="13">
        <v>1.0</v>
      </c>
      <c r="P75" s="13">
        <v>0.0</v>
      </c>
      <c r="Q75" s="13">
        <v>1.0</v>
      </c>
      <c r="R75" s="13">
        <v>1.0</v>
      </c>
      <c r="S75" s="13">
        <v>0.0</v>
      </c>
      <c r="T75" s="13">
        <v>1.0</v>
      </c>
      <c r="U75" s="13">
        <v>0.0</v>
      </c>
      <c r="V75" s="13">
        <v>0.0</v>
      </c>
      <c r="W75" s="13">
        <v>0.0</v>
      </c>
      <c r="X75" s="6">
        <f t="shared" si="20"/>
        <v>7</v>
      </c>
    </row>
    <row r="76" ht="12.75" customHeight="1">
      <c r="A76" s="18"/>
      <c r="B76" s="51"/>
      <c r="C76" s="52" t="s">
        <v>65</v>
      </c>
      <c r="D76" s="53"/>
      <c r="E76" s="13">
        <v>18.0</v>
      </c>
      <c r="F76" s="13">
        <v>42.0</v>
      </c>
      <c r="G76" s="13">
        <v>1.0</v>
      </c>
      <c r="H76" s="13">
        <v>6.0</v>
      </c>
      <c r="I76" s="13">
        <v>58.0</v>
      </c>
      <c r="J76" s="13">
        <v>40.0</v>
      </c>
      <c r="K76" s="13">
        <v>24.0</v>
      </c>
      <c r="L76" s="13">
        <v>7.0</v>
      </c>
      <c r="M76" s="13">
        <v>3.0</v>
      </c>
      <c r="N76" s="13">
        <v>2.0</v>
      </c>
      <c r="O76" s="13">
        <v>0.0</v>
      </c>
      <c r="P76" s="13">
        <v>3.0</v>
      </c>
      <c r="Q76" s="13">
        <v>2.0</v>
      </c>
      <c r="R76" s="13">
        <v>8.0</v>
      </c>
      <c r="S76" s="13">
        <v>8.0</v>
      </c>
      <c r="T76" s="13">
        <v>8.0</v>
      </c>
      <c r="U76" s="13">
        <v>93.0</v>
      </c>
      <c r="V76" s="13">
        <v>1.0</v>
      </c>
      <c r="W76" s="13">
        <v>0.0</v>
      </c>
      <c r="X76" s="6">
        <f t="shared" si="20"/>
        <v>324</v>
      </c>
    </row>
    <row r="77" ht="12.75" customHeight="1">
      <c r="A77" s="18"/>
      <c r="B77" s="51"/>
      <c r="C77" s="52" t="s">
        <v>66</v>
      </c>
      <c r="D77" s="53"/>
      <c r="E77" s="13">
        <v>0.0</v>
      </c>
      <c r="F77" s="13">
        <v>1.0</v>
      </c>
      <c r="G77" s="13">
        <v>6.0</v>
      </c>
      <c r="H77" s="13">
        <v>0.0</v>
      </c>
      <c r="I77" s="13">
        <v>0.0</v>
      </c>
      <c r="J77" s="13">
        <v>1.0</v>
      </c>
      <c r="K77" s="13">
        <v>0.0</v>
      </c>
      <c r="L77" s="13">
        <v>1.0</v>
      </c>
      <c r="M77" s="13">
        <v>0.0</v>
      </c>
      <c r="N77" s="13">
        <v>0.0</v>
      </c>
      <c r="O77" s="13">
        <v>0.0</v>
      </c>
      <c r="P77" s="13">
        <v>0.0</v>
      </c>
      <c r="Q77" s="13">
        <v>0.0</v>
      </c>
      <c r="R77" s="13">
        <v>0.0</v>
      </c>
      <c r="S77" s="13">
        <v>0.0</v>
      </c>
      <c r="T77" s="13">
        <v>0.0</v>
      </c>
      <c r="U77" s="13">
        <v>0.0</v>
      </c>
      <c r="V77" s="13">
        <v>0.0</v>
      </c>
      <c r="W77" s="13">
        <v>0.0</v>
      </c>
      <c r="X77" s="6">
        <f t="shared" si="20"/>
        <v>9</v>
      </c>
    </row>
    <row r="78" ht="12.75" customHeight="1">
      <c r="A78" s="18"/>
      <c r="B78" s="51"/>
      <c r="C78" s="52" t="s">
        <v>67</v>
      </c>
      <c r="D78" s="53"/>
      <c r="E78" s="13">
        <v>3.0</v>
      </c>
      <c r="F78" s="13">
        <v>4.0</v>
      </c>
      <c r="G78" s="13">
        <v>0.0</v>
      </c>
      <c r="H78" s="13">
        <v>5.0</v>
      </c>
      <c r="I78" s="13">
        <v>3.0</v>
      </c>
      <c r="J78" s="13">
        <v>0.0</v>
      </c>
      <c r="K78" s="13">
        <v>0.0</v>
      </c>
      <c r="L78" s="13">
        <v>2.0</v>
      </c>
      <c r="M78" s="13">
        <v>2.0</v>
      </c>
      <c r="N78" s="13">
        <v>2.0</v>
      </c>
      <c r="O78" s="13">
        <v>0.0</v>
      </c>
      <c r="P78" s="13">
        <v>0.0</v>
      </c>
      <c r="Q78" s="13">
        <v>0.0</v>
      </c>
      <c r="R78" s="13">
        <v>0.0</v>
      </c>
      <c r="S78" s="13">
        <v>0.0</v>
      </c>
      <c r="T78" s="13">
        <v>1.0</v>
      </c>
      <c r="U78" s="13">
        <v>1.0</v>
      </c>
      <c r="V78" s="13">
        <v>0.0</v>
      </c>
      <c r="W78" s="13">
        <v>0.0</v>
      </c>
      <c r="X78" s="6">
        <f t="shared" si="20"/>
        <v>23</v>
      </c>
    </row>
    <row r="79" ht="12.75" customHeight="1">
      <c r="A79" s="13" t="s">
        <v>15</v>
      </c>
      <c r="B79" s="49" t="s">
        <v>46</v>
      </c>
      <c r="C79" s="8"/>
      <c r="D79" s="9"/>
      <c r="E79" s="60">
        <f t="shared" ref="E79:W79" si="21">SUM(E72:E78)</f>
        <v>26</v>
      </c>
      <c r="F79" s="60">
        <f t="shared" si="21"/>
        <v>57</v>
      </c>
      <c r="G79" s="60">
        <f t="shared" si="21"/>
        <v>20</v>
      </c>
      <c r="H79" s="60">
        <f t="shared" si="21"/>
        <v>15</v>
      </c>
      <c r="I79" s="60">
        <f t="shared" si="21"/>
        <v>78</v>
      </c>
      <c r="J79" s="60">
        <f t="shared" si="21"/>
        <v>55</v>
      </c>
      <c r="K79" s="60">
        <f t="shared" si="21"/>
        <v>31</v>
      </c>
      <c r="L79" s="60">
        <f t="shared" si="21"/>
        <v>15</v>
      </c>
      <c r="M79" s="60">
        <f t="shared" si="21"/>
        <v>19</v>
      </c>
      <c r="N79" s="60">
        <f t="shared" si="21"/>
        <v>7</v>
      </c>
      <c r="O79" s="60">
        <f t="shared" si="21"/>
        <v>6</v>
      </c>
      <c r="P79" s="60">
        <f t="shared" si="21"/>
        <v>6</v>
      </c>
      <c r="Q79" s="60">
        <f t="shared" si="21"/>
        <v>25</v>
      </c>
      <c r="R79" s="60">
        <f t="shared" si="21"/>
        <v>21</v>
      </c>
      <c r="S79" s="60">
        <f t="shared" si="21"/>
        <v>24</v>
      </c>
      <c r="T79" s="60">
        <f t="shared" si="21"/>
        <v>11</v>
      </c>
      <c r="U79" s="60">
        <f t="shared" si="21"/>
        <v>109</v>
      </c>
      <c r="V79" s="60">
        <f t="shared" si="21"/>
        <v>5</v>
      </c>
      <c r="W79" s="60">
        <f t="shared" si="21"/>
        <v>5</v>
      </c>
      <c r="X79" s="6">
        <f t="shared" si="20"/>
        <v>535</v>
      </c>
    </row>
    <row r="80" ht="12.75" customHeight="1">
      <c r="A80" s="54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6"/>
    </row>
    <row r="81" ht="12.75" customHeight="1">
      <c r="A81" s="32" t="s">
        <v>37</v>
      </c>
      <c r="B81" s="49" t="s">
        <v>68</v>
      </c>
      <c r="C81" s="50" t="s">
        <v>69</v>
      </c>
      <c r="D81" s="9"/>
      <c r="E81" s="13">
        <v>0.0</v>
      </c>
      <c r="F81" s="13">
        <v>0.0</v>
      </c>
      <c r="G81" s="13">
        <v>1.0</v>
      </c>
      <c r="H81" s="13">
        <v>1.0</v>
      </c>
      <c r="I81" s="13">
        <v>0.0</v>
      </c>
      <c r="J81" s="13">
        <v>0.0</v>
      </c>
      <c r="K81" s="13">
        <v>0.0</v>
      </c>
      <c r="L81" s="13">
        <v>1.0</v>
      </c>
      <c r="M81" s="13">
        <v>1.0</v>
      </c>
      <c r="N81" s="13">
        <v>3.0</v>
      </c>
      <c r="O81" s="13">
        <v>0.0</v>
      </c>
      <c r="P81" s="13">
        <v>0.0</v>
      </c>
      <c r="Q81" s="13">
        <v>0.0</v>
      </c>
      <c r="R81" s="13">
        <v>0.0</v>
      </c>
      <c r="S81" s="13">
        <v>0.0</v>
      </c>
      <c r="T81" s="13">
        <v>0.0</v>
      </c>
      <c r="U81" s="13">
        <v>0.0</v>
      </c>
      <c r="V81" s="13">
        <v>0.0</v>
      </c>
      <c r="W81" s="13">
        <v>0.0</v>
      </c>
      <c r="X81" s="6">
        <f t="shared" ref="X81:X88" si="22">SUM(E81:W81)</f>
        <v>7</v>
      </c>
    </row>
    <row r="82" ht="12.75" customHeight="1">
      <c r="A82" s="32" t="s">
        <v>39</v>
      </c>
      <c r="B82" s="51"/>
      <c r="C82" s="52" t="s">
        <v>70</v>
      </c>
      <c r="D82" s="53"/>
      <c r="E82" s="13">
        <v>5.0</v>
      </c>
      <c r="F82" s="13">
        <v>2.0</v>
      </c>
      <c r="G82" s="13">
        <v>6.0</v>
      </c>
      <c r="H82" s="13">
        <v>0.0</v>
      </c>
      <c r="I82" s="13">
        <v>2.0</v>
      </c>
      <c r="J82" s="13">
        <v>4.0</v>
      </c>
      <c r="K82" s="13">
        <v>8.0</v>
      </c>
      <c r="L82" s="13">
        <v>1.0</v>
      </c>
      <c r="M82" s="13">
        <v>2.0</v>
      </c>
      <c r="N82" s="13">
        <v>9.0</v>
      </c>
      <c r="O82" s="13">
        <v>2.0</v>
      </c>
      <c r="P82" s="13">
        <v>3.0</v>
      </c>
      <c r="Q82" s="13">
        <v>18.0</v>
      </c>
      <c r="R82" s="13">
        <v>2.0</v>
      </c>
      <c r="S82" s="13">
        <v>7.0</v>
      </c>
      <c r="T82" s="13">
        <v>6.0</v>
      </c>
      <c r="U82" s="13">
        <v>2.0</v>
      </c>
      <c r="V82" s="13">
        <v>4.0</v>
      </c>
      <c r="W82" s="13">
        <v>4.0</v>
      </c>
      <c r="X82" s="6">
        <f t="shared" si="22"/>
        <v>87</v>
      </c>
    </row>
    <row r="83" ht="12.75" customHeight="1">
      <c r="A83" s="18"/>
      <c r="B83" s="51"/>
      <c r="C83" s="52" t="s">
        <v>71</v>
      </c>
      <c r="D83" s="53"/>
      <c r="E83" s="13">
        <v>3.0</v>
      </c>
      <c r="F83" s="13">
        <v>0.0</v>
      </c>
      <c r="G83" s="13">
        <v>0.0</v>
      </c>
      <c r="H83" s="13">
        <v>1.0</v>
      </c>
      <c r="I83" s="13">
        <v>0.0</v>
      </c>
      <c r="J83" s="13">
        <v>0.0</v>
      </c>
      <c r="K83" s="13">
        <v>0.0</v>
      </c>
      <c r="L83" s="13">
        <v>0.0</v>
      </c>
      <c r="M83" s="13">
        <v>1.0</v>
      </c>
      <c r="N83" s="13">
        <v>1.0</v>
      </c>
      <c r="O83" s="13">
        <v>1.0</v>
      </c>
      <c r="P83" s="13">
        <v>0.0</v>
      </c>
      <c r="Q83" s="13">
        <v>1.0</v>
      </c>
      <c r="R83" s="13">
        <v>1.0</v>
      </c>
      <c r="S83" s="13">
        <v>1.0</v>
      </c>
      <c r="T83" s="13">
        <v>0.0</v>
      </c>
      <c r="U83" s="13">
        <v>0.0</v>
      </c>
      <c r="V83" s="13">
        <v>0.0</v>
      </c>
      <c r="W83" s="13">
        <v>0.0</v>
      </c>
      <c r="X83" s="6">
        <f t="shared" si="22"/>
        <v>10</v>
      </c>
    </row>
    <row r="84" ht="12.75" customHeight="1">
      <c r="A84" s="18"/>
      <c r="B84" s="51"/>
      <c r="C84" s="52" t="s">
        <v>72</v>
      </c>
      <c r="D84" s="53"/>
      <c r="E84" s="13">
        <v>0.0</v>
      </c>
      <c r="F84" s="13">
        <v>3.0</v>
      </c>
      <c r="G84" s="13">
        <v>1.0</v>
      </c>
      <c r="H84" s="13">
        <v>4.0</v>
      </c>
      <c r="I84" s="13">
        <v>3.0</v>
      </c>
      <c r="J84" s="13">
        <v>3.0</v>
      </c>
      <c r="K84" s="13">
        <v>1.0</v>
      </c>
      <c r="L84" s="13">
        <v>1.0</v>
      </c>
      <c r="M84" s="13">
        <v>1.0</v>
      </c>
      <c r="N84" s="13">
        <v>1.0</v>
      </c>
      <c r="O84" s="13">
        <v>0.0</v>
      </c>
      <c r="P84" s="13">
        <v>0.0</v>
      </c>
      <c r="Q84" s="13">
        <v>0.0</v>
      </c>
      <c r="R84" s="13">
        <v>0.0</v>
      </c>
      <c r="S84" s="13">
        <v>0.0</v>
      </c>
      <c r="T84" s="13">
        <v>0.0</v>
      </c>
      <c r="U84" s="13">
        <v>0.0</v>
      </c>
      <c r="V84" s="13">
        <v>1.0</v>
      </c>
      <c r="W84" s="13">
        <v>0.0</v>
      </c>
      <c r="X84" s="6">
        <f t="shared" si="22"/>
        <v>19</v>
      </c>
    </row>
    <row r="85" ht="12.75" customHeight="1">
      <c r="A85" s="18"/>
      <c r="B85" s="51"/>
      <c r="C85" s="52" t="s">
        <v>73</v>
      </c>
      <c r="D85" s="53"/>
      <c r="E85" s="13">
        <v>0.0</v>
      </c>
      <c r="F85" s="13">
        <v>1.0</v>
      </c>
      <c r="G85" s="13">
        <v>0.0</v>
      </c>
      <c r="H85" s="13">
        <v>0.0</v>
      </c>
      <c r="I85" s="13">
        <v>0.0</v>
      </c>
      <c r="J85" s="13">
        <v>0.0</v>
      </c>
      <c r="K85" s="13">
        <v>0.0</v>
      </c>
      <c r="L85" s="13">
        <v>0.0</v>
      </c>
      <c r="M85" s="13">
        <v>0.0</v>
      </c>
      <c r="N85" s="13">
        <v>1.0</v>
      </c>
      <c r="O85" s="13">
        <v>0.0</v>
      </c>
      <c r="P85" s="13">
        <v>0.0</v>
      </c>
      <c r="Q85" s="13">
        <v>0.0</v>
      </c>
      <c r="R85" s="13">
        <v>0.0</v>
      </c>
      <c r="S85" s="13">
        <v>0.0</v>
      </c>
      <c r="T85" s="13">
        <v>0.0</v>
      </c>
      <c r="U85" s="13">
        <v>0.0</v>
      </c>
      <c r="V85" s="13">
        <v>0.0</v>
      </c>
      <c r="W85" s="13">
        <v>0.0</v>
      </c>
      <c r="X85" s="6">
        <f t="shared" si="22"/>
        <v>2</v>
      </c>
    </row>
    <row r="86" ht="12.75" customHeight="1">
      <c r="A86" s="18"/>
      <c r="B86" s="51"/>
      <c r="C86" s="52" t="s">
        <v>74</v>
      </c>
      <c r="D86" s="53"/>
      <c r="E86" s="13">
        <v>33.0</v>
      </c>
      <c r="F86" s="13">
        <v>50.0</v>
      </c>
      <c r="G86" s="13">
        <v>1.0</v>
      </c>
      <c r="H86" s="13">
        <v>0.0</v>
      </c>
      <c r="I86" s="13">
        <v>1.0</v>
      </c>
      <c r="J86" s="13">
        <v>0.0</v>
      </c>
      <c r="K86" s="13">
        <v>1.0</v>
      </c>
      <c r="L86" s="13">
        <v>1.0</v>
      </c>
      <c r="M86" s="13">
        <v>0.0</v>
      </c>
      <c r="N86" s="13">
        <v>33.0</v>
      </c>
      <c r="O86" s="13">
        <v>0.0</v>
      </c>
      <c r="P86" s="13">
        <v>1.0</v>
      </c>
      <c r="Q86" s="13">
        <v>1.0</v>
      </c>
      <c r="R86" s="13">
        <v>2.0</v>
      </c>
      <c r="S86" s="13">
        <v>5.0</v>
      </c>
      <c r="T86" s="13">
        <v>1.0</v>
      </c>
      <c r="U86" s="13">
        <v>0.0</v>
      </c>
      <c r="V86" s="13">
        <v>2.0</v>
      </c>
      <c r="W86" s="13">
        <v>1.0</v>
      </c>
      <c r="X86" s="6">
        <f t="shared" si="22"/>
        <v>133</v>
      </c>
    </row>
    <row r="87" ht="12.75" customHeight="1">
      <c r="A87" s="18"/>
      <c r="B87" s="51"/>
      <c r="C87" s="52" t="s">
        <v>75</v>
      </c>
      <c r="D87" s="53"/>
      <c r="E87" s="13">
        <v>0.0</v>
      </c>
      <c r="F87" s="13">
        <v>0.0</v>
      </c>
      <c r="G87" s="13">
        <v>0.0</v>
      </c>
      <c r="H87" s="13">
        <v>0.0</v>
      </c>
      <c r="I87" s="13">
        <v>0.0</v>
      </c>
      <c r="J87" s="13">
        <v>0.0</v>
      </c>
      <c r="K87" s="13">
        <v>0.0</v>
      </c>
      <c r="L87" s="13">
        <v>0.0</v>
      </c>
      <c r="M87" s="13">
        <v>3.0</v>
      </c>
      <c r="N87" s="13">
        <v>0.0</v>
      </c>
      <c r="O87" s="13">
        <v>0.0</v>
      </c>
      <c r="P87" s="13">
        <v>0.0</v>
      </c>
      <c r="Q87" s="13">
        <v>0.0</v>
      </c>
      <c r="R87" s="13">
        <v>0.0</v>
      </c>
      <c r="S87" s="13">
        <v>0.0</v>
      </c>
      <c r="T87" s="13">
        <v>0.0</v>
      </c>
      <c r="U87" s="13">
        <v>0.0</v>
      </c>
      <c r="V87" s="13">
        <v>0.0</v>
      </c>
      <c r="W87" s="13">
        <v>0.0</v>
      </c>
      <c r="X87" s="6">
        <f t="shared" si="22"/>
        <v>3</v>
      </c>
    </row>
    <row r="88" ht="12.75" customHeight="1">
      <c r="A88" s="13" t="s">
        <v>15</v>
      </c>
      <c r="B88" s="49" t="s">
        <v>46</v>
      </c>
      <c r="C88" s="8"/>
      <c r="D88" s="9"/>
      <c r="E88" s="60">
        <f t="shared" ref="E88:W88" si="23">SUM(E81:E87)</f>
        <v>41</v>
      </c>
      <c r="F88" s="60">
        <f t="shared" si="23"/>
        <v>56</v>
      </c>
      <c r="G88" s="60">
        <f t="shared" si="23"/>
        <v>9</v>
      </c>
      <c r="H88" s="60">
        <f t="shared" si="23"/>
        <v>6</v>
      </c>
      <c r="I88" s="60">
        <f t="shared" si="23"/>
        <v>6</v>
      </c>
      <c r="J88" s="60">
        <f t="shared" si="23"/>
        <v>7</v>
      </c>
      <c r="K88" s="60">
        <f t="shared" si="23"/>
        <v>10</v>
      </c>
      <c r="L88" s="60">
        <f t="shared" si="23"/>
        <v>4</v>
      </c>
      <c r="M88" s="60">
        <f t="shared" si="23"/>
        <v>8</v>
      </c>
      <c r="N88" s="60">
        <f t="shared" si="23"/>
        <v>48</v>
      </c>
      <c r="O88" s="60">
        <f t="shared" si="23"/>
        <v>3</v>
      </c>
      <c r="P88" s="60">
        <f t="shared" si="23"/>
        <v>4</v>
      </c>
      <c r="Q88" s="60">
        <f t="shared" si="23"/>
        <v>20</v>
      </c>
      <c r="R88" s="60">
        <f t="shared" si="23"/>
        <v>5</v>
      </c>
      <c r="S88" s="60">
        <f t="shared" si="23"/>
        <v>13</v>
      </c>
      <c r="T88" s="60">
        <f t="shared" si="23"/>
        <v>7</v>
      </c>
      <c r="U88" s="60">
        <f t="shared" si="23"/>
        <v>2</v>
      </c>
      <c r="V88" s="60">
        <f t="shared" si="23"/>
        <v>7</v>
      </c>
      <c r="W88" s="60">
        <f t="shared" si="23"/>
        <v>5</v>
      </c>
      <c r="X88" s="6">
        <f t="shared" si="22"/>
        <v>261</v>
      </c>
    </row>
    <row r="89" ht="12.75" customHeight="1">
      <c r="A89" s="54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6"/>
    </row>
    <row r="90" ht="12.75" customHeight="1">
      <c r="A90" s="32" t="s">
        <v>37</v>
      </c>
      <c r="B90" s="49" t="s">
        <v>76</v>
      </c>
      <c r="C90" s="50" t="s">
        <v>77</v>
      </c>
      <c r="D90" s="9"/>
      <c r="E90" s="13">
        <v>0.0</v>
      </c>
      <c r="F90" s="13">
        <v>0.0</v>
      </c>
      <c r="G90" s="13">
        <v>0.0</v>
      </c>
      <c r="H90" s="13">
        <v>1.0</v>
      </c>
      <c r="I90" s="13">
        <v>0.0</v>
      </c>
      <c r="J90" s="13">
        <v>0.0</v>
      </c>
      <c r="K90" s="13">
        <v>0.0</v>
      </c>
      <c r="L90" s="13">
        <v>0.0</v>
      </c>
      <c r="M90" s="13">
        <v>1.0</v>
      </c>
      <c r="N90" s="13">
        <v>1.0</v>
      </c>
      <c r="O90" s="13">
        <v>4.0</v>
      </c>
      <c r="P90" s="13">
        <v>0.0</v>
      </c>
      <c r="Q90" s="13">
        <v>0.0</v>
      </c>
      <c r="R90" s="13">
        <v>0.0</v>
      </c>
      <c r="S90" s="13">
        <v>1.0</v>
      </c>
      <c r="T90" s="13">
        <v>1.0</v>
      </c>
      <c r="U90" s="13">
        <v>0.0</v>
      </c>
      <c r="V90" s="13">
        <v>1.0</v>
      </c>
      <c r="W90" s="13">
        <v>1.0</v>
      </c>
      <c r="X90" s="6">
        <f t="shared" ref="X90:X92" si="24">SUM(E90:W90)</f>
        <v>11</v>
      </c>
    </row>
    <row r="91" ht="12.75" customHeight="1">
      <c r="A91" s="32" t="s">
        <v>39</v>
      </c>
      <c r="B91" s="51"/>
      <c r="C91" s="52" t="s">
        <v>78</v>
      </c>
      <c r="D91" s="61"/>
      <c r="E91" s="13">
        <v>2.0</v>
      </c>
      <c r="F91" s="13">
        <v>0.0</v>
      </c>
      <c r="G91" s="13">
        <v>1.0</v>
      </c>
      <c r="H91" s="13">
        <v>0.0</v>
      </c>
      <c r="I91" s="13">
        <v>0.0</v>
      </c>
      <c r="J91" s="13">
        <v>0.0</v>
      </c>
      <c r="K91" s="13">
        <v>0.0</v>
      </c>
      <c r="L91" s="13">
        <v>2.0</v>
      </c>
      <c r="M91" s="13">
        <v>1.0</v>
      </c>
      <c r="N91" s="13">
        <v>1.0</v>
      </c>
      <c r="O91" s="13">
        <v>0.0</v>
      </c>
      <c r="P91" s="13">
        <v>2.0</v>
      </c>
      <c r="Q91" s="13">
        <v>1.0</v>
      </c>
      <c r="R91" s="13">
        <v>0.0</v>
      </c>
      <c r="S91" s="13">
        <v>0.0</v>
      </c>
      <c r="T91" s="13">
        <v>0.0</v>
      </c>
      <c r="U91" s="13">
        <v>0.0</v>
      </c>
      <c r="V91" s="13">
        <v>0.0</v>
      </c>
      <c r="W91" s="13">
        <v>0.0</v>
      </c>
      <c r="X91" s="6">
        <f t="shared" si="24"/>
        <v>10</v>
      </c>
    </row>
    <row r="92" ht="12.75" customHeight="1">
      <c r="A92" s="13" t="s">
        <v>15</v>
      </c>
      <c r="B92" s="49" t="s">
        <v>46</v>
      </c>
      <c r="C92" s="8"/>
      <c r="D92" s="9"/>
      <c r="E92" s="60">
        <f t="shared" ref="E92:W92" si="25">SUM(E90:E91)</f>
        <v>2</v>
      </c>
      <c r="F92" s="60">
        <f t="shared" si="25"/>
        <v>0</v>
      </c>
      <c r="G92" s="60">
        <f t="shared" si="25"/>
        <v>1</v>
      </c>
      <c r="H92" s="60">
        <f t="shared" si="25"/>
        <v>1</v>
      </c>
      <c r="I92" s="60">
        <f t="shared" si="25"/>
        <v>0</v>
      </c>
      <c r="J92" s="60">
        <f t="shared" si="25"/>
        <v>0</v>
      </c>
      <c r="K92" s="60">
        <f t="shared" si="25"/>
        <v>0</v>
      </c>
      <c r="L92" s="60">
        <f t="shared" si="25"/>
        <v>2</v>
      </c>
      <c r="M92" s="60">
        <f t="shared" si="25"/>
        <v>2</v>
      </c>
      <c r="N92" s="60">
        <f t="shared" si="25"/>
        <v>2</v>
      </c>
      <c r="O92" s="60">
        <f t="shared" si="25"/>
        <v>4</v>
      </c>
      <c r="P92" s="60">
        <f t="shared" si="25"/>
        <v>2</v>
      </c>
      <c r="Q92" s="60">
        <f t="shared" si="25"/>
        <v>1</v>
      </c>
      <c r="R92" s="60">
        <f t="shared" si="25"/>
        <v>0</v>
      </c>
      <c r="S92" s="60">
        <f t="shared" si="25"/>
        <v>1</v>
      </c>
      <c r="T92" s="60">
        <f t="shared" si="25"/>
        <v>1</v>
      </c>
      <c r="U92" s="60">
        <f t="shared" si="25"/>
        <v>0</v>
      </c>
      <c r="V92" s="60">
        <f t="shared" si="25"/>
        <v>1</v>
      </c>
      <c r="W92" s="60">
        <f t="shared" si="25"/>
        <v>1</v>
      </c>
      <c r="X92" s="6">
        <f t="shared" si="24"/>
        <v>21</v>
      </c>
    </row>
    <row r="93" ht="12.75" customHeight="1">
      <c r="A93" s="54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6"/>
    </row>
    <row r="94" ht="12.75" customHeight="1">
      <c r="A94" s="32" t="s">
        <v>37</v>
      </c>
      <c r="B94" s="49" t="s">
        <v>79</v>
      </c>
      <c r="C94" s="50" t="s">
        <v>80</v>
      </c>
      <c r="D94" s="9"/>
      <c r="E94" s="13">
        <v>0.0</v>
      </c>
      <c r="F94" s="13">
        <v>2.0</v>
      </c>
      <c r="G94" s="13">
        <v>2.0</v>
      </c>
      <c r="H94" s="13">
        <v>1.0</v>
      </c>
      <c r="I94" s="13">
        <v>0.0</v>
      </c>
      <c r="J94" s="13">
        <v>1.0</v>
      </c>
      <c r="K94" s="13">
        <v>0.0</v>
      </c>
      <c r="L94" s="13">
        <v>1.0</v>
      </c>
      <c r="M94" s="13">
        <v>3.0</v>
      </c>
      <c r="N94" s="13">
        <v>2.0</v>
      </c>
      <c r="O94" s="13">
        <v>0.0</v>
      </c>
      <c r="P94" s="13">
        <v>1.0</v>
      </c>
      <c r="Q94" s="13">
        <v>1.0</v>
      </c>
      <c r="R94" s="13">
        <v>3.0</v>
      </c>
      <c r="S94" s="13">
        <v>0.0</v>
      </c>
      <c r="T94" s="13">
        <v>3.0</v>
      </c>
      <c r="U94" s="13">
        <v>1.0</v>
      </c>
      <c r="V94" s="13">
        <v>0.0</v>
      </c>
      <c r="W94" s="13">
        <v>1.0</v>
      </c>
      <c r="X94" s="6">
        <f t="shared" ref="X94:X101" si="26">SUM(E94:W94)</f>
        <v>22</v>
      </c>
    </row>
    <row r="95" ht="12.75" customHeight="1">
      <c r="A95" s="32" t="s">
        <v>39</v>
      </c>
      <c r="B95" s="51"/>
      <c r="C95" s="52" t="s">
        <v>81</v>
      </c>
      <c r="D95" s="53"/>
      <c r="E95" s="13">
        <v>0.0</v>
      </c>
      <c r="F95" s="13">
        <v>0.0</v>
      </c>
      <c r="G95" s="13">
        <v>0.0</v>
      </c>
      <c r="H95" s="13">
        <v>5.0</v>
      </c>
      <c r="I95" s="13">
        <v>1.0</v>
      </c>
      <c r="J95" s="13">
        <v>0.0</v>
      </c>
      <c r="K95" s="13">
        <v>4.0</v>
      </c>
      <c r="L95" s="13">
        <v>12.0</v>
      </c>
      <c r="M95" s="13">
        <v>3.0</v>
      </c>
      <c r="N95" s="13">
        <v>9.0</v>
      </c>
      <c r="O95" s="13">
        <v>2.0</v>
      </c>
      <c r="P95" s="13">
        <v>1.0</v>
      </c>
      <c r="Q95" s="13">
        <v>20.0</v>
      </c>
      <c r="R95" s="13">
        <v>8.0</v>
      </c>
      <c r="S95" s="13">
        <v>10.0</v>
      </c>
      <c r="T95" s="13">
        <v>33.0</v>
      </c>
      <c r="U95" s="13">
        <v>2.0</v>
      </c>
      <c r="V95" s="13">
        <v>0.0</v>
      </c>
      <c r="W95" s="13">
        <v>6.0</v>
      </c>
      <c r="X95" s="6">
        <f t="shared" si="26"/>
        <v>116</v>
      </c>
    </row>
    <row r="96" ht="12.75" customHeight="1">
      <c r="A96" s="32"/>
      <c r="B96" s="51"/>
      <c r="C96" s="52" t="s">
        <v>82</v>
      </c>
      <c r="D96" s="53"/>
      <c r="E96" s="13">
        <v>0.0</v>
      </c>
      <c r="F96" s="13">
        <v>0.0</v>
      </c>
      <c r="G96" s="13">
        <v>0.0</v>
      </c>
      <c r="H96" s="13">
        <v>0.0</v>
      </c>
      <c r="I96" s="13">
        <v>1.0</v>
      </c>
      <c r="J96" s="13">
        <v>1.0</v>
      </c>
      <c r="K96" s="13">
        <v>0.0</v>
      </c>
      <c r="L96" s="13">
        <v>0.0</v>
      </c>
      <c r="M96" s="13">
        <v>0.0</v>
      </c>
      <c r="N96" s="13">
        <v>1.0</v>
      </c>
      <c r="O96" s="13">
        <v>0.0</v>
      </c>
      <c r="P96" s="13">
        <v>0.0</v>
      </c>
      <c r="Q96" s="13">
        <v>0.0</v>
      </c>
      <c r="R96" s="13">
        <v>0.0</v>
      </c>
      <c r="S96" s="13">
        <v>0.0</v>
      </c>
      <c r="T96" s="13">
        <v>0.0</v>
      </c>
      <c r="U96" s="13">
        <v>0.0</v>
      </c>
      <c r="V96" s="13">
        <v>0.0</v>
      </c>
      <c r="W96" s="13">
        <v>0.0</v>
      </c>
      <c r="X96" s="6">
        <f t="shared" si="26"/>
        <v>3</v>
      </c>
    </row>
    <row r="97" ht="12.75" customHeight="1">
      <c r="A97" s="32"/>
      <c r="B97" s="51"/>
      <c r="C97" s="52" t="s">
        <v>83</v>
      </c>
      <c r="D97" s="53"/>
      <c r="E97" s="13">
        <v>0.0</v>
      </c>
      <c r="F97" s="13">
        <v>0.0</v>
      </c>
      <c r="G97" s="13">
        <v>0.0</v>
      </c>
      <c r="H97" s="13">
        <v>0.0</v>
      </c>
      <c r="I97" s="13">
        <v>0.0</v>
      </c>
      <c r="J97" s="13">
        <v>0.0</v>
      </c>
      <c r="K97" s="13">
        <v>0.0</v>
      </c>
      <c r="L97" s="13">
        <v>0.0</v>
      </c>
      <c r="M97" s="13">
        <v>0.0</v>
      </c>
      <c r="N97" s="13">
        <v>0.0</v>
      </c>
      <c r="O97" s="13">
        <v>0.0</v>
      </c>
      <c r="P97" s="13">
        <v>0.0</v>
      </c>
      <c r="Q97" s="13">
        <v>0.0</v>
      </c>
      <c r="R97" s="13">
        <v>0.0</v>
      </c>
      <c r="S97" s="13">
        <v>0.0</v>
      </c>
      <c r="T97" s="13">
        <v>0.0</v>
      </c>
      <c r="U97" s="13">
        <v>0.0</v>
      </c>
      <c r="V97" s="13">
        <v>0.0</v>
      </c>
      <c r="W97" s="13">
        <v>0.0</v>
      </c>
      <c r="X97" s="6">
        <f t="shared" si="26"/>
        <v>0</v>
      </c>
    </row>
    <row r="98" ht="12.75" customHeight="1">
      <c r="A98" s="32"/>
      <c r="B98" s="51"/>
      <c r="C98" s="52" t="s">
        <v>84</v>
      </c>
      <c r="D98" s="53"/>
      <c r="E98" s="13">
        <v>0.0</v>
      </c>
      <c r="F98" s="13">
        <v>0.0</v>
      </c>
      <c r="G98" s="13">
        <v>0.0</v>
      </c>
      <c r="H98" s="13">
        <v>0.0</v>
      </c>
      <c r="I98" s="13">
        <v>0.0</v>
      </c>
      <c r="J98" s="13">
        <v>0.0</v>
      </c>
      <c r="K98" s="13">
        <v>0.0</v>
      </c>
      <c r="L98" s="13">
        <v>0.0</v>
      </c>
      <c r="M98" s="13">
        <v>0.0</v>
      </c>
      <c r="N98" s="13">
        <v>0.0</v>
      </c>
      <c r="O98" s="13">
        <v>0.0</v>
      </c>
      <c r="P98" s="13">
        <v>0.0</v>
      </c>
      <c r="Q98" s="13">
        <v>0.0</v>
      </c>
      <c r="R98" s="13">
        <v>0.0</v>
      </c>
      <c r="S98" s="13">
        <v>0.0</v>
      </c>
      <c r="T98" s="13">
        <v>0.0</v>
      </c>
      <c r="U98" s="13">
        <v>0.0</v>
      </c>
      <c r="V98" s="13">
        <v>0.0</v>
      </c>
      <c r="W98" s="13">
        <v>0.0</v>
      </c>
      <c r="X98" s="6">
        <f t="shared" si="26"/>
        <v>0</v>
      </c>
    </row>
    <row r="99" ht="12.75" customHeight="1">
      <c r="A99" s="32"/>
      <c r="B99" s="51"/>
      <c r="C99" s="52" t="s">
        <v>85</v>
      </c>
      <c r="D99" s="53"/>
      <c r="E99" s="13">
        <v>0.0</v>
      </c>
      <c r="F99" s="13">
        <v>0.0</v>
      </c>
      <c r="G99" s="13">
        <v>3.0</v>
      </c>
      <c r="H99" s="13">
        <v>1.0</v>
      </c>
      <c r="I99" s="13">
        <v>3.0</v>
      </c>
      <c r="J99" s="13">
        <v>1.0</v>
      </c>
      <c r="K99" s="13">
        <v>0.0</v>
      </c>
      <c r="L99" s="13">
        <v>2.0</v>
      </c>
      <c r="M99" s="13">
        <v>0.0</v>
      </c>
      <c r="N99" s="13">
        <v>0.0</v>
      </c>
      <c r="O99" s="13">
        <v>0.0</v>
      </c>
      <c r="P99" s="13">
        <v>0.0</v>
      </c>
      <c r="Q99" s="13">
        <v>0.0</v>
      </c>
      <c r="R99" s="13">
        <v>0.0</v>
      </c>
      <c r="S99" s="13">
        <v>0.0</v>
      </c>
      <c r="T99" s="13">
        <v>0.0</v>
      </c>
      <c r="U99" s="13">
        <v>0.0</v>
      </c>
      <c r="V99" s="13">
        <v>0.0</v>
      </c>
      <c r="W99" s="13">
        <v>0.0</v>
      </c>
      <c r="X99" s="6">
        <f t="shared" si="26"/>
        <v>10</v>
      </c>
    </row>
    <row r="100" ht="12.75" customHeight="1">
      <c r="A100" s="32"/>
      <c r="B100" s="51"/>
      <c r="C100" s="52" t="s">
        <v>86</v>
      </c>
      <c r="D100" s="53"/>
      <c r="E100" s="13">
        <v>0.0</v>
      </c>
      <c r="F100" s="13">
        <v>0.0</v>
      </c>
      <c r="G100" s="13">
        <v>0.0</v>
      </c>
      <c r="H100" s="13">
        <v>0.0</v>
      </c>
      <c r="I100" s="13">
        <v>0.0</v>
      </c>
      <c r="J100" s="13">
        <v>0.0</v>
      </c>
      <c r="K100" s="13">
        <v>0.0</v>
      </c>
      <c r="L100" s="13">
        <v>0.0</v>
      </c>
      <c r="M100" s="13">
        <v>0.0</v>
      </c>
      <c r="N100" s="13">
        <v>0.0</v>
      </c>
      <c r="O100" s="13">
        <v>0.0</v>
      </c>
      <c r="P100" s="13">
        <v>0.0</v>
      </c>
      <c r="Q100" s="13">
        <v>0.0</v>
      </c>
      <c r="R100" s="13">
        <v>0.0</v>
      </c>
      <c r="S100" s="13">
        <v>0.0</v>
      </c>
      <c r="T100" s="13">
        <v>0.0</v>
      </c>
      <c r="U100" s="13">
        <v>0.0</v>
      </c>
      <c r="V100" s="13">
        <v>0.0</v>
      </c>
      <c r="W100" s="13">
        <v>0.0</v>
      </c>
      <c r="X100" s="6">
        <f t="shared" si="26"/>
        <v>0</v>
      </c>
    </row>
    <row r="101" ht="12.75" customHeight="1">
      <c r="A101" s="13" t="s">
        <v>15</v>
      </c>
      <c r="B101" s="49" t="s">
        <v>46</v>
      </c>
      <c r="C101" s="8"/>
      <c r="D101" s="9"/>
      <c r="E101" s="60">
        <f t="shared" ref="E101:W101" si="27">SUM(E94:E100)</f>
        <v>0</v>
      </c>
      <c r="F101" s="60">
        <f t="shared" si="27"/>
        <v>2</v>
      </c>
      <c r="G101" s="60">
        <f t="shared" si="27"/>
        <v>5</v>
      </c>
      <c r="H101" s="60">
        <f t="shared" si="27"/>
        <v>7</v>
      </c>
      <c r="I101" s="60">
        <f t="shared" si="27"/>
        <v>5</v>
      </c>
      <c r="J101" s="60">
        <f t="shared" si="27"/>
        <v>3</v>
      </c>
      <c r="K101" s="60">
        <f t="shared" si="27"/>
        <v>4</v>
      </c>
      <c r="L101" s="60">
        <f t="shared" si="27"/>
        <v>15</v>
      </c>
      <c r="M101" s="60">
        <f t="shared" si="27"/>
        <v>6</v>
      </c>
      <c r="N101" s="60">
        <f t="shared" si="27"/>
        <v>12</v>
      </c>
      <c r="O101" s="60">
        <f t="shared" si="27"/>
        <v>2</v>
      </c>
      <c r="P101" s="60">
        <f t="shared" si="27"/>
        <v>2</v>
      </c>
      <c r="Q101" s="60">
        <f t="shared" si="27"/>
        <v>21</v>
      </c>
      <c r="R101" s="60">
        <f t="shared" si="27"/>
        <v>11</v>
      </c>
      <c r="S101" s="60">
        <f t="shared" si="27"/>
        <v>10</v>
      </c>
      <c r="T101" s="60">
        <f t="shared" si="27"/>
        <v>36</v>
      </c>
      <c r="U101" s="60">
        <f t="shared" si="27"/>
        <v>3</v>
      </c>
      <c r="V101" s="60">
        <f t="shared" si="27"/>
        <v>0</v>
      </c>
      <c r="W101" s="60">
        <f t="shared" si="27"/>
        <v>7</v>
      </c>
      <c r="X101" s="6">
        <f t="shared" si="26"/>
        <v>151</v>
      </c>
    </row>
    <row r="102" ht="12.75" customHeight="1">
      <c r="A102" s="54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6"/>
    </row>
    <row r="103" ht="12.75" customHeight="1">
      <c r="A103" s="32" t="s">
        <v>37</v>
      </c>
      <c r="B103" s="49" t="s">
        <v>87</v>
      </c>
      <c r="C103" s="50" t="s">
        <v>88</v>
      </c>
      <c r="D103" s="9"/>
      <c r="E103" s="13">
        <v>6.0</v>
      </c>
      <c r="F103" s="13">
        <v>0.0</v>
      </c>
      <c r="G103" s="13">
        <v>1.0</v>
      </c>
      <c r="H103" s="13">
        <v>3.0</v>
      </c>
      <c r="I103" s="13">
        <v>1.0</v>
      </c>
      <c r="J103" s="13">
        <v>1.0</v>
      </c>
      <c r="K103" s="13">
        <v>3.0</v>
      </c>
      <c r="L103" s="13">
        <v>2.0</v>
      </c>
      <c r="M103" s="13">
        <v>2.0</v>
      </c>
      <c r="N103" s="13">
        <v>3.0</v>
      </c>
      <c r="O103" s="13">
        <v>3.0</v>
      </c>
      <c r="P103" s="13">
        <v>2.0</v>
      </c>
      <c r="Q103" s="13">
        <v>0.0</v>
      </c>
      <c r="R103" s="13">
        <v>0.0</v>
      </c>
      <c r="S103" s="13">
        <v>0.0</v>
      </c>
      <c r="T103" s="13">
        <v>0.0</v>
      </c>
      <c r="U103" s="13">
        <v>0.0</v>
      </c>
      <c r="V103" s="13">
        <v>0.0</v>
      </c>
      <c r="W103" s="13">
        <v>1.0</v>
      </c>
      <c r="X103" s="6">
        <f t="shared" ref="X103:X110" si="28">SUM(E103:W103)</f>
        <v>28</v>
      </c>
    </row>
    <row r="104" ht="12.75" customHeight="1">
      <c r="A104" s="32" t="s">
        <v>39</v>
      </c>
      <c r="B104" s="51"/>
      <c r="C104" s="52" t="s">
        <v>89</v>
      </c>
      <c r="D104" s="53"/>
      <c r="E104" s="13">
        <v>11.0</v>
      </c>
      <c r="F104" s="13">
        <v>1.0</v>
      </c>
      <c r="G104" s="13">
        <v>4.0</v>
      </c>
      <c r="H104" s="13">
        <v>1.0</v>
      </c>
      <c r="I104" s="13">
        <v>8.0</v>
      </c>
      <c r="J104" s="13">
        <v>2.0</v>
      </c>
      <c r="K104" s="13">
        <v>4.0</v>
      </c>
      <c r="L104" s="13">
        <v>8.0</v>
      </c>
      <c r="M104" s="13">
        <v>6.0</v>
      </c>
      <c r="N104" s="13">
        <v>1.0</v>
      </c>
      <c r="O104" s="13">
        <v>77.0</v>
      </c>
      <c r="P104" s="13">
        <v>5.0</v>
      </c>
      <c r="Q104" s="13">
        <v>2.0</v>
      </c>
      <c r="R104" s="13">
        <v>0.0</v>
      </c>
      <c r="S104" s="13">
        <v>3.0</v>
      </c>
      <c r="T104" s="13">
        <v>6.0</v>
      </c>
      <c r="U104" s="13">
        <v>8.0</v>
      </c>
      <c r="V104" s="13">
        <v>4.0</v>
      </c>
      <c r="W104" s="13">
        <v>3.0</v>
      </c>
      <c r="X104" s="6">
        <f t="shared" si="28"/>
        <v>154</v>
      </c>
    </row>
    <row r="105" ht="12.75" customHeight="1">
      <c r="A105" s="18"/>
      <c r="B105" s="51"/>
      <c r="C105" s="52" t="s">
        <v>90</v>
      </c>
      <c r="D105" s="53"/>
      <c r="E105" s="13">
        <v>4.0</v>
      </c>
      <c r="F105" s="13">
        <v>0.0</v>
      </c>
      <c r="G105" s="13">
        <v>3.0</v>
      </c>
      <c r="H105" s="13">
        <v>0.0</v>
      </c>
      <c r="I105" s="13">
        <v>1.0</v>
      </c>
      <c r="J105" s="13">
        <v>0.0</v>
      </c>
      <c r="K105" s="13">
        <v>0.0</v>
      </c>
      <c r="L105" s="13">
        <v>1.0</v>
      </c>
      <c r="M105" s="13">
        <v>0.0</v>
      </c>
      <c r="N105" s="13">
        <v>0.0</v>
      </c>
      <c r="O105" s="13">
        <v>0.0</v>
      </c>
      <c r="P105" s="13">
        <v>0.0</v>
      </c>
      <c r="Q105" s="13">
        <v>0.0</v>
      </c>
      <c r="R105" s="13">
        <v>0.0</v>
      </c>
      <c r="S105" s="13">
        <v>0.0</v>
      </c>
      <c r="T105" s="13">
        <v>0.0</v>
      </c>
      <c r="U105" s="13">
        <v>0.0</v>
      </c>
      <c r="V105" s="13">
        <v>0.0</v>
      </c>
      <c r="W105" s="13">
        <v>0.0</v>
      </c>
      <c r="X105" s="6">
        <f t="shared" si="28"/>
        <v>9</v>
      </c>
    </row>
    <row r="106" ht="12.75" customHeight="1">
      <c r="A106" s="18"/>
      <c r="B106" s="51"/>
      <c r="C106" s="52" t="s">
        <v>91</v>
      </c>
      <c r="D106" s="53"/>
      <c r="E106" s="13">
        <v>1.0</v>
      </c>
      <c r="F106" s="13">
        <v>0.0</v>
      </c>
      <c r="G106" s="13">
        <v>0.0</v>
      </c>
      <c r="H106" s="13">
        <v>0.0</v>
      </c>
      <c r="I106" s="13">
        <v>1.0</v>
      </c>
      <c r="J106" s="13">
        <v>0.0</v>
      </c>
      <c r="K106" s="13">
        <v>0.0</v>
      </c>
      <c r="L106" s="13">
        <v>2.0</v>
      </c>
      <c r="M106" s="13">
        <v>3.0</v>
      </c>
      <c r="N106" s="13">
        <v>0.0</v>
      </c>
      <c r="O106" s="13">
        <v>0.0</v>
      </c>
      <c r="P106" s="13">
        <v>0.0</v>
      </c>
      <c r="Q106" s="13">
        <v>0.0</v>
      </c>
      <c r="R106" s="13">
        <v>0.0</v>
      </c>
      <c r="S106" s="13">
        <v>0.0</v>
      </c>
      <c r="T106" s="13">
        <v>0.0</v>
      </c>
      <c r="U106" s="13">
        <v>0.0</v>
      </c>
      <c r="V106" s="13">
        <v>0.0</v>
      </c>
      <c r="W106" s="13">
        <v>0.0</v>
      </c>
      <c r="X106" s="6">
        <f t="shared" si="28"/>
        <v>7</v>
      </c>
    </row>
    <row r="107" ht="12.75" customHeight="1">
      <c r="A107" s="18"/>
      <c r="B107" s="51"/>
      <c r="C107" s="52" t="s">
        <v>92</v>
      </c>
      <c r="D107" s="53"/>
      <c r="E107" s="13">
        <v>8.0</v>
      </c>
      <c r="F107" s="13">
        <v>0.0</v>
      </c>
      <c r="G107" s="13">
        <v>8.0</v>
      </c>
      <c r="H107" s="13">
        <v>8.0</v>
      </c>
      <c r="I107" s="13">
        <v>0.0</v>
      </c>
      <c r="J107" s="13">
        <v>0.0</v>
      </c>
      <c r="K107" s="13">
        <v>1.0</v>
      </c>
      <c r="L107" s="13">
        <v>0.0</v>
      </c>
      <c r="M107" s="13">
        <v>0.0</v>
      </c>
      <c r="N107" s="13">
        <v>2.0</v>
      </c>
      <c r="O107" s="13">
        <v>0.0</v>
      </c>
      <c r="P107" s="13">
        <v>0.0</v>
      </c>
      <c r="Q107" s="13">
        <v>0.0</v>
      </c>
      <c r="R107" s="13">
        <v>0.0</v>
      </c>
      <c r="S107" s="13">
        <v>0.0</v>
      </c>
      <c r="T107" s="13">
        <v>0.0</v>
      </c>
      <c r="U107" s="13">
        <v>0.0</v>
      </c>
      <c r="V107" s="13">
        <v>0.0</v>
      </c>
      <c r="W107" s="13">
        <v>2.0</v>
      </c>
      <c r="X107" s="6">
        <f t="shared" si="28"/>
        <v>29</v>
      </c>
    </row>
    <row r="108" ht="12.75" customHeight="1">
      <c r="A108" s="18"/>
      <c r="B108" s="51"/>
      <c r="C108" s="52" t="s">
        <v>93</v>
      </c>
      <c r="D108" s="53"/>
      <c r="E108" s="13">
        <v>0.0</v>
      </c>
      <c r="F108" s="13">
        <v>0.0</v>
      </c>
      <c r="G108" s="13">
        <v>0.0</v>
      </c>
      <c r="H108" s="13">
        <v>1.0</v>
      </c>
      <c r="I108" s="13">
        <v>0.0</v>
      </c>
      <c r="J108" s="13">
        <v>0.0</v>
      </c>
      <c r="K108" s="13">
        <v>0.0</v>
      </c>
      <c r="L108" s="13">
        <v>0.0</v>
      </c>
      <c r="M108" s="13">
        <v>1.0</v>
      </c>
      <c r="N108" s="13">
        <v>0.0</v>
      </c>
      <c r="O108" s="13">
        <v>0.0</v>
      </c>
      <c r="P108" s="13">
        <v>0.0</v>
      </c>
      <c r="Q108" s="13">
        <v>0.0</v>
      </c>
      <c r="R108" s="13">
        <v>0.0</v>
      </c>
      <c r="S108" s="13">
        <v>0.0</v>
      </c>
      <c r="T108" s="13">
        <v>0.0</v>
      </c>
      <c r="U108" s="13">
        <v>0.0</v>
      </c>
      <c r="V108" s="13">
        <v>0.0</v>
      </c>
      <c r="W108" s="13">
        <v>0.0</v>
      </c>
      <c r="X108" s="6">
        <f t="shared" si="28"/>
        <v>2</v>
      </c>
    </row>
    <row r="109" ht="12.75" customHeight="1">
      <c r="A109" s="18"/>
      <c r="B109" s="51"/>
      <c r="C109" s="52" t="s">
        <v>94</v>
      </c>
      <c r="D109" s="53"/>
      <c r="E109" s="13">
        <v>1.0</v>
      </c>
      <c r="F109" s="13">
        <v>0.0</v>
      </c>
      <c r="G109" s="13">
        <v>1.0</v>
      </c>
      <c r="H109" s="13">
        <v>0.0</v>
      </c>
      <c r="I109" s="13">
        <v>1.0</v>
      </c>
      <c r="J109" s="13">
        <v>1.0</v>
      </c>
      <c r="K109" s="13">
        <v>3.0</v>
      </c>
      <c r="L109" s="13">
        <v>0.0</v>
      </c>
      <c r="M109" s="13">
        <v>1.0</v>
      </c>
      <c r="N109" s="13">
        <v>0.0</v>
      </c>
      <c r="O109" s="13">
        <v>0.0</v>
      </c>
      <c r="P109" s="13">
        <v>2.0</v>
      </c>
      <c r="Q109" s="13">
        <v>0.0</v>
      </c>
      <c r="R109" s="13">
        <v>0.0</v>
      </c>
      <c r="S109" s="13">
        <v>1.0</v>
      </c>
      <c r="T109" s="13">
        <v>0.0</v>
      </c>
      <c r="U109" s="13">
        <v>0.0</v>
      </c>
      <c r="V109" s="13">
        <v>0.0</v>
      </c>
      <c r="W109" s="13">
        <v>0.0</v>
      </c>
      <c r="X109" s="6">
        <f t="shared" si="28"/>
        <v>11</v>
      </c>
    </row>
    <row r="110" ht="12.75" customHeight="1">
      <c r="A110" s="13" t="s">
        <v>15</v>
      </c>
      <c r="B110" s="49" t="s">
        <v>46</v>
      </c>
      <c r="C110" s="8"/>
      <c r="D110" s="9"/>
      <c r="E110" s="60">
        <f t="shared" ref="E110:W110" si="29">SUM(E103:E109)</f>
        <v>31</v>
      </c>
      <c r="F110" s="60">
        <f t="shared" si="29"/>
        <v>1</v>
      </c>
      <c r="G110" s="60">
        <f t="shared" si="29"/>
        <v>17</v>
      </c>
      <c r="H110" s="60">
        <f t="shared" si="29"/>
        <v>13</v>
      </c>
      <c r="I110" s="60">
        <f t="shared" si="29"/>
        <v>12</v>
      </c>
      <c r="J110" s="60">
        <f t="shared" si="29"/>
        <v>4</v>
      </c>
      <c r="K110" s="60">
        <f t="shared" si="29"/>
        <v>11</v>
      </c>
      <c r="L110" s="60">
        <f t="shared" si="29"/>
        <v>13</v>
      </c>
      <c r="M110" s="60">
        <f t="shared" si="29"/>
        <v>13</v>
      </c>
      <c r="N110" s="60">
        <f t="shared" si="29"/>
        <v>6</v>
      </c>
      <c r="O110" s="60">
        <f t="shared" si="29"/>
        <v>80</v>
      </c>
      <c r="P110" s="60">
        <f t="shared" si="29"/>
        <v>9</v>
      </c>
      <c r="Q110" s="60">
        <f t="shared" si="29"/>
        <v>2</v>
      </c>
      <c r="R110" s="60">
        <f t="shared" si="29"/>
        <v>0</v>
      </c>
      <c r="S110" s="60">
        <f t="shared" si="29"/>
        <v>4</v>
      </c>
      <c r="T110" s="60">
        <f t="shared" si="29"/>
        <v>6</v>
      </c>
      <c r="U110" s="60">
        <f t="shared" si="29"/>
        <v>8</v>
      </c>
      <c r="V110" s="60">
        <f t="shared" si="29"/>
        <v>4</v>
      </c>
      <c r="W110" s="60">
        <f t="shared" si="29"/>
        <v>6</v>
      </c>
      <c r="X110" s="6">
        <f t="shared" si="28"/>
        <v>240</v>
      </c>
    </row>
    <row r="111" ht="12.75" customHeight="1">
      <c r="A111" s="54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6"/>
    </row>
    <row r="112" ht="12.75" customHeight="1">
      <c r="A112" s="32" t="s">
        <v>37</v>
      </c>
      <c r="B112" s="49" t="s">
        <v>95</v>
      </c>
      <c r="C112" s="50" t="s">
        <v>96</v>
      </c>
      <c r="D112" s="9"/>
      <c r="E112" s="13">
        <v>0.0</v>
      </c>
      <c r="F112" s="13">
        <v>0.0</v>
      </c>
      <c r="G112" s="13">
        <v>1.0</v>
      </c>
      <c r="H112" s="13">
        <v>0.0</v>
      </c>
      <c r="I112" s="13">
        <v>0.0</v>
      </c>
      <c r="J112" s="13">
        <v>0.0</v>
      </c>
      <c r="K112" s="13">
        <v>0.0</v>
      </c>
      <c r="L112" s="13">
        <v>0.0</v>
      </c>
      <c r="M112" s="13">
        <v>0.0</v>
      </c>
      <c r="N112" s="13">
        <v>0.0</v>
      </c>
      <c r="O112" s="13">
        <v>0.0</v>
      </c>
      <c r="P112" s="13">
        <v>0.0</v>
      </c>
      <c r="Q112" s="13">
        <v>0.0</v>
      </c>
      <c r="R112" s="13">
        <v>0.0</v>
      </c>
      <c r="S112" s="13">
        <v>0.0</v>
      </c>
      <c r="T112" s="13"/>
      <c r="U112" s="13"/>
      <c r="V112" s="13"/>
      <c r="W112" s="13"/>
      <c r="X112" s="6">
        <f t="shared" ref="X112:X114" si="30">SUM(E112:W112)</f>
        <v>1</v>
      </c>
    </row>
    <row r="113" ht="12.75" customHeight="1">
      <c r="A113" s="32" t="s">
        <v>39</v>
      </c>
      <c r="B113" s="49"/>
      <c r="C113" s="52" t="s">
        <v>97</v>
      </c>
      <c r="D113" s="61"/>
      <c r="E113" s="13">
        <v>0.0</v>
      </c>
      <c r="F113" s="13">
        <v>0.0</v>
      </c>
      <c r="G113" s="13">
        <v>0.0</v>
      </c>
      <c r="H113" s="13">
        <v>0.0</v>
      </c>
      <c r="I113" s="13">
        <v>0.0</v>
      </c>
      <c r="J113" s="13">
        <v>0.0</v>
      </c>
      <c r="K113" s="13">
        <v>0.0</v>
      </c>
      <c r="L113" s="13">
        <v>0.0</v>
      </c>
      <c r="M113" s="13">
        <v>0.0</v>
      </c>
      <c r="N113" s="13">
        <v>0.0</v>
      </c>
      <c r="O113" s="13">
        <v>0.0</v>
      </c>
      <c r="P113" s="13">
        <v>0.0</v>
      </c>
      <c r="Q113" s="13">
        <v>0.0</v>
      </c>
      <c r="R113" s="13">
        <v>0.0</v>
      </c>
      <c r="S113" s="13">
        <v>0.0</v>
      </c>
      <c r="T113" s="13"/>
      <c r="U113" s="13"/>
      <c r="V113" s="13"/>
      <c r="W113" s="13"/>
      <c r="X113" s="6">
        <f t="shared" si="30"/>
        <v>0</v>
      </c>
    </row>
    <row r="114" ht="12.75" customHeight="1">
      <c r="A114" s="13" t="s">
        <v>15</v>
      </c>
      <c r="B114" s="49" t="s">
        <v>46</v>
      </c>
      <c r="C114" s="8"/>
      <c r="D114" s="9"/>
      <c r="E114" s="60">
        <f t="shared" ref="E114:W114" si="31">SUM(E112:E113)</f>
        <v>0</v>
      </c>
      <c r="F114" s="60">
        <f t="shared" si="31"/>
        <v>0</v>
      </c>
      <c r="G114" s="60">
        <f t="shared" si="31"/>
        <v>1</v>
      </c>
      <c r="H114" s="60">
        <f t="shared" si="31"/>
        <v>0</v>
      </c>
      <c r="I114" s="60">
        <f t="shared" si="31"/>
        <v>0</v>
      </c>
      <c r="J114" s="60">
        <f t="shared" si="31"/>
        <v>0</v>
      </c>
      <c r="K114" s="60">
        <f t="shared" si="31"/>
        <v>0</v>
      </c>
      <c r="L114" s="60">
        <f t="shared" si="31"/>
        <v>0</v>
      </c>
      <c r="M114" s="60">
        <f t="shared" si="31"/>
        <v>0</v>
      </c>
      <c r="N114" s="60">
        <f t="shared" si="31"/>
        <v>0</v>
      </c>
      <c r="O114" s="60">
        <f t="shared" si="31"/>
        <v>0</v>
      </c>
      <c r="P114" s="60">
        <f t="shared" si="31"/>
        <v>0</v>
      </c>
      <c r="Q114" s="60">
        <f t="shared" si="31"/>
        <v>0</v>
      </c>
      <c r="R114" s="60">
        <f t="shared" si="31"/>
        <v>0</v>
      </c>
      <c r="S114" s="60">
        <f t="shared" si="31"/>
        <v>0</v>
      </c>
      <c r="T114" s="60">
        <f t="shared" si="31"/>
        <v>0</v>
      </c>
      <c r="U114" s="60">
        <f t="shared" si="31"/>
        <v>0</v>
      </c>
      <c r="V114" s="60">
        <f t="shared" si="31"/>
        <v>0</v>
      </c>
      <c r="W114" s="60">
        <f t="shared" si="31"/>
        <v>0</v>
      </c>
      <c r="X114" s="6">
        <f t="shared" si="30"/>
        <v>1</v>
      </c>
    </row>
    <row r="115" ht="12.75" customHeight="1">
      <c r="A115" s="54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6"/>
    </row>
    <row r="116" ht="12.75" customHeight="1">
      <c r="A116" s="32" t="s">
        <v>37</v>
      </c>
      <c r="B116" s="49" t="s">
        <v>98</v>
      </c>
      <c r="C116" s="50" t="s">
        <v>99</v>
      </c>
      <c r="D116" s="9"/>
      <c r="E116" s="13">
        <v>0.0</v>
      </c>
      <c r="F116" s="13">
        <v>0.0</v>
      </c>
      <c r="G116" s="13">
        <v>0.0</v>
      </c>
      <c r="H116" s="13">
        <v>0.0</v>
      </c>
      <c r="I116" s="13">
        <v>0.0</v>
      </c>
      <c r="J116" s="13">
        <v>0.0</v>
      </c>
      <c r="K116" s="13">
        <v>2.0</v>
      </c>
      <c r="L116" s="13">
        <v>0.0</v>
      </c>
      <c r="M116" s="13">
        <v>1.0</v>
      </c>
      <c r="N116" s="13">
        <v>3.0</v>
      </c>
      <c r="O116" s="13">
        <v>1.0</v>
      </c>
      <c r="P116" s="13">
        <v>0.0</v>
      </c>
      <c r="Q116" s="13">
        <v>1.0</v>
      </c>
      <c r="R116" s="13">
        <v>0.0</v>
      </c>
      <c r="S116" s="13">
        <v>4.0</v>
      </c>
      <c r="T116" s="13">
        <v>0.0</v>
      </c>
      <c r="U116" s="13">
        <v>6.0</v>
      </c>
      <c r="V116" s="13">
        <v>9.0</v>
      </c>
      <c r="W116" s="13">
        <v>6.0</v>
      </c>
      <c r="X116" s="6">
        <f t="shared" ref="X116:X123" si="32">SUM(E116:W116)</f>
        <v>33</v>
      </c>
    </row>
    <row r="117" ht="12.75" customHeight="1">
      <c r="A117" s="32" t="s">
        <v>39</v>
      </c>
      <c r="B117" s="51"/>
      <c r="C117" s="52" t="s">
        <v>100</v>
      </c>
      <c r="D117" s="53"/>
      <c r="E117" s="13">
        <v>0.0</v>
      </c>
      <c r="F117" s="13">
        <v>1.0</v>
      </c>
      <c r="G117" s="13">
        <v>3.0</v>
      </c>
      <c r="H117" s="13">
        <v>4.0</v>
      </c>
      <c r="I117" s="13">
        <v>0.0</v>
      </c>
      <c r="J117" s="13">
        <v>0.0</v>
      </c>
      <c r="K117" s="13">
        <v>0.0</v>
      </c>
      <c r="L117" s="13">
        <v>0.0</v>
      </c>
      <c r="M117" s="13">
        <v>0.0</v>
      </c>
      <c r="N117" s="13">
        <v>7.0</v>
      </c>
      <c r="O117" s="13">
        <v>4.0</v>
      </c>
      <c r="P117" s="13">
        <v>1.0</v>
      </c>
      <c r="Q117" s="13">
        <v>7.0</v>
      </c>
      <c r="R117" s="13">
        <v>8.0</v>
      </c>
      <c r="S117" s="13">
        <v>3.0</v>
      </c>
      <c r="T117" s="13">
        <v>0.0</v>
      </c>
      <c r="U117" s="13">
        <v>24.0</v>
      </c>
      <c r="V117" s="13">
        <v>86.0</v>
      </c>
      <c r="W117" s="13">
        <v>87.0</v>
      </c>
      <c r="X117" s="6">
        <f t="shared" si="32"/>
        <v>235</v>
      </c>
    </row>
    <row r="118" ht="12.75" customHeight="1">
      <c r="A118" s="18"/>
      <c r="B118" s="51"/>
      <c r="C118" s="52" t="s">
        <v>101</v>
      </c>
      <c r="D118" s="53"/>
      <c r="E118" s="13">
        <v>0.0</v>
      </c>
      <c r="F118" s="13">
        <v>0.0</v>
      </c>
      <c r="G118" s="13">
        <v>0.0</v>
      </c>
      <c r="H118" s="13">
        <v>4.0</v>
      </c>
      <c r="I118" s="13">
        <v>0.0</v>
      </c>
      <c r="J118" s="13">
        <v>0.0</v>
      </c>
      <c r="K118" s="13">
        <v>2.0</v>
      </c>
      <c r="L118" s="13">
        <v>0.0</v>
      </c>
      <c r="M118" s="13">
        <v>0.0</v>
      </c>
      <c r="N118" s="13">
        <v>0.0</v>
      </c>
      <c r="O118" s="13">
        <v>0.0</v>
      </c>
      <c r="P118" s="13">
        <v>0.0</v>
      </c>
      <c r="Q118" s="13">
        <v>0.0</v>
      </c>
      <c r="R118" s="13">
        <v>0.0</v>
      </c>
      <c r="S118" s="13">
        <v>0.0</v>
      </c>
      <c r="T118" s="13">
        <v>0.0</v>
      </c>
      <c r="U118" s="13">
        <v>0.0</v>
      </c>
      <c r="V118" s="13">
        <v>0.0</v>
      </c>
      <c r="W118" s="13">
        <v>3.0</v>
      </c>
      <c r="X118" s="6">
        <f t="shared" si="32"/>
        <v>9</v>
      </c>
    </row>
    <row r="119" ht="12.75" customHeight="1">
      <c r="A119" s="18"/>
      <c r="B119" s="51"/>
      <c r="C119" s="52" t="s">
        <v>102</v>
      </c>
      <c r="D119" s="53"/>
      <c r="E119" s="13">
        <v>0.0</v>
      </c>
      <c r="F119" s="13">
        <v>0.0</v>
      </c>
      <c r="G119" s="13">
        <v>0.0</v>
      </c>
      <c r="H119" s="13">
        <v>0.0</v>
      </c>
      <c r="I119" s="13">
        <v>0.0</v>
      </c>
      <c r="J119" s="13">
        <v>0.0</v>
      </c>
      <c r="K119" s="13">
        <v>8.0</v>
      </c>
      <c r="L119" s="13">
        <v>8.0</v>
      </c>
      <c r="M119" s="13">
        <v>4.0</v>
      </c>
      <c r="N119" s="13">
        <v>21.0</v>
      </c>
      <c r="O119" s="13">
        <v>0.0</v>
      </c>
      <c r="P119" s="13">
        <v>0.0</v>
      </c>
      <c r="Q119" s="13">
        <v>0.0</v>
      </c>
      <c r="R119" s="13">
        <v>27.0</v>
      </c>
      <c r="S119" s="13">
        <v>0.0</v>
      </c>
      <c r="T119" s="13">
        <v>4.0</v>
      </c>
      <c r="U119" s="13">
        <v>0.0</v>
      </c>
      <c r="V119" s="13">
        <v>0.0</v>
      </c>
      <c r="W119" s="13">
        <v>0.0</v>
      </c>
      <c r="X119" s="6">
        <f t="shared" si="32"/>
        <v>72</v>
      </c>
    </row>
    <row r="120" ht="12.75" customHeight="1">
      <c r="A120" s="18"/>
      <c r="B120" s="51"/>
      <c r="C120" s="52" t="s">
        <v>103</v>
      </c>
      <c r="D120" s="53"/>
      <c r="E120" s="13">
        <v>0.0</v>
      </c>
      <c r="F120" s="13">
        <v>0.0</v>
      </c>
      <c r="G120" s="13">
        <v>1.0</v>
      </c>
      <c r="H120" s="13">
        <v>0.0</v>
      </c>
      <c r="I120" s="13">
        <v>0.0</v>
      </c>
      <c r="J120" s="13">
        <v>0.0</v>
      </c>
      <c r="K120" s="13">
        <v>0.0</v>
      </c>
      <c r="L120" s="13">
        <v>0.0</v>
      </c>
      <c r="M120" s="13">
        <v>0.0</v>
      </c>
      <c r="N120" s="13">
        <v>0.0</v>
      </c>
      <c r="O120" s="13">
        <v>0.0</v>
      </c>
      <c r="P120" s="13">
        <v>0.0</v>
      </c>
      <c r="Q120" s="13">
        <v>0.0</v>
      </c>
      <c r="R120" s="13">
        <v>0.0</v>
      </c>
      <c r="S120" s="13">
        <v>0.0</v>
      </c>
      <c r="T120" s="13">
        <v>0.0</v>
      </c>
      <c r="U120" s="13">
        <v>0.0</v>
      </c>
      <c r="V120" s="13">
        <v>0.0</v>
      </c>
      <c r="W120" s="13">
        <v>0.0</v>
      </c>
      <c r="X120" s="6">
        <f t="shared" si="32"/>
        <v>1</v>
      </c>
    </row>
    <row r="121" ht="12.75" customHeight="1">
      <c r="A121" s="18"/>
      <c r="B121" s="51"/>
      <c r="C121" s="52" t="s">
        <v>104</v>
      </c>
      <c r="D121" s="53"/>
      <c r="E121" s="13">
        <v>0.0</v>
      </c>
      <c r="F121" s="13">
        <v>0.0</v>
      </c>
      <c r="G121" s="13">
        <v>1.0</v>
      </c>
      <c r="H121" s="13">
        <v>3.0</v>
      </c>
      <c r="I121" s="13">
        <v>0.0</v>
      </c>
      <c r="J121" s="13">
        <v>1.0</v>
      </c>
      <c r="K121" s="13">
        <v>0.0</v>
      </c>
      <c r="L121" s="13">
        <v>0.0</v>
      </c>
      <c r="M121" s="13">
        <v>0.0</v>
      </c>
      <c r="N121" s="13">
        <v>0.0</v>
      </c>
      <c r="O121" s="13">
        <v>0.0</v>
      </c>
      <c r="P121" s="13">
        <v>0.0</v>
      </c>
      <c r="Q121" s="13">
        <v>0.0</v>
      </c>
      <c r="R121" s="13">
        <v>0.0</v>
      </c>
      <c r="S121" s="13">
        <v>1.0</v>
      </c>
      <c r="T121" s="13">
        <v>0.0</v>
      </c>
      <c r="U121" s="13">
        <v>0.0</v>
      </c>
      <c r="V121" s="13">
        <v>0.0</v>
      </c>
      <c r="W121" s="13">
        <v>0.0</v>
      </c>
      <c r="X121" s="6">
        <f t="shared" si="32"/>
        <v>6</v>
      </c>
    </row>
    <row r="122" ht="12.75" customHeight="1">
      <c r="A122" s="18"/>
      <c r="B122" s="51"/>
      <c r="C122" s="52" t="s">
        <v>105</v>
      </c>
      <c r="D122" s="53"/>
      <c r="E122" s="13">
        <v>0.0</v>
      </c>
      <c r="F122" s="13">
        <v>0.0</v>
      </c>
      <c r="G122" s="13">
        <v>0.0</v>
      </c>
      <c r="H122" s="13">
        <v>0.0</v>
      </c>
      <c r="I122" s="13">
        <v>0.0</v>
      </c>
      <c r="J122" s="13">
        <v>0.0</v>
      </c>
      <c r="K122" s="13">
        <v>0.0</v>
      </c>
      <c r="L122" s="13">
        <v>0.0</v>
      </c>
      <c r="M122" s="13">
        <v>2.0</v>
      </c>
      <c r="N122" s="13">
        <v>0.0</v>
      </c>
      <c r="O122" s="13">
        <v>0.0</v>
      </c>
      <c r="P122" s="13">
        <v>0.0</v>
      </c>
      <c r="Q122" s="13">
        <v>8.0</v>
      </c>
      <c r="R122" s="13">
        <v>1.0</v>
      </c>
      <c r="S122" s="13">
        <v>1.0</v>
      </c>
      <c r="T122" s="13">
        <v>0.0</v>
      </c>
      <c r="U122" s="13">
        <v>0.0</v>
      </c>
      <c r="V122" s="13">
        <v>0.0</v>
      </c>
      <c r="W122" s="13">
        <v>0.0</v>
      </c>
      <c r="X122" s="6">
        <f t="shared" si="32"/>
        <v>12</v>
      </c>
    </row>
    <row r="123" ht="12.75" customHeight="1">
      <c r="A123" s="13" t="s">
        <v>15</v>
      </c>
      <c r="B123" s="49" t="s">
        <v>46</v>
      </c>
      <c r="C123" s="8"/>
      <c r="D123" s="9"/>
      <c r="E123" s="60">
        <f t="shared" ref="E123:W123" si="33">SUM(E116:E122)</f>
        <v>0</v>
      </c>
      <c r="F123" s="60">
        <f t="shared" si="33"/>
        <v>1</v>
      </c>
      <c r="G123" s="60">
        <f t="shared" si="33"/>
        <v>5</v>
      </c>
      <c r="H123" s="60">
        <f t="shared" si="33"/>
        <v>11</v>
      </c>
      <c r="I123" s="60">
        <f t="shared" si="33"/>
        <v>0</v>
      </c>
      <c r="J123" s="60">
        <f t="shared" si="33"/>
        <v>1</v>
      </c>
      <c r="K123" s="60">
        <f t="shared" si="33"/>
        <v>12</v>
      </c>
      <c r="L123" s="60">
        <f t="shared" si="33"/>
        <v>8</v>
      </c>
      <c r="M123" s="60">
        <f t="shared" si="33"/>
        <v>7</v>
      </c>
      <c r="N123" s="60">
        <f t="shared" si="33"/>
        <v>31</v>
      </c>
      <c r="O123" s="60">
        <f t="shared" si="33"/>
        <v>5</v>
      </c>
      <c r="P123" s="60">
        <f t="shared" si="33"/>
        <v>1</v>
      </c>
      <c r="Q123" s="60">
        <f t="shared" si="33"/>
        <v>16</v>
      </c>
      <c r="R123" s="60">
        <f t="shared" si="33"/>
        <v>36</v>
      </c>
      <c r="S123" s="60">
        <f t="shared" si="33"/>
        <v>9</v>
      </c>
      <c r="T123" s="60">
        <f t="shared" si="33"/>
        <v>4</v>
      </c>
      <c r="U123" s="60">
        <f t="shared" si="33"/>
        <v>30</v>
      </c>
      <c r="V123" s="60">
        <f t="shared" si="33"/>
        <v>95</v>
      </c>
      <c r="W123" s="60">
        <f t="shared" si="33"/>
        <v>96</v>
      </c>
      <c r="X123" s="6">
        <f t="shared" si="32"/>
        <v>368</v>
      </c>
    </row>
    <row r="124" ht="12.75" customHeight="1">
      <c r="A124" s="54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6"/>
    </row>
    <row r="125" ht="12.75" customHeight="1">
      <c r="A125" s="32" t="s">
        <v>37</v>
      </c>
      <c r="B125" s="49" t="s">
        <v>106</v>
      </c>
      <c r="C125" s="50" t="s">
        <v>107</v>
      </c>
      <c r="D125" s="9"/>
      <c r="E125" s="13"/>
      <c r="F125" s="13"/>
      <c r="G125" s="13">
        <v>1.0</v>
      </c>
      <c r="H125" s="13"/>
      <c r="I125" s="13"/>
      <c r="J125" s="13"/>
      <c r="K125" s="13">
        <v>1.0</v>
      </c>
      <c r="L125" s="13">
        <v>1.0</v>
      </c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6">
        <f t="shared" ref="X125:X127" si="34">SUM(E125:W125)</f>
        <v>3</v>
      </c>
    </row>
    <row r="126" ht="12.75" customHeight="1">
      <c r="A126" s="32" t="s">
        <v>39</v>
      </c>
      <c r="B126" s="51"/>
      <c r="C126" s="52" t="s">
        <v>108</v>
      </c>
      <c r="D126" s="5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6">
        <f t="shared" si="34"/>
        <v>0</v>
      </c>
    </row>
    <row r="127" ht="12.75" customHeight="1">
      <c r="A127" s="13" t="s">
        <v>15</v>
      </c>
      <c r="B127" s="49" t="s">
        <v>46</v>
      </c>
      <c r="C127" s="8"/>
      <c r="D127" s="9"/>
      <c r="E127" s="60">
        <f t="shared" ref="E127:W127" si="35">SUM(E125:E126)</f>
        <v>0</v>
      </c>
      <c r="F127" s="60">
        <f t="shared" si="35"/>
        <v>0</v>
      </c>
      <c r="G127" s="60">
        <f t="shared" si="35"/>
        <v>1</v>
      </c>
      <c r="H127" s="60">
        <f t="shared" si="35"/>
        <v>0</v>
      </c>
      <c r="I127" s="60">
        <f t="shared" si="35"/>
        <v>0</v>
      </c>
      <c r="J127" s="60">
        <f t="shared" si="35"/>
        <v>0</v>
      </c>
      <c r="K127" s="60">
        <f t="shared" si="35"/>
        <v>1</v>
      </c>
      <c r="L127" s="60">
        <f t="shared" si="35"/>
        <v>1</v>
      </c>
      <c r="M127" s="60">
        <f t="shared" si="35"/>
        <v>0</v>
      </c>
      <c r="N127" s="60">
        <f t="shared" si="35"/>
        <v>0</v>
      </c>
      <c r="O127" s="60">
        <f t="shared" si="35"/>
        <v>0</v>
      </c>
      <c r="P127" s="60">
        <f t="shared" si="35"/>
        <v>0</v>
      </c>
      <c r="Q127" s="60">
        <f t="shared" si="35"/>
        <v>0</v>
      </c>
      <c r="R127" s="60">
        <f t="shared" si="35"/>
        <v>0</v>
      </c>
      <c r="S127" s="60">
        <f t="shared" si="35"/>
        <v>0</v>
      </c>
      <c r="T127" s="60">
        <f t="shared" si="35"/>
        <v>0</v>
      </c>
      <c r="U127" s="60">
        <f t="shared" si="35"/>
        <v>0</v>
      </c>
      <c r="V127" s="60">
        <f t="shared" si="35"/>
        <v>0</v>
      </c>
      <c r="W127" s="60">
        <f t="shared" si="35"/>
        <v>0</v>
      </c>
      <c r="X127" s="6">
        <f t="shared" si="34"/>
        <v>3</v>
      </c>
    </row>
    <row r="128" ht="12.75" customHeight="1">
      <c r="A128" s="54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6"/>
    </row>
    <row r="129" ht="12.75" customHeight="1">
      <c r="A129" s="32" t="s">
        <v>37</v>
      </c>
      <c r="B129" s="49" t="s">
        <v>109</v>
      </c>
      <c r="C129" s="50" t="s">
        <v>110</v>
      </c>
      <c r="D129" s="9"/>
      <c r="E129" s="13">
        <v>0.0</v>
      </c>
      <c r="F129" s="13">
        <v>2.0</v>
      </c>
      <c r="G129" s="13">
        <v>1.0</v>
      </c>
      <c r="H129" s="13">
        <v>0.0</v>
      </c>
      <c r="I129" s="13">
        <v>1.0</v>
      </c>
      <c r="J129" s="13">
        <v>1.0</v>
      </c>
      <c r="K129" s="13">
        <v>4.0</v>
      </c>
      <c r="L129" s="13">
        <v>2.0</v>
      </c>
      <c r="M129" s="13">
        <v>9.0</v>
      </c>
      <c r="N129" s="13">
        <v>2.0</v>
      </c>
      <c r="O129" s="13">
        <v>1.0</v>
      </c>
      <c r="P129" s="13">
        <v>1.0</v>
      </c>
      <c r="Q129" s="13">
        <v>0.0</v>
      </c>
      <c r="R129" s="13">
        <v>1.0</v>
      </c>
      <c r="S129" s="13">
        <v>1.0</v>
      </c>
      <c r="T129" s="13"/>
      <c r="U129" s="13"/>
      <c r="V129" s="13"/>
      <c r="W129" s="13">
        <v>1.0</v>
      </c>
      <c r="X129" s="6">
        <f t="shared" ref="X129:X136" si="36">SUM(E129:W129)</f>
        <v>27</v>
      </c>
    </row>
    <row r="130" ht="12.75" customHeight="1">
      <c r="A130" s="32" t="s">
        <v>39</v>
      </c>
      <c r="B130" s="51"/>
      <c r="C130" s="52" t="s">
        <v>111</v>
      </c>
      <c r="D130" s="53"/>
      <c r="E130" s="13">
        <v>4.0</v>
      </c>
      <c r="F130" s="13">
        <v>3.0</v>
      </c>
      <c r="G130" s="13">
        <v>11.0</v>
      </c>
      <c r="H130" s="13">
        <v>7.0</v>
      </c>
      <c r="I130" s="13">
        <v>4.0</v>
      </c>
      <c r="J130" s="13">
        <v>6.0</v>
      </c>
      <c r="K130" s="13">
        <v>15.0</v>
      </c>
      <c r="L130" s="13">
        <v>15.0</v>
      </c>
      <c r="M130" s="13">
        <v>50.0</v>
      </c>
      <c r="N130" s="13">
        <v>12.0</v>
      </c>
      <c r="O130" s="13">
        <v>1.0</v>
      </c>
      <c r="P130" s="13">
        <v>16.0</v>
      </c>
      <c r="Q130" s="13">
        <v>5.0</v>
      </c>
      <c r="R130" s="13">
        <v>0.0</v>
      </c>
      <c r="S130" s="13">
        <v>0.0</v>
      </c>
      <c r="T130" s="13"/>
      <c r="U130" s="13">
        <v>2.0</v>
      </c>
      <c r="V130" s="13"/>
      <c r="W130" s="13"/>
      <c r="X130" s="6">
        <f t="shared" si="36"/>
        <v>151</v>
      </c>
    </row>
    <row r="131" ht="12.75" customHeight="1">
      <c r="A131" s="18"/>
      <c r="B131" s="51"/>
      <c r="C131" s="52" t="s">
        <v>112</v>
      </c>
      <c r="D131" s="53"/>
      <c r="E131" s="13">
        <v>1.0</v>
      </c>
      <c r="F131" s="13">
        <v>2.0</v>
      </c>
      <c r="G131" s="13">
        <v>1.0</v>
      </c>
      <c r="H131" s="13">
        <v>0.0</v>
      </c>
      <c r="I131" s="13">
        <v>0.0</v>
      </c>
      <c r="J131" s="13">
        <v>1.0</v>
      </c>
      <c r="K131" s="13">
        <v>0.0</v>
      </c>
      <c r="L131" s="13">
        <v>1.0</v>
      </c>
      <c r="M131" s="13">
        <v>0.0</v>
      </c>
      <c r="N131" s="13">
        <v>1.0</v>
      </c>
      <c r="O131" s="13">
        <v>0.0</v>
      </c>
      <c r="P131" s="13">
        <v>0.0</v>
      </c>
      <c r="Q131" s="13">
        <v>0.0</v>
      </c>
      <c r="R131" s="13">
        <v>0.0</v>
      </c>
      <c r="S131" s="13">
        <v>2.0</v>
      </c>
      <c r="T131" s="13"/>
      <c r="U131" s="13"/>
      <c r="V131" s="13"/>
      <c r="W131" s="13"/>
      <c r="X131" s="6">
        <f t="shared" si="36"/>
        <v>9</v>
      </c>
    </row>
    <row r="132" ht="12.75" customHeight="1">
      <c r="A132" s="18"/>
      <c r="B132" s="51"/>
      <c r="C132" s="52" t="s">
        <v>113</v>
      </c>
      <c r="D132" s="53"/>
      <c r="E132" s="13">
        <v>0.0</v>
      </c>
      <c r="F132" s="13">
        <v>0.0</v>
      </c>
      <c r="G132" s="13">
        <v>1.0</v>
      </c>
      <c r="H132" s="13">
        <v>0.0</v>
      </c>
      <c r="I132" s="13">
        <v>0.0</v>
      </c>
      <c r="J132" s="13">
        <v>0.0</v>
      </c>
      <c r="K132" s="13">
        <v>0.0</v>
      </c>
      <c r="L132" s="13">
        <v>0.0</v>
      </c>
      <c r="M132" s="13">
        <v>2.0</v>
      </c>
      <c r="N132" s="13">
        <v>0.0</v>
      </c>
      <c r="O132" s="13">
        <v>0.0</v>
      </c>
      <c r="P132" s="13">
        <v>0.0</v>
      </c>
      <c r="Q132" s="13">
        <v>0.0</v>
      </c>
      <c r="R132" s="13">
        <v>0.0</v>
      </c>
      <c r="S132" s="13">
        <v>0.0</v>
      </c>
      <c r="T132" s="13"/>
      <c r="U132" s="13"/>
      <c r="V132" s="13"/>
      <c r="W132" s="13"/>
      <c r="X132" s="6">
        <f t="shared" si="36"/>
        <v>3</v>
      </c>
    </row>
    <row r="133" ht="12.75" customHeight="1">
      <c r="A133" s="18"/>
      <c r="B133" s="51"/>
      <c r="C133" s="52" t="s">
        <v>114</v>
      </c>
      <c r="D133" s="53"/>
      <c r="E133" s="13">
        <v>1.0</v>
      </c>
      <c r="F133" s="13">
        <v>0.0</v>
      </c>
      <c r="G133" s="13">
        <v>0.0</v>
      </c>
      <c r="H133" s="13">
        <v>0.0</v>
      </c>
      <c r="I133" s="13">
        <v>1.0</v>
      </c>
      <c r="J133" s="13">
        <v>0.0</v>
      </c>
      <c r="K133" s="13">
        <v>1.0</v>
      </c>
      <c r="L133" s="13">
        <v>0.0</v>
      </c>
      <c r="M133" s="13">
        <v>0.0</v>
      </c>
      <c r="N133" s="13">
        <v>1.0</v>
      </c>
      <c r="O133" s="13">
        <v>0.0</v>
      </c>
      <c r="P133" s="13">
        <v>0.0</v>
      </c>
      <c r="Q133" s="13">
        <v>0.0</v>
      </c>
      <c r="R133" s="13">
        <v>0.0</v>
      </c>
      <c r="S133" s="13">
        <v>0.0</v>
      </c>
      <c r="T133" s="13"/>
      <c r="U133" s="13"/>
      <c r="V133" s="13">
        <v>1.0</v>
      </c>
      <c r="W133" s="13"/>
      <c r="X133" s="6">
        <f t="shared" si="36"/>
        <v>5</v>
      </c>
    </row>
    <row r="134" ht="12.75" customHeight="1">
      <c r="A134" s="18"/>
      <c r="B134" s="51"/>
      <c r="C134" s="52" t="s">
        <v>115</v>
      </c>
      <c r="D134" s="53"/>
      <c r="E134" s="13">
        <v>0.0</v>
      </c>
      <c r="F134" s="13">
        <v>0.0</v>
      </c>
      <c r="G134" s="13">
        <v>0.0</v>
      </c>
      <c r="H134" s="13">
        <v>0.0</v>
      </c>
      <c r="I134" s="13">
        <v>0.0</v>
      </c>
      <c r="J134" s="13">
        <v>0.0</v>
      </c>
      <c r="K134" s="13">
        <v>1.0</v>
      </c>
      <c r="L134" s="13">
        <v>0.0</v>
      </c>
      <c r="M134" s="13">
        <v>0.0</v>
      </c>
      <c r="N134" s="13">
        <v>0.0</v>
      </c>
      <c r="O134" s="13">
        <v>0.0</v>
      </c>
      <c r="P134" s="13">
        <v>0.0</v>
      </c>
      <c r="Q134" s="13">
        <v>0.0</v>
      </c>
      <c r="R134" s="13">
        <v>0.0</v>
      </c>
      <c r="S134" s="13">
        <v>0.0</v>
      </c>
      <c r="T134" s="13">
        <v>1.0</v>
      </c>
      <c r="U134" s="13"/>
      <c r="V134" s="13"/>
      <c r="W134" s="13"/>
      <c r="X134" s="6">
        <f t="shared" si="36"/>
        <v>2</v>
      </c>
    </row>
    <row r="135" ht="12.75" customHeight="1">
      <c r="A135" s="18"/>
      <c r="B135" s="51"/>
      <c r="C135" s="52" t="s">
        <v>116</v>
      </c>
      <c r="D135" s="53"/>
      <c r="E135" s="13">
        <v>0.0</v>
      </c>
      <c r="F135" s="13">
        <v>0.0</v>
      </c>
      <c r="G135" s="13">
        <v>0.0</v>
      </c>
      <c r="H135" s="13">
        <v>0.0</v>
      </c>
      <c r="I135" s="13">
        <v>0.0</v>
      </c>
      <c r="J135" s="13">
        <v>0.0</v>
      </c>
      <c r="K135" s="13">
        <v>0.0</v>
      </c>
      <c r="L135" s="13">
        <v>0.0</v>
      </c>
      <c r="M135" s="13">
        <v>0.0</v>
      </c>
      <c r="N135" s="13">
        <v>0.0</v>
      </c>
      <c r="O135" s="13">
        <v>0.0</v>
      </c>
      <c r="P135" s="13">
        <v>0.0</v>
      </c>
      <c r="Q135" s="13">
        <v>0.0</v>
      </c>
      <c r="R135" s="13">
        <v>0.0</v>
      </c>
      <c r="S135" s="13">
        <v>1.0</v>
      </c>
      <c r="T135" s="13"/>
      <c r="U135" s="13"/>
      <c r="V135" s="13"/>
      <c r="W135" s="13"/>
      <c r="X135" s="6">
        <f t="shared" si="36"/>
        <v>1</v>
      </c>
    </row>
    <row r="136" ht="12.75" customHeight="1">
      <c r="A136" s="13" t="s">
        <v>15</v>
      </c>
      <c r="B136" s="49" t="s">
        <v>46</v>
      </c>
      <c r="C136" s="8"/>
      <c r="D136" s="9"/>
      <c r="E136" s="60">
        <f t="shared" ref="E136:W136" si="37">SUM(E129:E135)</f>
        <v>6</v>
      </c>
      <c r="F136" s="60">
        <f t="shared" si="37"/>
        <v>7</v>
      </c>
      <c r="G136" s="60">
        <f t="shared" si="37"/>
        <v>14</v>
      </c>
      <c r="H136" s="60">
        <f t="shared" si="37"/>
        <v>7</v>
      </c>
      <c r="I136" s="60">
        <f t="shared" si="37"/>
        <v>6</v>
      </c>
      <c r="J136" s="60">
        <f t="shared" si="37"/>
        <v>8</v>
      </c>
      <c r="K136" s="60">
        <f t="shared" si="37"/>
        <v>21</v>
      </c>
      <c r="L136" s="60">
        <f t="shared" si="37"/>
        <v>18</v>
      </c>
      <c r="M136" s="60">
        <f t="shared" si="37"/>
        <v>61</v>
      </c>
      <c r="N136" s="60">
        <f t="shared" si="37"/>
        <v>16</v>
      </c>
      <c r="O136" s="60">
        <f t="shared" si="37"/>
        <v>2</v>
      </c>
      <c r="P136" s="60">
        <f t="shared" si="37"/>
        <v>17</v>
      </c>
      <c r="Q136" s="60">
        <f t="shared" si="37"/>
        <v>5</v>
      </c>
      <c r="R136" s="60">
        <f t="shared" si="37"/>
        <v>1</v>
      </c>
      <c r="S136" s="60">
        <f t="shared" si="37"/>
        <v>4</v>
      </c>
      <c r="T136" s="60">
        <f t="shared" si="37"/>
        <v>1</v>
      </c>
      <c r="U136" s="60">
        <f t="shared" si="37"/>
        <v>2</v>
      </c>
      <c r="V136" s="60">
        <f t="shared" si="37"/>
        <v>1</v>
      </c>
      <c r="W136" s="60">
        <f t="shared" si="37"/>
        <v>1</v>
      </c>
      <c r="X136" s="6">
        <f t="shared" si="36"/>
        <v>198</v>
      </c>
    </row>
    <row r="137" ht="12.75" customHeight="1">
      <c r="A137" s="54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6"/>
    </row>
    <row r="138" ht="12.75" customHeight="1">
      <c r="A138" s="32" t="s">
        <v>37</v>
      </c>
      <c r="B138" s="49" t="s">
        <v>117</v>
      </c>
      <c r="C138" s="50" t="s">
        <v>118</v>
      </c>
      <c r="D138" s="9"/>
      <c r="E138" s="13">
        <v>0.0</v>
      </c>
      <c r="F138" s="13">
        <v>0.0</v>
      </c>
      <c r="G138" s="13">
        <v>0.0</v>
      </c>
      <c r="H138" s="13">
        <v>0.0</v>
      </c>
      <c r="I138" s="13">
        <v>0.0</v>
      </c>
      <c r="J138" s="13">
        <v>0.0</v>
      </c>
      <c r="K138" s="13">
        <v>0.0</v>
      </c>
      <c r="L138" s="13">
        <v>0.0</v>
      </c>
      <c r="M138" s="13">
        <v>0.0</v>
      </c>
      <c r="N138" s="13">
        <v>0.0</v>
      </c>
      <c r="O138" s="13">
        <v>0.0</v>
      </c>
      <c r="P138" s="13">
        <v>0.0</v>
      </c>
      <c r="Q138" s="13">
        <v>0.0</v>
      </c>
      <c r="R138" s="13">
        <v>0.0</v>
      </c>
      <c r="S138" s="13">
        <v>0.0</v>
      </c>
      <c r="T138" s="13">
        <v>0.0</v>
      </c>
      <c r="U138" s="13">
        <v>0.0</v>
      </c>
      <c r="V138" s="13">
        <v>0.0</v>
      </c>
      <c r="W138" s="13">
        <v>0.0</v>
      </c>
      <c r="X138" s="6">
        <f t="shared" ref="X138:X145" si="38">SUM(E138:W138)</f>
        <v>0</v>
      </c>
    </row>
    <row r="139" ht="12.75" customHeight="1">
      <c r="A139" s="32" t="s">
        <v>39</v>
      </c>
      <c r="B139" s="51"/>
      <c r="C139" s="52" t="s">
        <v>119</v>
      </c>
      <c r="D139" s="53"/>
      <c r="E139" s="13">
        <v>0.0</v>
      </c>
      <c r="F139" s="13">
        <v>0.0</v>
      </c>
      <c r="G139" s="13">
        <v>0.0</v>
      </c>
      <c r="H139" s="13">
        <v>0.0</v>
      </c>
      <c r="I139" s="13">
        <v>0.0</v>
      </c>
      <c r="J139" s="13">
        <v>1.0</v>
      </c>
      <c r="K139" s="13">
        <v>0.0</v>
      </c>
      <c r="L139" s="13">
        <v>0.0</v>
      </c>
      <c r="M139" s="13">
        <v>1.0</v>
      </c>
      <c r="N139" s="13">
        <v>0.0</v>
      </c>
      <c r="O139" s="13">
        <v>0.0</v>
      </c>
      <c r="P139" s="13">
        <v>0.0</v>
      </c>
      <c r="Q139" s="13">
        <v>0.0</v>
      </c>
      <c r="R139" s="13">
        <v>0.0</v>
      </c>
      <c r="S139" s="13">
        <v>0.0</v>
      </c>
      <c r="T139" s="13">
        <v>0.0</v>
      </c>
      <c r="U139" s="13">
        <v>0.0</v>
      </c>
      <c r="V139" s="13">
        <v>0.0</v>
      </c>
      <c r="W139" s="13">
        <v>0.0</v>
      </c>
      <c r="X139" s="6">
        <f t="shared" si="38"/>
        <v>2</v>
      </c>
    </row>
    <row r="140" ht="12.75" customHeight="1">
      <c r="A140" s="18"/>
      <c r="B140" s="51"/>
      <c r="C140" s="52" t="s">
        <v>120</v>
      </c>
      <c r="D140" s="53"/>
      <c r="E140" s="13">
        <v>0.0</v>
      </c>
      <c r="F140" s="13">
        <v>0.0</v>
      </c>
      <c r="G140" s="13">
        <v>0.0</v>
      </c>
      <c r="H140" s="13">
        <v>0.0</v>
      </c>
      <c r="I140" s="13">
        <v>0.0</v>
      </c>
      <c r="J140" s="13">
        <v>0.0</v>
      </c>
      <c r="K140" s="13">
        <v>0.0</v>
      </c>
      <c r="L140" s="13">
        <v>0.0</v>
      </c>
      <c r="M140" s="13">
        <v>0.0</v>
      </c>
      <c r="N140" s="13">
        <v>0.0</v>
      </c>
      <c r="O140" s="13">
        <v>0.0</v>
      </c>
      <c r="P140" s="13">
        <v>0.0</v>
      </c>
      <c r="Q140" s="13">
        <v>0.0</v>
      </c>
      <c r="R140" s="13">
        <v>0.0</v>
      </c>
      <c r="S140" s="13">
        <v>0.0</v>
      </c>
      <c r="T140" s="13">
        <v>0.0</v>
      </c>
      <c r="U140" s="13">
        <v>1.0</v>
      </c>
      <c r="V140" s="13">
        <v>0.0</v>
      </c>
      <c r="W140" s="13">
        <v>0.0</v>
      </c>
      <c r="X140" s="6">
        <f t="shared" si="38"/>
        <v>1</v>
      </c>
    </row>
    <row r="141" ht="12.75" customHeight="1">
      <c r="A141" s="18"/>
      <c r="B141" s="51"/>
      <c r="C141" s="52" t="s">
        <v>121</v>
      </c>
      <c r="D141" s="53"/>
      <c r="E141" s="13">
        <v>0.0</v>
      </c>
      <c r="F141" s="13">
        <v>0.0</v>
      </c>
      <c r="G141" s="13">
        <v>0.0</v>
      </c>
      <c r="H141" s="13">
        <v>0.0</v>
      </c>
      <c r="I141" s="13">
        <v>0.0</v>
      </c>
      <c r="J141" s="13">
        <v>0.0</v>
      </c>
      <c r="K141" s="13">
        <v>0.0</v>
      </c>
      <c r="L141" s="13">
        <v>0.0</v>
      </c>
      <c r="M141" s="13">
        <v>0.0</v>
      </c>
      <c r="N141" s="13">
        <v>0.0</v>
      </c>
      <c r="O141" s="13">
        <v>0.0</v>
      </c>
      <c r="P141" s="13">
        <v>0.0</v>
      </c>
      <c r="Q141" s="13">
        <v>0.0</v>
      </c>
      <c r="R141" s="13">
        <v>0.0</v>
      </c>
      <c r="S141" s="13">
        <v>0.0</v>
      </c>
      <c r="T141" s="13">
        <v>0.0</v>
      </c>
      <c r="U141" s="13">
        <v>0.0</v>
      </c>
      <c r="V141" s="13">
        <v>0.0</v>
      </c>
      <c r="W141" s="13">
        <v>0.0</v>
      </c>
      <c r="X141" s="6">
        <f t="shared" si="38"/>
        <v>0</v>
      </c>
    </row>
    <row r="142" ht="12.75" customHeight="1">
      <c r="A142" s="18"/>
      <c r="B142" s="51"/>
      <c r="C142" s="52" t="s">
        <v>122</v>
      </c>
      <c r="D142" s="53"/>
      <c r="E142" s="13">
        <v>0.0</v>
      </c>
      <c r="F142" s="13">
        <v>0.0</v>
      </c>
      <c r="G142" s="13">
        <v>0.0</v>
      </c>
      <c r="H142" s="13">
        <v>0.0</v>
      </c>
      <c r="I142" s="13">
        <v>1.0</v>
      </c>
      <c r="J142" s="13">
        <v>0.0</v>
      </c>
      <c r="K142" s="13">
        <v>0.0</v>
      </c>
      <c r="L142" s="13">
        <v>0.0</v>
      </c>
      <c r="M142" s="13">
        <v>0.0</v>
      </c>
      <c r="N142" s="13">
        <v>0.0</v>
      </c>
      <c r="O142" s="13">
        <v>0.0</v>
      </c>
      <c r="P142" s="13">
        <v>0.0</v>
      </c>
      <c r="Q142" s="13">
        <v>0.0</v>
      </c>
      <c r="R142" s="13">
        <v>0.0</v>
      </c>
      <c r="S142" s="13">
        <v>0.0</v>
      </c>
      <c r="T142" s="13">
        <v>0.0</v>
      </c>
      <c r="U142" s="13">
        <v>0.0</v>
      </c>
      <c r="V142" s="13">
        <v>0.0</v>
      </c>
      <c r="W142" s="13">
        <v>0.0</v>
      </c>
      <c r="X142" s="6">
        <f t="shared" si="38"/>
        <v>1</v>
      </c>
    </row>
    <row r="143" ht="12.75" customHeight="1">
      <c r="A143" s="18"/>
      <c r="B143" s="51"/>
      <c r="C143" s="52" t="s">
        <v>123</v>
      </c>
      <c r="D143" s="53"/>
      <c r="E143" s="13">
        <v>0.0</v>
      </c>
      <c r="F143" s="13">
        <v>0.0</v>
      </c>
      <c r="G143" s="13">
        <v>0.0</v>
      </c>
      <c r="H143" s="13">
        <v>0.0</v>
      </c>
      <c r="I143" s="13">
        <v>0.0</v>
      </c>
      <c r="J143" s="13">
        <v>0.0</v>
      </c>
      <c r="K143" s="13">
        <v>1.0</v>
      </c>
      <c r="L143" s="13">
        <v>0.0</v>
      </c>
      <c r="M143" s="13">
        <v>0.0</v>
      </c>
      <c r="N143" s="13">
        <v>0.0</v>
      </c>
      <c r="O143" s="13">
        <v>0.0</v>
      </c>
      <c r="P143" s="13">
        <v>0.0</v>
      </c>
      <c r="Q143" s="13">
        <v>0.0</v>
      </c>
      <c r="R143" s="13">
        <v>0.0</v>
      </c>
      <c r="S143" s="13">
        <v>0.0</v>
      </c>
      <c r="T143" s="13">
        <v>0.0</v>
      </c>
      <c r="U143" s="13">
        <v>0.0</v>
      </c>
      <c r="V143" s="13">
        <v>0.0</v>
      </c>
      <c r="W143" s="13">
        <v>0.0</v>
      </c>
      <c r="X143" s="6">
        <f t="shared" si="38"/>
        <v>1</v>
      </c>
    </row>
    <row r="144" ht="12.75" customHeight="1">
      <c r="A144" s="18"/>
      <c r="B144" s="51"/>
      <c r="C144" s="52" t="s">
        <v>124</v>
      </c>
      <c r="D144" s="53"/>
      <c r="E144" s="13">
        <v>0.0</v>
      </c>
      <c r="F144" s="13">
        <v>0.0</v>
      </c>
      <c r="G144" s="13">
        <v>0.0</v>
      </c>
      <c r="H144" s="13">
        <v>0.0</v>
      </c>
      <c r="I144" s="13">
        <v>0.0</v>
      </c>
      <c r="J144" s="13">
        <v>0.0</v>
      </c>
      <c r="K144" s="13">
        <v>3.0</v>
      </c>
      <c r="L144" s="13">
        <v>0.0</v>
      </c>
      <c r="M144" s="13">
        <v>0.0</v>
      </c>
      <c r="N144" s="13">
        <v>0.0</v>
      </c>
      <c r="O144" s="13">
        <v>0.0</v>
      </c>
      <c r="P144" s="13">
        <v>0.0</v>
      </c>
      <c r="Q144" s="13">
        <v>0.0</v>
      </c>
      <c r="R144" s="13">
        <v>0.0</v>
      </c>
      <c r="S144" s="13">
        <v>0.0</v>
      </c>
      <c r="T144" s="13">
        <v>0.0</v>
      </c>
      <c r="U144" s="13">
        <v>0.0</v>
      </c>
      <c r="V144" s="13">
        <v>0.0</v>
      </c>
      <c r="W144" s="13">
        <v>0.0</v>
      </c>
      <c r="X144" s="6">
        <f t="shared" si="38"/>
        <v>3</v>
      </c>
    </row>
    <row r="145" ht="12.75" customHeight="1">
      <c r="A145" s="13" t="s">
        <v>15</v>
      </c>
      <c r="B145" s="49" t="s">
        <v>46</v>
      </c>
      <c r="C145" s="8"/>
      <c r="D145" s="9"/>
      <c r="E145" s="60">
        <f t="shared" ref="E145:W145" si="39">SUM(E138:E144)</f>
        <v>0</v>
      </c>
      <c r="F145" s="60">
        <f t="shared" si="39"/>
        <v>0</v>
      </c>
      <c r="G145" s="60">
        <f t="shared" si="39"/>
        <v>0</v>
      </c>
      <c r="H145" s="60">
        <f t="shared" si="39"/>
        <v>0</v>
      </c>
      <c r="I145" s="60">
        <f t="shared" si="39"/>
        <v>1</v>
      </c>
      <c r="J145" s="60">
        <f t="shared" si="39"/>
        <v>1</v>
      </c>
      <c r="K145" s="60">
        <f t="shared" si="39"/>
        <v>4</v>
      </c>
      <c r="L145" s="60">
        <f t="shared" si="39"/>
        <v>0</v>
      </c>
      <c r="M145" s="60">
        <f t="shared" si="39"/>
        <v>1</v>
      </c>
      <c r="N145" s="60">
        <f t="shared" si="39"/>
        <v>0</v>
      </c>
      <c r="O145" s="60">
        <f t="shared" si="39"/>
        <v>0</v>
      </c>
      <c r="P145" s="60">
        <f t="shared" si="39"/>
        <v>0</v>
      </c>
      <c r="Q145" s="60">
        <f t="shared" si="39"/>
        <v>0</v>
      </c>
      <c r="R145" s="60">
        <f t="shared" si="39"/>
        <v>0</v>
      </c>
      <c r="S145" s="60">
        <f t="shared" si="39"/>
        <v>0</v>
      </c>
      <c r="T145" s="60">
        <f t="shared" si="39"/>
        <v>0</v>
      </c>
      <c r="U145" s="60">
        <f t="shared" si="39"/>
        <v>1</v>
      </c>
      <c r="V145" s="60">
        <f t="shared" si="39"/>
        <v>0</v>
      </c>
      <c r="W145" s="60">
        <f t="shared" si="39"/>
        <v>0</v>
      </c>
      <c r="X145" s="6">
        <f t="shared" si="38"/>
        <v>8</v>
      </c>
    </row>
    <row r="146" ht="12.75" customHeight="1">
      <c r="A146" s="54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6"/>
    </row>
    <row r="147" ht="12.75" customHeight="1">
      <c r="A147" s="32" t="s">
        <v>37</v>
      </c>
      <c r="B147" s="49" t="s">
        <v>125</v>
      </c>
      <c r="C147" s="50" t="s">
        <v>126</v>
      </c>
      <c r="D147" s="9"/>
      <c r="E147" s="13">
        <v>6.0</v>
      </c>
      <c r="F147" s="13">
        <v>5.0</v>
      </c>
      <c r="G147" s="13">
        <v>3.0</v>
      </c>
      <c r="H147" s="13">
        <v>4.0</v>
      </c>
      <c r="I147" s="13">
        <v>0.0</v>
      </c>
      <c r="J147" s="13">
        <v>9.0</v>
      </c>
      <c r="K147" s="13">
        <v>4.0</v>
      </c>
      <c r="L147" s="13">
        <v>1.0</v>
      </c>
      <c r="M147" s="13">
        <v>1.0</v>
      </c>
      <c r="N147" s="13">
        <v>1.0</v>
      </c>
      <c r="O147" s="13">
        <v>0.0</v>
      </c>
      <c r="P147" s="13">
        <v>1.0</v>
      </c>
      <c r="Q147" s="13">
        <v>2.0</v>
      </c>
      <c r="R147" s="13">
        <v>0.0</v>
      </c>
      <c r="S147" s="13">
        <v>2.0</v>
      </c>
      <c r="T147" s="13">
        <v>1.0</v>
      </c>
      <c r="U147" s="13">
        <v>2.0</v>
      </c>
      <c r="V147" s="13">
        <v>6.0</v>
      </c>
      <c r="W147" s="13">
        <v>3.0</v>
      </c>
      <c r="X147" s="6">
        <f t="shared" ref="X147:X154" si="40">SUM(E147:W147)</f>
        <v>51</v>
      </c>
    </row>
    <row r="148" ht="12.75" customHeight="1">
      <c r="A148" s="32" t="s">
        <v>39</v>
      </c>
      <c r="B148" s="51"/>
      <c r="C148" s="52" t="s">
        <v>127</v>
      </c>
      <c r="D148" s="53"/>
      <c r="E148" s="13">
        <v>0.0</v>
      </c>
      <c r="F148" s="13">
        <v>2.0</v>
      </c>
      <c r="G148" s="13">
        <v>1.0</v>
      </c>
      <c r="H148" s="13">
        <v>3.0</v>
      </c>
      <c r="I148" s="13">
        <v>5.0</v>
      </c>
      <c r="J148" s="13">
        <v>3.0</v>
      </c>
      <c r="K148" s="13">
        <v>5.0</v>
      </c>
      <c r="L148" s="13">
        <v>17.0</v>
      </c>
      <c r="M148" s="13">
        <v>2.0</v>
      </c>
      <c r="N148" s="13">
        <v>1.0</v>
      </c>
      <c r="O148" s="13">
        <v>1.0</v>
      </c>
      <c r="P148" s="13">
        <v>3.0</v>
      </c>
      <c r="Q148" s="13">
        <v>18.0</v>
      </c>
      <c r="R148" s="13">
        <v>1.0</v>
      </c>
      <c r="S148" s="13">
        <v>4.0</v>
      </c>
      <c r="T148" s="13">
        <v>2.0</v>
      </c>
      <c r="U148" s="13">
        <v>4.0</v>
      </c>
      <c r="V148" s="13">
        <v>4.0</v>
      </c>
      <c r="W148" s="13">
        <v>6.0</v>
      </c>
      <c r="X148" s="6">
        <f t="shared" si="40"/>
        <v>82</v>
      </c>
    </row>
    <row r="149" ht="12.75" customHeight="1">
      <c r="A149" s="18"/>
      <c r="B149" s="51"/>
      <c r="C149" s="52" t="s">
        <v>128</v>
      </c>
      <c r="D149" s="53"/>
      <c r="E149" s="13">
        <v>0.0</v>
      </c>
      <c r="F149" s="13">
        <v>20.0</v>
      </c>
      <c r="G149" s="13">
        <v>9.0</v>
      </c>
      <c r="H149" s="13">
        <v>4.0</v>
      </c>
      <c r="I149" s="13">
        <v>3.0</v>
      </c>
      <c r="J149" s="13">
        <v>1.0</v>
      </c>
      <c r="K149" s="13">
        <v>1.0</v>
      </c>
      <c r="L149" s="13">
        <v>0.0</v>
      </c>
      <c r="M149" s="13">
        <v>0.0</v>
      </c>
      <c r="N149" s="13">
        <v>1.0</v>
      </c>
      <c r="O149" s="13">
        <v>0.0</v>
      </c>
      <c r="P149" s="13">
        <v>0.0</v>
      </c>
      <c r="Q149" s="13">
        <v>2.0</v>
      </c>
      <c r="R149" s="13">
        <v>1.0</v>
      </c>
      <c r="S149" s="13">
        <v>0.0</v>
      </c>
      <c r="T149" s="13">
        <v>0.0</v>
      </c>
      <c r="U149" s="13">
        <v>4.0</v>
      </c>
      <c r="V149" s="13">
        <v>1.0</v>
      </c>
      <c r="W149" s="13">
        <v>0.0</v>
      </c>
      <c r="X149" s="6">
        <f t="shared" si="40"/>
        <v>47</v>
      </c>
    </row>
    <row r="150" ht="12.75" customHeight="1">
      <c r="A150" s="18"/>
      <c r="B150" s="51"/>
      <c r="C150" s="52" t="s">
        <v>129</v>
      </c>
      <c r="D150" s="53"/>
      <c r="E150" s="13">
        <v>43.0</v>
      </c>
      <c r="F150" s="13">
        <v>9.0</v>
      </c>
      <c r="G150" s="13">
        <v>15.0</v>
      </c>
      <c r="H150" s="13">
        <v>8.0</v>
      </c>
      <c r="I150" s="13">
        <v>12.0</v>
      </c>
      <c r="J150" s="13">
        <v>19.0</v>
      </c>
      <c r="K150" s="13">
        <v>20.0</v>
      </c>
      <c r="L150" s="13">
        <v>7.0</v>
      </c>
      <c r="M150" s="13">
        <v>17.0</v>
      </c>
      <c r="N150" s="13">
        <v>13.0</v>
      </c>
      <c r="O150" s="13">
        <v>0.0</v>
      </c>
      <c r="P150" s="13">
        <v>2.0</v>
      </c>
      <c r="Q150" s="13">
        <v>2.0</v>
      </c>
      <c r="R150" s="13">
        <v>11.0</v>
      </c>
      <c r="S150" s="13">
        <v>3.0</v>
      </c>
      <c r="T150" s="13">
        <v>0.0</v>
      </c>
      <c r="U150" s="13">
        <v>9.0</v>
      </c>
      <c r="V150" s="13">
        <v>10.0</v>
      </c>
      <c r="W150" s="13">
        <v>26.0</v>
      </c>
      <c r="X150" s="6">
        <f t="shared" si="40"/>
        <v>226</v>
      </c>
    </row>
    <row r="151" ht="12.75" customHeight="1">
      <c r="A151" s="18"/>
      <c r="B151" s="51"/>
      <c r="C151" s="52" t="s">
        <v>130</v>
      </c>
      <c r="D151" s="53"/>
      <c r="E151" s="13">
        <v>0.0</v>
      </c>
      <c r="F151" s="13">
        <v>0.0</v>
      </c>
      <c r="G151" s="13">
        <v>0.0</v>
      </c>
      <c r="H151" s="13">
        <v>0.0</v>
      </c>
      <c r="I151" s="13">
        <v>2.0</v>
      </c>
      <c r="J151" s="13">
        <v>1.0</v>
      </c>
      <c r="K151" s="13">
        <v>1.0</v>
      </c>
      <c r="L151" s="13">
        <v>1.0</v>
      </c>
      <c r="M151" s="13">
        <v>1.0</v>
      </c>
      <c r="N151" s="13">
        <v>1.0</v>
      </c>
      <c r="O151" s="13">
        <v>0.0</v>
      </c>
      <c r="P151" s="13">
        <v>0.0</v>
      </c>
      <c r="Q151" s="13">
        <v>0.0</v>
      </c>
      <c r="R151" s="13">
        <v>1.0</v>
      </c>
      <c r="S151" s="13">
        <v>0.0</v>
      </c>
      <c r="T151" s="13">
        <v>0.0</v>
      </c>
      <c r="U151" s="13">
        <v>0.0</v>
      </c>
      <c r="V151" s="13">
        <v>0.0</v>
      </c>
      <c r="W151" s="13">
        <v>1.0</v>
      </c>
      <c r="X151" s="6">
        <f t="shared" si="40"/>
        <v>9</v>
      </c>
    </row>
    <row r="152" ht="12.75" customHeight="1">
      <c r="A152" s="18"/>
      <c r="B152" s="51"/>
      <c r="C152" s="52" t="s">
        <v>131</v>
      </c>
      <c r="D152" s="53"/>
      <c r="E152" s="13">
        <v>0.0</v>
      </c>
      <c r="F152" s="13">
        <v>1.0</v>
      </c>
      <c r="G152" s="13">
        <v>0.0</v>
      </c>
      <c r="H152" s="13">
        <v>0.0</v>
      </c>
      <c r="I152" s="13">
        <v>0.0</v>
      </c>
      <c r="J152" s="13">
        <v>0.0</v>
      </c>
      <c r="K152" s="13">
        <v>0.0</v>
      </c>
      <c r="L152" s="13">
        <v>1.0</v>
      </c>
      <c r="M152" s="13">
        <v>0.0</v>
      </c>
      <c r="N152" s="13">
        <v>0.0</v>
      </c>
      <c r="O152" s="13">
        <v>0.0</v>
      </c>
      <c r="P152" s="13">
        <v>0.0</v>
      </c>
      <c r="Q152" s="13">
        <v>0.0</v>
      </c>
      <c r="R152" s="13">
        <v>0.0</v>
      </c>
      <c r="S152" s="13">
        <v>0.0</v>
      </c>
      <c r="T152" s="13">
        <v>0.0</v>
      </c>
      <c r="U152" s="13">
        <v>0.0</v>
      </c>
      <c r="V152" s="13">
        <v>0.0</v>
      </c>
      <c r="W152" s="13">
        <v>0.0</v>
      </c>
      <c r="X152" s="6">
        <f t="shared" si="40"/>
        <v>2</v>
      </c>
    </row>
    <row r="153" ht="12.75" customHeight="1">
      <c r="A153" s="18"/>
      <c r="B153" s="51"/>
      <c r="C153" s="52" t="s">
        <v>132</v>
      </c>
      <c r="D153" s="53"/>
      <c r="E153" s="13">
        <v>2.0</v>
      </c>
      <c r="F153" s="13">
        <v>0.0</v>
      </c>
      <c r="G153" s="13">
        <v>0.0</v>
      </c>
      <c r="H153" s="13">
        <v>0.0</v>
      </c>
      <c r="I153" s="13">
        <v>0.0</v>
      </c>
      <c r="J153" s="13">
        <v>1.0</v>
      </c>
      <c r="K153" s="13">
        <v>3.0</v>
      </c>
      <c r="L153" s="13">
        <v>1.0</v>
      </c>
      <c r="M153" s="13">
        <v>0.0</v>
      </c>
      <c r="N153" s="13">
        <v>0.0</v>
      </c>
      <c r="O153" s="13">
        <v>0.0</v>
      </c>
      <c r="P153" s="13">
        <v>2.0</v>
      </c>
      <c r="Q153" s="13">
        <v>0.0</v>
      </c>
      <c r="R153" s="13">
        <v>0.0</v>
      </c>
      <c r="S153" s="13">
        <v>0.0</v>
      </c>
      <c r="T153" s="13">
        <v>0.0</v>
      </c>
      <c r="U153" s="13">
        <v>0.0</v>
      </c>
      <c r="V153" s="13">
        <v>0.0</v>
      </c>
      <c r="W153" s="13">
        <v>0.0</v>
      </c>
      <c r="X153" s="6">
        <f t="shared" si="40"/>
        <v>9</v>
      </c>
    </row>
    <row r="154" ht="12.75" customHeight="1">
      <c r="A154" s="13" t="s">
        <v>15</v>
      </c>
      <c r="B154" s="49" t="s">
        <v>46</v>
      </c>
      <c r="C154" s="8"/>
      <c r="D154" s="9"/>
      <c r="E154" s="60">
        <f t="shared" ref="E154:W154" si="41">SUM(E147:E153)</f>
        <v>51</v>
      </c>
      <c r="F154" s="60">
        <f t="shared" si="41"/>
        <v>37</v>
      </c>
      <c r="G154" s="60">
        <f t="shared" si="41"/>
        <v>28</v>
      </c>
      <c r="H154" s="60">
        <f t="shared" si="41"/>
        <v>19</v>
      </c>
      <c r="I154" s="60">
        <f t="shared" si="41"/>
        <v>22</v>
      </c>
      <c r="J154" s="60">
        <f t="shared" si="41"/>
        <v>34</v>
      </c>
      <c r="K154" s="60">
        <f t="shared" si="41"/>
        <v>34</v>
      </c>
      <c r="L154" s="60">
        <f t="shared" si="41"/>
        <v>28</v>
      </c>
      <c r="M154" s="60">
        <f t="shared" si="41"/>
        <v>21</v>
      </c>
      <c r="N154" s="60">
        <f t="shared" si="41"/>
        <v>17</v>
      </c>
      <c r="O154" s="60">
        <f t="shared" si="41"/>
        <v>1</v>
      </c>
      <c r="P154" s="60">
        <f t="shared" si="41"/>
        <v>8</v>
      </c>
      <c r="Q154" s="60">
        <f t="shared" si="41"/>
        <v>24</v>
      </c>
      <c r="R154" s="60">
        <f t="shared" si="41"/>
        <v>14</v>
      </c>
      <c r="S154" s="60">
        <f t="shared" si="41"/>
        <v>9</v>
      </c>
      <c r="T154" s="60">
        <f t="shared" si="41"/>
        <v>3</v>
      </c>
      <c r="U154" s="60">
        <f t="shared" si="41"/>
        <v>19</v>
      </c>
      <c r="V154" s="60">
        <f t="shared" si="41"/>
        <v>21</v>
      </c>
      <c r="W154" s="60">
        <f t="shared" si="41"/>
        <v>36</v>
      </c>
      <c r="X154" s="6">
        <f t="shared" si="40"/>
        <v>426</v>
      </c>
    </row>
    <row r="155" ht="12.75" customHeight="1">
      <c r="A155" s="54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6"/>
    </row>
    <row r="156" ht="12.75" customHeight="1">
      <c r="A156" s="32" t="s">
        <v>37</v>
      </c>
      <c r="B156" s="49" t="s">
        <v>133</v>
      </c>
      <c r="C156" s="50" t="s">
        <v>134</v>
      </c>
      <c r="D156" s="9"/>
      <c r="E156" s="13">
        <v>4.0</v>
      </c>
      <c r="F156" s="13">
        <v>1.0</v>
      </c>
      <c r="G156" s="13">
        <v>5.0</v>
      </c>
      <c r="H156" s="13">
        <v>3.0</v>
      </c>
      <c r="I156" s="13">
        <v>2.0</v>
      </c>
      <c r="J156" s="13">
        <v>4.0</v>
      </c>
      <c r="K156" s="13">
        <v>2.0</v>
      </c>
      <c r="L156" s="13">
        <v>1.0</v>
      </c>
      <c r="M156" s="13">
        <v>1.0</v>
      </c>
      <c r="N156" s="13">
        <v>0.0</v>
      </c>
      <c r="O156" s="13">
        <v>0.0</v>
      </c>
      <c r="P156" s="13">
        <v>1.0</v>
      </c>
      <c r="Q156" s="13">
        <v>0.0</v>
      </c>
      <c r="R156" s="13">
        <v>1.0</v>
      </c>
      <c r="S156" s="13">
        <v>0.0</v>
      </c>
      <c r="T156" s="13">
        <v>1.0</v>
      </c>
      <c r="U156" s="13">
        <v>0.0</v>
      </c>
      <c r="V156" s="13">
        <v>0.0</v>
      </c>
      <c r="W156" s="13">
        <v>1.0</v>
      </c>
      <c r="X156" s="6">
        <f t="shared" ref="X156:X162" si="42">SUM(E156:W156)</f>
        <v>27</v>
      </c>
    </row>
    <row r="157" ht="12.75" customHeight="1">
      <c r="A157" s="32"/>
      <c r="B157" s="49"/>
      <c r="C157" s="52" t="s">
        <v>135</v>
      </c>
      <c r="D157" s="61"/>
      <c r="E157" s="13">
        <v>1.0</v>
      </c>
      <c r="F157" s="13">
        <v>0.0</v>
      </c>
      <c r="G157" s="13">
        <v>2.0</v>
      </c>
      <c r="H157" s="13">
        <v>1.0</v>
      </c>
      <c r="I157" s="13">
        <v>3.0</v>
      </c>
      <c r="J157" s="13">
        <v>2.0</v>
      </c>
      <c r="K157" s="13">
        <v>1.0</v>
      </c>
      <c r="L157" s="13">
        <v>2.0</v>
      </c>
      <c r="M157" s="13">
        <v>1.0</v>
      </c>
      <c r="N157" s="13">
        <v>1.0</v>
      </c>
      <c r="O157" s="13">
        <v>1.0</v>
      </c>
      <c r="P157" s="13">
        <v>2.0</v>
      </c>
      <c r="Q157" s="13">
        <v>2.0</v>
      </c>
      <c r="R157" s="13">
        <v>2.0</v>
      </c>
      <c r="S157" s="13">
        <v>1.0</v>
      </c>
      <c r="T157" s="13">
        <v>0.0</v>
      </c>
      <c r="U157" s="13">
        <v>0.0</v>
      </c>
      <c r="V157" s="13">
        <v>0.0</v>
      </c>
      <c r="W157" s="13">
        <v>0.0</v>
      </c>
      <c r="X157" s="6">
        <f t="shared" si="42"/>
        <v>22</v>
      </c>
    </row>
    <row r="158" ht="12.75" customHeight="1">
      <c r="A158" s="32"/>
      <c r="B158" s="49"/>
      <c r="C158" s="52" t="s">
        <v>136</v>
      </c>
      <c r="D158" s="61"/>
      <c r="E158" s="13">
        <v>3.0</v>
      </c>
      <c r="F158" s="13">
        <v>1.0</v>
      </c>
      <c r="G158" s="13">
        <v>1.0</v>
      </c>
      <c r="H158" s="13">
        <v>3.0</v>
      </c>
      <c r="I158" s="13">
        <v>1.0</v>
      </c>
      <c r="J158" s="13">
        <v>0.0</v>
      </c>
      <c r="K158" s="13">
        <v>3.0</v>
      </c>
      <c r="L158" s="13">
        <v>1.0</v>
      </c>
      <c r="M158" s="13">
        <v>0.0</v>
      </c>
      <c r="N158" s="13">
        <v>0.0</v>
      </c>
      <c r="O158" s="13">
        <v>0.0</v>
      </c>
      <c r="P158" s="13">
        <v>0.0</v>
      </c>
      <c r="Q158" s="13">
        <v>0.0</v>
      </c>
      <c r="R158" s="13">
        <v>0.0</v>
      </c>
      <c r="S158" s="13">
        <v>1.0</v>
      </c>
      <c r="T158" s="13">
        <v>0.0</v>
      </c>
      <c r="U158" s="13">
        <v>0.0</v>
      </c>
      <c r="V158" s="13">
        <v>1.0</v>
      </c>
      <c r="W158" s="13">
        <v>0.0</v>
      </c>
      <c r="X158" s="6">
        <f t="shared" si="42"/>
        <v>15</v>
      </c>
    </row>
    <row r="159" ht="12.75" customHeight="1">
      <c r="A159" s="32"/>
      <c r="B159" s="49"/>
      <c r="C159" s="52" t="s">
        <v>137</v>
      </c>
      <c r="D159" s="61"/>
      <c r="E159" s="13">
        <v>0.0</v>
      </c>
      <c r="F159" s="13">
        <v>0.0</v>
      </c>
      <c r="G159" s="13">
        <v>0.0</v>
      </c>
      <c r="H159" s="13">
        <v>0.0</v>
      </c>
      <c r="I159" s="13">
        <v>1.0</v>
      </c>
      <c r="J159" s="13">
        <v>0.0</v>
      </c>
      <c r="K159" s="13">
        <v>0.0</v>
      </c>
      <c r="L159" s="13">
        <v>0.0</v>
      </c>
      <c r="M159" s="13">
        <v>1.0</v>
      </c>
      <c r="N159" s="13">
        <v>0.0</v>
      </c>
      <c r="O159" s="13">
        <v>0.0</v>
      </c>
      <c r="P159" s="13">
        <v>0.0</v>
      </c>
      <c r="Q159" s="13">
        <v>0.0</v>
      </c>
      <c r="R159" s="13">
        <v>0.0</v>
      </c>
      <c r="S159" s="13">
        <v>1.0</v>
      </c>
      <c r="T159" s="13">
        <v>0.0</v>
      </c>
      <c r="U159" s="13">
        <v>0.0</v>
      </c>
      <c r="V159" s="13">
        <v>0.0</v>
      </c>
      <c r="W159" s="13">
        <v>0.0</v>
      </c>
      <c r="X159" s="6">
        <f t="shared" si="42"/>
        <v>3</v>
      </c>
    </row>
    <row r="160" ht="12.75" customHeight="1">
      <c r="A160" s="32" t="s">
        <v>39</v>
      </c>
      <c r="B160" s="51"/>
      <c r="C160" s="52" t="s">
        <v>138</v>
      </c>
      <c r="D160" s="53"/>
      <c r="E160" s="13">
        <v>0.0</v>
      </c>
      <c r="F160" s="13">
        <v>1.0</v>
      </c>
      <c r="G160" s="13">
        <v>1.0</v>
      </c>
      <c r="H160" s="13">
        <v>0.0</v>
      </c>
      <c r="I160" s="13">
        <v>0.0</v>
      </c>
      <c r="J160" s="13">
        <v>0.0</v>
      </c>
      <c r="K160" s="13">
        <v>0.0</v>
      </c>
      <c r="L160" s="13">
        <v>0.0</v>
      </c>
      <c r="M160" s="13">
        <v>0.0</v>
      </c>
      <c r="N160" s="13">
        <v>0.0</v>
      </c>
      <c r="O160" s="13">
        <v>0.0</v>
      </c>
      <c r="P160" s="13">
        <v>1.0</v>
      </c>
      <c r="Q160" s="13">
        <v>0.0</v>
      </c>
      <c r="R160" s="13">
        <v>0.0</v>
      </c>
      <c r="S160" s="13">
        <v>0.0</v>
      </c>
      <c r="T160" s="13">
        <v>0.0</v>
      </c>
      <c r="U160" s="13">
        <v>0.0</v>
      </c>
      <c r="V160" s="13">
        <v>0.0</v>
      </c>
      <c r="W160" s="13">
        <v>0.0</v>
      </c>
      <c r="X160" s="6">
        <f t="shared" si="42"/>
        <v>3</v>
      </c>
    </row>
    <row r="161" ht="12.75" customHeight="1">
      <c r="A161" s="32"/>
      <c r="B161" s="51"/>
      <c r="C161" s="52" t="s">
        <v>139</v>
      </c>
      <c r="D161" s="53"/>
      <c r="E161" s="13">
        <v>0.0</v>
      </c>
      <c r="F161" s="13">
        <v>0.0</v>
      </c>
      <c r="G161" s="13">
        <v>0.0</v>
      </c>
      <c r="H161" s="13">
        <v>0.0</v>
      </c>
      <c r="I161" s="13">
        <v>0.0</v>
      </c>
      <c r="J161" s="13">
        <v>0.0</v>
      </c>
      <c r="K161" s="13">
        <v>0.0</v>
      </c>
      <c r="L161" s="13">
        <v>0.0</v>
      </c>
      <c r="M161" s="13">
        <v>1.0</v>
      </c>
      <c r="N161" s="13">
        <v>0.0</v>
      </c>
      <c r="O161" s="13">
        <v>0.0</v>
      </c>
      <c r="P161" s="13">
        <v>0.0</v>
      </c>
      <c r="Q161" s="13">
        <v>0.0</v>
      </c>
      <c r="R161" s="13">
        <v>0.0</v>
      </c>
      <c r="S161" s="13">
        <v>0.0</v>
      </c>
      <c r="T161" s="13">
        <v>0.0</v>
      </c>
      <c r="U161" s="13">
        <v>0.0</v>
      </c>
      <c r="V161" s="13">
        <v>0.0</v>
      </c>
      <c r="W161" s="13">
        <v>0.0</v>
      </c>
      <c r="X161" s="6">
        <f t="shared" si="42"/>
        <v>1</v>
      </c>
    </row>
    <row r="162" ht="12.75" customHeight="1">
      <c r="A162" s="13" t="s">
        <v>15</v>
      </c>
      <c r="B162" s="49" t="s">
        <v>46</v>
      </c>
      <c r="C162" s="8"/>
      <c r="D162" s="9"/>
      <c r="E162" s="60">
        <f t="shared" ref="E162:W162" si="43">SUM(E156:E161)</f>
        <v>8</v>
      </c>
      <c r="F162" s="60">
        <f t="shared" si="43"/>
        <v>3</v>
      </c>
      <c r="G162" s="60">
        <f t="shared" si="43"/>
        <v>9</v>
      </c>
      <c r="H162" s="60">
        <f t="shared" si="43"/>
        <v>7</v>
      </c>
      <c r="I162" s="60">
        <f t="shared" si="43"/>
        <v>7</v>
      </c>
      <c r="J162" s="60">
        <f t="shared" si="43"/>
        <v>6</v>
      </c>
      <c r="K162" s="60">
        <f t="shared" si="43"/>
        <v>6</v>
      </c>
      <c r="L162" s="60">
        <f t="shared" si="43"/>
        <v>4</v>
      </c>
      <c r="M162" s="60">
        <f t="shared" si="43"/>
        <v>4</v>
      </c>
      <c r="N162" s="60">
        <f t="shared" si="43"/>
        <v>1</v>
      </c>
      <c r="O162" s="60">
        <f t="shared" si="43"/>
        <v>1</v>
      </c>
      <c r="P162" s="60">
        <f t="shared" si="43"/>
        <v>4</v>
      </c>
      <c r="Q162" s="60">
        <f t="shared" si="43"/>
        <v>2</v>
      </c>
      <c r="R162" s="60">
        <f t="shared" si="43"/>
        <v>3</v>
      </c>
      <c r="S162" s="60">
        <f t="shared" si="43"/>
        <v>3</v>
      </c>
      <c r="T162" s="60">
        <f t="shared" si="43"/>
        <v>1</v>
      </c>
      <c r="U162" s="60">
        <f t="shared" si="43"/>
        <v>0</v>
      </c>
      <c r="V162" s="60">
        <f t="shared" si="43"/>
        <v>1</v>
      </c>
      <c r="W162" s="60">
        <f t="shared" si="43"/>
        <v>1</v>
      </c>
      <c r="X162" s="6">
        <f t="shared" si="42"/>
        <v>71</v>
      </c>
    </row>
    <row r="163" ht="12.75" customHeight="1">
      <c r="A163" s="54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6"/>
    </row>
    <row r="164" ht="12.75" customHeight="1">
      <c r="A164" s="32" t="s">
        <v>37</v>
      </c>
      <c r="B164" s="49" t="s">
        <v>140</v>
      </c>
      <c r="C164" s="50" t="s">
        <v>141</v>
      </c>
      <c r="D164" s="9"/>
      <c r="E164" s="13">
        <v>0.0</v>
      </c>
      <c r="F164" s="13">
        <v>0.0</v>
      </c>
      <c r="G164" s="13">
        <v>0.0</v>
      </c>
      <c r="H164" s="13">
        <v>0.0</v>
      </c>
      <c r="I164" s="13">
        <v>0.0</v>
      </c>
      <c r="J164" s="13">
        <v>0.0</v>
      </c>
      <c r="K164" s="13">
        <v>2.0</v>
      </c>
      <c r="L164" s="13">
        <v>0.0</v>
      </c>
      <c r="M164" s="13">
        <v>0.0</v>
      </c>
      <c r="N164" s="13">
        <v>0.0</v>
      </c>
      <c r="O164" s="13">
        <v>1.0</v>
      </c>
      <c r="P164" s="13">
        <v>0.0</v>
      </c>
      <c r="Q164" s="13">
        <v>0.0</v>
      </c>
      <c r="R164" s="13">
        <v>0.0</v>
      </c>
      <c r="S164" s="13">
        <v>0.0</v>
      </c>
      <c r="T164" s="13">
        <v>1.0</v>
      </c>
      <c r="U164" s="13">
        <v>0.0</v>
      </c>
      <c r="V164" s="13">
        <v>0.0</v>
      </c>
      <c r="W164" s="13">
        <v>0.0</v>
      </c>
      <c r="X164" s="6">
        <f t="shared" ref="X164:X171" si="44">SUM(E164:W164)</f>
        <v>4</v>
      </c>
    </row>
    <row r="165" ht="12.75" customHeight="1">
      <c r="A165" s="32"/>
      <c r="B165" s="49"/>
      <c r="C165" s="52" t="s">
        <v>142</v>
      </c>
      <c r="D165" s="61"/>
      <c r="E165" s="13">
        <v>0.0</v>
      </c>
      <c r="F165" s="13">
        <v>0.0</v>
      </c>
      <c r="G165" s="13">
        <v>1.0</v>
      </c>
      <c r="H165" s="13">
        <v>0.0</v>
      </c>
      <c r="I165" s="13">
        <v>2.0</v>
      </c>
      <c r="J165" s="13">
        <v>0.0</v>
      </c>
      <c r="K165" s="13">
        <v>1.0</v>
      </c>
      <c r="L165" s="13">
        <v>0.0</v>
      </c>
      <c r="M165" s="13">
        <v>0.0</v>
      </c>
      <c r="N165" s="13">
        <v>0.0</v>
      </c>
      <c r="O165" s="13">
        <v>0.0</v>
      </c>
      <c r="P165" s="13">
        <v>0.0</v>
      </c>
      <c r="Q165" s="13">
        <v>0.0</v>
      </c>
      <c r="R165" s="13">
        <v>0.0</v>
      </c>
      <c r="S165" s="13">
        <v>0.0</v>
      </c>
      <c r="T165" s="13">
        <v>0.0</v>
      </c>
      <c r="U165" s="13">
        <v>0.0</v>
      </c>
      <c r="V165" s="13">
        <v>0.0</v>
      </c>
      <c r="W165" s="13">
        <v>1.0</v>
      </c>
      <c r="X165" s="6">
        <f t="shared" si="44"/>
        <v>5</v>
      </c>
    </row>
    <row r="166" ht="12.75" customHeight="1">
      <c r="A166" s="32"/>
      <c r="B166" s="49"/>
      <c r="C166" s="52" t="s">
        <v>143</v>
      </c>
      <c r="D166" s="61"/>
      <c r="E166" s="13">
        <v>0.0</v>
      </c>
      <c r="F166" s="13">
        <v>0.0</v>
      </c>
      <c r="G166" s="13">
        <v>0.0</v>
      </c>
      <c r="H166" s="13">
        <v>0.0</v>
      </c>
      <c r="I166" s="13">
        <v>0.0</v>
      </c>
      <c r="J166" s="13">
        <v>0.0</v>
      </c>
      <c r="K166" s="13">
        <v>0.0</v>
      </c>
      <c r="L166" s="13">
        <v>0.0</v>
      </c>
      <c r="M166" s="13">
        <v>0.0</v>
      </c>
      <c r="N166" s="13">
        <v>0.0</v>
      </c>
      <c r="O166" s="13">
        <v>0.0</v>
      </c>
      <c r="P166" s="13">
        <v>0.0</v>
      </c>
      <c r="Q166" s="13">
        <v>0.0</v>
      </c>
      <c r="R166" s="13">
        <v>0.0</v>
      </c>
      <c r="S166" s="13">
        <v>0.0</v>
      </c>
      <c r="T166" s="13">
        <v>0.0</v>
      </c>
      <c r="U166" s="13">
        <v>0.0</v>
      </c>
      <c r="V166" s="13">
        <v>0.0</v>
      </c>
      <c r="W166" s="13">
        <v>0.0</v>
      </c>
      <c r="X166" s="6">
        <f t="shared" si="44"/>
        <v>0</v>
      </c>
    </row>
    <row r="167" ht="12.75" customHeight="1">
      <c r="A167" s="32"/>
      <c r="B167" s="49"/>
      <c r="C167" s="52" t="s">
        <v>144</v>
      </c>
      <c r="D167" s="61"/>
      <c r="E167" s="13">
        <v>0.0</v>
      </c>
      <c r="F167" s="13">
        <v>0.0</v>
      </c>
      <c r="G167" s="13">
        <v>0.0</v>
      </c>
      <c r="H167" s="13">
        <v>0.0</v>
      </c>
      <c r="I167" s="13">
        <v>0.0</v>
      </c>
      <c r="J167" s="13">
        <v>0.0</v>
      </c>
      <c r="K167" s="13">
        <v>0.0</v>
      </c>
      <c r="L167" s="13">
        <v>0.0</v>
      </c>
      <c r="M167" s="13">
        <v>0.0</v>
      </c>
      <c r="N167" s="13">
        <v>0.0</v>
      </c>
      <c r="O167" s="13">
        <v>0.0</v>
      </c>
      <c r="P167" s="13">
        <v>0.0</v>
      </c>
      <c r="Q167" s="13">
        <v>0.0</v>
      </c>
      <c r="R167" s="13">
        <v>1.0</v>
      </c>
      <c r="S167" s="13">
        <v>0.0</v>
      </c>
      <c r="T167" s="13">
        <v>0.0</v>
      </c>
      <c r="U167" s="13">
        <v>0.0</v>
      </c>
      <c r="V167" s="13">
        <v>0.0</v>
      </c>
      <c r="W167" s="13">
        <v>0.0</v>
      </c>
      <c r="X167" s="6">
        <f t="shared" si="44"/>
        <v>1</v>
      </c>
    </row>
    <row r="168" ht="12.75" customHeight="1">
      <c r="A168" s="32" t="s">
        <v>39</v>
      </c>
      <c r="B168" s="51"/>
      <c r="C168" s="52" t="s">
        <v>145</v>
      </c>
      <c r="D168" s="53"/>
      <c r="E168" s="13">
        <v>0.0</v>
      </c>
      <c r="F168" s="13">
        <v>1.0</v>
      </c>
      <c r="G168" s="13">
        <v>1.0</v>
      </c>
      <c r="H168" s="13">
        <v>0.0</v>
      </c>
      <c r="I168" s="13">
        <v>1.0</v>
      </c>
      <c r="J168" s="13">
        <v>1.0</v>
      </c>
      <c r="K168" s="13">
        <v>1.0</v>
      </c>
      <c r="L168" s="13">
        <v>0.0</v>
      </c>
      <c r="M168" s="13">
        <v>1.0</v>
      </c>
      <c r="N168" s="13">
        <v>1.0</v>
      </c>
      <c r="O168" s="13">
        <v>0.0</v>
      </c>
      <c r="P168" s="13">
        <v>0.0</v>
      </c>
      <c r="Q168" s="13">
        <v>5.0</v>
      </c>
      <c r="R168" s="13">
        <v>10.0</v>
      </c>
      <c r="S168" s="13">
        <v>2.0</v>
      </c>
      <c r="T168" s="13">
        <v>4.0</v>
      </c>
      <c r="U168" s="13">
        <v>0.0</v>
      </c>
      <c r="V168" s="13">
        <v>1.0</v>
      </c>
      <c r="W168" s="13">
        <v>0.0</v>
      </c>
      <c r="X168" s="6">
        <f t="shared" si="44"/>
        <v>29</v>
      </c>
    </row>
    <row r="169" ht="12.75" customHeight="1">
      <c r="A169" s="18"/>
      <c r="B169" s="51"/>
      <c r="C169" s="52" t="s">
        <v>146</v>
      </c>
      <c r="D169" s="53"/>
      <c r="E169" s="13">
        <v>0.0</v>
      </c>
      <c r="F169" s="13">
        <v>0.0</v>
      </c>
      <c r="G169" s="13">
        <v>0.0</v>
      </c>
      <c r="H169" s="13">
        <v>1.0</v>
      </c>
      <c r="I169" s="13">
        <v>0.0</v>
      </c>
      <c r="J169" s="13">
        <v>0.0</v>
      </c>
      <c r="K169" s="13">
        <v>1.0</v>
      </c>
      <c r="L169" s="13">
        <v>0.0</v>
      </c>
      <c r="M169" s="13">
        <v>0.0</v>
      </c>
      <c r="N169" s="13">
        <v>0.0</v>
      </c>
      <c r="O169" s="13">
        <v>0.0</v>
      </c>
      <c r="P169" s="13">
        <v>0.0</v>
      </c>
      <c r="Q169" s="13">
        <v>1.0</v>
      </c>
      <c r="R169" s="13">
        <v>0.0</v>
      </c>
      <c r="S169" s="13">
        <v>1.0</v>
      </c>
      <c r="T169" s="13">
        <v>0.0</v>
      </c>
      <c r="U169" s="13">
        <v>0.0</v>
      </c>
      <c r="V169" s="13">
        <v>0.0</v>
      </c>
      <c r="W169" s="13">
        <v>0.0</v>
      </c>
      <c r="X169" s="6">
        <f t="shared" si="44"/>
        <v>4</v>
      </c>
    </row>
    <row r="170" ht="12.75" customHeight="1">
      <c r="A170" s="18"/>
      <c r="B170" s="51"/>
      <c r="C170" s="52" t="s">
        <v>147</v>
      </c>
      <c r="D170" s="53"/>
      <c r="E170" s="13">
        <v>0.0</v>
      </c>
      <c r="F170" s="13">
        <v>0.0</v>
      </c>
      <c r="G170" s="13">
        <v>1.0</v>
      </c>
      <c r="H170" s="13">
        <v>0.0</v>
      </c>
      <c r="I170" s="13">
        <v>0.0</v>
      </c>
      <c r="J170" s="13">
        <v>0.0</v>
      </c>
      <c r="K170" s="13">
        <v>1.0</v>
      </c>
      <c r="L170" s="13">
        <v>1.0</v>
      </c>
      <c r="M170" s="13">
        <v>0.0</v>
      </c>
      <c r="N170" s="13">
        <v>0.0</v>
      </c>
      <c r="O170" s="13">
        <v>0.0</v>
      </c>
      <c r="P170" s="13">
        <v>0.0</v>
      </c>
      <c r="Q170" s="13">
        <v>0.0</v>
      </c>
      <c r="R170" s="13">
        <v>0.0</v>
      </c>
      <c r="S170" s="13">
        <v>0.0</v>
      </c>
      <c r="T170" s="13">
        <v>0.0</v>
      </c>
      <c r="U170" s="13">
        <v>0.0</v>
      </c>
      <c r="V170" s="13">
        <v>0.0</v>
      </c>
      <c r="W170" s="13">
        <v>0.0</v>
      </c>
      <c r="X170" s="6">
        <f t="shared" si="44"/>
        <v>3</v>
      </c>
    </row>
    <row r="171" ht="12.75" customHeight="1">
      <c r="A171" s="13" t="s">
        <v>15</v>
      </c>
      <c r="B171" s="49" t="s">
        <v>46</v>
      </c>
      <c r="C171" s="8"/>
      <c r="D171" s="9"/>
      <c r="E171" s="60">
        <f t="shared" ref="E171:W171" si="45">SUM(E164:E170)</f>
        <v>0</v>
      </c>
      <c r="F171" s="60">
        <f t="shared" si="45"/>
        <v>1</v>
      </c>
      <c r="G171" s="60">
        <f t="shared" si="45"/>
        <v>3</v>
      </c>
      <c r="H171" s="60">
        <f t="shared" si="45"/>
        <v>1</v>
      </c>
      <c r="I171" s="60">
        <f t="shared" si="45"/>
        <v>3</v>
      </c>
      <c r="J171" s="60">
        <f t="shared" si="45"/>
        <v>1</v>
      </c>
      <c r="K171" s="60">
        <f t="shared" si="45"/>
        <v>6</v>
      </c>
      <c r="L171" s="60">
        <f t="shared" si="45"/>
        <v>1</v>
      </c>
      <c r="M171" s="60">
        <f t="shared" si="45"/>
        <v>1</v>
      </c>
      <c r="N171" s="60">
        <f t="shared" si="45"/>
        <v>1</v>
      </c>
      <c r="O171" s="60">
        <f t="shared" si="45"/>
        <v>1</v>
      </c>
      <c r="P171" s="60">
        <f t="shared" si="45"/>
        <v>0</v>
      </c>
      <c r="Q171" s="60">
        <f t="shared" si="45"/>
        <v>6</v>
      </c>
      <c r="R171" s="60">
        <f t="shared" si="45"/>
        <v>11</v>
      </c>
      <c r="S171" s="60">
        <f t="shared" si="45"/>
        <v>3</v>
      </c>
      <c r="T171" s="60">
        <f t="shared" si="45"/>
        <v>5</v>
      </c>
      <c r="U171" s="60">
        <f t="shared" si="45"/>
        <v>0</v>
      </c>
      <c r="V171" s="60">
        <f t="shared" si="45"/>
        <v>1</v>
      </c>
      <c r="W171" s="60">
        <f t="shared" si="45"/>
        <v>1</v>
      </c>
      <c r="X171" s="6">
        <f t="shared" si="44"/>
        <v>46</v>
      </c>
    </row>
    <row r="172" ht="12.75" customHeight="1">
      <c r="A172" s="54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6"/>
    </row>
    <row r="173" ht="12.75" customHeight="1">
      <c r="A173" s="32" t="s">
        <v>37</v>
      </c>
      <c r="B173" s="49" t="s">
        <v>148</v>
      </c>
      <c r="C173" s="50" t="s">
        <v>149</v>
      </c>
      <c r="D173" s="9"/>
      <c r="E173" s="13">
        <v>0.0</v>
      </c>
      <c r="F173" s="13">
        <v>0.0</v>
      </c>
      <c r="G173" s="13">
        <v>0.0</v>
      </c>
      <c r="H173" s="13">
        <v>0.0</v>
      </c>
      <c r="I173" s="13">
        <v>1.0</v>
      </c>
      <c r="J173" s="13">
        <v>0.0</v>
      </c>
      <c r="K173" s="13">
        <v>1.0</v>
      </c>
      <c r="L173" s="13">
        <v>0.0</v>
      </c>
      <c r="M173" s="13">
        <v>0.0</v>
      </c>
      <c r="N173" s="13">
        <v>0.0</v>
      </c>
      <c r="O173" s="13">
        <v>2.0</v>
      </c>
      <c r="P173" s="13">
        <v>1.0</v>
      </c>
      <c r="Q173" s="13">
        <v>0.0</v>
      </c>
      <c r="R173" s="13">
        <v>1.0</v>
      </c>
      <c r="S173" s="13">
        <v>0.0</v>
      </c>
      <c r="T173" s="13">
        <v>0.0</v>
      </c>
      <c r="U173" s="13">
        <v>0.0</v>
      </c>
      <c r="V173" s="13">
        <v>0.0</v>
      </c>
      <c r="W173" s="13">
        <v>0.0</v>
      </c>
      <c r="X173" s="6">
        <f t="shared" ref="X173:X180" si="46">SUM(E173:W173)</f>
        <v>6</v>
      </c>
    </row>
    <row r="174" ht="12.75" customHeight="1">
      <c r="A174" s="32" t="s">
        <v>39</v>
      </c>
      <c r="B174" s="51"/>
      <c r="C174" s="52" t="s">
        <v>150</v>
      </c>
      <c r="D174" s="53"/>
      <c r="E174" s="13">
        <v>0.0</v>
      </c>
      <c r="F174" s="13">
        <v>0.0</v>
      </c>
      <c r="G174" s="13">
        <v>0.0</v>
      </c>
      <c r="H174" s="13">
        <v>0.0</v>
      </c>
      <c r="I174" s="13">
        <v>0.0</v>
      </c>
      <c r="J174" s="13">
        <v>1.0</v>
      </c>
      <c r="K174" s="13">
        <v>1.0</v>
      </c>
      <c r="L174" s="13">
        <v>2.0</v>
      </c>
      <c r="M174" s="13">
        <v>0.0</v>
      </c>
      <c r="N174" s="13">
        <v>0.0</v>
      </c>
      <c r="O174" s="13">
        <v>0.0</v>
      </c>
      <c r="P174" s="13">
        <v>4.0</v>
      </c>
      <c r="Q174" s="13">
        <v>3.0</v>
      </c>
      <c r="R174" s="13">
        <v>0.0</v>
      </c>
      <c r="S174" s="13">
        <v>0.0</v>
      </c>
      <c r="T174" s="13">
        <v>1.0</v>
      </c>
      <c r="U174" s="13">
        <v>0.0</v>
      </c>
      <c r="V174" s="13">
        <v>0.0</v>
      </c>
      <c r="W174" s="13">
        <v>0.0</v>
      </c>
      <c r="X174" s="6">
        <f t="shared" si="46"/>
        <v>12</v>
      </c>
    </row>
    <row r="175" ht="12.75" customHeight="1">
      <c r="A175" s="18"/>
      <c r="B175" s="51"/>
      <c r="C175" s="52" t="s">
        <v>151</v>
      </c>
      <c r="D175" s="53"/>
      <c r="E175" s="13">
        <v>0.0</v>
      </c>
      <c r="F175" s="13">
        <v>0.0</v>
      </c>
      <c r="G175" s="13">
        <v>1.0</v>
      </c>
      <c r="H175" s="13">
        <v>0.0</v>
      </c>
      <c r="I175" s="13">
        <v>0.0</v>
      </c>
      <c r="J175" s="13">
        <v>0.0</v>
      </c>
      <c r="K175" s="13">
        <v>0.0</v>
      </c>
      <c r="L175" s="13">
        <v>0.0</v>
      </c>
      <c r="M175" s="13">
        <v>0.0</v>
      </c>
      <c r="N175" s="13">
        <v>0.0</v>
      </c>
      <c r="O175" s="13">
        <v>1.0</v>
      </c>
      <c r="P175" s="13">
        <v>1.0</v>
      </c>
      <c r="Q175" s="13">
        <v>1.0</v>
      </c>
      <c r="R175" s="13">
        <v>0.0</v>
      </c>
      <c r="S175" s="13">
        <v>0.0</v>
      </c>
      <c r="T175" s="13">
        <v>0.0</v>
      </c>
      <c r="U175" s="13">
        <v>0.0</v>
      </c>
      <c r="V175" s="13">
        <v>0.0</v>
      </c>
      <c r="W175" s="13">
        <v>0.0</v>
      </c>
      <c r="X175" s="6">
        <f t="shared" si="46"/>
        <v>4</v>
      </c>
    </row>
    <row r="176" ht="12.75" customHeight="1">
      <c r="A176" s="18"/>
      <c r="B176" s="51"/>
      <c r="C176" s="52" t="s">
        <v>152</v>
      </c>
      <c r="D176" s="53"/>
      <c r="E176" s="13">
        <v>1.0</v>
      </c>
      <c r="F176" s="13">
        <v>0.0</v>
      </c>
      <c r="G176" s="13">
        <v>5.0</v>
      </c>
      <c r="H176" s="13">
        <v>0.0</v>
      </c>
      <c r="I176" s="13">
        <v>7.0</v>
      </c>
      <c r="J176" s="13">
        <v>0.0</v>
      </c>
      <c r="K176" s="13">
        <v>1.0</v>
      </c>
      <c r="L176" s="13">
        <v>0.0</v>
      </c>
      <c r="M176" s="13">
        <v>0.0</v>
      </c>
      <c r="N176" s="13">
        <v>0.0</v>
      </c>
      <c r="O176" s="13">
        <v>22.0</v>
      </c>
      <c r="P176" s="13">
        <v>5.0</v>
      </c>
      <c r="Q176" s="13">
        <v>1.0</v>
      </c>
      <c r="R176" s="13">
        <v>0.0</v>
      </c>
      <c r="S176" s="13">
        <v>0.0</v>
      </c>
      <c r="T176" s="13">
        <v>0.0</v>
      </c>
      <c r="U176" s="13">
        <v>0.0</v>
      </c>
      <c r="V176" s="13">
        <v>0.0</v>
      </c>
      <c r="W176" s="13">
        <v>1.0</v>
      </c>
      <c r="X176" s="6">
        <f t="shared" si="46"/>
        <v>43</v>
      </c>
    </row>
    <row r="177" ht="12.75" customHeight="1">
      <c r="A177" s="18"/>
      <c r="B177" s="51"/>
      <c r="C177" s="52" t="s">
        <v>153</v>
      </c>
      <c r="D177" s="53"/>
      <c r="E177" s="13">
        <v>0.0</v>
      </c>
      <c r="F177" s="13">
        <v>0.0</v>
      </c>
      <c r="G177" s="13">
        <v>2.0</v>
      </c>
      <c r="H177" s="13">
        <v>4.0</v>
      </c>
      <c r="I177" s="13">
        <v>0.0</v>
      </c>
      <c r="J177" s="13">
        <v>0.0</v>
      </c>
      <c r="K177" s="13">
        <v>0.0</v>
      </c>
      <c r="L177" s="13">
        <v>0.0</v>
      </c>
      <c r="M177" s="13">
        <v>0.0</v>
      </c>
      <c r="N177" s="13">
        <v>0.0</v>
      </c>
      <c r="O177" s="13">
        <v>1.0</v>
      </c>
      <c r="P177" s="13">
        <v>0.0</v>
      </c>
      <c r="Q177" s="13">
        <v>0.0</v>
      </c>
      <c r="R177" s="13">
        <v>0.0</v>
      </c>
      <c r="S177" s="13">
        <v>0.0</v>
      </c>
      <c r="T177" s="13">
        <v>0.0</v>
      </c>
      <c r="U177" s="13">
        <v>0.0</v>
      </c>
      <c r="V177" s="13">
        <v>0.0</v>
      </c>
      <c r="W177" s="13">
        <v>0.0</v>
      </c>
      <c r="X177" s="6">
        <f t="shared" si="46"/>
        <v>7</v>
      </c>
    </row>
    <row r="178" ht="12.75" customHeight="1">
      <c r="A178" s="18"/>
      <c r="B178" s="51"/>
      <c r="C178" s="52" t="s">
        <v>154</v>
      </c>
      <c r="D178" s="53"/>
      <c r="E178" s="13">
        <v>0.0</v>
      </c>
      <c r="F178" s="13">
        <v>0.0</v>
      </c>
      <c r="G178" s="13">
        <v>0.0</v>
      </c>
      <c r="H178" s="13">
        <v>0.0</v>
      </c>
      <c r="I178" s="13">
        <v>0.0</v>
      </c>
      <c r="J178" s="13">
        <v>0.0</v>
      </c>
      <c r="K178" s="13">
        <v>0.0</v>
      </c>
      <c r="L178" s="13">
        <v>0.0</v>
      </c>
      <c r="M178" s="13">
        <v>0.0</v>
      </c>
      <c r="N178" s="13">
        <v>0.0</v>
      </c>
      <c r="O178" s="13">
        <v>0.0</v>
      </c>
      <c r="P178" s="13">
        <v>0.0</v>
      </c>
      <c r="Q178" s="13">
        <v>0.0</v>
      </c>
      <c r="R178" s="13">
        <v>0.0</v>
      </c>
      <c r="S178" s="13">
        <v>0.0</v>
      </c>
      <c r="T178" s="13">
        <v>0.0</v>
      </c>
      <c r="U178" s="13">
        <v>0.0</v>
      </c>
      <c r="V178" s="13">
        <v>0.0</v>
      </c>
      <c r="W178" s="13">
        <v>0.0</v>
      </c>
      <c r="X178" s="6">
        <f t="shared" si="46"/>
        <v>0</v>
      </c>
    </row>
    <row r="179" ht="12.75" customHeight="1">
      <c r="A179" s="18"/>
      <c r="B179" s="51"/>
      <c r="C179" s="52" t="s">
        <v>155</v>
      </c>
      <c r="D179" s="53"/>
      <c r="E179" s="13">
        <v>0.0</v>
      </c>
      <c r="F179" s="13">
        <v>0.0</v>
      </c>
      <c r="G179" s="13">
        <v>0.0</v>
      </c>
      <c r="H179" s="13">
        <v>0.0</v>
      </c>
      <c r="I179" s="13">
        <v>0.0</v>
      </c>
      <c r="J179" s="13">
        <v>0.0</v>
      </c>
      <c r="K179" s="13">
        <v>0.0</v>
      </c>
      <c r="L179" s="13">
        <v>0.0</v>
      </c>
      <c r="M179" s="13">
        <v>0.0</v>
      </c>
      <c r="N179" s="13">
        <v>0.0</v>
      </c>
      <c r="O179" s="13">
        <v>0.0</v>
      </c>
      <c r="P179" s="13">
        <v>0.0</v>
      </c>
      <c r="Q179" s="13">
        <v>0.0</v>
      </c>
      <c r="R179" s="13">
        <v>0.0</v>
      </c>
      <c r="S179" s="13">
        <v>0.0</v>
      </c>
      <c r="T179" s="13">
        <v>1.0</v>
      </c>
      <c r="U179" s="13">
        <v>0.0</v>
      </c>
      <c r="V179" s="13">
        <v>0.0</v>
      </c>
      <c r="W179" s="13">
        <v>0.0</v>
      </c>
      <c r="X179" s="6">
        <f t="shared" si="46"/>
        <v>1</v>
      </c>
    </row>
    <row r="180" ht="12.75" customHeight="1">
      <c r="A180" s="13" t="s">
        <v>15</v>
      </c>
      <c r="B180" s="49" t="s">
        <v>46</v>
      </c>
      <c r="C180" s="8"/>
      <c r="D180" s="9"/>
      <c r="E180" s="60">
        <f t="shared" ref="E180:W180" si="47">SUM(E173:E179)</f>
        <v>1</v>
      </c>
      <c r="F180" s="60">
        <f t="shared" si="47"/>
        <v>0</v>
      </c>
      <c r="G180" s="60">
        <f t="shared" si="47"/>
        <v>8</v>
      </c>
      <c r="H180" s="60">
        <f t="shared" si="47"/>
        <v>4</v>
      </c>
      <c r="I180" s="60">
        <f t="shared" si="47"/>
        <v>8</v>
      </c>
      <c r="J180" s="60">
        <f t="shared" si="47"/>
        <v>1</v>
      </c>
      <c r="K180" s="60">
        <f t="shared" si="47"/>
        <v>3</v>
      </c>
      <c r="L180" s="60">
        <f t="shared" si="47"/>
        <v>2</v>
      </c>
      <c r="M180" s="60">
        <f t="shared" si="47"/>
        <v>0</v>
      </c>
      <c r="N180" s="60">
        <f t="shared" si="47"/>
        <v>0</v>
      </c>
      <c r="O180" s="60">
        <f t="shared" si="47"/>
        <v>26</v>
      </c>
      <c r="P180" s="60">
        <f t="shared" si="47"/>
        <v>11</v>
      </c>
      <c r="Q180" s="60">
        <f t="shared" si="47"/>
        <v>5</v>
      </c>
      <c r="R180" s="60">
        <f t="shared" si="47"/>
        <v>1</v>
      </c>
      <c r="S180" s="60">
        <f t="shared" si="47"/>
        <v>0</v>
      </c>
      <c r="T180" s="60">
        <f t="shared" si="47"/>
        <v>2</v>
      </c>
      <c r="U180" s="60">
        <f t="shared" si="47"/>
        <v>0</v>
      </c>
      <c r="V180" s="60">
        <f t="shared" si="47"/>
        <v>0</v>
      </c>
      <c r="W180" s="60">
        <f t="shared" si="47"/>
        <v>1</v>
      </c>
      <c r="X180" s="6">
        <f t="shared" si="46"/>
        <v>73</v>
      </c>
    </row>
    <row r="181" ht="12.75" customHeight="1">
      <c r="A181" s="54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6"/>
    </row>
    <row r="182" ht="12.75" customHeight="1">
      <c r="A182" s="32" t="s">
        <v>37</v>
      </c>
      <c r="B182" s="49" t="s">
        <v>156</v>
      </c>
      <c r="C182" s="50" t="s">
        <v>157</v>
      </c>
      <c r="D182" s="9"/>
      <c r="E182" s="13">
        <v>0.0</v>
      </c>
      <c r="F182" s="13">
        <v>0.0</v>
      </c>
      <c r="G182" s="13">
        <v>0.0</v>
      </c>
      <c r="H182" s="13">
        <v>2.0</v>
      </c>
      <c r="I182" s="13">
        <v>1.0</v>
      </c>
      <c r="J182" s="13">
        <v>0.0</v>
      </c>
      <c r="K182" s="13">
        <v>1.0</v>
      </c>
      <c r="L182" s="13">
        <v>1.0</v>
      </c>
      <c r="M182" s="13">
        <v>0.0</v>
      </c>
      <c r="N182" s="13">
        <v>0.0</v>
      </c>
      <c r="O182" s="13">
        <v>0.0</v>
      </c>
      <c r="P182" s="13">
        <v>0.0</v>
      </c>
      <c r="Q182" s="13">
        <v>0.0</v>
      </c>
      <c r="R182" s="13">
        <v>0.0</v>
      </c>
      <c r="S182" s="13">
        <v>0.0</v>
      </c>
      <c r="T182" s="13">
        <v>0.0</v>
      </c>
      <c r="U182" s="13">
        <v>0.0</v>
      </c>
      <c r="V182" s="13">
        <v>0.0</v>
      </c>
      <c r="W182" s="13">
        <v>0.0</v>
      </c>
      <c r="X182" s="6">
        <f t="shared" ref="X182:X187" si="48">SUM(E182:W182)</f>
        <v>5</v>
      </c>
    </row>
    <row r="183" ht="12.75" customHeight="1">
      <c r="A183" s="32"/>
      <c r="B183" s="49"/>
      <c r="C183" s="52" t="s">
        <v>158</v>
      </c>
      <c r="D183" s="61"/>
      <c r="E183" s="13">
        <v>2.0</v>
      </c>
      <c r="F183" s="13">
        <v>3.0</v>
      </c>
      <c r="G183" s="13">
        <v>1.0</v>
      </c>
      <c r="H183" s="13">
        <v>0.0</v>
      </c>
      <c r="I183" s="13">
        <v>3.0</v>
      </c>
      <c r="J183" s="13">
        <v>1.0</v>
      </c>
      <c r="K183" s="13">
        <v>3.0</v>
      </c>
      <c r="L183" s="13">
        <v>2.0</v>
      </c>
      <c r="M183" s="13">
        <v>0.0</v>
      </c>
      <c r="N183" s="13">
        <v>0.0</v>
      </c>
      <c r="O183" s="13">
        <v>0.0</v>
      </c>
      <c r="P183" s="13">
        <v>1.0</v>
      </c>
      <c r="Q183" s="13">
        <v>0.0</v>
      </c>
      <c r="R183" s="13">
        <v>0.0</v>
      </c>
      <c r="S183" s="13">
        <v>0.0</v>
      </c>
      <c r="T183" s="13">
        <v>0.0</v>
      </c>
      <c r="U183" s="13">
        <v>0.0</v>
      </c>
      <c r="V183" s="13">
        <v>0.0</v>
      </c>
      <c r="W183" s="13">
        <v>0.0</v>
      </c>
      <c r="X183" s="6">
        <f t="shared" si="48"/>
        <v>16</v>
      </c>
    </row>
    <row r="184" ht="12.75" customHeight="1">
      <c r="A184" s="32"/>
      <c r="B184" s="49"/>
      <c r="C184" s="52" t="s">
        <v>159</v>
      </c>
      <c r="D184" s="61"/>
      <c r="E184" s="13">
        <v>0.0</v>
      </c>
      <c r="F184" s="13">
        <v>0.0</v>
      </c>
      <c r="G184" s="13">
        <v>0.0</v>
      </c>
      <c r="H184" s="13">
        <v>0.0</v>
      </c>
      <c r="I184" s="13">
        <v>0.0</v>
      </c>
      <c r="J184" s="13">
        <v>5.0</v>
      </c>
      <c r="K184" s="13">
        <v>0.0</v>
      </c>
      <c r="L184" s="13">
        <v>0.0</v>
      </c>
      <c r="M184" s="13">
        <v>0.0</v>
      </c>
      <c r="N184" s="13">
        <v>0.0</v>
      </c>
      <c r="O184" s="13">
        <v>0.0</v>
      </c>
      <c r="P184" s="13">
        <v>2.0</v>
      </c>
      <c r="Q184" s="13">
        <v>0.0</v>
      </c>
      <c r="R184" s="13">
        <v>1.0</v>
      </c>
      <c r="S184" s="13">
        <v>0.0</v>
      </c>
      <c r="T184" s="13">
        <v>0.0</v>
      </c>
      <c r="U184" s="13">
        <v>1.0</v>
      </c>
      <c r="V184" s="13">
        <v>1.0</v>
      </c>
      <c r="W184" s="13">
        <v>0.0</v>
      </c>
      <c r="X184" s="6">
        <f t="shared" si="48"/>
        <v>10</v>
      </c>
    </row>
    <row r="185" ht="12.75" customHeight="1">
      <c r="A185" s="32"/>
      <c r="B185" s="49"/>
      <c r="C185" s="52" t="s">
        <v>160</v>
      </c>
      <c r="D185" s="61"/>
      <c r="E185" s="13">
        <v>0.0</v>
      </c>
      <c r="F185" s="13">
        <v>0.0</v>
      </c>
      <c r="G185" s="13">
        <v>0.0</v>
      </c>
      <c r="H185" s="13">
        <v>0.0</v>
      </c>
      <c r="I185" s="13">
        <v>0.0</v>
      </c>
      <c r="J185" s="13">
        <v>0.0</v>
      </c>
      <c r="K185" s="13">
        <v>0.0</v>
      </c>
      <c r="L185" s="13">
        <v>0.0</v>
      </c>
      <c r="M185" s="13">
        <v>0.0</v>
      </c>
      <c r="N185" s="13">
        <v>0.0</v>
      </c>
      <c r="O185" s="13">
        <v>0.0</v>
      </c>
      <c r="P185" s="13">
        <v>0.0</v>
      </c>
      <c r="Q185" s="13">
        <v>0.0</v>
      </c>
      <c r="R185" s="13">
        <v>0.0</v>
      </c>
      <c r="S185" s="13">
        <v>0.0</v>
      </c>
      <c r="T185" s="13">
        <v>0.0</v>
      </c>
      <c r="U185" s="13">
        <v>0.0</v>
      </c>
      <c r="V185" s="13">
        <v>0.0</v>
      </c>
      <c r="W185" s="13">
        <v>0.0</v>
      </c>
      <c r="X185" s="6">
        <f t="shared" si="48"/>
        <v>0</v>
      </c>
    </row>
    <row r="186" ht="12.75" customHeight="1">
      <c r="A186" s="32" t="s">
        <v>39</v>
      </c>
      <c r="B186" s="51"/>
      <c r="C186" s="52" t="s">
        <v>161</v>
      </c>
      <c r="D186" s="53"/>
      <c r="E186" s="13">
        <v>0.0</v>
      </c>
      <c r="F186" s="13">
        <v>0.0</v>
      </c>
      <c r="G186" s="13">
        <v>0.0</v>
      </c>
      <c r="H186" s="13">
        <v>1.0</v>
      </c>
      <c r="I186" s="13">
        <v>0.0</v>
      </c>
      <c r="J186" s="13">
        <v>0.0</v>
      </c>
      <c r="K186" s="13">
        <v>0.0</v>
      </c>
      <c r="L186" s="13">
        <v>0.0</v>
      </c>
      <c r="M186" s="13">
        <v>0.0</v>
      </c>
      <c r="N186" s="13">
        <v>0.0</v>
      </c>
      <c r="O186" s="13">
        <v>0.0</v>
      </c>
      <c r="P186" s="13">
        <v>0.0</v>
      </c>
      <c r="Q186" s="13">
        <v>0.0</v>
      </c>
      <c r="R186" s="13">
        <v>0.0</v>
      </c>
      <c r="S186" s="13">
        <v>0.0</v>
      </c>
      <c r="T186" s="13">
        <v>0.0</v>
      </c>
      <c r="U186" s="13">
        <v>0.0</v>
      </c>
      <c r="V186" s="13">
        <v>0.0</v>
      </c>
      <c r="W186" s="13">
        <v>0.0</v>
      </c>
      <c r="X186" s="6">
        <f t="shared" si="48"/>
        <v>1</v>
      </c>
    </row>
    <row r="187" ht="12.75" customHeight="1">
      <c r="A187" s="13" t="s">
        <v>15</v>
      </c>
      <c r="B187" s="49" t="s">
        <v>46</v>
      </c>
      <c r="C187" s="8"/>
      <c r="D187" s="9"/>
      <c r="E187" s="60">
        <f t="shared" ref="E187:W187" si="49">SUM(E182:E186)</f>
        <v>2</v>
      </c>
      <c r="F187" s="60">
        <f t="shared" si="49"/>
        <v>3</v>
      </c>
      <c r="G187" s="60">
        <f t="shared" si="49"/>
        <v>1</v>
      </c>
      <c r="H187" s="60">
        <f t="shared" si="49"/>
        <v>3</v>
      </c>
      <c r="I187" s="60">
        <f t="shared" si="49"/>
        <v>4</v>
      </c>
      <c r="J187" s="60">
        <f t="shared" si="49"/>
        <v>6</v>
      </c>
      <c r="K187" s="60">
        <f t="shared" si="49"/>
        <v>4</v>
      </c>
      <c r="L187" s="60">
        <f t="shared" si="49"/>
        <v>3</v>
      </c>
      <c r="M187" s="60">
        <f t="shared" si="49"/>
        <v>0</v>
      </c>
      <c r="N187" s="60">
        <f t="shared" si="49"/>
        <v>0</v>
      </c>
      <c r="O187" s="60">
        <f t="shared" si="49"/>
        <v>0</v>
      </c>
      <c r="P187" s="60">
        <f t="shared" si="49"/>
        <v>3</v>
      </c>
      <c r="Q187" s="60">
        <f t="shared" si="49"/>
        <v>0</v>
      </c>
      <c r="R187" s="60">
        <f t="shared" si="49"/>
        <v>1</v>
      </c>
      <c r="S187" s="60">
        <f t="shared" si="49"/>
        <v>0</v>
      </c>
      <c r="T187" s="60">
        <f t="shared" si="49"/>
        <v>0</v>
      </c>
      <c r="U187" s="60">
        <f t="shared" si="49"/>
        <v>1</v>
      </c>
      <c r="V187" s="60">
        <f t="shared" si="49"/>
        <v>1</v>
      </c>
      <c r="W187" s="60">
        <f t="shared" si="49"/>
        <v>0</v>
      </c>
      <c r="X187" s="6">
        <f t="shared" si="48"/>
        <v>32</v>
      </c>
    </row>
    <row r="188" ht="12.75" customHeight="1">
      <c r="A188" s="21"/>
      <c r="B188" s="8"/>
      <c r="C188" s="8"/>
      <c r="D188" s="9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6"/>
    </row>
    <row r="189" ht="12.75" customHeight="1">
      <c r="A189" s="47"/>
      <c r="B189" s="46"/>
      <c r="C189" s="46"/>
      <c r="D189" s="27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6"/>
    </row>
    <row r="190" ht="12.75" customHeight="1">
      <c r="A190" s="44" t="s">
        <v>162</v>
      </c>
      <c r="B190" s="7" t="s">
        <v>163</v>
      </c>
      <c r="C190" s="8"/>
      <c r="D190" s="9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ht="12.75" customHeight="1">
      <c r="A191" s="44"/>
      <c r="B191" s="63" t="s">
        <v>164</v>
      </c>
      <c r="C191" s="64" t="s">
        <v>165</v>
      </c>
      <c r="D191" s="9"/>
      <c r="E191" s="13">
        <f t="shared" ref="E191:W191" si="50">E187+E180+E171+E162+E154+E145+E136+E127+E123+E114+E110+E101+E92+E88+E79+E70+E61+E52</f>
        <v>227</v>
      </c>
      <c r="F191" s="13">
        <f t="shared" si="50"/>
        <v>211</v>
      </c>
      <c r="G191" s="13">
        <f t="shared" si="50"/>
        <v>197</v>
      </c>
      <c r="H191" s="13">
        <f t="shared" si="50"/>
        <v>182</v>
      </c>
      <c r="I191" s="13">
        <f t="shared" si="50"/>
        <v>207</v>
      </c>
      <c r="J191" s="13">
        <f t="shared" si="50"/>
        <v>192</v>
      </c>
      <c r="K191" s="13">
        <f t="shared" si="50"/>
        <v>218</v>
      </c>
      <c r="L191" s="13">
        <f t="shared" si="50"/>
        <v>178</v>
      </c>
      <c r="M191" s="13">
        <f t="shared" si="50"/>
        <v>218</v>
      </c>
      <c r="N191" s="13">
        <f t="shared" si="50"/>
        <v>215</v>
      </c>
      <c r="O191" s="13">
        <f t="shared" si="50"/>
        <v>202</v>
      </c>
      <c r="P191" s="13">
        <f t="shared" si="50"/>
        <v>181</v>
      </c>
      <c r="Q191" s="13">
        <f t="shared" si="50"/>
        <v>176</v>
      </c>
      <c r="R191" s="13">
        <f t="shared" si="50"/>
        <v>206</v>
      </c>
      <c r="S191" s="13">
        <f t="shared" si="50"/>
        <v>172</v>
      </c>
      <c r="T191" s="13">
        <f t="shared" si="50"/>
        <v>175</v>
      </c>
      <c r="U191" s="13">
        <f t="shared" si="50"/>
        <v>209</v>
      </c>
      <c r="V191" s="13">
        <f t="shared" si="50"/>
        <v>179</v>
      </c>
      <c r="W191" s="13">
        <f t="shared" si="50"/>
        <v>218</v>
      </c>
      <c r="X191" s="6">
        <f t="shared" ref="X191:X193" si="51">SUM(E191:W191)</f>
        <v>3763</v>
      </c>
    </row>
    <row r="192" ht="12.75" customHeight="1">
      <c r="A192" s="37"/>
      <c r="B192" s="63" t="s">
        <v>166</v>
      </c>
      <c r="C192" s="64" t="s">
        <v>167</v>
      </c>
      <c r="D192" s="9"/>
      <c r="E192" s="13">
        <v>10.0</v>
      </c>
      <c r="F192" s="13">
        <v>12.0</v>
      </c>
      <c r="G192" s="13">
        <v>26.0</v>
      </c>
      <c r="H192" s="13">
        <v>32.0</v>
      </c>
      <c r="I192" s="13">
        <v>24.0</v>
      </c>
      <c r="J192" s="13">
        <v>29.0</v>
      </c>
      <c r="K192" s="13">
        <v>27.0</v>
      </c>
      <c r="L192" s="13">
        <v>32.0</v>
      </c>
      <c r="M192" s="13">
        <v>24.0</v>
      </c>
      <c r="N192" s="13">
        <v>28.0</v>
      </c>
      <c r="O192" s="13">
        <v>21.0</v>
      </c>
      <c r="P192" s="13">
        <v>14.0</v>
      </c>
      <c r="Q192" s="13">
        <v>18.0</v>
      </c>
      <c r="R192" s="13">
        <v>13.0</v>
      </c>
      <c r="S192" s="13">
        <v>9.0</v>
      </c>
      <c r="T192" s="13">
        <v>13.0</v>
      </c>
      <c r="U192" s="13">
        <v>10.0</v>
      </c>
      <c r="V192" s="13">
        <v>21.0</v>
      </c>
      <c r="W192" s="13">
        <v>15.0</v>
      </c>
      <c r="X192" s="6">
        <f t="shared" si="51"/>
        <v>378</v>
      </c>
    </row>
    <row r="193" ht="12.75" customHeight="1">
      <c r="A193" s="42"/>
      <c r="B193" s="63" t="s">
        <v>168</v>
      </c>
      <c r="C193" s="64" t="s">
        <v>169</v>
      </c>
      <c r="D193" s="9"/>
      <c r="E193" s="6">
        <f t="shared" ref="E193:W193" si="52">SUM(E191:E192)</f>
        <v>237</v>
      </c>
      <c r="F193" s="6">
        <f t="shared" si="52"/>
        <v>223</v>
      </c>
      <c r="G193" s="6">
        <f t="shared" si="52"/>
        <v>223</v>
      </c>
      <c r="H193" s="6">
        <f t="shared" si="52"/>
        <v>214</v>
      </c>
      <c r="I193" s="6">
        <f t="shared" si="52"/>
        <v>231</v>
      </c>
      <c r="J193" s="6">
        <f t="shared" si="52"/>
        <v>221</v>
      </c>
      <c r="K193" s="6">
        <f t="shared" si="52"/>
        <v>245</v>
      </c>
      <c r="L193" s="6">
        <f t="shared" si="52"/>
        <v>210</v>
      </c>
      <c r="M193" s="6">
        <f t="shared" si="52"/>
        <v>242</v>
      </c>
      <c r="N193" s="6">
        <f t="shared" si="52"/>
        <v>243</v>
      </c>
      <c r="O193" s="6">
        <f t="shared" si="52"/>
        <v>223</v>
      </c>
      <c r="P193" s="6">
        <f t="shared" si="52"/>
        <v>195</v>
      </c>
      <c r="Q193" s="6">
        <f t="shared" si="52"/>
        <v>194</v>
      </c>
      <c r="R193" s="6">
        <f t="shared" si="52"/>
        <v>219</v>
      </c>
      <c r="S193" s="6">
        <f t="shared" si="52"/>
        <v>181</v>
      </c>
      <c r="T193" s="6">
        <f t="shared" si="52"/>
        <v>188</v>
      </c>
      <c r="U193" s="6">
        <f t="shared" si="52"/>
        <v>219</v>
      </c>
      <c r="V193" s="6">
        <f t="shared" si="52"/>
        <v>200</v>
      </c>
      <c r="W193" s="6">
        <f t="shared" si="52"/>
        <v>233</v>
      </c>
      <c r="X193" s="6">
        <f t="shared" si="51"/>
        <v>4141</v>
      </c>
    </row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110:D110"/>
    <mergeCell ref="C112:D112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5:D145"/>
    <mergeCell ref="C147:D147"/>
    <mergeCell ref="B154:D154"/>
    <mergeCell ref="C156:D156"/>
    <mergeCell ref="A188:D188"/>
    <mergeCell ref="A189:D189"/>
    <mergeCell ref="B190:D190"/>
    <mergeCell ref="C191:D191"/>
    <mergeCell ref="C192:D192"/>
    <mergeCell ref="C193:D193"/>
    <mergeCell ref="B162:D162"/>
    <mergeCell ref="C164:D164"/>
    <mergeCell ref="B171:D171"/>
    <mergeCell ref="C173:D173"/>
    <mergeCell ref="B180:D180"/>
    <mergeCell ref="C182:D182"/>
    <mergeCell ref="B187:D187"/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101:D101"/>
    <mergeCell ref="C103:D103"/>
  </mergeCells>
  <conditionalFormatting sqref="E30:T30">
    <cfRule type="expression" dxfId="0" priority="1">
      <formula>E30&lt;&gt;E62</formula>
    </cfRule>
  </conditionalFormatting>
  <conditionalFormatting sqref="E34:W34">
    <cfRule type="expression" dxfId="0" priority="2">
      <formula>E34&lt;&gt;E62</formula>
    </cfRule>
  </conditionalFormatting>
  <conditionalFormatting sqref="E14:W15">
    <cfRule type="containsBlanks" dxfId="1" priority="3">
      <formula>LEN(TRIM(E14))=0</formula>
    </cfRule>
  </conditionalFormatting>
  <conditionalFormatting sqref="E19:W20">
    <cfRule type="containsBlanks" dxfId="1" priority="4">
      <formula>LEN(TRIM(E19))=0</formula>
    </cfRule>
  </conditionalFormatting>
  <conditionalFormatting sqref="E22:W23 E25:W26 E33:W33 E35:W35 E39:W40">
    <cfRule type="containsBlanks" dxfId="1" priority="5">
      <formula>LEN(TRIM(E22))=0</formula>
    </cfRule>
  </conditionalFormatting>
  <conditionalFormatting sqref="E30:W30">
    <cfRule type="expression" dxfId="0" priority="6">
      <formula>E30&lt;&gt;E34</formula>
    </cfRule>
  </conditionalFormatting>
  <conditionalFormatting sqref="E34:W34">
    <cfRule type="expression" dxfId="2" priority="7">
      <formula>E30&lt;&gt;E34</formula>
    </cfRule>
  </conditionalFormatting>
  <conditionalFormatting sqref="E34:W34">
    <cfRule type="expression" dxfId="3" priority="8">
      <formula>E30=E34</formula>
    </cfRule>
  </conditionalFormatting>
  <conditionalFormatting sqref="E34:W34">
    <cfRule type="expression" dxfId="0" priority="9">
      <formula>E34&lt;&gt;E30</formula>
    </cfRule>
  </conditionalFormatting>
  <conditionalFormatting sqref="E45:W51">
    <cfRule type="containsBlanks" dxfId="1" priority="10">
      <formula>LEN(TRIM(E45))=0</formula>
    </cfRule>
  </conditionalFormatting>
  <conditionalFormatting sqref="E54:W60">
    <cfRule type="containsBlanks" dxfId="1" priority="11">
      <formula>LEN(TRIM(E54))=0</formula>
    </cfRule>
  </conditionalFormatting>
  <conditionalFormatting sqref="E63:W69">
    <cfRule type="containsBlanks" dxfId="1" priority="12">
      <formula>LEN(TRIM(E63))=0</formula>
    </cfRule>
  </conditionalFormatting>
  <conditionalFormatting sqref="E72:W78">
    <cfRule type="containsBlanks" dxfId="1" priority="13">
      <formula>LEN(TRIM(E72))=0</formula>
    </cfRule>
  </conditionalFormatting>
  <conditionalFormatting sqref="E81:W87">
    <cfRule type="containsBlanks" dxfId="1" priority="14">
      <formula>LEN(TRIM(E81))=0</formula>
    </cfRule>
  </conditionalFormatting>
  <conditionalFormatting sqref="E90:W91">
    <cfRule type="containsBlanks" dxfId="1" priority="15">
      <formula>LEN(TRIM(E90))=0</formula>
    </cfRule>
  </conditionalFormatting>
  <conditionalFormatting sqref="E94:W100">
    <cfRule type="containsBlanks" dxfId="1" priority="16">
      <formula>LEN(TRIM(E94))=0</formula>
    </cfRule>
  </conditionalFormatting>
  <conditionalFormatting sqref="E103:W109">
    <cfRule type="containsBlanks" dxfId="1" priority="17">
      <formula>LEN(TRIM(E103))=0</formula>
    </cfRule>
  </conditionalFormatting>
  <conditionalFormatting sqref="E112:W113">
    <cfRule type="containsBlanks" dxfId="1" priority="18">
      <formula>LEN(TRIM(E112))=0</formula>
    </cfRule>
  </conditionalFormatting>
  <conditionalFormatting sqref="E116:W122">
    <cfRule type="containsBlanks" dxfId="1" priority="19">
      <formula>LEN(TRIM(E116))=0</formula>
    </cfRule>
  </conditionalFormatting>
  <conditionalFormatting sqref="E125:W126">
    <cfRule type="containsBlanks" dxfId="1" priority="20">
      <formula>LEN(TRIM(E125))=0</formula>
    </cfRule>
  </conditionalFormatting>
  <conditionalFormatting sqref="E129:W135">
    <cfRule type="containsBlanks" dxfId="1" priority="21">
      <formula>LEN(TRIM(E129))=0</formula>
    </cfRule>
  </conditionalFormatting>
  <conditionalFormatting sqref="E138:W144">
    <cfRule type="containsBlanks" dxfId="1" priority="22">
      <formula>LEN(TRIM(E138))=0</formula>
    </cfRule>
  </conditionalFormatting>
  <conditionalFormatting sqref="E147:W153">
    <cfRule type="containsBlanks" dxfId="1" priority="23">
      <formula>LEN(TRIM(E147))=0</formula>
    </cfRule>
  </conditionalFormatting>
  <conditionalFormatting sqref="E156:W161">
    <cfRule type="containsBlanks" dxfId="1" priority="24">
      <formula>LEN(TRIM(E156))=0</formula>
    </cfRule>
  </conditionalFormatting>
  <conditionalFormatting sqref="E164:W170">
    <cfRule type="containsBlanks" dxfId="1" priority="25">
      <formula>LEN(TRIM(E164))=0</formula>
    </cfRule>
  </conditionalFormatting>
  <conditionalFormatting sqref="E173:W179">
    <cfRule type="containsBlanks" dxfId="1" priority="26">
      <formula>LEN(TRIM(E173))=0</formula>
    </cfRule>
  </conditionalFormatting>
  <conditionalFormatting sqref="E182:W186">
    <cfRule type="containsBlanks" dxfId="1" priority="27">
      <formula>LEN(TRIM(E182))=0</formula>
    </cfRule>
  </conditionalFormatting>
  <conditionalFormatting sqref="E191:W192">
    <cfRule type="containsBlanks" dxfId="1" priority="28">
      <formula>LEN(TRIM(E191))=0</formula>
    </cfRule>
  </conditionalFormatting>
  <conditionalFormatting sqref="E193:W193">
    <cfRule type="expression" dxfId="0" priority="29">
      <formula>E193&lt;&gt;#REF!</formula>
    </cfRule>
  </conditionalFormatting>
  <conditionalFormatting sqref="E193:W193">
    <cfRule type="expression" dxfId="2" priority="30">
      <formula>#REF!&lt;&gt;E193</formula>
    </cfRule>
  </conditionalFormatting>
  <conditionalFormatting sqref="E193:W193">
    <cfRule type="expression" dxfId="3" priority="31">
      <formula>#REF!=E193</formula>
    </cfRule>
  </conditionalFormatting>
  <conditionalFormatting sqref="U30:W30">
    <cfRule type="expression" dxfId="0" priority="32">
      <formula>U30&lt;&gt;U47</formula>
    </cfRule>
  </conditionalFormatting>
  <conditionalFormatting sqref="U34:W34">
    <cfRule type="expression" dxfId="0" priority="33">
      <formula>U34&lt;&gt;U47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</cols>
  <sheetData>
    <row r="1" ht="12.75" customHeight="1"/>
    <row r="2" ht="12.75" customHeight="1">
      <c r="C2" s="1" t="s">
        <v>0</v>
      </c>
      <c r="D2" s="1" t="s">
        <v>1</v>
      </c>
    </row>
    <row r="3" ht="12.75" customHeight="1">
      <c r="C3" s="1" t="s">
        <v>2</v>
      </c>
      <c r="D3" s="1" t="s">
        <v>3</v>
      </c>
    </row>
    <row r="4" ht="12.75" customHeight="1">
      <c r="C4" s="1" t="s">
        <v>4</v>
      </c>
      <c r="D4" s="1" t="s">
        <v>5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170</v>
      </c>
      <c r="D9" s="1" t="s">
        <v>192</v>
      </c>
    </row>
    <row r="10" ht="12.75" customHeight="1"/>
    <row r="11" ht="12.75" customHeight="1"/>
    <row r="12" ht="12.75" customHeight="1">
      <c r="A12" s="6" t="s">
        <v>6</v>
      </c>
      <c r="B12" s="7" t="s">
        <v>7</v>
      </c>
      <c r="C12" s="8"/>
      <c r="D12" s="8"/>
      <c r="E12" s="28"/>
      <c r="F12" s="8"/>
      <c r="G12" s="8"/>
      <c r="H12" s="8"/>
      <c r="I12" s="8"/>
      <c r="J12" s="8"/>
      <c r="K12" s="8"/>
      <c r="L12" s="8"/>
      <c r="M12" s="9"/>
      <c r="N12" s="39" t="s">
        <v>8</v>
      </c>
    </row>
    <row r="13" ht="12.75" customHeight="1">
      <c r="A13" s="13" t="s">
        <v>9</v>
      </c>
      <c r="B13" s="14" t="s">
        <v>10</v>
      </c>
      <c r="C13" s="8"/>
      <c r="D13" s="9"/>
      <c r="E13" s="42" t="s">
        <v>172</v>
      </c>
      <c r="F13" s="42" t="s">
        <v>173</v>
      </c>
      <c r="G13" s="42" t="s">
        <v>174</v>
      </c>
      <c r="H13" s="42" t="s">
        <v>175</v>
      </c>
      <c r="I13" s="42" t="s">
        <v>176</v>
      </c>
      <c r="J13" s="42" t="s">
        <v>177</v>
      </c>
      <c r="K13" s="42" t="s">
        <v>178</v>
      </c>
      <c r="L13" s="42" t="s">
        <v>179</v>
      </c>
      <c r="M13" s="42" t="s">
        <v>180</v>
      </c>
      <c r="N13" s="27"/>
    </row>
    <row r="14" ht="12.75" customHeight="1">
      <c r="A14" s="18"/>
      <c r="B14" s="19" t="s">
        <v>11</v>
      </c>
      <c r="C14" s="20"/>
      <c r="D14" s="13" t="s">
        <v>12</v>
      </c>
      <c r="E14" s="13">
        <v>149.0</v>
      </c>
      <c r="F14" s="13">
        <v>125.0</v>
      </c>
      <c r="G14" s="13">
        <v>137.0</v>
      </c>
      <c r="H14" s="13">
        <v>133.0</v>
      </c>
      <c r="I14" s="13">
        <v>133.0</v>
      </c>
      <c r="J14" s="13">
        <v>121.0</v>
      </c>
      <c r="K14" s="72">
        <v>124.0</v>
      </c>
      <c r="L14" s="13">
        <v>126.0</v>
      </c>
      <c r="M14" s="13">
        <v>131.0</v>
      </c>
      <c r="N14" s="6">
        <f t="shared" ref="N14:N16" si="1">SUM(E14:M14)</f>
        <v>1179</v>
      </c>
    </row>
    <row r="15" ht="12.75" customHeight="1">
      <c r="A15" s="18"/>
      <c r="B15" s="25"/>
      <c r="C15" s="26"/>
      <c r="D15" s="13" t="s">
        <v>13</v>
      </c>
      <c r="E15" s="13">
        <v>126.0</v>
      </c>
      <c r="F15" s="13">
        <v>135.0</v>
      </c>
      <c r="G15" s="13">
        <v>127.0</v>
      </c>
      <c r="H15" s="13">
        <v>129.0</v>
      </c>
      <c r="I15" s="13">
        <v>130.0</v>
      </c>
      <c r="J15" s="13">
        <v>145.0</v>
      </c>
      <c r="K15" s="13">
        <v>135.0</v>
      </c>
      <c r="L15" s="13">
        <v>138.0</v>
      </c>
      <c r="M15" s="13">
        <v>127.0</v>
      </c>
      <c r="N15" s="6">
        <f t="shared" si="1"/>
        <v>1192</v>
      </c>
    </row>
    <row r="16" ht="12.75" customHeight="1">
      <c r="A16" s="16"/>
      <c r="B16" s="15"/>
      <c r="C16" s="27"/>
      <c r="D16" s="6" t="s">
        <v>14</v>
      </c>
      <c r="E16" s="6">
        <f t="shared" ref="E16:M16" si="2">SUM(E14:E15)</f>
        <v>275</v>
      </c>
      <c r="F16" s="6">
        <f t="shared" si="2"/>
        <v>260</v>
      </c>
      <c r="G16" s="6">
        <f t="shared" si="2"/>
        <v>264</v>
      </c>
      <c r="H16" s="6">
        <f t="shared" si="2"/>
        <v>262</v>
      </c>
      <c r="I16" s="6">
        <f t="shared" si="2"/>
        <v>263</v>
      </c>
      <c r="J16" s="6">
        <f t="shared" si="2"/>
        <v>266</v>
      </c>
      <c r="K16" s="6">
        <f t="shared" si="2"/>
        <v>259</v>
      </c>
      <c r="L16" s="6">
        <f t="shared" si="2"/>
        <v>264</v>
      </c>
      <c r="M16" s="6">
        <f t="shared" si="2"/>
        <v>258</v>
      </c>
      <c r="N16" s="6">
        <f t="shared" si="1"/>
        <v>2371</v>
      </c>
    </row>
    <row r="17" ht="12.75" customHeight="1">
      <c r="A17" s="21"/>
      <c r="B17" s="8"/>
      <c r="C17" s="8"/>
      <c r="D17" s="9"/>
      <c r="E17" s="13"/>
      <c r="F17" s="13"/>
      <c r="G17" s="13"/>
      <c r="H17" s="13"/>
      <c r="I17" s="13"/>
      <c r="J17" s="13"/>
      <c r="K17" s="13"/>
      <c r="L17" s="13"/>
      <c r="M17" s="13"/>
      <c r="N17" s="6"/>
    </row>
    <row r="18" ht="12.75" customHeight="1">
      <c r="A18" s="32" t="s">
        <v>15</v>
      </c>
      <c r="B18" s="14" t="s">
        <v>16</v>
      </c>
      <c r="C18" s="8"/>
      <c r="D18" s="9"/>
      <c r="E18" s="13"/>
      <c r="F18" s="13"/>
      <c r="G18" s="13"/>
      <c r="H18" s="13"/>
      <c r="I18" s="13"/>
      <c r="J18" s="13"/>
      <c r="K18" s="13"/>
      <c r="L18" s="13"/>
      <c r="M18" s="13"/>
      <c r="N18" s="6"/>
    </row>
    <row r="19" ht="12.75" customHeight="1">
      <c r="A19" s="32"/>
      <c r="B19" s="33" t="s">
        <v>17</v>
      </c>
      <c r="C19" s="34" t="s">
        <v>18</v>
      </c>
      <c r="D19" s="13" t="s">
        <v>12</v>
      </c>
      <c r="E19" s="13">
        <v>127.0</v>
      </c>
      <c r="F19" s="13">
        <v>108.0</v>
      </c>
      <c r="G19" s="13">
        <v>110.0</v>
      </c>
      <c r="H19" s="13">
        <v>108.0</v>
      </c>
      <c r="I19" s="13">
        <v>106.0</v>
      </c>
      <c r="J19" s="13">
        <v>95.0</v>
      </c>
      <c r="K19" s="13">
        <v>88.0</v>
      </c>
      <c r="L19" s="13">
        <v>105.0</v>
      </c>
      <c r="M19" s="13">
        <v>105.0</v>
      </c>
      <c r="N19" s="6">
        <f t="shared" ref="N19:N30" si="3">SUM(E19:M19)</f>
        <v>952</v>
      </c>
    </row>
    <row r="20" ht="12.75" customHeight="1">
      <c r="A20" s="35"/>
      <c r="B20" s="26"/>
      <c r="C20" s="36"/>
      <c r="D20" s="13" t="s">
        <v>13</v>
      </c>
      <c r="E20" s="13">
        <v>113.0</v>
      </c>
      <c r="F20" s="13">
        <v>116.0</v>
      </c>
      <c r="G20" s="13">
        <v>115.0</v>
      </c>
      <c r="H20" s="13">
        <v>108.0</v>
      </c>
      <c r="I20" s="13">
        <v>104.0</v>
      </c>
      <c r="J20" s="13">
        <v>122.0</v>
      </c>
      <c r="K20" s="13">
        <v>111.0</v>
      </c>
      <c r="L20" s="13">
        <v>120.0</v>
      </c>
      <c r="M20" s="13">
        <v>104.0</v>
      </c>
      <c r="N20" s="6">
        <f t="shared" si="3"/>
        <v>1013</v>
      </c>
    </row>
    <row r="21" ht="12.75" customHeight="1">
      <c r="A21" s="37"/>
      <c r="B21" s="27"/>
      <c r="C21" s="38"/>
      <c r="D21" s="6" t="s">
        <v>14</v>
      </c>
      <c r="E21" s="6">
        <f t="shared" ref="E21:M21" si="4">SUM(E19:E20)</f>
        <v>240</v>
      </c>
      <c r="F21" s="6">
        <f t="shared" si="4"/>
        <v>224</v>
      </c>
      <c r="G21" s="6">
        <f t="shared" si="4"/>
        <v>225</v>
      </c>
      <c r="H21" s="6">
        <f t="shared" si="4"/>
        <v>216</v>
      </c>
      <c r="I21" s="6">
        <f t="shared" si="4"/>
        <v>210</v>
      </c>
      <c r="J21" s="6">
        <f t="shared" si="4"/>
        <v>217</v>
      </c>
      <c r="K21" s="6">
        <f t="shared" si="4"/>
        <v>199</v>
      </c>
      <c r="L21" s="6">
        <f t="shared" si="4"/>
        <v>225</v>
      </c>
      <c r="M21" s="6">
        <f t="shared" si="4"/>
        <v>209</v>
      </c>
      <c r="N21" s="6">
        <f t="shared" si="3"/>
        <v>1965</v>
      </c>
    </row>
    <row r="22" ht="12.75" customHeight="1">
      <c r="A22" s="35"/>
      <c r="B22" s="33" t="s">
        <v>19</v>
      </c>
      <c r="C22" s="34" t="s">
        <v>20</v>
      </c>
      <c r="D22" s="13" t="s">
        <v>12</v>
      </c>
      <c r="E22" s="13">
        <v>1.0</v>
      </c>
      <c r="F22" s="13">
        <v>1.0</v>
      </c>
      <c r="G22" s="72">
        <v>2.0</v>
      </c>
      <c r="H22" s="13">
        <v>0.0</v>
      </c>
      <c r="I22" s="13">
        <v>1.0</v>
      </c>
      <c r="J22" s="13">
        <v>1.0</v>
      </c>
      <c r="K22" s="13">
        <v>2.0</v>
      </c>
      <c r="L22" s="13">
        <v>0.0</v>
      </c>
      <c r="M22" s="13">
        <v>1.0</v>
      </c>
      <c r="N22" s="6">
        <f t="shared" si="3"/>
        <v>9</v>
      </c>
    </row>
    <row r="23" ht="12.75" customHeight="1">
      <c r="A23" s="35"/>
      <c r="B23" s="26"/>
      <c r="C23" s="36"/>
      <c r="D23" s="13" t="s">
        <v>13</v>
      </c>
      <c r="E23" s="13">
        <v>4.0</v>
      </c>
      <c r="F23" s="13">
        <v>1.0</v>
      </c>
      <c r="G23" s="13">
        <v>2.0</v>
      </c>
      <c r="H23" s="13">
        <v>0.0</v>
      </c>
      <c r="I23" s="13">
        <v>1.0</v>
      </c>
      <c r="J23" s="13">
        <v>2.0</v>
      </c>
      <c r="K23" s="13">
        <v>2.0</v>
      </c>
      <c r="L23" s="13">
        <v>0.0</v>
      </c>
      <c r="M23" s="13">
        <v>1.0</v>
      </c>
      <c r="N23" s="6">
        <f t="shared" si="3"/>
        <v>13</v>
      </c>
    </row>
    <row r="24" ht="12.75" customHeight="1">
      <c r="A24" s="37"/>
      <c r="B24" s="27"/>
      <c r="C24" s="38"/>
      <c r="D24" s="6" t="s">
        <v>14</v>
      </c>
      <c r="E24" s="6">
        <f t="shared" ref="E24:M24" si="5">SUM(E22:E23)</f>
        <v>5</v>
      </c>
      <c r="F24" s="6">
        <f t="shared" si="5"/>
        <v>2</v>
      </c>
      <c r="G24" s="6">
        <f t="shared" si="5"/>
        <v>4</v>
      </c>
      <c r="H24" s="6">
        <f t="shared" si="5"/>
        <v>0</v>
      </c>
      <c r="I24" s="6">
        <f t="shared" si="5"/>
        <v>2</v>
      </c>
      <c r="J24" s="6">
        <f t="shared" si="5"/>
        <v>3</v>
      </c>
      <c r="K24" s="6">
        <f t="shared" si="5"/>
        <v>4</v>
      </c>
      <c r="L24" s="6">
        <f t="shared" si="5"/>
        <v>0</v>
      </c>
      <c r="M24" s="6">
        <f t="shared" si="5"/>
        <v>2</v>
      </c>
      <c r="N24" s="6">
        <f t="shared" si="3"/>
        <v>22</v>
      </c>
    </row>
    <row r="25" ht="12.75" customHeight="1">
      <c r="A25" s="35"/>
      <c r="B25" s="33" t="s">
        <v>21</v>
      </c>
      <c r="C25" s="34" t="s">
        <v>22</v>
      </c>
      <c r="D25" s="13" t="s">
        <v>12</v>
      </c>
      <c r="E25" s="13">
        <v>0.0</v>
      </c>
      <c r="F25" s="13">
        <v>0.0</v>
      </c>
      <c r="G25" s="13">
        <v>2.0</v>
      </c>
      <c r="H25" s="13">
        <v>0.0</v>
      </c>
      <c r="I25" s="13">
        <v>1.0</v>
      </c>
      <c r="J25" s="13">
        <v>0.0</v>
      </c>
      <c r="K25" s="13">
        <v>0.0</v>
      </c>
      <c r="L25" s="13">
        <v>0.0</v>
      </c>
      <c r="M25" s="13">
        <v>0.0</v>
      </c>
      <c r="N25" s="6">
        <f t="shared" si="3"/>
        <v>3</v>
      </c>
    </row>
    <row r="26" ht="12.75" customHeight="1">
      <c r="A26" s="35"/>
      <c r="B26" s="26"/>
      <c r="C26" s="36"/>
      <c r="D26" s="13" t="s">
        <v>13</v>
      </c>
      <c r="E26" s="13">
        <v>1.0</v>
      </c>
      <c r="F26" s="13">
        <v>1.0</v>
      </c>
      <c r="G26" s="13">
        <v>2.0</v>
      </c>
      <c r="H26" s="13">
        <v>0.0</v>
      </c>
      <c r="I26" s="13">
        <v>0.0</v>
      </c>
      <c r="J26" s="13">
        <v>1.0</v>
      </c>
      <c r="K26" s="13">
        <v>1.0</v>
      </c>
      <c r="L26" s="13">
        <v>1.0</v>
      </c>
      <c r="M26" s="13">
        <v>0.0</v>
      </c>
      <c r="N26" s="6">
        <f t="shared" si="3"/>
        <v>7</v>
      </c>
    </row>
    <row r="27" ht="12.75" customHeight="1">
      <c r="A27" s="37"/>
      <c r="B27" s="27"/>
      <c r="C27" s="38"/>
      <c r="D27" s="6" t="s">
        <v>14</v>
      </c>
      <c r="E27" s="6">
        <f t="shared" ref="E27:M27" si="6">SUM(E25:E26)</f>
        <v>1</v>
      </c>
      <c r="F27" s="6">
        <f t="shared" si="6"/>
        <v>1</v>
      </c>
      <c r="G27" s="6">
        <f t="shared" si="6"/>
        <v>4</v>
      </c>
      <c r="H27" s="6">
        <f t="shared" si="6"/>
        <v>0</v>
      </c>
      <c r="I27" s="6">
        <f t="shared" si="6"/>
        <v>1</v>
      </c>
      <c r="J27" s="6">
        <f t="shared" si="6"/>
        <v>1</v>
      </c>
      <c r="K27" s="6">
        <f t="shared" si="6"/>
        <v>1</v>
      </c>
      <c r="L27" s="6">
        <f t="shared" si="6"/>
        <v>1</v>
      </c>
      <c r="M27" s="6">
        <f t="shared" si="6"/>
        <v>0</v>
      </c>
      <c r="N27" s="6">
        <f t="shared" si="3"/>
        <v>10</v>
      </c>
    </row>
    <row r="28" ht="12.75" customHeight="1">
      <c r="A28" s="37"/>
      <c r="B28" s="39" t="s">
        <v>23</v>
      </c>
      <c r="C28" s="40" t="s">
        <v>24</v>
      </c>
      <c r="D28" s="6" t="s">
        <v>12</v>
      </c>
      <c r="E28" s="6">
        <f t="shared" ref="E28:M28" si="7">SUM(E19,E22,E25)</f>
        <v>128</v>
      </c>
      <c r="F28" s="6">
        <f t="shared" si="7"/>
        <v>109</v>
      </c>
      <c r="G28" s="6">
        <f t="shared" si="7"/>
        <v>114</v>
      </c>
      <c r="H28" s="6">
        <f t="shared" si="7"/>
        <v>108</v>
      </c>
      <c r="I28" s="6">
        <f t="shared" si="7"/>
        <v>108</v>
      </c>
      <c r="J28" s="6">
        <f t="shared" si="7"/>
        <v>96</v>
      </c>
      <c r="K28" s="6">
        <f t="shared" si="7"/>
        <v>90</v>
      </c>
      <c r="L28" s="6">
        <f t="shared" si="7"/>
        <v>105</v>
      </c>
      <c r="M28" s="6">
        <f t="shared" si="7"/>
        <v>106</v>
      </c>
      <c r="N28" s="6">
        <f t="shared" si="3"/>
        <v>964</v>
      </c>
    </row>
    <row r="29" ht="12.75" customHeight="1">
      <c r="A29" s="37"/>
      <c r="B29" s="26"/>
      <c r="C29" s="36"/>
      <c r="D29" s="6" t="s">
        <v>13</v>
      </c>
      <c r="E29" s="6">
        <f t="shared" ref="E29:M29" si="8">SUM(E20,E23,E26)</f>
        <v>118</v>
      </c>
      <c r="F29" s="6">
        <f t="shared" si="8"/>
        <v>118</v>
      </c>
      <c r="G29" s="6">
        <f t="shared" si="8"/>
        <v>119</v>
      </c>
      <c r="H29" s="6">
        <f t="shared" si="8"/>
        <v>108</v>
      </c>
      <c r="I29" s="6">
        <f t="shared" si="8"/>
        <v>105</v>
      </c>
      <c r="J29" s="6">
        <f t="shared" si="8"/>
        <v>125</v>
      </c>
      <c r="K29" s="6">
        <f t="shared" si="8"/>
        <v>114</v>
      </c>
      <c r="L29" s="6">
        <f t="shared" si="8"/>
        <v>121</v>
      </c>
      <c r="M29" s="6">
        <f t="shared" si="8"/>
        <v>105</v>
      </c>
      <c r="N29" s="6">
        <f t="shared" si="3"/>
        <v>1033</v>
      </c>
    </row>
    <row r="30" ht="12.75" customHeight="1">
      <c r="A30" s="37"/>
      <c r="B30" s="27"/>
      <c r="C30" s="38"/>
      <c r="D30" s="6" t="s">
        <v>14</v>
      </c>
      <c r="E30" s="6">
        <f t="shared" ref="E30:M30" si="9">SUM(E28:E29)</f>
        <v>246</v>
      </c>
      <c r="F30" s="6">
        <f t="shared" si="9"/>
        <v>227</v>
      </c>
      <c r="G30" s="6">
        <f t="shared" si="9"/>
        <v>233</v>
      </c>
      <c r="H30" s="6">
        <f t="shared" si="9"/>
        <v>216</v>
      </c>
      <c r="I30" s="6">
        <f t="shared" si="9"/>
        <v>213</v>
      </c>
      <c r="J30" s="6">
        <f t="shared" si="9"/>
        <v>221</v>
      </c>
      <c r="K30" s="6">
        <f t="shared" si="9"/>
        <v>204</v>
      </c>
      <c r="L30" s="6">
        <f t="shared" si="9"/>
        <v>226</v>
      </c>
      <c r="M30" s="6">
        <f t="shared" si="9"/>
        <v>211</v>
      </c>
      <c r="N30" s="6">
        <f t="shared" si="3"/>
        <v>1997</v>
      </c>
    </row>
    <row r="31" ht="12.75" customHeight="1">
      <c r="A31" s="21"/>
      <c r="B31" s="8"/>
      <c r="C31" s="8"/>
      <c r="D31" s="9"/>
      <c r="E31" s="13"/>
      <c r="F31" s="13"/>
      <c r="G31" s="13"/>
      <c r="H31" s="13"/>
      <c r="I31" s="13"/>
      <c r="J31" s="13"/>
      <c r="K31" s="13"/>
      <c r="L31" s="13"/>
      <c r="M31" s="13"/>
      <c r="N31" s="6"/>
    </row>
    <row r="32" ht="12.75" customHeight="1">
      <c r="A32" s="42" t="s">
        <v>25</v>
      </c>
      <c r="B32" s="7" t="s">
        <v>26</v>
      </c>
      <c r="C32" s="8"/>
      <c r="D32" s="9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ht="12.75" customHeight="1">
      <c r="A33" s="13">
        <v>1.0</v>
      </c>
      <c r="B33" s="14" t="s">
        <v>27</v>
      </c>
      <c r="C33" s="8"/>
      <c r="D33" s="9"/>
      <c r="E33" s="13">
        <v>281.0</v>
      </c>
      <c r="F33" s="13">
        <v>266.0</v>
      </c>
      <c r="G33" s="13">
        <v>270.0</v>
      </c>
      <c r="H33" s="13">
        <v>268.0</v>
      </c>
      <c r="I33" s="13">
        <v>268.0</v>
      </c>
      <c r="J33" s="13">
        <v>272.0</v>
      </c>
      <c r="K33" s="13">
        <v>265.0</v>
      </c>
      <c r="L33" s="13">
        <v>270.0</v>
      </c>
      <c r="M33" s="13">
        <v>264.0</v>
      </c>
      <c r="N33" s="6">
        <f t="shared" ref="N33:N36" si="10">SUM(E33:M33)</f>
        <v>2424</v>
      </c>
    </row>
    <row r="34" ht="12.75" customHeight="1">
      <c r="A34" s="13">
        <v>2.0</v>
      </c>
      <c r="B34" s="14" t="s">
        <v>28</v>
      </c>
      <c r="C34" s="8"/>
      <c r="D34" s="9"/>
      <c r="E34" s="73">
        <v>246.0</v>
      </c>
      <c r="F34" s="6">
        <v>227.0</v>
      </c>
      <c r="G34" s="6">
        <v>233.0</v>
      </c>
      <c r="H34" s="6">
        <v>216.0</v>
      </c>
      <c r="I34" s="6">
        <v>213.0</v>
      </c>
      <c r="J34" s="6">
        <v>221.0</v>
      </c>
      <c r="K34" s="6">
        <v>204.0</v>
      </c>
      <c r="L34" s="6">
        <v>226.0</v>
      </c>
      <c r="M34" s="6">
        <v>211.0</v>
      </c>
      <c r="N34" s="6">
        <f t="shared" si="10"/>
        <v>1997</v>
      </c>
    </row>
    <row r="35" ht="12.75" customHeight="1">
      <c r="A35" s="13">
        <v>3.0</v>
      </c>
      <c r="B35" s="14" t="s">
        <v>29</v>
      </c>
      <c r="C35" s="8"/>
      <c r="D35" s="9"/>
      <c r="E35" s="13">
        <v>1.0</v>
      </c>
      <c r="F35" s="13">
        <v>2.0</v>
      </c>
      <c r="G35" s="13">
        <v>1.0</v>
      </c>
      <c r="H35" s="13">
        <v>0.0</v>
      </c>
      <c r="I35" s="13">
        <v>0.0</v>
      </c>
      <c r="J35" s="13">
        <v>0.0</v>
      </c>
      <c r="K35" s="13">
        <v>0.0</v>
      </c>
      <c r="L35" s="13">
        <v>0.0</v>
      </c>
      <c r="M35" s="13">
        <v>0.0</v>
      </c>
      <c r="N35" s="6">
        <f t="shared" si="10"/>
        <v>4</v>
      </c>
    </row>
    <row r="36" ht="12.75" customHeight="1">
      <c r="A36" s="13">
        <v>4.0</v>
      </c>
      <c r="B36" s="14" t="s">
        <v>30</v>
      </c>
      <c r="C36" s="8"/>
      <c r="D36" s="9"/>
      <c r="E36" s="6">
        <f t="shared" ref="E36:M36" si="11">E33-(E34+E35)</f>
        <v>34</v>
      </c>
      <c r="F36" s="6">
        <f t="shared" si="11"/>
        <v>37</v>
      </c>
      <c r="G36" s="6">
        <f t="shared" si="11"/>
        <v>36</v>
      </c>
      <c r="H36" s="6">
        <f t="shared" si="11"/>
        <v>52</v>
      </c>
      <c r="I36" s="6">
        <f t="shared" si="11"/>
        <v>55</v>
      </c>
      <c r="J36" s="6">
        <f t="shared" si="11"/>
        <v>51</v>
      </c>
      <c r="K36" s="6">
        <f t="shared" si="11"/>
        <v>61</v>
      </c>
      <c r="L36" s="6">
        <f t="shared" si="11"/>
        <v>44</v>
      </c>
      <c r="M36" s="6">
        <f t="shared" si="11"/>
        <v>53</v>
      </c>
      <c r="N36" s="6">
        <f t="shared" si="10"/>
        <v>423</v>
      </c>
    </row>
    <row r="37" ht="12.75" customHeight="1">
      <c r="A37" s="21"/>
      <c r="B37" s="8"/>
      <c r="C37" s="8"/>
      <c r="D37" s="8"/>
      <c r="E37" s="21"/>
      <c r="F37" s="8"/>
      <c r="G37" s="8"/>
      <c r="H37" s="8"/>
      <c r="I37" s="9"/>
      <c r="J37" s="13"/>
      <c r="K37" s="13"/>
      <c r="L37" s="13"/>
      <c r="M37" s="13"/>
      <c r="N37" s="6"/>
    </row>
    <row r="38" ht="12.75" customHeight="1">
      <c r="A38" s="44" t="s">
        <v>31</v>
      </c>
      <c r="B38" s="7" t="s">
        <v>32</v>
      </c>
      <c r="C38" s="8"/>
      <c r="D38" s="9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ht="12.75" customHeight="1">
      <c r="A39" s="32"/>
      <c r="B39" s="45" t="s">
        <v>33</v>
      </c>
      <c r="C39" s="20"/>
      <c r="D39" s="13" t="s">
        <v>12</v>
      </c>
      <c r="E39" s="13">
        <v>4.0</v>
      </c>
      <c r="F39" s="13">
        <v>1.0</v>
      </c>
      <c r="G39" s="13">
        <v>1.0</v>
      </c>
      <c r="H39" s="13"/>
      <c r="I39" s="13"/>
      <c r="J39" s="13"/>
      <c r="K39" s="13">
        <v>1.0</v>
      </c>
      <c r="L39" s="13"/>
      <c r="M39" s="13">
        <v>1.0</v>
      </c>
      <c r="N39" s="6">
        <f t="shared" ref="N39:N41" si="12">SUM(E39:M39)</f>
        <v>8</v>
      </c>
    </row>
    <row r="40" ht="12.75" customHeight="1">
      <c r="A40" s="35"/>
      <c r="C40" s="26"/>
      <c r="D40" s="13" t="s">
        <v>13</v>
      </c>
      <c r="E40" s="13">
        <v>2.0</v>
      </c>
      <c r="F40" s="13"/>
      <c r="G40" s="13"/>
      <c r="H40" s="13"/>
      <c r="I40" s="13"/>
      <c r="J40" s="13"/>
      <c r="K40" s="13"/>
      <c r="L40" s="13"/>
      <c r="M40" s="13"/>
      <c r="N40" s="6">
        <f t="shared" si="12"/>
        <v>2</v>
      </c>
    </row>
    <row r="41" ht="12.75" customHeight="1">
      <c r="A41" s="42"/>
      <c r="B41" s="46"/>
      <c r="C41" s="27"/>
      <c r="D41" s="6" t="s">
        <v>14</v>
      </c>
      <c r="E41" s="6">
        <f t="shared" ref="E41:M41" si="13">SUM(E39:E40)</f>
        <v>6</v>
      </c>
      <c r="F41" s="6">
        <f t="shared" si="13"/>
        <v>1</v>
      </c>
      <c r="G41" s="6">
        <f t="shared" si="13"/>
        <v>1</v>
      </c>
      <c r="H41" s="6">
        <f t="shared" si="13"/>
        <v>0</v>
      </c>
      <c r="I41" s="6">
        <f t="shared" si="13"/>
        <v>0</v>
      </c>
      <c r="J41" s="6">
        <f t="shared" si="13"/>
        <v>0</v>
      </c>
      <c r="K41" s="6">
        <f t="shared" si="13"/>
        <v>1</v>
      </c>
      <c r="L41" s="6">
        <f t="shared" si="13"/>
        <v>0</v>
      </c>
      <c r="M41" s="6">
        <f t="shared" si="13"/>
        <v>1</v>
      </c>
      <c r="N41" s="6">
        <f t="shared" si="12"/>
        <v>10</v>
      </c>
    </row>
    <row r="42" ht="12.75" customHeight="1">
      <c r="A42" s="47"/>
      <c r="B42" s="46"/>
      <c r="C42" s="46"/>
      <c r="D42" s="27"/>
      <c r="E42" s="21"/>
      <c r="F42" s="8"/>
      <c r="G42" s="8"/>
      <c r="H42" s="8"/>
      <c r="I42" s="9"/>
      <c r="J42" s="13"/>
      <c r="K42" s="13"/>
      <c r="L42" s="13"/>
      <c r="M42" s="13"/>
      <c r="N42" s="6"/>
    </row>
    <row r="43" ht="12.75" customHeight="1">
      <c r="A43" s="44" t="s">
        <v>34</v>
      </c>
      <c r="B43" s="7" t="s">
        <v>35</v>
      </c>
      <c r="C43" s="8"/>
      <c r="D43" s="9"/>
      <c r="E43" s="28"/>
      <c r="F43" s="6"/>
      <c r="G43" s="6"/>
      <c r="H43" s="6"/>
      <c r="I43" s="6"/>
      <c r="J43" s="6"/>
      <c r="K43" s="6"/>
      <c r="L43" s="6"/>
      <c r="M43" s="6"/>
      <c r="N43" s="6"/>
    </row>
    <row r="44" ht="12.75" customHeight="1">
      <c r="A44" s="45" t="s">
        <v>36</v>
      </c>
      <c r="B44" s="48"/>
      <c r="C44" s="48"/>
      <c r="D44" s="20"/>
      <c r="E44" s="21"/>
      <c r="F44" s="13"/>
      <c r="G44" s="13"/>
      <c r="H44" s="13"/>
      <c r="I44" s="13"/>
      <c r="J44" s="13"/>
      <c r="K44" s="13"/>
      <c r="L44" s="13"/>
      <c r="M44" s="13"/>
      <c r="N44" s="6"/>
    </row>
    <row r="45" ht="12.75" customHeight="1">
      <c r="A45" s="32" t="s">
        <v>37</v>
      </c>
      <c r="B45" s="49" t="s">
        <v>17</v>
      </c>
      <c r="C45" s="50" t="s">
        <v>38</v>
      </c>
      <c r="D45" s="9"/>
      <c r="E45" s="13">
        <v>6.0</v>
      </c>
      <c r="F45" s="13">
        <v>8.0</v>
      </c>
      <c r="G45" s="13">
        <v>7.0</v>
      </c>
      <c r="H45" s="13">
        <v>5.0</v>
      </c>
      <c r="I45" s="13">
        <v>11.0</v>
      </c>
      <c r="J45" s="13">
        <v>6.0</v>
      </c>
      <c r="K45" s="13">
        <v>5.0</v>
      </c>
      <c r="L45" s="13">
        <v>5.0</v>
      </c>
      <c r="M45" s="13">
        <v>3.0</v>
      </c>
      <c r="N45" s="6">
        <f t="shared" ref="N45:N52" si="14">SUM(E45:M45)</f>
        <v>56</v>
      </c>
    </row>
    <row r="46" ht="12.75" customHeight="1">
      <c r="A46" s="32" t="s">
        <v>39</v>
      </c>
      <c r="B46" s="51"/>
      <c r="C46" s="52" t="s">
        <v>40</v>
      </c>
      <c r="D46" s="53"/>
      <c r="E46" s="13">
        <v>1.0</v>
      </c>
      <c r="F46" s="13">
        <v>8.0</v>
      </c>
      <c r="G46" s="13">
        <v>19.0</v>
      </c>
      <c r="H46" s="13">
        <v>1.0</v>
      </c>
      <c r="I46" s="13">
        <v>0.0</v>
      </c>
      <c r="J46" s="13">
        <v>4.0</v>
      </c>
      <c r="K46" s="13">
        <v>1.0</v>
      </c>
      <c r="L46" s="13">
        <v>6.0</v>
      </c>
      <c r="M46" s="13">
        <v>3.0</v>
      </c>
      <c r="N46" s="6">
        <f t="shared" si="14"/>
        <v>43</v>
      </c>
    </row>
    <row r="47" ht="12.75" customHeight="1">
      <c r="A47" s="18"/>
      <c r="B47" s="51"/>
      <c r="C47" s="52" t="s">
        <v>41</v>
      </c>
      <c r="D47" s="53"/>
      <c r="E47" s="13">
        <v>1.0</v>
      </c>
      <c r="F47" s="13">
        <v>2.0</v>
      </c>
      <c r="G47" s="13">
        <v>5.0</v>
      </c>
      <c r="H47" s="13">
        <v>1.0</v>
      </c>
      <c r="I47" s="13">
        <v>1.0</v>
      </c>
      <c r="J47" s="13">
        <v>1.0</v>
      </c>
      <c r="K47" s="13">
        <v>1.0</v>
      </c>
      <c r="L47" s="13">
        <v>1.0</v>
      </c>
      <c r="M47" s="13">
        <v>1.0</v>
      </c>
      <c r="N47" s="6">
        <f t="shared" si="14"/>
        <v>14</v>
      </c>
    </row>
    <row r="48" ht="12.75" customHeight="1">
      <c r="A48" s="18"/>
      <c r="B48" s="51"/>
      <c r="C48" s="52" t="s">
        <v>42</v>
      </c>
      <c r="D48" s="53"/>
      <c r="E48" s="13">
        <v>0.0</v>
      </c>
      <c r="F48" s="13">
        <v>0.0</v>
      </c>
      <c r="G48" s="13">
        <v>1.0</v>
      </c>
      <c r="H48" s="13">
        <v>1.0</v>
      </c>
      <c r="I48" s="13">
        <v>0.0</v>
      </c>
      <c r="J48" s="13">
        <v>0.0</v>
      </c>
      <c r="K48" s="13">
        <v>1.0</v>
      </c>
      <c r="L48" s="13">
        <v>0.0</v>
      </c>
      <c r="M48" s="13">
        <v>0.0</v>
      </c>
      <c r="N48" s="6">
        <f t="shared" si="14"/>
        <v>3</v>
      </c>
    </row>
    <row r="49" ht="12.75" customHeight="1">
      <c r="A49" s="18"/>
      <c r="B49" s="51"/>
      <c r="C49" s="52" t="s">
        <v>43</v>
      </c>
      <c r="D49" s="53"/>
      <c r="E49" s="13">
        <v>0.0</v>
      </c>
      <c r="F49" s="13">
        <v>0.0</v>
      </c>
      <c r="G49" s="13">
        <v>0.0</v>
      </c>
      <c r="H49" s="13">
        <v>0.0</v>
      </c>
      <c r="I49" s="13">
        <v>0.0</v>
      </c>
      <c r="J49" s="13">
        <v>0.0</v>
      </c>
      <c r="K49" s="13">
        <v>0.0</v>
      </c>
      <c r="L49" s="13">
        <v>0.0</v>
      </c>
      <c r="M49" s="13">
        <v>0.0</v>
      </c>
      <c r="N49" s="6">
        <f t="shared" si="14"/>
        <v>0</v>
      </c>
    </row>
    <row r="50" ht="12.75" customHeight="1">
      <c r="A50" s="18"/>
      <c r="B50" s="51"/>
      <c r="C50" s="52" t="s">
        <v>44</v>
      </c>
      <c r="D50" s="53"/>
      <c r="E50" s="13">
        <v>0.0</v>
      </c>
      <c r="F50" s="13">
        <v>0.0</v>
      </c>
      <c r="G50" s="13">
        <v>0.0</v>
      </c>
      <c r="H50" s="13">
        <v>0.0</v>
      </c>
      <c r="I50" s="13">
        <v>0.0</v>
      </c>
      <c r="J50" s="13">
        <v>0.0</v>
      </c>
      <c r="K50" s="13">
        <v>0.0</v>
      </c>
      <c r="L50" s="13">
        <v>0.0</v>
      </c>
      <c r="M50" s="13">
        <v>0.0</v>
      </c>
      <c r="N50" s="6">
        <f t="shared" si="14"/>
        <v>0</v>
      </c>
    </row>
    <row r="51" ht="12.75" customHeight="1">
      <c r="A51" s="18"/>
      <c r="B51" s="51"/>
      <c r="C51" s="52" t="s">
        <v>45</v>
      </c>
      <c r="D51" s="53"/>
      <c r="E51" s="13">
        <v>0.0</v>
      </c>
      <c r="F51" s="13">
        <v>2.0</v>
      </c>
      <c r="G51" s="13">
        <v>9.0</v>
      </c>
      <c r="H51" s="13">
        <v>2.0</v>
      </c>
      <c r="I51" s="13">
        <v>1.0</v>
      </c>
      <c r="J51" s="13">
        <v>2.0</v>
      </c>
      <c r="K51" s="13">
        <v>16.0</v>
      </c>
      <c r="L51" s="13">
        <v>3.0</v>
      </c>
      <c r="M51" s="13">
        <v>0.0</v>
      </c>
      <c r="N51" s="6">
        <f t="shared" si="14"/>
        <v>35</v>
      </c>
    </row>
    <row r="52" ht="12.75" customHeight="1">
      <c r="A52" s="13" t="s">
        <v>15</v>
      </c>
      <c r="B52" s="49" t="s">
        <v>46</v>
      </c>
      <c r="C52" s="8"/>
      <c r="D52" s="9"/>
      <c r="E52" s="60">
        <f t="shared" ref="E52:M52" si="15">SUM(E45:E51)</f>
        <v>8</v>
      </c>
      <c r="F52" s="60">
        <f t="shared" si="15"/>
        <v>20</v>
      </c>
      <c r="G52" s="60">
        <f t="shared" si="15"/>
        <v>41</v>
      </c>
      <c r="H52" s="60">
        <f t="shared" si="15"/>
        <v>10</v>
      </c>
      <c r="I52" s="60">
        <f t="shared" si="15"/>
        <v>13</v>
      </c>
      <c r="J52" s="60">
        <f t="shared" si="15"/>
        <v>13</v>
      </c>
      <c r="K52" s="60">
        <f t="shared" si="15"/>
        <v>24</v>
      </c>
      <c r="L52" s="60">
        <f t="shared" si="15"/>
        <v>15</v>
      </c>
      <c r="M52" s="60">
        <f t="shared" si="15"/>
        <v>7</v>
      </c>
      <c r="N52" s="6">
        <f t="shared" si="14"/>
        <v>151</v>
      </c>
    </row>
    <row r="53" ht="12.75" customHeight="1">
      <c r="A53" s="5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6"/>
    </row>
    <row r="54" ht="12.75" customHeight="1">
      <c r="A54" s="32" t="s">
        <v>37</v>
      </c>
      <c r="B54" s="49" t="s">
        <v>19</v>
      </c>
      <c r="C54" s="50" t="s">
        <v>47</v>
      </c>
      <c r="D54" s="9"/>
      <c r="E54" s="13">
        <v>12.0</v>
      </c>
      <c r="F54" s="13">
        <v>8.0</v>
      </c>
      <c r="G54" s="13">
        <v>7.0</v>
      </c>
      <c r="H54" s="13">
        <v>13.0</v>
      </c>
      <c r="I54" s="13">
        <v>9.0</v>
      </c>
      <c r="J54" s="13">
        <v>11.0</v>
      </c>
      <c r="K54" s="13">
        <v>9.0</v>
      </c>
      <c r="L54" s="13">
        <v>13.0</v>
      </c>
      <c r="M54" s="13">
        <v>4.0</v>
      </c>
      <c r="N54" s="6">
        <f t="shared" ref="N54:N61" si="16">SUM(E54:M54)</f>
        <v>86</v>
      </c>
    </row>
    <row r="55" ht="12.75" customHeight="1">
      <c r="A55" s="32" t="s">
        <v>39</v>
      </c>
      <c r="B55" s="51"/>
      <c r="C55" s="52" t="s">
        <v>48</v>
      </c>
      <c r="D55" s="53"/>
      <c r="E55" s="13">
        <v>0.0</v>
      </c>
      <c r="F55" s="13">
        <v>1.0</v>
      </c>
      <c r="G55" s="13">
        <v>4.0</v>
      </c>
      <c r="H55" s="13">
        <v>8.0</v>
      </c>
      <c r="I55" s="13">
        <v>3.0</v>
      </c>
      <c r="J55" s="13">
        <v>4.0</v>
      </c>
      <c r="K55" s="13">
        <v>0.0</v>
      </c>
      <c r="L55" s="13">
        <v>1.0</v>
      </c>
      <c r="M55" s="13">
        <v>2.0</v>
      </c>
      <c r="N55" s="6">
        <f t="shared" si="16"/>
        <v>23</v>
      </c>
    </row>
    <row r="56" ht="12.75" customHeight="1">
      <c r="A56" s="18"/>
      <c r="B56" s="51"/>
      <c r="C56" s="52" t="s">
        <v>49</v>
      </c>
      <c r="D56" s="53"/>
      <c r="E56" s="13">
        <v>4.0</v>
      </c>
      <c r="F56" s="13">
        <v>0.0</v>
      </c>
      <c r="G56" s="13">
        <v>4.0</v>
      </c>
      <c r="H56" s="13">
        <v>12.0</v>
      </c>
      <c r="I56" s="13">
        <v>5.0</v>
      </c>
      <c r="J56" s="13">
        <v>6.0</v>
      </c>
      <c r="K56" s="13">
        <v>1.0</v>
      </c>
      <c r="L56" s="13">
        <v>0.0</v>
      </c>
      <c r="M56" s="13">
        <v>1.0</v>
      </c>
      <c r="N56" s="6">
        <f t="shared" si="16"/>
        <v>33</v>
      </c>
    </row>
    <row r="57" ht="12.75" customHeight="1">
      <c r="A57" s="18"/>
      <c r="B57" s="51"/>
      <c r="C57" s="52" t="s">
        <v>50</v>
      </c>
      <c r="D57" s="53"/>
      <c r="E57" s="13">
        <v>2.0</v>
      </c>
      <c r="F57" s="13">
        <v>0.0</v>
      </c>
      <c r="G57" s="13">
        <v>1.0</v>
      </c>
      <c r="H57" s="13">
        <v>0.0</v>
      </c>
      <c r="I57" s="13">
        <v>2.0</v>
      </c>
      <c r="J57" s="13">
        <v>1.0</v>
      </c>
      <c r="K57" s="13">
        <v>1.0</v>
      </c>
      <c r="L57" s="13">
        <v>1.0</v>
      </c>
      <c r="M57" s="13">
        <v>1.0</v>
      </c>
      <c r="N57" s="6">
        <f t="shared" si="16"/>
        <v>9</v>
      </c>
    </row>
    <row r="58" ht="12.75" customHeight="1">
      <c r="A58" s="18"/>
      <c r="B58" s="51"/>
      <c r="C58" s="52" t="s">
        <v>51</v>
      </c>
      <c r="D58" s="53"/>
      <c r="E58" s="13">
        <v>0.0</v>
      </c>
      <c r="F58" s="13">
        <v>1.0</v>
      </c>
      <c r="G58" s="13">
        <v>0.0</v>
      </c>
      <c r="H58" s="13">
        <v>0.0</v>
      </c>
      <c r="I58" s="13">
        <v>0.0</v>
      </c>
      <c r="J58" s="72">
        <v>0.0</v>
      </c>
      <c r="K58" s="13">
        <v>1.0</v>
      </c>
      <c r="L58" s="13">
        <v>1.0</v>
      </c>
      <c r="M58" s="13">
        <v>0.0</v>
      </c>
      <c r="N58" s="6">
        <f t="shared" si="16"/>
        <v>3</v>
      </c>
    </row>
    <row r="59" ht="12.75" customHeight="1">
      <c r="A59" s="18"/>
      <c r="B59" s="51"/>
      <c r="C59" s="52" t="s">
        <v>52</v>
      </c>
      <c r="D59" s="53"/>
      <c r="E59" s="13">
        <v>1.0</v>
      </c>
      <c r="F59" s="13">
        <v>1.0</v>
      </c>
      <c r="G59" s="13">
        <v>1.0</v>
      </c>
      <c r="H59" s="13">
        <v>0.0</v>
      </c>
      <c r="I59" s="13">
        <v>0.0</v>
      </c>
      <c r="J59" s="13">
        <v>0.0</v>
      </c>
      <c r="K59" s="13">
        <v>0.0</v>
      </c>
      <c r="L59" s="13">
        <v>0.0</v>
      </c>
      <c r="M59" s="13">
        <v>1.0</v>
      </c>
      <c r="N59" s="6">
        <f t="shared" si="16"/>
        <v>4</v>
      </c>
    </row>
    <row r="60" ht="12.75" customHeight="1">
      <c r="A60" s="18"/>
      <c r="B60" s="51"/>
      <c r="C60" s="52" t="s">
        <v>53</v>
      </c>
      <c r="D60" s="53"/>
      <c r="E60" s="13">
        <v>0.0</v>
      </c>
      <c r="F60" s="13">
        <v>0.0</v>
      </c>
      <c r="G60" s="13">
        <v>1.0</v>
      </c>
      <c r="H60" s="13">
        <v>0.0</v>
      </c>
      <c r="I60" s="13">
        <v>0.0</v>
      </c>
      <c r="J60" s="13">
        <v>0.0</v>
      </c>
      <c r="K60" s="13">
        <v>0.0</v>
      </c>
      <c r="L60" s="13">
        <v>0.0</v>
      </c>
      <c r="M60" s="13">
        <v>0.0</v>
      </c>
      <c r="N60" s="6">
        <f t="shared" si="16"/>
        <v>1</v>
      </c>
    </row>
    <row r="61" ht="12.75" customHeight="1">
      <c r="A61" s="13" t="s">
        <v>15</v>
      </c>
      <c r="B61" s="49" t="s">
        <v>46</v>
      </c>
      <c r="C61" s="8"/>
      <c r="D61" s="9"/>
      <c r="E61" s="60">
        <f t="shared" ref="E61:M61" si="17">SUM(E54:E60)</f>
        <v>19</v>
      </c>
      <c r="F61" s="60">
        <f t="shared" si="17"/>
        <v>11</v>
      </c>
      <c r="G61" s="60">
        <f t="shared" si="17"/>
        <v>18</v>
      </c>
      <c r="H61" s="60">
        <f t="shared" si="17"/>
        <v>33</v>
      </c>
      <c r="I61" s="60">
        <f t="shared" si="17"/>
        <v>19</v>
      </c>
      <c r="J61" s="60">
        <f t="shared" si="17"/>
        <v>22</v>
      </c>
      <c r="K61" s="60">
        <f t="shared" si="17"/>
        <v>12</v>
      </c>
      <c r="L61" s="60">
        <f t="shared" si="17"/>
        <v>16</v>
      </c>
      <c r="M61" s="60">
        <f t="shared" si="17"/>
        <v>9</v>
      </c>
      <c r="N61" s="6">
        <f t="shared" si="16"/>
        <v>159</v>
      </c>
    </row>
    <row r="62" ht="12.75" customHeight="1">
      <c r="A62" s="54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6"/>
    </row>
    <row r="63" ht="12.75" customHeight="1">
      <c r="A63" s="32" t="s">
        <v>37</v>
      </c>
      <c r="B63" s="49" t="s">
        <v>21</v>
      </c>
      <c r="C63" s="50" t="s">
        <v>54</v>
      </c>
      <c r="D63" s="9"/>
      <c r="E63" s="13">
        <v>14.0</v>
      </c>
      <c r="F63" s="13">
        <v>6.0</v>
      </c>
      <c r="G63" s="13">
        <v>5.0</v>
      </c>
      <c r="H63" s="13">
        <v>2.0</v>
      </c>
      <c r="I63" s="13">
        <v>0.0</v>
      </c>
      <c r="J63" s="13">
        <v>8.0</v>
      </c>
      <c r="K63" s="13">
        <v>7.0</v>
      </c>
      <c r="L63" s="13">
        <v>7.0</v>
      </c>
      <c r="M63" s="13">
        <v>4.0</v>
      </c>
      <c r="N63" s="6">
        <f t="shared" ref="N63:N70" si="18">SUM(E63:M63)</f>
        <v>53</v>
      </c>
    </row>
    <row r="64" ht="12.75" customHeight="1">
      <c r="A64" s="32" t="s">
        <v>39</v>
      </c>
      <c r="B64" s="51"/>
      <c r="C64" s="52" t="s">
        <v>55</v>
      </c>
      <c r="D64" s="53"/>
      <c r="E64" s="13">
        <v>16.0</v>
      </c>
      <c r="F64" s="13">
        <v>2.0</v>
      </c>
      <c r="G64" s="13">
        <v>1.0</v>
      </c>
      <c r="H64" s="72">
        <v>4.0</v>
      </c>
      <c r="I64" s="13">
        <v>1.0</v>
      </c>
      <c r="J64" s="13">
        <v>4.0</v>
      </c>
      <c r="K64" s="13">
        <v>3.0</v>
      </c>
      <c r="L64" s="13">
        <v>3.0</v>
      </c>
      <c r="M64" s="13">
        <v>1.0</v>
      </c>
      <c r="N64" s="6">
        <f t="shared" si="18"/>
        <v>35</v>
      </c>
    </row>
    <row r="65" ht="12.75" customHeight="1">
      <c r="A65" s="18"/>
      <c r="B65" s="51"/>
      <c r="C65" s="52" t="s">
        <v>56</v>
      </c>
      <c r="D65" s="53"/>
      <c r="E65" s="13">
        <v>17.0</v>
      </c>
      <c r="F65" s="13">
        <v>15.0</v>
      </c>
      <c r="G65" s="13">
        <v>4.0</v>
      </c>
      <c r="H65" s="13">
        <v>1.0</v>
      </c>
      <c r="I65" s="13">
        <v>2.0</v>
      </c>
      <c r="J65" s="13">
        <v>1.0</v>
      </c>
      <c r="K65" s="13">
        <v>22.0</v>
      </c>
      <c r="L65" s="13">
        <v>9.0</v>
      </c>
      <c r="M65" s="13">
        <v>6.0</v>
      </c>
      <c r="N65" s="6">
        <f t="shared" si="18"/>
        <v>77</v>
      </c>
    </row>
    <row r="66" ht="12.75" customHeight="1">
      <c r="A66" s="18"/>
      <c r="B66" s="51"/>
      <c r="C66" s="52" t="s">
        <v>57</v>
      </c>
      <c r="D66" s="53"/>
      <c r="E66" s="13">
        <v>1.0</v>
      </c>
      <c r="F66" s="13">
        <v>3.0</v>
      </c>
      <c r="G66" s="13">
        <v>1.0</v>
      </c>
      <c r="H66" s="13">
        <v>0.0</v>
      </c>
      <c r="I66" s="13">
        <v>0.0</v>
      </c>
      <c r="J66" s="13">
        <v>0.0</v>
      </c>
      <c r="K66" s="13">
        <v>4.0</v>
      </c>
      <c r="L66" s="13">
        <v>0.0</v>
      </c>
      <c r="M66" s="13">
        <v>1.0</v>
      </c>
      <c r="N66" s="6">
        <f t="shared" si="18"/>
        <v>10</v>
      </c>
    </row>
    <row r="67" ht="12.75" customHeight="1">
      <c r="A67" s="18"/>
      <c r="B67" s="51"/>
      <c r="C67" s="52" t="s">
        <v>58</v>
      </c>
      <c r="D67" s="53"/>
      <c r="E67" s="13">
        <v>0.0</v>
      </c>
      <c r="F67" s="13">
        <v>0.0</v>
      </c>
      <c r="G67" s="13">
        <v>0.0</v>
      </c>
      <c r="H67" s="13">
        <v>0.0</v>
      </c>
      <c r="I67" s="13">
        <v>0.0</v>
      </c>
      <c r="J67" s="13">
        <v>0.0</v>
      </c>
      <c r="K67" s="13">
        <v>0.0</v>
      </c>
      <c r="L67" s="13">
        <v>0.0</v>
      </c>
      <c r="M67" s="13">
        <v>0.0</v>
      </c>
      <c r="N67" s="6">
        <f t="shared" si="18"/>
        <v>0</v>
      </c>
    </row>
    <row r="68" ht="12.75" customHeight="1">
      <c r="A68" s="18"/>
      <c r="B68" s="51"/>
      <c r="C68" s="52" t="s">
        <v>59</v>
      </c>
      <c r="D68" s="53"/>
      <c r="E68" s="13">
        <v>8.0</v>
      </c>
      <c r="F68" s="13">
        <v>16.0</v>
      </c>
      <c r="G68" s="13">
        <v>6.0</v>
      </c>
      <c r="H68" s="13">
        <v>2.0</v>
      </c>
      <c r="I68" s="13">
        <v>2.0</v>
      </c>
      <c r="J68" s="13">
        <v>4.0</v>
      </c>
      <c r="K68" s="13">
        <v>0.0</v>
      </c>
      <c r="L68" s="13">
        <v>0.0</v>
      </c>
      <c r="M68" s="13">
        <v>0.0</v>
      </c>
      <c r="N68" s="6">
        <f t="shared" si="18"/>
        <v>38</v>
      </c>
    </row>
    <row r="69" ht="12.75" customHeight="1">
      <c r="A69" s="18"/>
      <c r="B69" s="51"/>
      <c r="C69" s="52" t="s">
        <v>60</v>
      </c>
      <c r="D69" s="53"/>
      <c r="E69" s="13">
        <v>9.0</v>
      </c>
      <c r="F69" s="13">
        <v>3.0</v>
      </c>
      <c r="G69" s="13">
        <v>3.0</v>
      </c>
      <c r="H69" s="13">
        <v>0.0</v>
      </c>
      <c r="I69" s="13">
        <v>4.0</v>
      </c>
      <c r="J69" s="13">
        <v>4.0</v>
      </c>
      <c r="K69" s="13">
        <v>2.0</v>
      </c>
      <c r="L69" s="13">
        <v>8.0</v>
      </c>
      <c r="M69" s="13">
        <v>3.0</v>
      </c>
      <c r="N69" s="6">
        <f t="shared" si="18"/>
        <v>36</v>
      </c>
    </row>
    <row r="70" ht="12.75" customHeight="1">
      <c r="A70" s="13" t="s">
        <v>15</v>
      </c>
      <c r="B70" s="49" t="s">
        <v>46</v>
      </c>
      <c r="C70" s="8"/>
      <c r="D70" s="9"/>
      <c r="E70" s="60">
        <f t="shared" ref="E70:M70" si="19">SUM(E63:E69)</f>
        <v>65</v>
      </c>
      <c r="F70" s="60">
        <f t="shared" si="19"/>
        <v>45</v>
      </c>
      <c r="G70" s="60">
        <f t="shared" si="19"/>
        <v>20</v>
      </c>
      <c r="H70" s="60">
        <f t="shared" si="19"/>
        <v>9</v>
      </c>
      <c r="I70" s="60">
        <f t="shared" si="19"/>
        <v>9</v>
      </c>
      <c r="J70" s="60">
        <f t="shared" si="19"/>
        <v>21</v>
      </c>
      <c r="K70" s="60">
        <f t="shared" si="19"/>
        <v>38</v>
      </c>
      <c r="L70" s="60">
        <f t="shared" si="19"/>
        <v>27</v>
      </c>
      <c r="M70" s="60">
        <f t="shared" si="19"/>
        <v>15</v>
      </c>
      <c r="N70" s="6">
        <f t="shared" si="18"/>
        <v>249</v>
      </c>
    </row>
    <row r="71" ht="12.75" customHeight="1">
      <c r="A71" s="54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6"/>
    </row>
    <row r="72" ht="12.75" customHeight="1">
      <c r="A72" s="32" t="s">
        <v>37</v>
      </c>
      <c r="B72" s="49" t="s">
        <v>23</v>
      </c>
      <c r="C72" s="50" t="s">
        <v>61</v>
      </c>
      <c r="D72" s="9"/>
      <c r="E72" s="13">
        <v>1.0</v>
      </c>
      <c r="F72" s="13">
        <v>0.0</v>
      </c>
      <c r="G72" s="13">
        <v>3.0</v>
      </c>
      <c r="H72" s="13">
        <v>1.0</v>
      </c>
      <c r="I72" s="13">
        <v>3.0</v>
      </c>
      <c r="J72" s="13">
        <v>1.0</v>
      </c>
      <c r="K72" s="13">
        <v>2.0</v>
      </c>
      <c r="L72" s="13">
        <v>1.0</v>
      </c>
      <c r="M72" s="13">
        <v>1.0</v>
      </c>
      <c r="N72" s="6">
        <f t="shared" ref="N72:N79" si="20">SUM(E72:M72)</f>
        <v>13</v>
      </c>
    </row>
    <row r="73" ht="12.75" customHeight="1">
      <c r="A73" s="32" t="s">
        <v>39</v>
      </c>
      <c r="B73" s="51"/>
      <c r="C73" s="52" t="s">
        <v>62</v>
      </c>
      <c r="D73" s="53"/>
      <c r="E73" s="13">
        <v>2.0</v>
      </c>
      <c r="F73" s="13">
        <v>1.0</v>
      </c>
      <c r="G73" s="13">
        <v>13.0</v>
      </c>
      <c r="H73" s="13">
        <v>4.0</v>
      </c>
      <c r="I73" s="13">
        <v>6.0</v>
      </c>
      <c r="J73" s="13">
        <v>1.0</v>
      </c>
      <c r="K73" s="13">
        <v>0.0</v>
      </c>
      <c r="L73" s="13">
        <v>2.0</v>
      </c>
      <c r="M73" s="13">
        <v>5.0</v>
      </c>
      <c r="N73" s="6">
        <f t="shared" si="20"/>
        <v>34</v>
      </c>
    </row>
    <row r="74" ht="12.75" customHeight="1">
      <c r="A74" s="18"/>
      <c r="B74" s="51"/>
      <c r="C74" s="52" t="s">
        <v>63</v>
      </c>
      <c r="D74" s="53"/>
      <c r="E74" s="13">
        <v>1.0</v>
      </c>
      <c r="F74" s="13">
        <v>0.0</v>
      </c>
      <c r="G74" s="13">
        <v>0.0</v>
      </c>
      <c r="H74" s="13">
        <v>0.0</v>
      </c>
      <c r="I74" s="13">
        <v>0.0</v>
      </c>
      <c r="J74" s="13">
        <v>0.0</v>
      </c>
      <c r="K74" s="13">
        <v>0.0</v>
      </c>
      <c r="L74" s="13">
        <v>0.0</v>
      </c>
      <c r="M74" s="13">
        <v>1.0</v>
      </c>
      <c r="N74" s="6">
        <f t="shared" si="20"/>
        <v>2</v>
      </c>
    </row>
    <row r="75" ht="12.75" customHeight="1">
      <c r="A75" s="18"/>
      <c r="B75" s="51"/>
      <c r="C75" s="52" t="s">
        <v>64</v>
      </c>
      <c r="D75" s="53"/>
      <c r="E75" s="13">
        <v>0.0</v>
      </c>
      <c r="F75" s="13">
        <v>0.0</v>
      </c>
      <c r="G75" s="13">
        <v>0.0</v>
      </c>
      <c r="H75" s="13">
        <v>0.0</v>
      </c>
      <c r="I75" s="13">
        <v>0.0</v>
      </c>
      <c r="J75" s="13">
        <v>0.0</v>
      </c>
      <c r="K75" s="13">
        <v>0.0</v>
      </c>
      <c r="L75" s="13">
        <v>1.0</v>
      </c>
      <c r="M75" s="13">
        <v>0.0</v>
      </c>
      <c r="N75" s="6">
        <f t="shared" si="20"/>
        <v>1</v>
      </c>
    </row>
    <row r="76" ht="12.75" customHeight="1">
      <c r="A76" s="18"/>
      <c r="B76" s="51"/>
      <c r="C76" s="52" t="s">
        <v>65</v>
      </c>
      <c r="D76" s="53"/>
      <c r="E76" s="13">
        <v>2.0</v>
      </c>
      <c r="F76" s="13">
        <v>0.0</v>
      </c>
      <c r="G76" s="13">
        <v>13.0</v>
      </c>
      <c r="H76" s="13">
        <v>7.0</v>
      </c>
      <c r="I76" s="13">
        <v>2.0</v>
      </c>
      <c r="J76" s="13">
        <v>2.0</v>
      </c>
      <c r="K76" s="13">
        <v>6.0</v>
      </c>
      <c r="L76" s="13">
        <v>5.0</v>
      </c>
      <c r="M76" s="13">
        <v>0.0</v>
      </c>
      <c r="N76" s="6">
        <f t="shared" si="20"/>
        <v>37</v>
      </c>
    </row>
    <row r="77" ht="12.75" customHeight="1">
      <c r="A77" s="18"/>
      <c r="B77" s="51"/>
      <c r="C77" s="52" t="s">
        <v>66</v>
      </c>
      <c r="D77" s="53"/>
      <c r="E77" s="13">
        <v>0.0</v>
      </c>
      <c r="F77" s="13">
        <v>0.0</v>
      </c>
      <c r="G77" s="13">
        <v>0.0</v>
      </c>
      <c r="H77" s="13">
        <v>0.0</v>
      </c>
      <c r="I77" s="13">
        <v>0.0</v>
      </c>
      <c r="J77" s="13">
        <v>1.0</v>
      </c>
      <c r="K77" s="13">
        <v>0.0</v>
      </c>
      <c r="L77" s="13">
        <v>0.0</v>
      </c>
      <c r="M77" s="13">
        <v>1.0</v>
      </c>
      <c r="N77" s="6">
        <f t="shared" si="20"/>
        <v>2</v>
      </c>
    </row>
    <row r="78" ht="12.75" customHeight="1">
      <c r="A78" s="18"/>
      <c r="B78" s="51"/>
      <c r="C78" s="52" t="s">
        <v>67</v>
      </c>
      <c r="D78" s="53"/>
      <c r="E78" s="13">
        <v>0.0</v>
      </c>
      <c r="F78" s="13">
        <v>0.0</v>
      </c>
      <c r="G78" s="13">
        <v>1.0</v>
      </c>
      <c r="H78" s="13">
        <v>0.0</v>
      </c>
      <c r="I78" s="13">
        <v>0.0</v>
      </c>
      <c r="J78" s="13">
        <v>0.0</v>
      </c>
      <c r="K78" s="13">
        <v>0.0</v>
      </c>
      <c r="L78" s="13">
        <v>0.0</v>
      </c>
      <c r="M78" s="13">
        <v>0.0</v>
      </c>
      <c r="N78" s="6">
        <f t="shared" si="20"/>
        <v>1</v>
      </c>
    </row>
    <row r="79" ht="12.75" customHeight="1">
      <c r="A79" s="13" t="s">
        <v>15</v>
      </c>
      <c r="B79" s="49" t="s">
        <v>46</v>
      </c>
      <c r="C79" s="8"/>
      <c r="D79" s="9"/>
      <c r="E79" s="60">
        <f t="shared" ref="E79:M79" si="21">SUM(E72:E78)</f>
        <v>6</v>
      </c>
      <c r="F79" s="60">
        <f t="shared" si="21"/>
        <v>1</v>
      </c>
      <c r="G79" s="60">
        <f t="shared" si="21"/>
        <v>30</v>
      </c>
      <c r="H79" s="60">
        <f t="shared" si="21"/>
        <v>12</v>
      </c>
      <c r="I79" s="60">
        <f t="shared" si="21"/>
        <v>11</v>
      </c>
      <c r="J79" s="60">
        <f t="shared" si="21"/>
        <v>5</v>
      </c>
      <c r="K79" s="60">
        <f t="shared" si="21"/>
        <v>8</v>
      </c>
      <c r="L79" s="60">
        <f t="shared" si="21"/>
        <v>9</v>
      </c>
      <c r="M79" s="60">
        <f t="shared" si="21"/>
        <v>8</v>
      </c>
      <c r="N79" s="6">
        <f t="shared" si="20"/>
        <v>90</v>
      </c>
    </row>
    <row r="80" ht="12.75" customHeight="1">
      <c r="A80" s="54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6"/>
    </row>
    <row r="81" ht="12.75" customHeight="1">
      <c r="A81" s="32" t="s">
        <v>37</v>
      </c>
      <c r="B81" s="49" t="s">
        <v>68</v>
      </c>
      <c r="C81" s="50" t="s">
        <v>69</v>
      </c>
      <c r="D81" s="9"/>
      <c r="E81" s="13">
        <v>1.0</v>
      </c>
      <c r="F81" s="13">
        <v>0.0</v>
      </c>
      <c r="G81" s="13">
        <v>0.0</v>
      </c>
      <c r="H81" s="13">
        <v>0.0</v>
      </c>
      <c r="I81" s="13">
        <v>0.0</v>
      </c>
      <c r="J81" s="13">
        <v>0.0</v>
      </c>
      <c r="K81" s="13">
        <v>0.0</v>
      </c>
      <c r="L81" s="13">
        <v>1.0</v>
      </c>
      <c r="M81" s="13">
        <v>0.0</v>
      </c>
      <c r="N81" s="6">
        <f t="shared" ref="N81:N88" si="22">SUM(E81:M81)</f>
        <v>2</v>
      </c>
    </row>
    <row r="82" ht="12.75" customHeight="1">
      <c r="A82" s="32" t="s">
        <v>39</v>
      </c>
      <c r="B82" s="51"/>
      <c r="C82" s="52" t="s">
        <v>70</v>
      </c>
      <c r="D82" s="53"/>
      <c r="E82" s="13">
        <v>18.0</v>
      </c>
      <c r="F82" s="13">
        <v>7.0</v>
      </c>
      <c r="G82" s="13">
        <v>11.0</v>
      </c>
      <c r="H82" s="72">
        <v>24.0</v>
      </c>
      <c r="I82" s="13">
        <v>20.0</v>
      </c>
      <c r="J82" s="13">
        <v>30.0</v>
      </c>
      <c r="K82" s="13">
        <v>3.0</v>
      </c>
      <c r="L82" s="13">
        <v>9.0</v>
      </c>
      <c r="M82" s="13">
        <v>23.0</v>
      </c>
      <c r="N82" s="6">
        <f t="shared" si="22"/>
        <v>145</v>
      </c>
    </row>
    <row r="83" ht="12.75" customHeight="1">
      <c r="A83" s="18"/>
      <c r="B83" s="51"/>
      <c r="C83" s="52" t="s">
        <v>71</v>
      </c>
      <c r="D83" s="53"/>
      <c r="E83" s="13">
        <v>0.0</v>
      </c>
      <c r="F83" s="13">
        <v>0.0</v>
      </c>
      <c r="G83" s="13">
        <v>0.0</v>
      </c>
      <c r="H83" s="13">
        <v>0.0</v>
      </c>
      <c r="I83" s="13">
        <v>0.0</v>
      </c>
      <c r="J83" s="13">
        <v>0.0</v>
      </c>
      <c r="K83" s="13">
        <v>1.0</v>
      </c>
      <c r="L83" s="13">
        <v>0.0</v>
      </c>
      <c r="M83" s="13">
        <v>0.0</v>
      </c>
      <c r="N83" s="6">
        <f t="shared" si="22"/>
        <v>1</v>
      </c>
    </row>
    <row r="84" ht="12.75" customHeight="1">
      <c r="A84" s="18"/>
      <c r="B84" s="51"/>
      <c r="C84" s="52" t="s">
        <v>72</v>
      </c>
      <c r="D84" s="53"/>
      <c r="E84" s="13">
        <v>1.0</v>
      </c>
      <c r="F84" s="13">
        <v>0.0</v>
      </c>
      <c r="G84" s="13">
        <v>0.0</v>
      </c>
      <c r="H84" s="13">
        <v>0.0</v>
      </c>
      <c r="I84" s="13">
        <v>0.0</v>
      </c>
      <c r="J84" s="13">
        <v>0.0</v>
      </c>
      <c r="K84" s="13">
        <v>0.0</v>
      </c>
      <c r="L84" s="13">
        <v>0.0</v>
      </c>
      <c r="M84" s="13">
        <v>0.0</v>
      </c>
      <c r="N84" s="6">
        <f t="shared" si="22"/>
        <v>1</v>
      </c>
    </row>
    <row r="85" ht="12.75" customHeight="1">
      <c r="A85" s="18"/>
      <c r="B85" s="51"/>
      <c r="C85" s="52" t="s">
        <v>73</v>
      </c>
      <c r="D85" s="53"/>
      <c r="E85" s="13">
        <v>0.0</v>
      </c>
      <c r="F85" s="13">
        <v>0.0</v>
      </c>
      <c r="G85" s="13">
        <v>0.0</v>
      </c>
      <c r="H85" s="13">
        <v>0.0</v>
      </c>
      <c r="I85" s="13">
        <v>0.0</v>
      </c>
      <c r="J85" s="13">
        <v>0.0</v>
      </c>
      <c r="K85" s="13">
        <v>0.0</v>
      </c>
      <c r="L85" s="13">
        <v>0.0</v>
      </c>
      <c r="M85" s="13">
        <v>0.0</v>
      </c>
      <c r="N85" s="6">
        <f t="shared" si="22"/>
        <v>0</v>
      </c>
    </row>
    <row r="86" ht="12.75" customHeight="1">
      <c r="A86" s="18"/>
      <c r="B86" s="51"/>
      <c r="C86" s="52" t="s">
        <v>74</v>
      </c>
      <c r="D86" s="53"/>
      <c r="E86" s="13">
        <v>36.0</v>
      </c>
      <c r="F86" s="13">
        <v>0.0</v>
      </c>
      <c r="G86" s="13">
        <v>2.0</v>
      </c>
      <c r="H86" s="13">
        <v>3.0</v>
      </c>
      <c r="I86" s="13">
        <v>2.0</v>
      </c>
      <c r="J86" s="13">
        <v>1.0</v>
      </c>
      <c r="K86" s="13">
        <v>0.0</v>
      </c>
      <c r="L86" s="13">
        <v>1.0</v>
      </c>
      <c r="M86" s="13">
        <v>0.0</v>
      </c>
      <c r="N86" s="6">
        <f t="shared" si="22"/>
        <v>45</v>
      </c>
    </row>
    <row r="87" ht="12.75" customHeight="1">
      <c r="A87" s="18"/>
      <c r="B87" s="51"/>
      <c r="C87" s="52" t="s">
        <v>75</v>
      </c>
      <c r="D87" s="53"/>
      <c r="E87" s="13">
        <v>0.0</v>
      </c>
      <c r="F87" s="13">
        <v>0.0</v>
      </c>
      <c r="G87" s="13">
        <v>0.0</v>
      </c>
      <c r="H87" s="13">
        <v>0.0</v>
      </c>
      <c r="I87" s="13">
        <v>0.0</v>
      </c>
      <c r="J87" s="13">
        <v>0.0</v>
      </c>
      <c r="K87" s="13">
        <v>0.0</v>
      </c>
      <c r="L87" s="13">
        <v>0.0</v>
      </c>
      <c r="M87" s="13">
        <v>0.0</v>
      </c>
      <c r="N87" s="6">
        <f t="shared" si="22"/>
        <v>0</v>
      </c>
    </row>
    <row r="88" ht="12.75" customHeight="1">
      <c r="A88" s="13" t="s">
        <v>15</v>
      </c>
      <c r="B88" s="49" t="s">
        <v>46</v>
      </c>
      <c r="C88" s="8"/>
      <c r="D88" s="9"/>
      <c r="E88" s="60">
        <f t="shared" ref="E88:M88" si="23">SUM(E81:E87)</f>
        <v>56</v>
      </c>
      <c r="F88" s="60">
        <f t="shared" si="23"/>
        <v>7</v>
      </c>
      <c r="G88" s="60">
        <f t="shared" si="23"/>
        <v>13</v>
      </c>
      <c r="H88" s="60">
        <f t="shared" si="23"/>
        <v>27</v>
      </c>
      <c r="I88" s="60">
        <f t="shared" si="23"/>
        <v>22</v>
      </c>
      <c r="J88" s="60">
        <f t="shared" si="23"/>
        <v>31</v>
      </c>
      <c r="K88" s="60">
        <f t="shared" si="23"/>
        <v>4</v>
      </c>
      <c r="L88" s="60">
        <f t="shared" si="23"/>
        <v>11</v>
      </c>
      <c r="M88" s="60">
        <f t="shared" si="23"/>
        <v>23</v>
      </c>
      <c r="N88" s="6">
        <f t="shared" si="22"/>
        <v>194</v>
      </c>
    </row>
    <row r="89" ht="12.75" customHeight="1">
      <c r="A89" s="54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6"/>
    </row>
    <row r="90" ht="12.75" customHeight="1">
      <c r="A90" s="32" t="s">
        <v>37</v>
      </c>
      <c r="B90" s="49" t="s">
        <v>76</v>
      </c>
      <c r="C90" s="50" t="s">
        <v>77</v>
      </c>
      <c r="D90" s="9"/>
      <c r="E90" s="13">
        <v>0.0</v>
      </c>
      <c r="F90" s="13">
        <v>1.0</v>
      </c>
      <c r="G90" s="13">
        <v>3.0</v>
      </c>
      <c r="H90" s="13">
        <v>2.0</v>
      </c>
      <c r="I90" s="13">
        <v>2.0</v>
      </c>
      <c r="J90" s="13">
        <v>1.0</v>
      </c>
      <c r="K90" s="13">
        <v>0.0</v>
      </c>
      <c r="L90" s="13">
        <v>3.0</v>
      </c>
      <c r="M90" s="13">
        <v>0.0</v>
      </c>
      <c r="N90" s="6">
        <f t="shared" ref="N90:N92" si="24">SUM(E90:M90)</f>
        <v>12</v>
      </c>
    </row>
    <row r="91" ht="12.75" customHeight="1">
      <c r="A91" s="32" t="s">
        <v>39</v>
      </c>
      <c r="B91" s="51"/>
      <c r="C91" s="52" t="s">
        <v>78</v>
      </c>
      <c r="D91" s="61"/>
      <c r="E91" s="13">
        <v>1.0</v>
      </c>
      <c r="F91" s="13">
        <v>0.0</v>
      </c>
      <c r="G91" s="13">
        <v>0.0</v>
      </c>
      <c r="H91" s="13">
        <v>0.0</v>
      </c>
      <c r="I91" s="13">
        <v>2.0</v>
      </c>
      <c r="J91" s="13">
        <v>0.0</v>
      </c>
      <c r="K91" s="13">
        <v>1.0</v>
      </c>
      <c r="L91" s="13">
        <v>0.0</v>
      </c>
      <c r="M91" s="13">
        <v>0.0</v>
      </c>
      <c r="N91" s="6">
        <f t="shared" si="24"/>
        <v>4</v>
      </c>
    </row>
    <row r="92" ht="12.75" customHeight="1">
      <c r="A92" s="13" t="s">
        <v>15</v>
      </c>
      <c r="B92" s="49" t="s">
        <v>46</v>
      </c>
      <c r="C92" s="8"/>
      <c r="D92" s="9"/>
      <c r="E92" s="60">
        <f t="shared" ref="E92:M92" si="25">SUM(E90:E91)</f>
        <v>1</v>
      </c>
      <c r="F92" s="60">
        <f t="shared" si="25"/>
        <v>1</v>
      </c>
      <c r="G92" s="60">
        <f t="shared" si="25"/>
        <v>3</v>
      </c>
      <c r="H92" s="60">
        <f t="shared" si="25"/>
        <v>2</v>
      </c>
      <c r="I92" s="60">
        <f t="shared" si="25"/>
        <v>4</v>
      </c>
      <c r="J92" s="60">
        <f t="shared" si="25"/>
        <v>1</v>
      </c>
      <c r="K92" s="60">
        <f t="shared" si="25"/>
        <v>1</v>
      </c>
      <c r="L92" s="60">
        <f t="shared" si="25"/>
        <v>3</v>
      </c>
      <c r="M92" s="60">
        <f t="shared" si="25"/>
        <v>0</v>
      </c>
      <c r="N92" s="6">
        <f t="shared" si="24"/>
        <v>16</v>
      </c>
    </row>
    <row r="93" ht="12.75" customHeight="1">
      <c r="A93" s="54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6"/>
    </row>
    <row r="94" ht="12.75" customHeight="1">
      <c r="A94" s="32" t="s">
        <v>37</v>
      </c>
      <c r="B94" s="49" t="s">
        <v>79</v>
      </c>
      <c r="C94" s="50" t="s">
        <v>80</v>
      </c>
      <c r="D94" s="9"/>
      <c r="E94" s="13">
        <v>9.0</v>
      </c>
      <c r="F94" s="13">
        <v>1.0</v>
      </c>
      <c r="G94" s="13">
        <v>1.0</v>
      </c>
      <c r="H94" s="13">
        <v>2.0</v>
      </c>
      <c r="I94" s="13">
        <v>1.0</v>
      </c>
      <c r="J94" s="13">
        <v>3.0</v>
      </c>
      <c r="K94" s="13">
        <v>1.0</v>
      </c>
      <c r="L94" s="13">
        <v>0.0</v>
      </c>
      <c r="M94" s="13">
        <v>0.0</v>
      </c>
      <c r="N94" s="6">
        <f t="shared" ref="N94:N101" si="26">SUM(E94:M94)</f>
        <v>18</v>
      </c>
    </row>
    <row r="95" ht="12.75" customHeight="1">
      <c r="A95" s="32" t="s">
        <v>39</v>
      </c>
      <c r="B95" s="51"/>
      <c r="C95" s="52" t="s">
        <v>81</v>
      </c>
      <c r="D95" s="53"/>
      <c r="E95" s="13">
        <v>12.0</v>
      </c>
      <c r="F95" s="13">
        <v>5.0</v>
      </c>
      <c r="G95" s="13">
        <v>0.0</v>
      </c>
      <c r="H95" s="13">
        <v>7.0</v>
      </c>
      <c r="I95" s="13">
        <v>2.0</v>
      </c>
      <c r="J95" s="13">
        <v>7.0</v>
      </c>
      <c r="K95" s="13">
        <v>6.0</v>
      </c>
      <c r="L95" s="13">
        <v>5.0</v>
      </c>
      <c r="M95" s="13">
        <v>1.0</v>
      </c>
      <c r="N95" s="6">
        <f t="shared" si="26"/>
        <v>45</v>
      </c>
    </row>
    <row r="96" ht="12.75" customHeight="1">
      <c r="A96" s="32"/>
      <c r="B96" s="51"/>
      <c r="C96" s="52" t="s">
        <v>82</v>
      </c>
      <c r="D96" s="53"/>
      <c r="E96" s="13">
        <v>1.0</v>
      </c>
      <c r="F96" s="13">
        <v>0.0</v>
      </c>
      <c r="G96" s="13">
        <v>0.0</v>
      </c>
      <c r="H96" s="13">
        <v>0.0</v>
      </c>
      <c r="I96" s="13">
        <v>0.0</v>
      </c>
      <c r="J96" s="13">
        <v>0.0</v>
      </c>
      <c r="K96" s="13">
        <v>0.0</v>
      </c>
      <c r="L96" s="13">
        <v>0.0</v>
      </c>
      <c r="M96" s="13">
        <v>0.0</v>
      </c>
      <c r="N96" s="6">
        <f t="shared" si="26"/>
        <v>1</v>
      </c>
    </row>
    <row r="97" ht="12.75" customHeight="1">
      <c r="A97" s="32"/>
      <c r="B97" s="51"/>
      <c r="C97" s="52" t="s">
        <v>83</v>
      </c>
      <c r="D97" s="53"/>
      <c r="E97" s="13">
        <v>0.0</v>
      </c>
      <c r="F97" s="13">
        <v>0.0</v>
      </c>
      <c r="G97" s="13">
        <v>0.0</v>
      </c>
      <c r="H97" s="13">
        <v>0.0</v>
      </c>
      <c r="I97" s="13">
        <v>0.0</v>
      </c>
      <c r="J97" s="13">
        <v>0.0</v>
      </c>
      <c r="K97" s="13">
        <v>0.0</v>
      </c>
      <c r="L97" s="13">
        <v>0.0</v>
      </c>
      <c r="M97" s="13">
        <v>0.0</v>
      </c>
      <c r="N97" s="6">
        <f t="shared" si="26"/>
        <v>0</v>
      </c>
    </row>
    <row r="98" ht="12.75" customHeight="1">
      <c r="A98" s="32"/>
      <c r="B98" s="51"/>
      <c r="C98" s="52" t="s">
        <v>84</v>
      </c>
      <c r="D98" s="53"/>
      <c r="E98" s="13">
        <v>0.0</v>
      </c>
      <c r="F98" s="13">
        <v>0.0</v>
      </c>
      <c r="G98" s="13">
        <v>0.0</v>
      </c>
      <c r="H98" s="13">
        <v>0.0</v>
      </c>
      <c r="I98" s="13">
        <v>0.0</v>
      </c>
      <c r="J98" s="13">
        <v>0.0</v>
      </c>
      <c r="K98" s="13">
        <v>0.0</v>
      </c>
      <c r="L98" s="13">
        <v>0.0</v>
      </c>
      <c r="M98" s="13">
        <v>0.0</v>
      </c>
      <c r="N98" s="6">
        <f t="shared" si="26"/>
        <v>0</v>
      </c>
    </row>
    <row r="99" ht="12.75" customHeight="1">
      <c r="A99" s="32"/>
      <c r="B99" s="51"/>
      <c r="C99" s="52" t="s">
        <v>85</v>
      </c>
      <c r="D99" s="53"/>
      <c r="E99" s="13">
        <v>4.0</v>
      </c>
      <c r="F99" s="13">
        <v>0.0</v>
      </c>
      <c r="G99" s="13">
        <v>0.0</v>
      </c>
      <c r="H99" s="13">
        <v>0.0</v>
      </c>
      <c r="I99" s="13">
        <v>0.0</v>
      </c>
      <c r="J99" s="13">
        <v>1.0</v>
      </c>
      <c r="K99" s="13">
        <v>0.0</v>
      </c>
      <c r="L99" s="13">
        <v>2.0</v>
      </c>
      <c r="M99" s="13">
        <v>0.0</v>
      </c>
      <c r="N99" s="6">
        <f t="shared" si="26"/>
        <v>7</v>
      </c>
    </row>
    <row r="100" ht="12.75" customHeight="1">
      <c r="A100" s="32"/>
      <c r="B100" s="51"/>
      <c r="C100" s="52" t="s">
        <v>86</v>
      </c>
      <c r="D100" s="53"/>
      <c r="E100" s="13">
        <v>0.0</v>
      </c>
      <c r="F100" s="13">
        <v>0.0</v>
      </c>
      <c r="G100" s="13">
        <v>0.0</v>
      </c>
      <c r="H100" s="13">
        <v>0.0</v>
      </c>
      <c r="I100" s="13">
        <v>0.0</v>
      </c>
      <c r="J100" s="13">
        <v>0.0</v>
      </c>
      <c r="K100" s="13">
        <v>0.0</v>
      </c>
      <c r="L100" s="13">
        <v>1.0</v>
      </c>
      <c r="M100" s="13">
        <v>0.0</v>
      </c>
      <c r="N100" s="6">
        <f t="shared" si="26"/>
        <v>1</v>
      </c>
    </row>
    <row r="101" ht="12.75" customHeight="1">
      <c r="A101" s="13" t="s">
        <v>15</v>
      </c>
      <c r="B101" s="49" t="s">
        <v>46</v>
      </c>
      <c r="C101" s="8"/>
      <c r="D101" s="9"/>
      <c r="E101" s="60">
        <f t="shared" ref="E101:M101" si="27">SUM(E94:E100)</f>
        <v>26</v>
      </c>
      <c r="F101" s="60">
        <f t="shared" si="27"/>
        <v>6</v>
      </c>
      <c r="G101" s="60">
        <f t="shared" si="27"/>
        <v>1</v>
      </c>
      <c r="H101" s="60">
        <f t="shared" si="27"/>
        <v>9</v>
      </c>
      <c r="I101" s="60">
        <f t="shared" si="27"/>
        <v>3</v>
      </c>
      <c r="J101" s="60">
        <f t="shared" si="27"/>
        <v>11</v>
      </c>
      <c r="K101" s="60">
        <f t="shared" si="27"/>
        <v>7</v>
      </c>
      <c r="L101" s="60">
        <f t="shared" si="27"/>
        <v>8</v>
      </c>
      <c r="M101" s="60">
        <f t="shared" si="27"/>
        <v>1</v>
      </c>
      <c r="N101" s="6">
        <f t="shared" si="26"/>
        <v>72</v>
      </c>
    </row>
    <row r="102" ht="12.75" customHeight="1">
      <c r="A102" s="54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6"/>
    </row>
    <row r="103" ht="12.75" customHeight="1">
      <c r="A103" s="32" t="s">
        <v>37</v>
      </c>
      <c r="B103" s="49" t="s">
        <v>87</v>
      </c>
      <c r="C103" s="50" t="s">
        <v>88</v>
      </c>
      <c r="D103" s="9"/>
      <c r="E103" s="13">
        <v>5.0</v>
      </c>
      <c r="F103" s="13">
        <v>15.0</v>
      </c>
      <c r="G103" s="13">
        <v>5.0</v>
      </c>
      <c r="H103" s="13">
        <v>5.0</v>
      </c>
      <c r="I103" s="13">
        <v>14.0</v>
      </c>
      <c r="J103" s="13">
        <v>1.0</v>
      </c>
      <c r="K103" s="13">
        <v>4.0</v>
      </c>
      <c r="L103" s="13">
        <v>13.0</v>
      </c>
      <c r="M103" s="13">
        <v>11.0</v>
      </c>
      <c r="N103" s="6">
        <f t="shared" ref="N103:N110" si="28">SUM(E103:M103)</f>
        <v>73</v>
      </c>
    </row>
    <row r="104" ht="12.75" customHeight="1">
      <c r="A104" s="32" t="s">
        <v>39</v>
      </c>
      <c r="B104" s="51"/>
      <c r="C104" s="52" t="s">
        <v>89</v>
      </c>
      <c r="D104" s="53"/>
      <c r="E104" s="13">
        <v>18.0</v>
      </c>
      <c r="F104" s="13">
        <v>55.0</v>
      </c>
      <c r="G104" s="13">
        <v>37.0</v>
      </c>
      <c r="H104" s="13">
        <v>39.0</v>
      </c>
      <c r="I104" s="13">
        <v>50.0</v>
      </c>
      <c r="J104" s="13">
        <v>32.0</v>
      </c>
      <c r="K104" s="13">
        <v>59.0</v>
      </c>
      <c r="L104" s="13">
        <v>95.0</v>
      </c>
      <c r="M104" s="13">
        <v>118.0</v>
      </c>
      <c r="N104" s="6">
        <f t="shared" si="28"/>
        <v>503</v>
      </c>
    </row>
    <row r="105" ht="12.75" customHeight="1">
      <c r="A105" s="18"/>
      <c r="B105" s="51"/>
      <c r="C105" s="52" t="s">
        <v>90</v>
      </c>
      <c r="D105" s="53"/>
      <c r="E105" s="13">
        <v>0.0</v>
      </c>
      <c r="F105" s="13">
        <v>3.0</v>
      </c>
      <c r="G105" s="13">
        <v>0.0</v>
      </c>
      <c r="H105" s="13">
        <v>0.0</v>
      </c>
      <c r="I105" s="13">
        <v>2.0</v>
      </c>
      <c r="J105" s="13">
        <v>1.0</v>
      </c>
      <c r="K105" s="13">
        <v>1.0</v>
      </c>
      <c r="L105" s="13">
        <v>0.0</v>
      </c>
      <c r="M105" s="13">
        <v>1.0</v>
      </c>
      <c r="N105" s="6">
        <f t="shared" si="28"/>
        <v>8</v>
      </c>
    </row>
    <row r="106" ht="12.75" customHeight="1">
      <c r="A106" s="18"/>
      <c r="B106" s="51"/>
      <c r="C106" s="52" t="s">
        <v>91</v>
      </c>
      <c r="D106" s="53"/>
      <c r="E106" s="13">
        <v>0.0</v>
      </c>
      <c r="F106" s="13">
        <v>1.0</v>
      </c>
      <c r="G106" s="13">
        <v>1.0</v>
      </c>
      <c r="H106" s="13">
        <v>1.0</v>
      </c>
      <c r="I106" s="13">
        <v>0.0</v>
      </c>
      <c r="J106" s="13">
        <v>0.0</v>
      </c>
      <c r="K106" s="13">
        <v>0.0</v>
      </c>
      <c r="L106" s="13">
        <v>0.0</v>
      </c>
      <c r="M106" s="13">
        <v>0.0</v>
      </c>
      <c r="N106" s="6">
        <f t="shared" si="28"/>
        <v>3</v>
      </c>
    </row>
    <row r="107" ht="12.75" customHeight="1">
      <c r="A107" s="18"/>
      <c r="B107" s="51"/>
      <c r="C107" s="52" t="s">
        <v>92</v>
      </c>
      <c r="D107" s="53"/>
      <c r="E107" s="13">
        <v>0.0</v>
      </c>
      <c r="F107" s="13">
        <v>0.0</v>
      </c>
      <c r="G107" s="13">
        <v>0.0</v>
      </c>
      <c r="H107" s="13">
        <v>1.0</v>
      </c>
      <c r="I107" s="13">
        <v>0.0</v>
      </c>
      <c r="J107" s="13">
        <v>4.0</v>
      </c>
      <c r="K107" s="13">
        <v>1.0</v>
      </c>
      <c r="L107" s="13">
        <v>0.0</v>
      </c>
      <c r="M107" s="13">
        <v>0.0</v>
      </c>
      <c r="N107" s="6">
        <f t="shared" si="28"/>
        <v>6</v>
      </c>
    </row>
    <row r="108" ht="12.75" customHeight="1">
      <c r="A108" s="18"/>
      <c r="B108" s="51"/>
      <c r="C108" s="52" t="s">
        <v>93</v>
      </c>
      <c r="D108" s="53"/>
      <c r="E108" s="13">
        <v>0.0</v>
      </c>
      <c r="F108" s="13">
        <v>1.0</v>
      </c>
      <c r="G108" s="13">
        <v>0.0</v>
      </c>
      <c r="H108" s="13">
        <v>0.0</v>
      </c>
      <c r="I108" s="13">
        <v>0.0</v>
      </c>
      <c r="J108" s="13">
        <v>0.0</v>
      </c>
      <c r="K108" s="13">
        <v>0.0</v>
      </c>
      <c r="L108" s="13">
        <v>0.0</v>
      </c>
      <c r="M108" s="13">
        <v>0.0</v>
      </c>
      <c r="N108" s="6">
        <f t="shared" si="28"/>
        <v>1</v>
      </c>
    </row>
    <row r="109" ht="12.75" customHeight="1">
      <c r="A109" s="18"/>
      <c r="B109" s="51"/>
      <c r="C109" s="52" t="s">
        <v>94</v>
      </c>
      <c r="D109" s="53"/>
      <c r="E109" s="13">
        <v>0.0</v>
      </c>
      <c r="F109" s="13">
        <v>5.0</v>
      </c>
      <c r="G109" s="13">
        <v>0.0</v>
      </c>
      <c r="H109" s="13">
        <v>0.0</v>
      </c>
      <c r="I109" s="13">
        <v>0.0</v>
      </c>
      <c r="J109" s="13">
        <v>1.0</v>
      </c>
      <c r="K109" s="13">
        <v>1.0</v>
      </c>
      <c r="L109" s="13">
        <v>0.0</v>
      </c>
      <c r="M109" s="13">
        <v>0.0</v>
      </c>
      <c r="N109" s="6">
        <f t="shared" si="28"/>
        <v>7</v>
      </c>
    </row>
    <row r="110" ht="12.75" customHeight="1">
      <c r="A110" s="13" t="s">
        <v>15</v>
      </c>
      <c r="B110" s="49" t="s">
        <v>46</v>
      </c>
      <c r="C110" s="8"/>
      <c r="D110" s="9"/>
      <c r="E110" s="60">
        <f t="shared" ref="E110:M110" si="29">SUM(E103:E109)</f>
        <v>23</v>
      </c>
      <c r="F110" s="60">
        <f t="shared" si="29"/>
        <v>80</v>
      </c>
      <c r="G110" s="60">
        <f t="shared" si="29"/>
        <v>43</v>
      </c>
      <c r="H110" s="60">
        <f t="shared" si="29"/>
        <v>46</v>
      </c>
      <c r="I110" s="60">
        <f t="shared" si="29"/>
        <v>66</v>
      </c>
      <c r="J110" s="60">
        <f t="shared" si="29"/>
        <v>39</v>
      </c>
      <c r="K110" s="60">
        <f t="shared" si="29"/>
        <v>66</v>
      </c>
      <c r="L110" s="60">
        <f t="shared" si="29"/>
        <v>108</v>
      </c>
      <c r="M110" s="60">
        <f t="shared" si="29"/>
        <v>130</v>
      </c>
      <c r="N110" s="6">
        <f t="shared" si="28"/>
        <v>601</v>
      </c>
    </row>
    <row r="111" ht="12.75" customHeight="1">
      <c r="A111" s="54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6"/>
    </row>
    <row r="112" ht="12.75" customHeight="1">
      <c r="A112" s="32" t="s">
        <v>37</v>
      </c>
      <c r="B112" s="49" t="s">
        <v>95</v>
      </c>
      <c r="C112" s="50" t="s">
        <v>96</v>
      </c>
      <c r="D112" s="9"/>
      <c r="E112" s="13"/>
      <c r="F112" s="13"/>
      <c r="G112" s="13"/>
      <c r="H112" s="13"/>
      <c r="I112" s="13"/>
      <c r="J112" s="13"/>
      <c r="K112" s="13"/>
      <c r="L112" s="13"/>
      <c r="M112" s="13"/>
      <c r="N112" s="6">
        <f t="shared" ref="N112:N114" si="30">SUM(E112:M112)</f>
        <v>0</v>
      </c>
    </row>
    <row r="113" ht="12.75" customHeight="1">
      <c r="A113" s="32" t="s">
        <v>39</v>
      </c>
      <c r="B113" s="49"/>
      <c r="C113" s="52" t="s">
        <v>97</v>
      </c>
      <c r="D113" s="61"/>
      <c r="E113" s="13"/>
      <c r="F113" s="13"/>
      <c r="G113" s="13"/>
      <c r="H113" s="13"/>
      <c r="I113" s="13"/>
      <c r="J113" s="13"/>
      <c r="K113" s="13"/>
      <c r="L113" s="13"/>
      <c r="M113" s="13"/>
      <c r="N113" s="6">
        <f t="shared" si="30"/>
        <v>0</v>
      </c>
    </row>
    <row r="114" ht="12.75" customHeight="1">
      <c r="A114" s="13" t="s">
        <v>15</v>
      </c>
      <c r="B114" s="49" t="s">
        <v>46</v>
      </c>
      <c r="C114" s="8"/>
      <c r="D114" s="9"/>
      <c r="E114" s="60">
        <f t="shared" ref="E114:M114" si="31">SUM(E112:E113)</f>
        <v>0</v>
      </c>
      <c r="F114" s="60">
        <f t="shared" si="31"/>
        <v>0</v>
      </c>
      <c r="G114" s="60">
        <f t="shared" si="31"/>
        <v>0</v>
      </c>
      <c r="H114" s="60">
        <f t="shared" si="31"/>
        <v>0</v>
      </c>
      <c r="I114" s="60">
        <f t="shared" si="31"/>
        <v>0</v>
      </c>
      <c r="J114" s="60">
        <f t="shared" si="31"/>
        <v>0</v>
      </c>
      <c r="K114" s="60">
        <f t="shared" si="31"/>
        <v>0</v>
      </c>
      <c r="L114" s="60">
        <f t="shared" si="31"/>
        <v>0</v>
      </c>
      <c r="M114" s="60">
        <f t="shared" si="31"/>
        <v>0</v>
      </c>
      <c r="N114" s="6">
        <f t="shared" si="30"/>
        <v>0</v>
      </c>
    </row>
    <row r="115" ht="12.75" customHeight="1">
      <c r="A115" s="54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6"/>
    </row>
    <row r="116" ht="12.75" customHeight="1">
      <c r="A116" s="32" t="s">
        <v>37</v>
      </c>
      <c r="B116" s="49" t="s">
        <v>98</v>
      </c>
      <c r="C116" s="50" t="s">
        <v>99</v>
      </c>
      <c r="D116" s="9"/>
      <c r="E116" s="13">
        <v>2.0</v>
      </c>
      <c r="F116" s="13">
        <v>2.0</v>
      </c>
      <c r="G116" s="13">
        <v>2.0</v>
      </c>
      <c r="H116" s="13">
        <v>0.0</v>
      </c>
      <c r="I116" s="13">
        <v>1.0</v>
      </c>
      <c r="J116" s="13">
        <v>4.0</v>
      </c>
      <c r="K116" s="13">
        <v>1.0</v>
      </c>
      <c r="L116" s="13">
        <v>0.0</v>
      </c>
      <c r="M116" s="13">
        <v>0.0</v>
      </c>
      <c r="N116" s="6">
        <f t="shared" ref="N116:N123" si="32">SUM(E116:M116)</f>
        <v>12</v>
      </c>
    </row>
    <row r="117" ht="12.75" customHeight="1">
      <c r="A117" s="32" t="s">
        <v>39</v>
      </c>
      <c r="B117" s="51"/>
      <c r="C117" s="52" t="s">
        <v>100</v>
      </c>
      <c r="D117" s="53"/>
      <c r="E117" s="13">
        <v>10.0</v>
      </c>
      <c r="F117" s="13">
        <v>23.0</v>
      </c>
      <c r="G117" s="13">
        <v>13.0</v>
      </c>
      <c r="H117" s="13">
        <v>12.0</v>
      </c>
      <c r="I117" s="13">
        <v>6.0</v>
      </c>
      <c r="J117" s="13">
        <v>12.0</v>
      </c>
      <c r="K117" s="13">
        <v>14.0</v>
      </c>
      <c r="L117" s="13">
        <v>6.0</v>
      </c>
      <c r="M117" s="13">
        <v>0.0</v>
      </c>
      <c r="N117" s="6">
        <f t="shared" si="32"/>
        <v>96</v>
      </c>
    </row>
    <row r="118" ht="12.75" customHeight="1">
      <c r="A118" s="18"/>
      <c r="B118" s="51"/>
      <c r="C118" s="52" t="s">
        <v>101</v>
      </c>
      <c r="D118" s="53"/>
      <c r="E118" s="13">
        <v>0.0</v>
      </c>
      <c r="F118" s="13">
        <v>0.0</v>
      </c>
      <c r="G118" s="13">
        <v>0.0</v>
      </c>
      <c r="H118" s="13">
        <v>0.0</v>
      </c>
      <c r="I118" s="13">
        <v>0.0</v>
      </c>
      <c r="J118" s="13">
        <v>0.0</v>
      </c>
      <c r="K118" s="13">
        <v>0.0</v>
      </c>
      <c r="L118" s="13">
        <v>0.0</v>
      </c>
      <c r="M118" s="13">
        <v>0.0</v>
      </c>
      <c r="N118" s="6">
        <f t="shared" si="32"/>
        <v>0</v>
      </c>
    </row>
    <row r="119" ht="12.75" customHeight="1">
      <c r="A119" s="18"/>
      <c r="B119" s="51"/>
      <c r="C119" s="52" t="s">
        <v>102</v>
      </c>
      <c r="D119" s="53"/>
      <c r="E119" s="13">
        <v>0.0</v>
      </c>
      <c r="F119" s="13">
        <v>8.0</v>
      </c>
      <c r="G119" s="13">
        <v>0.0</v>
      </c>
      <c r="H119" s="13">
        <v>0.0</v>
      </c>
      <c r="I119" s="13">
        <v>0.0</v>
      </c>
      <c r="J119" s="13">
        <v>0.0</v>
      </c>
      <c r="K119" s="13">
        <v>2.0</v>
      </c>
      <c r="L119" s="13">
        <v>0.0</v>
      </c>
      <c r="M119" s="13">
        <v>0.0</v>
      </c>
      <c r="N119" s="6">
        <f t="shared" si="32"/>
        <v>10</v>
      </c>
    </row>
    <row r="120" ht="12.75" customHeight="1">
      <c r="A120" s="18"/>
      <c r="B120" s="51"/>
      <c r="C120" s="52" t="s">
        <v>103</v>
      </c>
      <c r="D120" s="53"/>
      <c r="E120" s="13">
        <v>0.0</v>
      </c>
      <c r="F120" s="13">
        <v>0.0</v>
      </c>
      <c r="G120" s="13">
        <v>0.0</v>
      </c>
      <c r="H120" s="13">
        <v>1.0</v>
      </c>
      <c r="I120" s="13">
        <v>0.0</v>
      </c>
      <c r="J120" s="13">
        <v>0.0</v>
      </c>
      <c r="K120" s="13">
        <v>0.0</v>
      </c>
      <c r="L120" s="13">
        <v>0.0</v>
      </c>
      <c r="M120" s="13">
        <v>0.0</v>
      </c>
      <c r="N120" s="6">
        <f t="shared" si="32"/>
        <v>1</v>
      </c>
    </row>
    <row r="121" ht="12.75" customHeight="1">
      <c r="A121" s="18"/>
      <c r="B121" s="51"/>
      <c r="C121" s="52" t="s">
        <v>104</v>
      </c>
      <c r="D121" s="53"/>
      <c r="E121" s="13">
        <v>0.0</v>
      </c>
      <c r="F121" s="13">
        <v>0.0</v>
      </c>
      <c r="G121" s="13">
        <v>1.0</v>
      </c>
      <c r="H121" s="13">
        <v>0.0</v>
      </c>
      <c r="I121" s="13">
        <v>0.0</v>
      </c>
      <c r="J121" s="13">
        <v>0.0</v>
      </c>
      <c r="K121" s="13">
        <v>0.0</v>
      </c>
      <c r="L121" s="13">
        <v>0.0</v>
      </c>
      <c r="M121" s="13">
        <v>0.0</v>
      </c>
      <c r="N121" s="6">
        <f t="shared" si="32"/>
        <v>1</v>
      </c>
    </row>
    <row r="122" ht="12.75" customHeight="1">
      <c r="A122" s="18"/>
      <c r="B122" s="51"/>
      <c r="C122" s="52" t="s">
        <v>105</v>
      </c>
      <c r="D122" s="53"/>
      <c r="E122" s="13">
        <v>0.0</v>
      </c>
      <c r="F122" s="13">
        <v>0.0</v>
      </c>
      <c r="G122" s="13">
        <v>1.0</v>
      </c>
      <c r="H122" s="13">
        <v>0.0</v>
      </c>
      <c r="I122" s="13">
        <v>0.0</v>
      </c>
      <c r="J122" s="13">
        <v>0.0</v>
      </c>
      <c r="K122" s="13">
        <v>0.0</v>
      </c>
      <c r="L122" s="13">
        <v>0.0</v>
      </c>
      <c r="M122" s="13">
        <v>0.0</v>
      </c>
      <c r="N122" s="6">
        <f t="shared" si="32"/>
        <v>1</v>
      </c>
    </row>
    <row r="123" ht="12.75" customHeight="1">
      <c r="A123" s="13" t="s">
        <v>15</v>
      </c>
      <c r="B123" s="49" t="s">
        <v>46</v>
      </c>
      <c r="C123" s="8"/>
      <c r="D123" s="9"/>
      <c r="E123" s="60">
        <f t="shared" ref="E123:M123" si="33">SUM(E116:E122)</f>
        <v>12</v>
      </c>
      <c r="F123" s="60">
        <f t="shared" si="33"/>
        <v>33</v>
      </c>
      <c r="G123" s="60">
        <f t="shared" si="33"/>
        <v>17</v>
      </c>
      <c r="H123" s="60">
        <f t="shared" si="33"/>
        <v>13</v>
      </c>
      <c r="I123" s="60">
        <f t="shared" si="33"/>
        <v>7</v>
      </c>
      <c r="J123" s="60">
        <f t="shared" si="33"/>
        <v>16</v>
      </c>
      <c r="K123" s="60">
        <f t="shared" si="33"/>
        <v>17</v>
      </c>
      <c r="L123" s="60">
        <f t="shared" si="33"/>
        <v>6</v>
      </c>
      <c r="M123" s="60">
        <f t="shared" si="33"/>
        <v>0</v>
      </c>
      <c r="N123" s="6">
        <f t="shared" si="32"/>
        <v>121</v>
      </c>
    </row>
    <row r="124" ht="12.75" customHeight="1">
      <c r="A124" s="54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6"/>
    </row>
    <row r="125" ht="12.75" customHeight="1">
      <c r="A125" s="32" t="s">
        <v>37</v>
      </c>
      <c r="B125" s="49" t="s">
        <v>106</v>
      </c>
      <c r="C125" s="50" t="s">
        <v>107</v>
      </c>
      <c r="D125" s="9"/>
      <c r="E125" s="13"/>
      <c r="F125" s="13"/>
      <c r="G125" s="13"/>
      <c r="H125" s="13"/>
      <c r="I125" s="13">
        <v>1.0</v>
      </c>
      <c r="J125" s="13">
        <v>1.0</v>
      </c>
      <c r="K125" s="13"/>
      <c r="L125" s="13">
        <v>1.0</v>
      </c>
      <c r="M125" s="13"/>
      <c r="N125" s="6">
        <f t="shared" ref="N125:N127" si="34">SUM(E125:M125)</f>
        <v>3</v>
      </c>
    </row>
    <row r="126" ht="12.75" customHeight="1">
      <c r="A126" s="32" t="s">
        <v>39</v>
      </c>
      <c r="B126" s="51"/>
      <c r="C126" s="52" t="s">
        <v>108</v>
      </c>
      <c r="D126" s="53"/>
      <c r="E126" s="13"/>
      <c r="F126" s="13"/>
      <c r="G126" s="13"/>
      <c r="H126" s="13"/>
      <c r="I126" s="13"/>
      <c r="J126" s="13"/>
      <c r="K126" s="13"/>
      <c r="L126" s="13"/>
      <c r="M126" s="13"/>
      <c r="N126" s="6">
        <f t="shared" si="34"/>
        <v>0</v>
      </c>
    </row>
    <row r="127" ht="12.75" customHeight="1">
      <c r="A127" s="13" t="s">
        <v>15</v>
      </c>
      <c r="B127" s="49" t="s">
        <v>46</v>
      </c>
      <c r="C127" s="8"/>
      <c r="D127" s="9"/>
      <c r="E127" s="60">
        <f t="shared" ref="E127:M127" si="35">SUM(E125:E126)</f>
        <v>0</v>
      </c>
      <c r="F127" s="60">
        <f t="shared" si="35"/>
        <v>0</v>
      </c>
      <c r="G127" s="60">
        <f t="shared" si="35"/>
        <v>0</v>
      </c>
      <c r="H127" s="60">
        <f t="shared" si="35"/>
        <v>0</v>
      </c>
      <c r="I127" s="60">
        <f t="shared" si="35"/>
        <v>1</v>
      </c>
      <c r="J127" s="60">
        <f t="shared" si="35"/>
        <v>1</v>
      </c>
      <c r="K127" s="60">
        <f t="shared" si="35"/>
        <v>0</v>
      </c>
      <c r="L127" s="60">
        <f t="shared" si="35"/>
        <v>1</v>
      </c>
      <c r="M127" s="60">
        <f t="shared" si="35"/>
        <v>0</v>
      </c>
      <c r="N127" s="6">
        <f t="shared" si="34"/>
        <v>3</v>
      </c>
    </row>
    <row r="128" ht="12.75" customHeight="1">
      <c r="A128" s="54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6"/>
    </row>
    <row r="129" ht="12.75" customHeight="1">
      <c r="A129" s="32" t="s">
        <v>37</v>
      </c>
      <c r="B129" s="49" t="s">
        <v>109</v>
      </c>
      <c r="C129" s="50" t="s">
        <v>110</v>
      </c>
      <c r="D129" s="9"/>
      <c r="E129" s="13">
        <v>0.0</v>
      </c>
      <c r="F129" s="13">
        <v>0.0</v>
      </c>
      <c r="G129" s="13">
        <v>0.0</v>
      </c>
      <c r="H129" s="13">
        <v>0.0</v>
      </c>
      <c r="I129" s="13">
        <v>2.0</v>
      </c>
      <c r="J129" s="13">
        <v>2.0</v>
      </c>
      <c r="K129" s="13">
        <v>2.0</v>
      </c>
      <c r="L129" s="13">
        <v>2.0</v>
      </c>
      <c r="M129" s="13">
        <v>0.0</v>
      </c>
      <c r="N129" s="6">
        <f t="shared" ref="N129:N136" si="36">SUM(E129:M129)</f>
        <v>8</v>
      </c>
    </row>
    <row r="130" ht="12.75" customHeight="1">
      <c r="A130" s="32" t="s">
        <v>39</v>
      </c>
      <c r="B130" s="51"/>
      <c r="C130" s="52" t="s">
        <v>111</v>
      </c>
      <c r="D130" s="53"/>
      <c r="E130" s="13">
        <v>0.0</v>
      </c>
      <c r="F130" s="13">
        <v>0.0</v>
      </c>
      <c r="G130" s="13">
        <v>0.0</v>
      </c>
      <c r="H130" s="13">
        <v>0.0</v>
      </c>
      <c r="I130" s="13">
        <v>0.0</v>
      </c>
      <c r="J130" s="13">
        <v>0.0</v>
      </c>
      <c r="K130" s="13">
        <v>2.0</v>
      </c>
      <c r="L130" s="13">
        <v>8.0</v>
      </c>
      <c r="M130" s="13">
        <v>0.0</v>
      </c>
      <c r="N130" s="6">
        <f t="shared" si="36"/>
        <v>10</v>
      </c>
    </row>
    <row r="131" ht="12.75" customHeight="1">
      <c r="A131" s="18"/>
      <c r="B131" s="51"/>
      <c r="C131" s="52" t="s">
        <v>112</v>
      </c>
      <c r="D131" s="53"/>
      <c r="E131" s="13">
        <v>0.0</v>
      </c>
      <c r="F131" s="13">
        <v>0.0</v>
      </c>
      <c r="G131" s="13">
        <v>0.0</v>
      </c>
      <c r="H131" s="13">
        <v>1.0</v>
      </c>
      <c r="I131" s="13">
        <v>0.0</v>
      </c>
      <c r="J131" s="13">
        <v>0.0</v>
      </c>
      <c r="K131" s="13">
        <v>0.0</v>
      </c>
      <c r="L131" s="13">
        <v>0.0</v>
      </c>
      <c r="M131" s="13">
        <v>0.0</v>
      </c>
      <c r="N131" s="6">
        <f t="shared" si="36"/>
        <v>1</v>
      </c>
    </row>
    <row r="132" ht="12.75" customHeight="1">
      <c r="A132" s="18"/>
      <c r="B132" s="51"/>
      <c r="C132" s="52" t="s">
        <v>113</v>
      </c>
      <c r="D132" s="53"/>
      <c r="E132" s="13">
        <v>0.0</v>
      </c>
      <c r="F132" s="13">
        <v>0.0</v>
      </c>
      <c r="G132" s="13">
        <v>0.0</v>
      </c>
      <c r="H132" s="13">
        <v>0.0</v>
      </c>
      <c r="I132" s="13">
        <v>0.0</v>
      </c>
      <c r="J132" s="13">
        <v>0.0</v>
      </c>
      <c r="K132" s="13">
        <v>0.0</v>
      </c>
      <c r="L132" s="13">
        <v>0.0</v>
      </c>
      <c r="M132" s="13">
        <v>0.0</v>
      </c>
      <c r="N132" s="6">
        <f t="shared" si="36"/>
        <v>0</v>
      </c>
    </row>
    <row r="133" ht="12.75" customHeight="1">
      <c r="A133" s="18"/>
      <c r="B133" s="51"/>
      <c r="C133" s="52" t="s">
        <v>114</v>
      </c>
      <c r="D133" s="53"/>
      <c r="E133" s="13">
        <v>0.0</v>
      </c>
      <c r="F133" s="13">
        <v>0.0</v>
      </c>
      <c r="G133" s="13">
        <v>0.0</v>
      </c>
      <c r="H133" s="13">
        <v>0.0</v>
      </c>
      <c r="I133" s="13">
        <v>0.0</v>
      </c>
      <c r="J133" s="13">
        <v>0.0</v>
      </c>
      <c r="K133" s="13">
        <v>0.0</v>
      </c>
      <c r="L133" s="13">
        <v>0.0</v>
      </c>
      <c r="M133" s="13">
        <v>0.0</v>
      </c>
      <c r="N133" s="6">
        <f t="shared" si="36"/>
        <v>0</v>
      </c>
    </row>
    <row r="134" ht="12.75" customHeight="1">
      <c r="A134" s="18"/>
      <c r="B134" s="51"/>
      <c r="C134" s="52" t="s">
        <v>115</v>
      </c>
      <c r="D134" s="53"/>
      <c r="E134" s="13">
        <v>0.0</v>
      </c>
      <c r="F134" s="13">
        <v>0.0</v>
      </c>
      <c r="G134" s="13">
        <v>0.0</v>
      </c>
      <c r="H134" s="13">
        <v>0.0</v>
      </c>
      <c r="I134" s="13">
        <v>0.0</v>
      </c>
      <c r="J134" s="13">
        <v>0.0</v>
      </c>
      <c r="K134" s="13">
        <v>0.0</v>
      </c>
      <c r="L134" s="13">
        <v>0.0</v>
      </c>
      <c r="M134" s="13">
        <v>0.0</v>
      </c>
      <c r="N134" s="6">
        <f t="shared" si="36"/>
        <v>0</v>
      </c>
    </row>
    <row r="135" ht="12.75" customHeight="1">
      <c r="A135" s="18"/>
      <c r="B135" s="51"/>
      <c r="C135" s="52" t="s">
        <v>116</v>
      </c>
      <c r="D135" s="53"/>
      <c r="E135" s="13">
        <v>0.0</v>
      </c>
      <c r="F135" s="13">
        <v>0.0</v>
      </c>
      <c r="G135" s="13">
        <v>0.0</v>
      </c>
      <c r="H135" s="13">
        <v>0.0</v>
      </c>
      <c r="I135" s="13">
        <v>0.0</v>
      </c>
      <c r="J135" s="13">
        <v>0.0</v>
      </c>
      <c r="K135" s="13">
        <v>0.0</v>
      </c>
      <c r="L135" s="13">
        <v>0.0</v>
      </c>
      <c r="M135" s="13">
        <v>0.0</v>
      </c>
      <c r="N135" s="6">
        <f t="shared" si="36"/>
        <v>0</v>
      </c>
    </row>
    <row r="136" ht="12.75" customHeight="1">
      <c r="A136" s="13" t="s">
        <v>15</v>
      </c>
      <c r="B136" s="49" t="s">
        <v>46</v>
      </c>
      <c r="C136" s="8"/>
      <c r="D136" s="9"/>
      <c r="E136" s="60">
        <f t="shared" ref="E136:M136" si="37">SUM(E129:E135)</f>
        <v>0</v>
      </c>
      <c r="F136" s="60">
        <f t="shared" si="37"/>
        <v>0</v>
      </c>
      <c r="G136" s="60">
        <f t="shared" si="37"/>
        <v>0</v>
      </c>
      <c r="H136" s="60">
        <f t="shared" si="37"/>
        <v>1</v>
      </c>
      <c r="I136" s="60">
        <f t="shared" si="37"/>
        <v>2</v>
      </c>
      <c r="J136" s="60">
        <f t="shared" si="37"/>
        <v>2</v>
      </c>
      <c r="K136" s="60">
        <f t="shared" si="37"/>
        <v>4</v>
      </c>
      <c r="L136" s="60">
        <f t="shared" si="37"/>
        <v>10</v>
      </c>
      <c r="M136" s="60">
        <f t="shared" si="37"/>
        <v>0</v>
      </c>
      <c r="N136" s="6">
        <f t="shared" si="36"/>
        <v>19</v>
      </c>
    </row>
    <row r="137" ht="12.75" customHeight="1">
      <c r="A137" s="54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6"/>
    </row>
    <row r="138" ht="12.75" customHeight="1">
      <c r="A138" s="32" t="s">
        <v>37</v>
      </c>
      <c r="B138" s="49" t="s">
        <v>117</v>
      </c>
      <c r="C138" s="50" t="s">
        <v>118</v>
      </c>
      <c r="D138" s="9"/>
      <c r="E138" s="13">
        <v>0.0</v>
      </c>
      <c r="F138" s="13">
        <v>0.0</v>
      </c>
      <c r="G138" s="13">
        <v>0.0</v>
      </c>
      <c r="H138" s="13">
        <v>1.0</v>
      </c>
      <c r="I138" s="13">
        <v>1.0</v>
      </c>
      <c r="J138" s="13">
        <v>0.0</v>
      </c>
      <c r="K138" s="13">
        <v>0.0</v>
      </c>
      <c r="L138" s="13">
        <v>0.0</v>
      </c>
      <c r="M138" s="13">
        <v>0.0</v>
      </c>
      <c r="N138" s="6">
        <f t="shared" ref="N138:N145" si="38">SUM(E138:M138)</f>
        <v>2</v>
      </c>
    </row>
    <row r="139" ht="12.75" customHeight="1">
      <c r="A139" s="32" t="s">
        <v>39</v>
      </c>
      <c r="B139" s="51"/>
      <c r="C139" s="52" t="s">
        <v>119</v>
      </c>
      <c r="D139" s="53"/>
      <c r="E139" s="13">
        <v>0.0</v>
      </c>
      <c r="F139" s="13">
        <v>0.0</v>
      </c>
      <c r="G139" s="13">
        <v>0.0</v>
      </c>
      <c r="H139" s="13">
        <v>1.0</v>
      </c>
      <c r="I139" s="13">
        <v>0.0</v>
      </c>
      <c r="J139" s="13">
        <v>0.0</v>
      </c>
      <c r="K139" s="13">
        <v>0.0</v>
      </c>
      <c r="L139" s="13">
        <v>0.0</v>
      </c>
      <c r="M139" s="13">
        <v>0.0</v>
      </c>
      <c r="N139" s="6">
        <f t="shared" si="38"/>
        <v>1</v>
      </c>
    </row>
    <row r="140" ht="12.75" customHeight="1">
      <c r="A140" s="18"/>
      <c r="B140" s="51"/>
      <c r="C140" s="52" t="s">
        <v>120</v>
      </c>
      <c r="D140" s="53"/>
      <c r="E140" s="13">
        <v>0.0</v>
      </c>
      <c r="F140" s="13">
        <v>0.0</v>
      </c>
      <c r="G140" s="13">
        <v>0.0</v>
      </c>
      <c r="H140" s="13">
        <v>0.0</v>
      </c>
      <c r="I140" s="13">
        <v>0.0</v>
      </c>
      <c r="J140" s="13">
        <v>0.0</v>
      </c>
      <c r="K140" s="13">
        <v>0.0</v>
      </c>
      <c r="L140" s="13">
        <v>0.0</v>
      </c>
      <c r="M140" s="13">
        <v>0.0</v>
      </c>
      <c r="N140" s="6">
        <f t="shared" si="38"/>
        <v>0</v>
      </c>
    </row>
    <row r="141" ht="12.75" customHeight="1">
      <c r="A141" s="18"/>
      <c r="B141" s="51"/>
      <c r="C141" s="52" t="s">
        <v>121</v>
      </c>
      <c r="D141" s="53"/>
      <c r="E141" s="13">
        <v>0.0</v>
      </c>
      <c r="F141" s="13">
        <v>0.0</v>
      </c>
      <c r="G141" s="13">
        <v>0.0</v>
      </c>
      <c r="H141" s="13">
        <v>0.0</v>
      </c>
      <c r="I141" s="13">
        <v>0.0</v>
      </c>
      <c r="J141" s="13">
        <v>0.0</v>
      </c>
      <c r="K141" s="13">
        <v>0.0</v>
      </c>
      <c r="L141" s="13">
        <v>0.0</v>
      </c>
      <c r="M141" s="13">
        <v>0.0</v>
      </c>
      <c r="N141" s="6">
        <f t="shared" si="38"/>
        <v>0</v>
      </c>
    </row>
    <row r="142" ht="12.75" customHeight="1">
      <c r="A142" s="18"/>
      <c r="B142" s="51"/>
      <c r="C142" s="52" t="s">
        <v>122</v>
      </c>
      <c r="D142" s="53"/>
      <c r="E142" s="13">
        <v>0.0</v>
      </c>
      <c r="F142" s="13">
        <v>0.0</v>
      </c>
      <c r="G142" s="13">
        <v>0.0</v>
      </c>
      <c r="H142" s="13">
        <v>0.0</v>
      </c>
      <c r="I142" s="13">
        <v>2.0</v>
      </c>
      <c r="J142" s="13">
        <v>0.0</v>
      </c>
      <c r="K142" s="13">
        <v>0.0</v>
      </c>
      <c r="L142" s="13">
        <v>0.0</v>
      </c>
      <c r="M142" s="13">
        <v>0.0</v>
      </c>
      <c r="N142" s="6">
        <f t="shared" si="38"/>
        <v>2</v>
      </c>
    </row>
    <row r="143" ht="12.75" customHeight="1">
      <c r="A143" s="18"/>
      <c r="B143" s="51"/>
      <c r="C143" s="52" t="s">
        <v>123</v>
      </c>
      <c r="D143" s="53"/>
      <c r="E143" s="13">
        <v>0.0</v>
      </c>
      <c r="F143" s="13">
        <v>0.0</v>
      </c>
      <c r="G143" s="13">
        <v>0.0</v>
      </c>
      <c r="H143" s="13">
        <v>0.0</v>
      </c>
      <c r="I143" s="13">
        <v>0.0</v>
      </c>
      <c r="J143" s="13">
        <v>0.0</v>
      </c>
      <c r="K143" s="13">
        <v>0.0</v>
      </c>
      <c r="L143" s="13">
        <v>0.0</v>
      </c>
      <c r="M143" s="13">
        <v>0.0</v>
      </c>
      <c r="N143" s="6">
        <f t="shared" si="38"/>
        <v>0</v>
      </c>
    </row>
    <row r="144" ht="12.75" customHeight="1">
      <c r="A144" s="18"/>
      <c r="B144" s="51"/>
      <c r="C144" s="52" t="s">
        <v>124</v>
      </c>
      <c r="D144" s="53"/>
      <c r="E144" s="13">
        <v>0.0</v>
      </c>
      <c r="F144" s="13">
        <v>0.0</v>
      </c>
      <c r="G144" s="13">
        <v>5.0</v>
      </c>
      <c r="H144" s="13">
        <v>0.0</v>
      </c>
      <c r="I144" s="13">
        <v>5.0</v>
      </c>
      <c r="J144" s="13">
        <v>4.0</v>
      </c>
      <c r="K144" s="13">
        <v>0.0</v>
      </c>
      <c r="L144" s="13">
        <v>0.0</v>
      </c>
      <c r="M144" s="13">
        <v>0.0</v>
      </c>
      <c r="N144" s="6">
        <f t="shared" si="38"/>
        <v>14</v>
      </c>
    </row>
    <row r="145" ht="12.75" customHeight="1">
      <c r="A145" s="13" t="s">
        <v>15</v>
      </c>
      <c r="B145" s="49" t="s">
        <v>46</v>
      </c>
      <c r="C145" s="8"/>
      <c r="D145" s="9"/>
      <c r="E145" s="60">
        <f t="shared" ref="E145:M145" si="39">SUM(E138:E144)</f>
        <v>0</v>
      </c>
      <c r="F145" s="60">
        <f t="shared" si="39"/>
        <v>0</v>
      </c>
      <c r="G145" s="60">
        <f t="shared" si="39"/>
        <v>5</v>
      </c>
      <c r="H145" s="60">
        <f t="shared" si="39"/>
        <v>2</v>
      </c>
      <c r="I145" s="60">
        <f t="shared" si="39"/>
        <v>8</v>
      </c>
      <c r="J145" s="60">
        <f t="shared" si="39"/>
        <v>4</v>
      </c>
      <c r="K145" s="60">
        <f t="shared" si="39"/>
        <v>0</v>
      </c>
      <c r="L145" s="60">
        <f t="shared" si="39"/>
        <v>0</v>
      </c>
      <c r="M145" s="60">
        <f t="shared" si="39"/>
        <v>0</v>
      </c>
      <c r="N145" s="6">
        <f t="shared" si="38"/>
        <v>19</v>
      </c>
    </row>
    <row r="146" ht="12.75" customHeight="1">
      <c r="A146" s="54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6"/>
    </row>
    <row r="147" ht="12.75" customHeight="1">
      <c r="A147" s="32" t="s">
        <v>37</v>
      </c>
      <c r="B147" s="49" t="s">
        <v>125</v>
      </c>
      <c r="C147" s="50" t="s">
        <v>126</v>
      </c>
      <c r="D147" s="9"/>
      <c r="E147" s="13">
        <v>2.0</v>
      </c>
      <c r="F147" s="13">
        <v>3.0</v>
      </c>
      <c r="G147" s="13">
        <v>3.0</v>
      </c>
      <c r="H147" s="13">
        <v>6.0</v>
      </c>
      <c r="I147" s="13">
        <v>1.0</v>
      </c>
      <c r="J147" s="13">
        <v>8.0</v>
      </c>
      <c r="K147" s="13">
        <v>0.0</v>
      </c>
      <c r="L147" s="13">
        <v>1.0</v>
      </c>
      <c r="M147" s="13">
        <v>3.0</v>
      </c>
      <c r="N147" s="6">
        <f t="shared" ref="N147:N154" si="40">SUM(E147:M147)</f>
        <v>27</v>
      </c>
    </row>
    <row r="148" ht="12.75" customHeight="1">
      <c r="A148" s="32" t="s">
        <v>39</v>
      </c>
      <c r="B148" s="51"/>
      <c r="C148" s="52" t="s">
        <v>127</v>
      </c>
      <c r="D148" s="53"/>
      <c r="E148" s="13">
        <v>2.0</v>
      </c>
      <c r="F148" s="13">
        <v>2.0</v>
      </c>
      <c r="G148" s="13">
        <v>6.0</v>
      </c>
      <c r="H148" s="13">
        <v>8.0</v>
      </c>
      <c r="I148" s="13">
        <v>14.0</v>
      </c>
      <c r="J148" s="13">
        <v>9.0</v>
      </c>
      <c r="K148" s="13">
        <v>4.0</v>
      </c>
      <c r="L148" s="13">
        <v>1.0</v>
      </c>
      <c r="M148" s="13">
        <v>1.0</v>
      </c>
      <c r="N148" s="6">
        <f t="shared" si="40"/>
        <v>47</v>
      </c>
    </row>
    <row r="149" ht="12.75" customHeight="1">
      <c r="A149" s="18"/>
      <c r="B149" s="51"/>
      <c r="C149" s="52" t="s">
        <v>128</v>
      </c>
      <c r="D149" s="53"/>
      <c r="E149" s="13">
        <v>1.0</v>
      </c>
      <c r="F149" s="13">
        <v>1.0</v>
      </c>
      <c r="G149" s="13">
        <v>12.0</v>
      </c>
      <c r="H149" s="13">
        <v>7.0</v>
      </c>
      <c r="I149" s="13">
        <v>10.0</v>
      </c>
      <c r="J149" s="13">
        <v>12.0</v>
      </c>
      <c r="K149" s="13">
        <v>1.0</v>
      </c>
      <c r="L149" s="13">
        <v>1.0</v>
      </c>
      <c r="M149" s="13">
        <v>2.0</v>
      </c>
      <c r="N149" s="6">
        <f t="shared" si="40"/>
        <v>47</v>
      </c>
    </row>
    <row r="150" ht="12.75" customHeight="1">
      <c r="A150" s="18"/>
      <c r="B150" s="51"/>
      <c r="C150" s="52" t="s">
        <v>129</v>
      </c>
      <c r="D150" s="53"/>
      <c r="E150" s="13">
        <v>1.0</v>
      </c>
      <c r="F150" s="13">
        <v>0.0</v>
      </c>
      <c r="G150" s="13">
        <v>4.0</v>
      </c>
      <c r="H150" s="13">
        <v>8.0</v>
      </c>
      <c r="I150" s="13">
        <v>3.0</v>
      </c>
      <c r="J150" s="13">
        <v>0.0</v>
      </c>
      <c r="K150" s="13">
        <v>0.0</v>
      </c>
      <c r="L150" s="13">
        <v>0.0</v>
      </c>
      <c r="M150" s="13">
        <v>0.0</v>
      </c>
      <c r="N150" s="6">
        <f t="shared" si="40"/>
        <v>16</v>
      </c>
    </row>
    <row r="151" ht="12.75" customHeight="1">
      <c r="A151" s="18"/>
      <c r="B151" s="51"/>
      <c r="C151" s="52" t="s">
        <v>130</v>
      </c>
      <c r="D151" s="53"/>
      <c r="E151" s="13">
        <v>1.0</v>
      </c>
      <c r="F151" s="13">
        <v>0.0</v>
      </c>
      <c r="G151" s="13">
        <v>0.0</v>
      </c>
      <c r="H151" s="13">
        <v>0.0</v>
      </c>
      <c r="I151" s="13">
        <v>0.0</v>
      </c>
      <c r="J151" s="13">
        <v>0.0</v>
      </c>
      <c r="K151" s="13">
        <v>0.0</v>
      </c>
      <c r="L151" s="13">
        <v>0.0</v>
      </c>
      <c r="M151" s="13">
        <v>0.0</v>
      </c>
      <c r="N151" s="6">
        <f t="shared" si="40"/>
        <v>1</v>
      </c>
    </row>
    <row r="152" ht="12.75" customHeight="1">
      <c r="A152" s="18"/>
      <c r="B152" s="51"/>
      <c r="C152" s="52" t="s">
        <v>131</v>
      </c>
      <c r="D152" s="53"/>
      <c r="E152" s="13">
        <v>0.0</v>
      </c>
      <c r="F152" s="13">
        <v>0.0</v>
      </c>
      <c r="G152" s="13">
        <v>0.0</v>
      </c>
      <c r="H152" s="13">
        <v>0.0</v>
      </c>
      <c r="I152" s="13">
        <v>0.0</v>
      </c>
      <c r="J152" s="13">
        <v>0.0</v>
      </c>
      <c r="K152" s="13">
        <v>0.0</v>
      </c>
      <c r="L152" s="13">
        <v>0.0</v>
      </c>
      <c r="M152" s="13">
        <v>0.0</v>
      </c>
      <c r="N152" s="6">
        <f t="shared" si="40"/>
        <v>0</v>
      </c>
    </row>
    <row r="153" ht="12.75" customHeight="1">
      <c r="A153" s="18"/>
      <c r="B153" s="51"/>
      <c r="C153" s="52" t="s">
        <v>132</v>
      </c>
      <c r="D153" s="53"/>
      <c r="E153" s="13">
        <v>0.0</v>
      </c>
      <c r="F153" s="13">
        <v>0.0</v>
      </c>
      <c r="G153" s="13">
        <v>0.0</v>
      </c>
      <c r="H153" s="13">
        <v>0.0</v>
      </c>
      <c r="I153" s="13">
        <v>0.0</v>
      </c>
      <c r="J153" s="13">
        <v>0.0</v>
      </c>
      <c r="K153" s="13">
        <v>0.0</v>
      </c>
      <c r="L153" s="13">
        <v>0.0</v>
      </c>
      <c r="M153" s="13">
        <v>0.0</v>
      </c>
      <c r="N153" s="6">
        <f t="shared" si="40"/>
        <v>0</v>
      </c>
    </row>
    <row r="154" ht="12.75" customHeight="1">
      <c r="A154" s="13" t="s">
        <v>15</v>
      </c>
      <c r="B154" s="49" t="s">
        <v>46</v>
      </c>
      <c r="C154" s="8"/>
      <c r="D154" s="9"/>
      <c r="E154" s="60">
        <f t="shared" ref="E154:M154" si="41">SUM(E147:E153)</f>
        <v>7</v>
      </c>
      <c r="F154" s="60">
        <f t="shared" si="41"/>
        <v>6</v>
      </c>
      <c r="G154" s="60">
        <f t="shared" si="41"/>
        <v>25</v>
      </c>
      <c r="H154" s="60">
        <f t="shared" si="41"/>
        <v>29</v>
      </c>
      <c r="I154" s="60">
        <f t="shared" si="41"/>
        <v>28</v>
      </c>
      <c r="J154" s="60">
        <f t="shared" si="41"/>
        <v>29</v>
      </c>
      <c r="K154" s="60">
        <f t="shared" si="41"/>
        <v>5</v>
      </c>
      <c r="L154" s="60">
        <f t="shared" si="41"/>
        <v>3</v>
      </c>
      <c r="M154" s="60">
        <f t="shared" si="41"/>
        <v>6</v>
      </c>
      <c r="N154" s="6">
        <f t="shared" si="40"/>
        <v>138</v>
      </c>
    </row>
    <row r="155" ht="12.75" customHeight="1">
      <c r="A155" s="54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6"/>
    </row>
    <row r="156" ht="12.75" customHeight="1">
      <c r="A156" s="32" t="s">
        <v>37</v>
      </c>
      <c r="B156" s="49" t="s">
        <v>133</v>
      </c>
      <c r="C156" s="50" t="s">
        <v>134</v>
      </c>
      <c r="D156" s="9"/>
      <c r="E156" s="13">
        <v>1.0</v>
      </c>
      <c r="F156" s="13">
        <v>0.0</v>
      </c>
      <c r="G156" s="13">
        <v>0.0</v>
      </c>
      <c r="H156" s="13">
        <v>0.0</v>
      </c>
      <c r="I156" s="13">
        <v>2.0</v>
      </c>
      <c r="J156" s="13">
        <v>1.0</v>
      </c>
      <c r="K156" s="13">
        <v>0.0</v>
      </c>
      <c r="L156" s="13">
        <v>1.0</v>
      </c>
      <c r="M156" s="13">
        <v>1.0</v>
      </c>
      <c r="N156" s="6">
        <f t="shared" ref="N156:N162" si="42">SUM(E156:M156)</f>
        <v>6</v>
      </c>
    </row>
    <row r="157" ht="12.75" customHeight="1">
      <c r="A157" s="32"/>
      <c r="B157" s="49"/>
      <c r="C157" s="52" t="s">
        <v>135</v>
      </c>
      <c r="D157" s="61"/>
      <c r="E157" s="13">
        <v>0.0</v>
      </c>
      <c r="F157" s="13">
        <v>1.0</v>
      </c>
      <c r="G157" s="13">
        <v>0.0</v>
      </c>
      <c r="H157" s="13">
        <v>0.0</v>
      </c>
      <c r="I157" s="13">
        <v>0.0</v>
      </c>
      <c r="J157" s="13">
        <v>1.0</v>
      </c>
      <c r="K157" s="13">
        <v>0.0</v>
      </c>
      <c r="L157" s="13">
        <v>1.0</v>
      </c>
      <c r="M157" s="13">
        <v>0.0</v>
      </c>
      <c r="N157" s="6">
        <f t="shared" si="42"/>
        <v>3</v>
      </c>
    </row>
    <row r="158" ht="12.75" customHeight="1">
      <c r="A158" s="32"/>
      <c r="B158" s="49"/>
      <c r="C158" s="52" t="s">
        <v>136</v>
      </c>
      <c r="D158" s="61"/>
      <c r="E158" s="13">
        <v>0.0</v>
      </c>
      <c r="F158" s="13">
        <v>0.0</v>
      </c>
      <c r="G158" s="13">
        <v>0.0</v>
      </c>
      <c r="H158" s="13">
        <v>1.0</v>
      </c>
      <c r="I158" s="13">
        <v>0.0</v>
      </c>
      <c r="J158" s="13">
        <v>0.0</v>
      </c>
      <c r="K158" s="13">
        <v>1.0</v>
      </c>
      <c r="L158" s="13">
        <v>0.0</v>
      </c>
      <c r="M158" s="13">
        <v>1.0</v>
      </c>
      <c r="N158" s="6">
        <f t="shared" si="42"/>
        <v>3</v>
      </c>
    </row>
    <row r="159" ht="12.75" customHeight="1">
      <c r="A159" s="32"/>
      <c r="B159" s="49"/>
      <c r="C159" s="52" t="s">
        <v>137</v>
      </c>
      <c r="D159" s="61"/>
      <c r="E159" s="13">
        <v>0.0</v>
      </c>
      <c r="F159" s="13">
        <v>0.0</v>
      </c>
      <c r="G159" s="13">
        <v>0.0</v>
      </c>
      <c r="H159" s="13">
        <v>0.0</v>
      </c>
      <c r="I159" s="13">
        <v>0.0</v>
      </c>
      <c r="J159" s="13">
        <v>0.0</v>
      </c>
      <c r="K159" s="13">
        <v>0.0</v>
      </c>
      <c r="L159" s="13">
        <v>0.0</v>
      </c>
      <c r="M159" s="13">
        <v>0.0</v>
      </c>
      <c r="N159" s="6">
        <f t="shared" si="42"/>
        <v>0</v>
      </c>
    </row>
    <row r="160" ht="12.75" customHeight="1">
      <c r="A160" s="32" t="s">
        <v>39</v>
      </c>
      <c r="B160" s="51"/>
      <c r="C160" s="52" t="s">
        <v>138</v>
      </c>
      <c r="D160" s="53"/>
      <c r="E160" s="13">
        <v>0.0</v>
      </c>
      <c r="F160" s="13">
        <v>0.0</v>
      </c>
      <c r="G160" s="13">
        <v>0.0</v>
      </c>
      <c r="H160" s="13">
        <v>0.0</v>
      </c>
      <c r="I160" s="13">
        <v>0.0</v>
      </c>
      <c r="J160" s="13">
        <v>0.0</v>
      </c>
      <c r="K160" s="13">
        <v>1.0</v>
      </c>
      <c r="L160" s="13">
        <v>0.0</v>
      </c>
      <c r="M160" s="13">
        <v>0.0</v>
      </c>
      <c r="N160" s="6">
        <f t="shared" si="42"/>
        <v>1</v>
      </c>
    </row>
    <row r="161" ht="12.75" customHeight="1">
      <c r="A161" s="32"/>
      <c r="B161" s="51"/>
      <c r="C161" s="52" t="s">
        <v>139</v>
      </c>
      <c r="D161" s="53"/>
      <c r="E161" s="13">
        <v>0.0</v>
      </c>
      <c r="F161" s="13">
        <v>0.0</v>
      </c>
      <c r="G161" s="13">
        <v>0.0</v>
      </c>
      <c r="H161" s="13">
        <v>1.0</v>
      </c>
      <c r="I161" s="13">
        <v>0.0</v>
      </c>
      <c r="J161" s="13">
        <v>0.0</v>
      </c>
      <c r="K161" s="13">
        <v>0.0</v>
      </c>
      <c r="L161" s="13">
        <v>0.0</v>
      </c>
      <c r="M161" s="13">
        <v>0.0</v>
      </c>
      <c r="N161" s="6">
        <f t="shared" si="42"/>
        <v>1</v>
      </c>
    </row>
    <row r="162" ht="12.75" customHeight="1">
      <c r="A162" s="13" t="s">
        <v>15</v>
      </c>
      <c r="B162" s="49" t="s">
        <v>46</v>
      </c>
      <c r="C162" s="8"/>
      <c r="D162" s="9"/>
      <c r="E162" s="60">
        <f t="shared" ref="E162:M162" si="43">SUM(E156:E161)</f>
        <v>1</v>
      </c>
      <c r="F162" s="60">
        <f t="shared" si="43"/>
        <v>1</v>
      </c>
      <c r="G162" s="60">
        <f t="shared" si="43"/>
        <v>0</v>
      </c>
      <c r="H162" s="60">
        <f t="shared" si="43"/>
        <v>2</v>
      </c>
      <c r="I162" s="60">
        <f t="shared" si="43"/>
        <v>2</v>
      </c>
      <c r="J162" s="60">
        <f t="shared" si="43"/>
        <v>2</v>
      </c>
      <c r="K162" s="60">
        <f t="shared" si="43"/>
        <v>2</v>
      </c>
      <c r="L162" s="60">
        <f t="shared" si="43"/>
        <v>2</v>
      </c>
      <c r="M162" s="60">
        <f t="shared" si="43"/>
        <v>2</v>
      </c>
      <c r="N162" s="6">
        <f t="shared" si="42"/>
        <v>14</v>
      </c>
    </row>
    <row r="163" ht="12.75" customHeight="1">
      <c r="A163" s="54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6"/>
    </row>
    <row r="164" ht="12.75" customHeight="1">
      <c r="A164" s="32" t="s">
        <v>37</v>
      </c>
      <c r="B164" s="49" t="s">
        <v>140</v>
      </c>
      <c r="C164" s="50" t="s">
        <v>141</v>
      </c>
      <c r="D164" s="9"/>
      <c r="E164" s="13">
        <v>0.0</v>
      </c>
      <c r="F164" s="13">
        <v>0.0</v>
      </c>
      <c r="G164" s="13">
        <v>0.0</v>
      </c>
      <c r="H164" s="13">
        <v>0.0</v>
      </c>
      <c r="I164" s="13">
        <v>0.0</v>
      </c>
      <c r="J164" s="13">
        <v>0.0</v>
      </c>
      <c r="K164" s="13">
        <v>0.0</v>
      </c>
      <c r="L164" s="13">
        <v>0.0</v>
      </c>
      <c r="M164" s="13">
        <v>0.0</v>
      </c>
      <c r="N164" s="6">
        <f t="shared" ref="N164:N171" si="44">SUM(E164:M164)</f>
        <v>0</v>
      </c>
    </row>
    <row r="165" ht="12.75" customHeight="1">
      <c r="A165" s="32"/>
      <c r="B165" s="49"/>
      <c r="C165" s="52" t="s">
        <v>142</v>
      </c>
      <c r="D165" s="61"/>
      <c r="E165" s="13">
        <v>0.0</v>
      </c>
      <c r="F165" s="13">
        <v>0.0</v>
      </c>
      <c r="G165" s="13">
        <v>0.0</v>
      </c>
      <c r="H165" s="13">
        <v>0.0</v>
      </c>
      <c r="I165" s="13">
        <v>3.0</v>
      </c>
      <c r="J165" s="13">
        <v>0.0</v>
      </c>
      <c r="K165" s="13">
        <v>0.0</v>
      </c>
      <c r="L165" s="13">
        <v>1.0</v>
      </c>
      <c r="M165" s="13">
        <v>0.0</v>
      </c>
      <c r="N165" s="6">
        <f t="shared" si="44"/>
        <v>4</v>
      </c>
    </row>
    <row r="166" ht="12.75" customHeight="1">
      <c r="A166" s="32"/>
      <c r="B166" s="49"/>
      <c r="C166" s="52" t="s">
        <v>143</v>
      </c>
      <c r="D166" s="61"/>
      <c r="E166" s="13">
        <v>0.0</v>
      </c>
      <c r="F166" s="13">
        <v>0.0</v>
      </c>
      <c r="G166" s="13">
        <v>0.0</v>
      </c>
      <c r="H166" s="13">
        <v>0.0</v>
      </c>
      <c r="I166" s="13">
        <v>0.0</v>
      </c>
      <c r="J166" s="13">
        <v>0.0</v>
      </c>
      <c r="K166" s="13">
        <v>0.0</v>
      </c>
      <c r="L166" s="13">
        <v>0.0</v>
      </c>
      <c r="M166" s="13">
        <v>0.0</v>
      </c>
      <c r="N166" s="6">
        <f t="shared" si="44"/>
        <v>0</v>
      </c>
    </row>
    <row r="167" ht="12.75" customHeight="1">
      <c r="A167" s="32"/>
      <c r="B167" s="49"/>
      <c r="C167" s="52" t="s">
        <v>144</v>
      </c>
      <c r="D167" s="61"/>
      <c r="E167" s="13">
        <v>0.0</v>
      </c>
      <c r="F167" s="13">
        <v>0.0</v>
      </c>
      <c r="G167" s="13">
        <v>0.0</v>
      </c>
      <c r="H167" s="13">
        <v>0.0</v>
      </c>
      <c r="I167" s="13">
        <v>0.0</v>
      </c>
      <c r="J167" s="13">
        <v>0.0</v>
      </c>
      <c r="K167" s="13">
        <v>0.0</v>
      </c>
      <c r="L167" s="13">
        <v>0.0</v>
      </c>
      <c r="M167" s="13">
        <v>0.0</v>
      </c>
      <c r="N167" s="6">
        <f t="shared" si="44"/>
        <v>0</v>
      </c>
    </row>
    <row r="168" ht="12.75" customHeight="1">
      <c r="A168" s="32" t="s">
        <v>39</v>
      </c>
      <c r="B168" s="51"/>
      <c r="C168" s="52" t="s">
        <v>145</v>
      </c>
      <c r="D168" s="53"/>
      <c r="E168" s="13">
        <v>0.0</v>
      </c>
      <c r="F168" s="13">
        <v>0.0</v>
      </c>
      <c r="G168" s="13">
        <v>0.0</v>
      </c>
      <c r="H168" s="13">
        <v>1.0</v>
      </c>
      <c r="I168" s="13">
        <v>0.0</v>
      </c>
      <c r="J168" s="13">
        <v>1.0</v>
      </c>
      <c r="K168" s="13">
        <v>0.0</v>
      </c>
      <c r="L168" s="13">
        <v>0.0</v>
      </c>
      <c r="M168" s="13">
        <v>0.0</v>
      </c>
      <c r="N168" s="6">
        <f t="shared" si="44"/>
        <v>2</v>
      </c>
    </row>
    <row r="169" ht="12.75" customHeight="1">
      <c r="A169" s="18"/>
      <c r="B169" s="51"/>
      <c r="C169" s="52" t="s">
        <v>146</v>
      </c>
      <c r="D169" s="53"/>
      <c r="E169" s="13">
        <v>0.0</v>
      </c>
      <c r="F169" s="13">
        <v>0.0</v>
      </c>
      <c r="G169" s="13">
        <v>0.0</v>
      </c>
      <c r="H169" s="13">
        <v>0.0</v>
      </c>
      <c r="I169" s="13">
        <v>0.0</v>
      </c>
      <c r="J169" s="13">
        <v>0.0</v>
      </c>
      <c r="K169" s="13">
        <v>0.0</v>
      </c>
      <c r="L169" s="13">
        <v>0.0</v>
      </c>
      <c r="M169" s="13">
        <v>0.0</v>
      </c>
      <c r="N169" s="6">
        <f t="shared" si="44"/>
        <v>0</v>
      </c>
    </row>
    <row r="170" ht="12.75" customHeight="1">
      <c r="A170" s="18"/>
      <c r="B170" s="51"/>
      <c r="C170" s="52" t="s">
        <v>147</v>
      </c>
      <c r="D170" s="53"/>
      <c r="E170" s="13">
        <v>0.0</v>
      </c>
      <c r="F170" s="13">
        <v>0.0</v>
      </c>
      <c r="G170" s="13">
        <v>0.0</v>
      </c>
      <c r="H170" s="13">
        <v>0.0</v>
      </c>
      <c r="I170" s="13">
        <v>0.0</v>
      </c>
      <c r="J170" s="13">
        <v>0.0</v>
      </c>
      <c r="K170" s="13">
        <v>0.0</v>
      </c>
      <c r="L170" s="13">
        <v>0.0</v>
      </c>
      <c r="M170" s="13">
        <v>0.0</v>
      </c>
      <c r="N170" s="6">
        <f t="shared" si="44"/>
        <v>0</v>
      </c>
    </row>
    <row r="171" ht="12.75" customHeight="1">
      <c r="A171" s="13" t="s">
        <v>15</v>
      </c>
      <c r="B171" s="49" t="s">
        <v>46</v>
      </c>
      <c r="C171" s="8"/>
      <c r="D171" s="9"/>
      <c r="E171" s="60">
        <f t="shared" ref="E171:M171" si="45">SUM(E164:E170)</f>
        <v>0</v>
      </c>
      <c r="F171" s="60">
        <f t="shared" si="45"/>
        <v>0</v>
      </c>
      <c r="G171" s="60">
        <f t="shared" si="45"/>
        <v>0</v>
      </c>
      <c r="H171" s="60">
        <f t="shared" si="45"/>
        <v>1</v>
      </c>
      <c r="I171" s="60">
        <f t="shared" si="45"/>
        <v>3</v>
      </c>
      <c r="J171" s="60">
        <f t="shared" si="45"/>
        <v>1</v>
      </c>
      <c r="K171" s="60">
        <f t="shared" si="45"/>
        <v>0</v>
      </c>
      <c r="L171" s="60">
        <f t="shared" si="45"/>
        <v>1</v>
      </c>
      <c r="M171" s="60">
        <f t="shared" si="45"/>
        <v>0</v>
      </c>
      <c r="N171" s="6">
        <f t="shared" si="44"/>
        <v>6</v>
      </c>
    </row>
    <row r="172" ht="12.75" customHeight="1">
      <c r="A172" s="54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6"/>
    </row>
    <row r="173" ht="12.75" customHeight="1">
      <c r="A173" s="32" t="s">
        <v>37</v>
      </c>
      <c r="B173" s="49" t="s">
        <v>148</v>
      </c>
      <c r="C173" s="50" t="s">
        <v>149</v>
      </c>
      <c r="D173" s="9"/>
      <c r="E173" s="13">
        <v>0.0</v>
      </c>
      <c r="F173" s="13">
        <v>0.0</v>
      </c>
      <c r="G173" s="13">
        <v>0.0</v>
      </c>
      <c r="H173" s="13">
        <v>2.0</v>
      </c>
      <c r="I173" s="13">
        <v>2.0</v>
      </c>
      <c r="J173" s="13">
        <v>0.0</v>
      </c>
      <c r="K173" s="13">
        <v>0.0</v>
      </c>
      <c r="L173" s="13">
        <v>0.0</v>
      </c>
      <c r="M173" s="13">
        <v>1.0</v>
      </c>
      <c r="N173" s="6">
        <f t="shared" ref="N173:N180" si="46">SUM(E173:M173)</f>
        <v>5</v>
      </c>
    </row>
    <row r="174" ht="12.75" customHeight="1">
      <c r="A174" s="32" t="s">
        <v>39</v>
      </c>
      <c r="B174" s="51"/>
      <c r="C174" s="52" t="s">
        <v>150</v>
      </c>
      <c r="D174" s="53"/>
      <c r="E174" s="13">
        <v>0.0</v>
      </c>
      <c r="F174" s="13">
        <v>1.0</v>
      </c>
      <c r="G174" s="13">
        <v>2.0</v>
      </c>
      <c r="H174" s="13">
        <v>1.0</v>
      </c>
      <c r="I174" s="13">
        <v>2.0</v>
      </c>
      <c r="J174" s="13">
        <v>0.0</v>
      </c>
      <c r="K174" s="13">
        <v>0.0</v>
      </c>
      <c r="L174" s="13">
        <v>0.0</v>
      </c>
      <c r="M174" s="13">
        <v>0.0</v>
      </c>
      <c r="N174" s="6">
        <f t="shared" si="46"/>
        <v>6</v>
      </c>
    </row>
    <row r="175" ht="12.75" customHeight="1">
      <c r="A175" s="18"/>
      <c r="B175" s="51"/>
      <c r="C175" s="52" t="s">
        <v>151</v>
      </c>
      <c r="D175" s="53"/>
      <c r="E175" s="13">
        <v>0.0</v>
      </c>
      <c r="F175" s="13">
        <v>0.0</v>
      </c>
      <c r="G175" s="13">
        <v>0.0</v>
      </c>
      <c r="H175" s="13">
        <v>1.0</v>
      </c>
      <c r="I175" s="13">
        <v>0.0</v>
      </c>
      <c r="J175" s="13">
        <v>0.0</v>
      </c>
      <c r="K175" s="13">
        <v>0.0</v>
      </c>
      <c r="L175" s="13">
        <v>1.0</v>
      </c>
      <c r="M175" s="13">
        <v>0.0</v>
      </c>
      <c r="N175" s="6">
        <f t="shared" si="46"/>
        <v>2</v>
      </c>
    </row>
    <row r="176" ht="12.75" customHeight="1">
      <c r="A176" s="18"/>
      <c r="B176" s="51"/>
      <c r="C176" s="52" t="s">
        <v>152</v>
      </c>
      <c r="D176" s="53"/>
      <c r="E176" s="13">
        <v>0.0</v>
      </c>
      <c r="F176" s="13">
        <v>1.0</v>
      </c>
      <c r="G176" s="13">
        <v>0.0</v>
      </c>
      <c r="H176" s="13">
        <v>1.0</v>
      </c>
      <c r="I176" s="13">
        <v>0.0</v>
      </c>
      <c r="J176" s="13">
        <v>0.0</v>
      </c>
      <c r="K176" s="13">
        <v>0.0</v>
      </c>
      <c r="L176" s="13">
        <v>0.0</v>
      </c>
      <c r="M176" s="13">
        <v>0.0</v>
      </c>
      <c r="N176" s="6">
        <f t="shared" si="46"/>
        <v>2</v>
      </c>
    </row>
    <row r="177" ht="12.75" customHeight="1">
      <c r="A177" s="18"/>
      <c r="B177" s="51"/>
      <c r="C177" s="52" t="s">
        <v>153</v>
      </c>
      <c r="D177" s="53"/>
      <c r="E177" s="13">
        <v>0.0</v>
      </c>
      <c r="F177" s="13">
        <v>0.0</v>
      </c>
      <c r="G177" s="13">
        <v>0.0</v>
      </c>
      <c r="H177" s="13">
        <v>1.0</v>
      </c>
      <c r="I177" s="13">
        <v>0.0</v>
      </c>
      <c r="J177" s="13">
        <v>0.0</v>
      </c>
      <c r="K177" s="13">
        <v>0.0</v>
      </c>
      <c r="L177" s="13">
        <v>0.0</v>
      </c>
      <c r="M177" s="13">
        <v>0.0</v>
      </c>
      <c r="N177" s="6">
        <f t="shared" si="46"/>
        <v>1</v>
      </c>
    </row>
    <row r="178" ht="12.75" customHeight="1">
      <c r="A178" s="18"/>
      <c r="B178" s="51"/>
      <c r="C178" s="52" t="s">
        <v>154</v>
      </c>
      <c r="D178" s="53"/>
      <c r="E178" s="13">
        <v>0.0</v>
      </c>
      <c r="F178" s="13">
        <v>0.0</v>
      </c>
      <c r="G178" s="13">
        <v>0.0</v>
      </c>
      <c r="H178" s="13">
        <v>0.0</v>
      </c>
      <c r="I178" s="13">
        <v>0.0</v>
      </c>
      <c r="J178" s="13">
        <v>0.0</v>
      </c>
      <c r="K178" s="13">
        <v>0.0</v>
      </c>
      <c r="L178" s="13">
        <v>0.0</v>
      </c>
      <c r="M178" s="13">
        <v>0.0</v>
      </c>
      <c r="N178" s="6">
        <f t="shared" si="46"/>
        <v>0</v>
      </c>
    </row>
    <row r="179" ht="12.75" customHeight="1">
      <c r="A179" s="18"/>
      <c r="B179" s="51"/>
      <c r="C179" s="52" t="s">
        <v>155</v>
      </c>
      <c r="D179" s="53"/>
      <c r="E179" s="13">
        <v>0.0</v>
      </c>
      <c r="F179" s="13">
        <v>0.0</v>
      </c>
      <c r="G179" s="13">
        <v>0.0</v>
      </c>
      <c r="H179" s="13">
        <v>0.0</v>
      </c>
      <c r="I179" s="13">
        <v>0.0</v>
      </c>
      <c r="J179" s="13">
        <v>0.0</v>
      </c>
      <c r="K179" s="13">
        <v>0.0</v>
      </c>
      <c r="L179" s="13">
        <v>0.0</v>
      </c>
      <c r="M179" s="13">
        <v>2.0</v>
      </c>
      <c r="N179" s="6">
        <f t="shared" si="46"/>
        <v>2</v>
      </c>
    </row>
    <row r="180" ht="12.75" customHeight="1">
      <c r="A180" s="13" t="s">
        <v>15</v>
      </c>
      <c r="B180" s="49" t="s">
        <v>46</v>
      </c>
      <c r="C180" s="8"/>
      <c r="D180" s="9"/>
      <c r="E180" s="60">
        <f t="shared" ref="E180:M180" si="47">SUM(E173:E179)</f>
        <v>0</v>
      </c>
      <c r="F180" s="60">
        <f t="shared" si="47"/>
        <v>2</v>
      </c>
      <c r="G180" s="60">
        <f t="shared" si="47"/>
        <v>2</v>
      </c>
      <c r="H180" s="60">
        <f t="shared" si="47"/>
        <v>6</v>
      </c>
      <c r="I180" s="60">
        <f t="shared" si="47"/>
        <v>4</v>
      </c>
      <c r="J180" s="60">
        <f t="shared" si="47"/>
        <v>0</v>
      </c>
      <c r="K180" s="60">
        <f t="shared" si="47"/>
        <v>0</v>
      </c>
      <c r="L180" s="60">
        <f t="shared" si="47"/>
        <v>1</v>
      </c>
      <c r="M180" s="60">
        <f t="shared" si="47"/>
        <v>3</v>
      </c>
      <c r="N180" s="6">
        <f t="shared" si="46"/>
        <v>18</v>
      </c>
    </row>
    <row r="181" ht="12.75" customHeight="1">
      <c r="A181" s="54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6"/>
    </row>
    <row r="182" ht="12.75" customHeight="1">
      <c r="A182" s="32" t="s">
        <v>37</v>
      </c>
      <c r="B182" s="49" t="s">
        <v>156</v>
      </c>
      <c r="C182" s="50" t="s">
        <v>157</v>
      </c>
      <c r="D182" s="9"/>
      <c r="E182" s="13">
        <v>1.0</v>
      </c>
      <c r="F182" s="13">
        <v>0.0</v>
      </c>
      <c r="G182" s="13">
        <v>1.0</v>
      </c>
      <c r="H182" s="13">
        <v>0.0</v>
      </c>
      <c r="I182" s="13">
        <v>1.0</v>
      </c>
      <c r="J182" s="13">
        <v>0.0</v>
      </c>
      <c r="K182" s="13">
        <v>0.0</v>
      </c>
      <c r="L182" s="13">
        <v>0.0</v>
      </c>
      <c r="M182" s="13">
        <v>0.0</v>
      </c>
      <c r="N182" s="6">
        <f t="shared" ref="N182:N187" si="48">SUM(E182:M182)</f>
        <v>3</v>
      </c>
    </row>
    <row r="183" ht="12.75" customHeight="1">
      <c r="A183" s="32"/>
      <c r="B183" s="49"/>
      <c r="C183" s="52" t="s">
        <v>158</v>
      </c>
      <c r="D183" s="61"/>
      <c r="E183" s="13">
        <v>0.0</v>
      </c>
      <c r="F183" s="13">
        <v>0.0</v>
      </c>
      <c r="G183" s="13">
        <v>0.0</v>
      </c>
      <c r="H183" s="13">
        <v>0.0</v>
      </c>
      <c r="I183" s="13">
        <v>0.0</v>
      </c>
      <c r="J183" s="13">
        <v>0.0</v>
      </c>
      <c r="K183" s="13">
        <v>0.0</v>
      </c>
      <c r="L183" s="13">
        <v>0.0</v>
      </c>
      <c r="M183" s="13">
        <v>0.0</v>
      </c>
      <c r="N183" s="6">
        <f t="shared" si="48"/>
        <v>0</v>
      </c>
    </row>
    <row r="184" ht="12.75" customHeight="1">
      <c r="A184" s="32"/>
      <c r="B184" s="49"/>
      <c r="C184" s="52" t="s">
        <v>159</v>
      </c>
      <c r="D184" s="61"/>
      <c r="E184" s="13">
        <v>3.0</v>
      </c>
      <c r="F184" s="13">
        <v>0.0</v>
      </c>
      <c r="G184" s="13">
        <v>0.0</v>
      </c>
      <c r="H184" s="13">
        <v>0.0</v>
      </c>
      <c r="I184" s="13">
        <v>0.0</v>
      </c>
      <c r="J184" s="13">
        <v>0.0</v>
      </c>
      <c r="K184" s="13">
        <v>0.0</v>
      </c>
      <c r="L184" s="13">
        <v>0.0</v>
      </c>
      <c r="M184" s="13">
        <v>0.0</v>
      </c>
      <c r="N184" s="6">
        <f t="shared" si="48"/>
        <v>3</v>
      </c>
    </row>
    <row r="185" ht="12.75" customHeight="1">
      <c r="A185" s="32"/>
      <c r="B185" s="49"/>
      <c r="C185" s="52" t="s">
        <v>160</v>
      </c>
      <c r="D185" s="61"/>
      <c r="E185" s="13">
        <v>0.0</v>
      </c>
      <c r="F185" s="13">
        <v>0.0</v>
      </c>
      <c r="G185" s="13">
        <v>0.0</v>
      </c>
      <c r="H185" s="13">
        <v>0.0</v>
      </c>
      <c r="I185" s="13">
        <v>0.0</v>
      </c>
      <c r="J185" s="13">
        <v>0.0</v>
      </c>
      <c r="K185" s="13">
        <v>0.0</v>
      </c>
      <c r="L185" s="13">
        <v>0.0</v>
      </c>
      <c r="M185" s="13">
        <v>0.0</v>
      </c>
      <c r="N185" s="6">
        <f t="shared" si="48"/>
        <v>0</v>
      </c>
    </row>
    <row r="186" ht="12.75" customHeight="1">
      <c r="A186" s="32" t="s">
        <v>39</v>
      </c>
      <c r="B186" s="51"/>
      <c r="C186" s="52" t="s">
        <v>161</v>
      </c>
      <c r="D186" s="53"/>
      <c r="E186" s="13">
        <v>0.0</v>
      </c>
      <c r="F186" s="13">
        <v>0.0</v>
      </c>
      <c r="G186" s="13">
        <v>0.0</v>
      </c>
      <c r="H186" s="13">
        <v>0.0</v>
      </c>
      <c r="I186" s="13">
        <v>0.0</v>
      </c>
      <c r="J186" s="13">
        <v>1.0</v>
      </c>
      <c r="K186" s="13">
        <v>0.0</v>
      </c>
      <c r="L186" s="13">
        <v>0.0</v>
      </c>
      <c r="M186" s="13">
        <v>0.0</v>
      </c>
      <c r="N186" s="6">
        <f t="shared" si="48"/>
        <v>1</v>
      </c>
    </row>
    <row r="187" ht="12.75" customHeight="1">
      <c r="A187" s="13" t="s">
        <v>15</v>
      </c>
      <c r="B187" s="49" t="s">
        <v>46</v>
      </c>
      <c r="C187" s="8"/>
      <c r="D187" s="9"/>
      <c r="E187" s="60">
        <f t="shared" ref="E187:M187" si="49">SUM(E182:E186)</f>
        <v>4</v>
      </c>
      <c r="F187" s="60">
        <f t="shared" si="49"/>
        <v>0</v>
      </c>
      <c r="G187" s="60">
        <f t="shared" si="49"/>
        <v>1</v>
      </c>
      <c r="H187" s="60">
        <f t="shared" si="49"/>
        <v>0</v>
      </c>
      <c r="I187" s="60">
        <f t="shared" si="49"/>
        <v>1</v>
      </c>
      <c r="J187" s="60">
        <f t="shared" si="49"/>
        <v>1</v>
      </c>
      <c r="K187" s="60">
        <f t="shared" si="49"/>
        <v>0</v>
      </c>
      <c r="L187" s="60">
        <f t="shared" si="49"/>
        <v>0</v>
      </c>
      <c r="M187" s="60">
        <f t="shared" si="49"/>
        <v>0</v>
      </c>
      <c r="N187" s="6">
        <f t="shared" si="48"/>
        <v>7</v>
      </c>
    </row>
    <row r="188" ht="12.75" customHeight="1">
      <c r="A188" s="21"/>
      <c r="B188" s="8"/>
      <c r="C188" s="8"/>
      <c r="D188" s="9"/>
      <c r="E188" s="21"/>
      <c r="F188" s="21"/>
      <c r="G188" s="21"/>
      <c r="H188" s="21"/>
      <c r="I188" s="21"/>
      <c r="J188" s="21"/>
      <c r="K188" s="21"/>
      <c r="L188" s="21"/>
      <c r="M188" s="21"/>
      <c r="N188" s="6"/>
    </row>
    <row r="189" ht="12.75" customHeight="1">
      <c r="A189" s="47"/>
      <c r="B189" s="46"/>
      <c r="C189" s="46"/>
      <c r="D189" s="27"/>
      <c r="E189" s="13"/>
      <c r="F189" s="13"/>
      <c r="G189" s="13"/>
      <c r="H189" s="13"/>
      <c r="I189" s="13"/>
      <c r="J189" s="13"/>
      <c r="K189" s="13"/>
      <c r="L189" s="13"/>
      <c r="M189" s="13"/>
      <c r="N189" s="6"/>
    </row>
    <row r="190" ht="12.75" customHeight="1">
      <c r="A190" s="44" t="s">
        <v>162</v>
      </c>
      <c r="B190" s="7" t="s">
        <v>163</v>
      </c>
      <c r="C190" s="8"/>
      <c r="D190" s="9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ht="12.75" customHeight="1">
      <c r="A191" s="44"/>
      <c r="B191" s="63" t="s">
        <v>164</v>
      </c>
      <c r="C191" s="64" t="s">
        <v>165</v>
      </c>
      <c r="D191" s="9"/>
      <c r="E191" s="13">
        <f t="shared" ref="E191:M191" si="50">E187+E180+E171+E162+E154+E145+E136+E127+E123+E114+E110+E101+E92+E88+E79+E70+E61+E52</f>
        <v>228</v>
      </c>
      <c r="F191" s="13">
        <f t="shared" si="50"/>
        <v>213</v>
      </c>
      <c r="G191" s="13">
        <f t="shared" si="50"/>
        <v>219</v>
      </c>
      <c r="H191" s="13">
        <f t="shared" si="50"/>
        <v>202</v>
      </c>
      <c r="I191" s="13">
        <f t="shared" si="50"/>
        <v>203</v>
      </c>
      <c r="J191" s="13">
        <f t="shared" si="50"/>
        <v>199</v>
      </c>
      <c r="K191" s="13">
        <f t="shared" si="50"/>
        <v>188</v>
      </c>
      <c r="L191" s="13">
        <f t="shared" si="50"/>
        <v>221</v>
      </c>
      <c r="M191" s="13">
        <f t="shared" si="50"/>
        <v>204</v>
      </c>
      <c r="N191" s="6">
        <f t="shared" ref="N191:N193" si="51">SUM(E191:M191)</f>
        <v>1877</v>
      </c>
    </row>
    <row r="192" ht="12.75" customHeight="1">
      <c r="A192" s="37"/>
      <c r="B192" s="63" t="s">
        <v>166</v>
      </c>
      <c r="C192" s="64" t="s">
        <v>167</v>
      </c>
      <c r="D192" s="9"/>
      <c r="E192" s="13">
        <v>18.0</v>
      </c>
      <c r="F192" s="13">
        <v>14.0</v>
      </c>
      <c r="G192" s="13">
        <v>14.0</v>
      </c>
      <c r="H192" s="13">
        <v>14.0</v>
      </c>
      <c r="I192" s="13">
        <v>10.0</v>
      </c>
      <c r="J192" s="13">
        <v>22.0</v>
      </c>
      <c r="K192" s="13">
        <v>16.0</v>
      </c>
      <c r="L192" s="13">
        <v>5.0</v>
      </c>
      <c r="M192" s="13">
        <v>7.0</v>
      </c>
      <c r="N192" s="6">
        <f t="shared" si="51"/>
        <v>120</v>
      </c>
    </row>
    <row r="193" ht="12.75" customHeight="1">
      <c r="A193" s="42"/>
      <c r="B193" s="63" t="s">
        <v>168</v>
      </c>
      <c r="C193" s="64" t="s">
        <v>169</v>
      </c>
      <c r="D193" s="9"/>
      <c r="E193" s="6">
        <f t="shared" ref="E193:M193" si="52">SUM(E191:E192)</f>
        <v>246</v>
      </c>
      <c r="F193" s="6">
        <f t="shared" si="52"/>
        <v>227</v>
      </c>
      <c r="G193" s="6">
        <f t="shared" si="52"/>
        <v>233</v>
      </c>
      <c r="H193" s="6">
        <f t="shared" si="52"/>
        <v>216</v>
      </c>
      <c r="I193" s="6">
        <f t="shared" si="52"/>
        <v>213</v>
      </c>
      <c r="J193" s="6">
        <f t="shared" si="52"/>
        <v>221</v>
      </c>
      <c r="K193" s="6">
        <f t="shared" si="52"/>
        <v>204</v>
      </c>
      <c r="L193" s="6">
        <f t="shared" si="52"/>
        <v>226</v>
      </c>
      <c r="M193" s="6">
        <f t="shared" si="52"/>
        <v>211</v>
      </c>
      <c r="N193" s="6">
        <f t="shared" si="51"/>
        <v>1997</v>
      </c>
    </row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110:D110"/>
    <mergeCell ref="C112:D112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5:D145"/>
    <mergeCell ref="C147:D147"/>
    <mergeCell ref="B154:D154"/>
    <mergeCell ref="C156:D156"/>
    <mergeCell ref="A188:D188"/>
    <mergeCell ref="A189:D189"/>
    <mergeCell ref="B190:D190"/>
    <mergeCell ref="C191:D191"/>
    <mergeCell ref="C192:D192"/>
    <mergeCell ref="C193:D193"/>
    <mergeCell ref="B162:D162"/>
    <mergeCell ref="C164:D164"/>
    <mergeCell ref="B171:D171"/>
    <mergeCell ref="C173:D173"/>
    <mergeCell ref="B180:D180"/>
    <mergeCell ref="C182:D182"/>
    <mergeCell ref="B187:D187"/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101:D101"/>
    <mergeCell ref="C103:D103"/>
  </mergeCells>
  <conditionalFormatting sqref="E30:M30">
    <cfRule type="expression" dxfId="0" priority="1">
      <formula>E30&lt;&gt;E62</formula>
    </cfRule>
  </conditionalFormatting>
  <conditionalFormatting sqref="E34:M34">
    <cfRule type="expression" dxfId="0" priority="2">
      <formula>E34&lt;&gt;E62</formula>
    </cfRule>
  </conditionalFormatting>
  <conditionalFormatting sqref="E14:M15">
    <cfRule type="containsBlanks" dxfId="1" priority="3">
      <formula>LEN(TRIM(E14))=0</formula>
    </cfRule>
  </conditionalFormatting>
  <conditionalFormatting sqref="E19:M20">
    <cfRule type="containsBlanks" dxfId="1" priority="4">
      <formula>LEN(TRIM(E19))=0</formula>
    </cfRule>
  </conditionalFormatting>
  <conditionalFormatting sqref="E22:M23 E25:M26 E33:M33 E35:M35 E39:M40">
    <cfRule type="containsBlanks" dxfId="1" priority="5">
      <formula>LEN(TRIM(E22))=0</formula>
    </cfRule>
  </conditionalFormatting>
  <conditionalFormatting sqref="E30:M30">
    <cfRule type="expression" dxfId="0" priority="6">
      <formula>E30&lt;&gt;E34</formula>
    </cfRule>
  </conditionalFormatting>
  <conditionalFormatting sqref="E34:M34">
    <cfRule type="expression" dxfId="2" priority="7">
      <formula>E30&lt;&gt;E34</formula>
    </cfRule>
  </conditionalFormatting>
  <conditionalFormatting sqref="E34:M34">
    <cfRule type="expression" dxfId="3" priority="8">
      <formula>E30=E34</formula>
    </cfRule>
  </conditionalFormatting>
  <conditionalFormatting sqref="E34:M34">
    <cfRule type="expression" dxfId="0" priority="9">
      <formula>E34&lt;&gt;E30</formula>
    </cfRule>
  </conditionalFormatting>
  <conditionalFormatting sqref="E45:M51">
    <cfRule type="containsBlanks" dxfId="1" priority="10">
      <formula>LEN(TRIM(E45))=0</formula>
    </cfRule>
  </conditionalFormatting>
  <conditionalFormatting sqref="E54:M60">
    <cfRule type="containsBlanks" dxfId="1" priority="11">
      <formula>LEN(TRIM(E54))=0</formula>
    </cfRule>
  </conditionalFormatting>
  <conditionalFormatting sqref="E63:M69">
    <cfRule type="containsBlanks" dxfId="1" priority="12">
      <formula>LEN(TRIM(E63))=0</formula>
    </cfRule>
  </conditionalFormatting>
  <conditionalFormatting sqref="E72:M78">
    <cfRule type="containsBlanks" dxfId="1" priority="13">
      <formula>LEN(TRIM(E72))=0</formula>
    </cfRule>
  </conditionalFormatting>
  <conditionalFormatting sqref="E81:M87">
    <cfRule type="containsBlanks" dxfId="1" priority="14">
      <formula>LEN(TRIM(E81))=0</formula>
    </cfRule>
  </conditionalFormatting>
  <conditionalFormatting sqref="E90:M91">
    <cfRule type="containsBlanks" dxfId="1" priority="15">
      <formula>LEN(TRIM(E90))=0</formula>
    </cfRule>
  </conditionalFormatting>
  <conditionalFormatting sqref="E94:M100">
    <cfRule type="containsBlanks" dxfId="1" priority="16">
      <formula>LEN(TRIM(E94))=0</formula>
    </cfRule>
  </conditionalFormatting>
  <conditionalFormatting sqref="E103:M109">
    <cfRule type="containsBlanks" dxfId="1" priority="17">
      <formula>LEN(TRIM(E103))=0</formula>
    </cfRule>
  </conditionalFormatting>
  <conditionalFormatting sqref="E112:M113">
    <cfRule type="containsBlanks" dxfId="1" priority="18">
      <formula>LEN(TRIM(E112))=0</formula>
    </cfRule>
  </conditionalFormatting>
  <conditionalFormatting sqref="E116:M122">
    <cfRule type="containsBlanks" dxfId="1" priority="19">
      <formula>LEN(TRIM(E116))=0</formula>
    </cfRule>
  </conditionalFormatting>
  <conditionalFormatting sqref="E125:M126">
    <cfRule type="containsBlanks" dxfId="1" priority="20">
      <formula>LEN(TRIM(E125))=0</formula>
    </cfRule>
  </conditionalFormatting>
  <conditionalFormatting sqref="E129:M135">
    <cfRule type="containsBlanks" dxfId="1" priority="21">
      <formula>LEN(TRIM(E129))=0</formula>
    </cfRule>
  </conditionalFormatting>
  <conditionalFormatting sqref="E138:M144">
    <cfRule type="containsBlanks" dxfId="1" priority="22">
      <formula>LEN(TRIM(E138))=0</formula>
    </cfRule>
  </conditionalFormatting>
  <conditionalFormatting sqref="E147:M153">
    <cfRule type="containsBlanks" dxfId="1" priority="23">
      <formula>LEN(TRIM(E147))=0</formula>
    </cfRule>
  </conditionalFormatting>
  <conditionalFormatting sqref="E156:M161">
    <cfRule type="containsBlanks" dxfId="1" priority="24">
      <formula>LEN(TRIM(E156))=0</formula>
    </cfRule>
  </conditionalFormatting>
  <conditionalFormatting sqref="E164:M170">
    <cfRule type="containsBlanks" dxfId="1" priority="25">
      <formula>LEN(TRIM(E164))=0</formula>
    </cfRule>
  </conditionalFormatting>
  <conditionalFormatting sqref="E173:M179">
    <cfRule type="containsBlanks" dxfId="1" priority="26">
      <formula>LEN(TRIM(E173))=0</formula>
    </cfRule>
  </conditionalFormatting>
  <conditionalFormatting sqref="E182:M186">
    <cfRule type="containsBlanks" dxfId="1" priority="27">
      <formula>LEN(TRIM(E182))=0</formula>
    </cfRule>
  </conditionalFormatting>
  <conditionalFormatting sqref="E191:M192">
    <cfRule type="containsBlanks" dxfId="1" priority="28">
      <formula>LEN(TRIM(E191))=0</formula>
    </cfRule>
  </conditionalFormatting>
  <conditionalFormatting sqref="E193:M193">
    <cfRule type="expression" dxfId="0" priority="29">
      <formula>E193&lt;&gt;#REF!</formula>
    </cfRule>
  </conditionalFormatting>
  <conditionalFormatting sqref="E193:M193">
    <cfRule type="expression" dxfId="2" priority="30">
      <formula>#REF!&lt;&gt;E193</formula>
    </cfRule>
  </conditionalFormatting>
  <conditionalFormatting sqref="E193:M193">
    <cfRule type="expression" dxfId="3" priority="31">
      <formula>#REF!=E193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</cols>
  <sheetData>
    <row r="1" ht="12.75" customHeight="1"/>
    <row r="2" ht="12.75" customHeight="1">
      <c r="C2" s="1" t="s">
        <v>0</v>
      </c>
      <c r="D2" s="1" t="s">
        <v>1</v>
      </c>
    </row>
    <row r="3" ht="12.75" customHeight="1">
      <c r="C3" s="1" t="s">
        <v>2</v>
      </c>
      <c r="D3" s="1" t="s">
        <v>3</v>
      </c>
    </row>
    <row r="4" ht="12.75" customHeight="1">
      <c r="C4" s="1" t="s">
        <v>4</v>
      </c>
      <c r="D4" s="1" t="s">
        <v>5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170</v>
      </c>
      <c r="D9" s="1" t="s">
        <v>193</v>
      </c>
    </row>
    <row r="10" ht="12.75" customHeight="1"/>
    <row r="11" ht="12.75" customHeight="1"/>
    <row r="12" ht="12.75" customHeight="1">
      <c r="A12" s="6" t="s">
        <v>6</v>
      </c>
      <c r="B12" s="7" t="s">
        <v>7</v>
      </c>
      <c r="C12" s="8"/>
      <c r="D12" s="8"/>
      <c r="E12" s="28"/>
      <c r="F12" s="8"/>
      <c r="G12" s="8"/>
      <c r="H12" s="8"/>
      <c r="I12" s="8"/>
      <c r="J12" s="8"/>
      <c r="K12" s="8"/>
      <c r="L12" s="9"/>
      <c r="M12" s="39" t="s">
        <v>8</v>
      </c>
    </row>
    <row r="13" ht="12.75" customHeight="1">
      <c r="A13" s="13" t="s">
        <v>9</v>
      </c>
      <c r="B13" s="14" t="s">
        <v>10</v>
      </c>
      <c r="C13" s="8"/>
      <c r="D13" s="9"/>
      <c r="E13" s="42" t="s">
        <v>172</v>
      </c>
      <c r="F13" s="42" t="s">
        <v>173</v>
      </c>
      <c r="G13" s="42" t="s">
        <v>174</v>
      </c>
      <c r="H13" s="42" t="s">
        <v>175</v>
      </c>
      <c r="I13" s="42" t="s">
        <v>176</v>
      </c>
      <c r="J13" s="42" t="s">
        <v>177</v>
      </c>
      <c r="K13" s="42" t="s">
        <v>178</v>
      </c>
      <c r="L13" s="42" t="s">
        <v>179</v>
      </c>
      <c r="M13" s="27"/>
    </row>
    <row r="14" ht="12.75" customHeight="1">
      <c r="A14" s="18"/>
      <c r="B14" s="19" t="s">
        <v>11</v>
      </c>
      <c r="C14" s="20"/>
      <c r="D14" s="13" t="s">
        <v>12</v>
      </c>
      <c r="E14" s="13">
        <v>128.0</v>
      </c>
      <c r="F14" s="13">
        <v>118.0</v>
      </c>
      <c r="G14" s="13">
        <v>115.0</v>
      </c>
      <c r="H14" s="13">
        <v>119.0</v>
      </c>
      <c r="I14" s="13">
        <v>121.0</v>
      </c>
      <c r="J14" s="13">
        <v>126.0</v>
      </c>
      <c r="K14" s="13">
        <v>121.0</v>
      </c>
      <c r="L14" s="13">
        <v>133.0</v>
      </c>
      <c r="M14" s="6">
        <f t="shared" ref="M14:M16" si="1">SUM(E14:L14)</f>
        <v>981</v>
      </c>
    </row>
    <row r="15" ht="12.75" customHeight="1">
      <c r="A15" s="18"/>
      <c r="B15" s="25"/>
      <c r="C15" s="26"/>
      <c r="D15" s="13" t="s">
        <v>13</v>
      </c>
      <c r="E15" s="13">
        <v>141.0</v>
      </c>
      <c r="F15" s="13">
        <v>135.0</v>
      </c>
      <c r="G15" s="13">
        <v>137.0</v>
      </c>
      <c r="H15" s="13">
        <v>143.0</v>
      </c>
      <c r="I15" s="13">
        <v>133.0</v>
      </c>
      <c r="J15" s="13">
        <v>135.0</v>
      </c>
      <c r="K15" s="13">
        <v>137.0</v>
      </c>
      <c r="L15" s="13">
        <v>126.0</v>
      </c>
      <c r="M15" s="6">
        <f t="shared" si="1"/>
        <v>1087</v>
      </c>
    </row>
    <row r="16" ht="12.75" customHeight="1">
      <c r="A16" s="16"/>
      <c r="B16" s="15"/>
      <c r="C16" s="27"/>
      <c r="D16" s="6" t="s">
        <v>14</v>
      </c>
      <c r="E16" s="6">
        <f t="shared" ref="E16:L16" si="2">SUM(E14:E15)</f>
        <v>269</v>
      </c>
      <c r="F16" s="6">
        <f t="shared" si="2"/>
        <v>253</v>
      </c>
      <c r="G16" s="6">
        <f t="shared" si="2"/>
        <v>252</v>
      </c>
      <c r="H16" s="6">
        <f t="shared" si="2"/>
        <v>262</v>
      </c>
      <c r="I16" s="6">
        <f t="shared" si="2"/>
        <v>254</v>
      </c>
      <c r="J16" s="6">
        <f t="shared" si="2"/>
        <v>261</v>
      </c>
      <c r="K16" s="6">
        <f t="shared" si="2"/>
        <v>258</v>
      </c>
      <c r="L16" s="6">
        <f t="shared" si="2"/>
        <v>259</v>
      </c>
      <c r="M16" s="6">
        <f t="shared" si="1"/>
        <v>2068</v>
      </c>
    </row>
    <row r="17" ht="12.75" customHeight="1">
      <c r="A17" s="21"/>
      <c r="B17" s="8"/>
      <c r="C17" s="8"/>
      <c r="D17" s="9"/>
      <c r="E17" s="13"/>
      <c r="F17" s="13"/>
      <c r="G17" s="13"/>
      <c r="H17" s="13"/>
      <c r="I17" s="13"/>
      <c r="J17" s="13"/>
      <c r="K17" s="13"/>
      <c r="L17" s="13"/>
      <c r="M17" s="6"/>
    </row>
    <row r="18" ht="12.75" customHeight="1">
      <c r="A18" s="32" t="s">
        <v>15</v>
      </c>
      <c r="B18" s="14" t="s">
        <v>16</v>
      </c>
      <c r="C18" s="8"/>
      <c r="D18" s="9"/>
      <c r="E18" s="13"/>
      <c r="F18" s="13"/>
      <c r="G18" s="13"/>
      <c r="H18" s="13"/>
      <c r="I18" s="13"/>
      <c r="J18" s="13"/>
      <c r="K18" s="13"/>
      <c r="L18" s="13"/>
      <c r="M18" s="6"/>
    </row>
    <row r="19" ht="12.75" customHeight="1">
      <c r="A19" s="32"/>
      <c r="B19" s="33" t="s">
        <v>17</v>
      </c>
      <c r="C19" s="34" t="s">
        <v>18</v>
      </c>
      <c r="D19" s="13" t="s">
        <v>12</v>
      </c>
      <c r="E19" s="13">
        <v>114.0</v>
      </c>
      <c r="F19" s="13">
        <v>106.0</v>
      </c>
      <c r="G19" s="13">
        <v>99.0</v>
      </c>
      <c r="H19" s="13">
        <v>111.0</v>
      </c>
      <c r="I19" s="13">
        <v>111.0</v>
      </c>
      <c r="J19" s="13">
        <v>116.0</v>
      </c>
      <c r="K19" s="13">
        <v>108.0</v>
      </c>
      <c r="L19" s="13">
        <v>104.0</v>
      </c>
      <c r="M19" s="6">
        <f t="shared" ref="M19:M30" si="3">SUM(E19:L19)</f>
        <v>869</v>
      </c>
    </row>
    <row r="20" ht="12.75" customHeight="1">
      <c r="A20" s="35"/>
      <c r="B20" s="26"/>
      <c r="C20" s="36"/>
      <c r="D20" s="13" t="s">
        <v>13</v>
      </c>
      <c r="E20" s="13">
        <v>130.0</v>
      </c>
      <c r="F20" s="13">
        <v>128.0</v>
      </c>
      <c r="G20" s="13">
        <v>123.0</v>
      </c>
      <c r="H20" s="13">
        <v>131.0</v>
      </c>
      <c r="I20" s="13">
        <v>117.0</v>
      </c>
      <c r="J20" s="13">
        <v>128.0</v>
      </c>
      <c r="K20" s="13">
        <v>123.0</v>
      </c>
      <c r="L20" s="13">
        <v>118.0</v>
      </c>
      <c r="M20" s="6">
        <f t="shared" si="3"/>
        <v>998</v>
      </c>
    </row>
    <row r="21" ht="12.75" customHeight="1">
      <c r="A21" s="37"/>
      <c r="B21" s="27"/>
      <c r="C21" s="38"/>
      <c r="D21" s="6" t="s">
        <v>14</v>
      </c>
      <c r="E21" s="6">
        <f t="shared" ref="E21:L21" si="4">SUM(E19:E20)</f>
        <v>244</v>
      </c>
      <c r="F21" s="6">
        <f t="shared" si="4"/>
        <v>234</v>
      </c>
      <c r="G21" s="6">
        <f t="shared" si="4"/>
        <v>222</v>
      </c>
      <c r="H21" s="6">
        <f t="shared" si="4"/>
        <v>242</v>
      </c>
      <c r="I21" s="6">
        <f t="shared" si="4"/>
        <v>228</v>
      </c>
      <c r="J21" s="6">
        <f t="shared" si="4"/>
        <v>244</v>
      </c>
      <c r="K21" s="6">
        <f t="shared" si="4"/>
        <v>231</v>
      </c>
      <c r="L21" s="6">
        <f t="shared" si="4"/>
        <v>222</v>
      </c>
      <c r="M21" s="6">
        <f t="shared" si="3"/>
        <v>1867</v>
      </c>
    </row>
    <row r="22" ht="12.75" customHeight="1">
      <c r="A22" s="35"/>
      <c r="B22" s="33" t="s">
        <v>19</v>
      </c>
      <c r="C22" s="34" t="s">
        <v>20</v>
      </c>
      <c r="D22" s="13" t="s">
        <v>12</v>
      </c>
      <c r="E22" s="13">
        <v>2.0</v>
      </c>
      <c r="F22" s="13">
        <v>1.0</v>
      </c>
      <c r="G22" s="13">
        <v>0.0</v>
      </c>
      <c r="H22" s="13">
        <v>2.0</v>
      </c>
      <c r="I22" s="13">
        <v>0.0</v>
      </c>
      <c r="J22" s="13">
        <v>0.0</v>
      </c>
      <c r="K22" s="13">
        <v>1.0</v>
      </c>
      <c r="L22" s="13">
        <v>2.0</v>
      </c>
      <c r="M22" s="6">
        <f t="shared" si="3"/>
        <v>8</v>
      </c>
    </row>
    <row r="23" ht="12.75" customHeight="1">
      <c r="A23" s="35"/>
      <c r="B23" s="26"/>
      <c r="C23" s="36"/>
      <c r="D23" s="13" t="s">
        <v>13</v>
      </c>
      <c r="E23" s="13">
        <v>1.0</v>
      </c>
      <c r="F23" s="13">
        <v>0.0</v>
      </c>
      <c r="G23" s="13">
        <v>2.0</v>
      </c>
      <c r="H23" s="13">
        <v>0.0</v>
      </c>
      <c r="I23" s="13">
        <v>0.0</v>
      </c>
      <c r="J23" s="13">
        <v>1.0</v>
      </c>
      <c r="K23" s="13">
        <v>1.0</v>
      </c>
      <c r="L23" s="13">
        <v>2.0</v>
      </c>
      <c r="M23" s="6">
        <f t="shared" si="3"/>
        <v>7</v>
      </c>
    </row>
    <row r="24" ht="12.75" customHeight="1">
      <c r="A24" s="37"/>
      <c r="B24" s="27"/>
      <c r="C24" s="38"/>
      <c r="D24" s="6" t="s">
        <v>14</v>
      </c>
      <c r="E24" s="6">
        <f t="shared" ref="E24:L24" si="5">SUM(E22:E23)</f>
        <v>3</v>
      </c>
      <c r="F24" s="6">
        <f t="shared" si="5"/>
        <v>1</v>
      </c>
      <c r="G24" s="6">
        <f t="shared" si="5"/>
        <v>2</v>
      </c>
      <c r="H24" s="6">
        <f t="shared" si="5"/>
        <v>2</v>
      </c>
      <c r="I24" s="6">
        <f t="shared" si="5"/>
        <v>0</v>
      </c>
      <c r="J24" s="6">
        <f t="shared" si="5"/>
        <v>1</v>
      </c>
      <c r="K24" s="6">
        <f t="shared" si="5"/>
        <v>2</v>
      </c>
      <c r="L24" s="6">
        <f t="shared" si="5"/>
        <v>4</v>
      </c>
      <c r="M24" s="6">
        <f t="shared" si="3"/>
        <v>15</v>
      </c>
    </row>
    <row r="25" ht="12.75" customHeight="1">
      <c r="A25" s="35"/>
      <c r="B25" s="33" t="s">
        <v>21</v>
      </c>
      <c r="C25" s="34" t="s">
        <v>22</v>
      </c>
      <c r="D25" s="13" t="s">
        <v>12</v>
      </c>
      <c r="E25" s="13">
        <v>0.0</v>
      </c>
      <c r="F25" s="13">
        <v>0.0</v>
      </c>
      <c r="G25" s="13">
        <v>0.0</v>
      </c>
      <c r="H25" s="13">
        <v>0.0</v>
      </c>
      <c r="I25" s="13">
        <v>0.0</v>
      </c>
      <c r="J25" s="13">
        <v>0.0</v>
      </c>
      <c r="K25" s="13">
        <v>0.0</v>
      </c>
      <c r="L25" s="13">
        <v>0.0</v>
      </c>
      <c r="M25" s="6">
        <f t="shared" si="3"/>
        <v>0</v>
      </c>
    </row>
    <row r="26" ht="12.75" customHeight="1">
      <c r="A26" s="35"/>
      <c r="B26" s="26"/>
      <c r="C26" s="36"/>
      <c r="D26" s="13" t="s">
        <v>13</v>
      </c>
      <c r="E26" s="13">
        <v>0.0</v>
      </c>
      <c r="F26" s="13">
        <v>0.0</v>
      </c>
      <c r="G26" s="13">
        <v>0.0</v>
      </c>
      <c r="H26" s="13">
        <v>0.0</v>
      </c>
      <c r="I26" s="13">
        <v>0.0</v>
      </c>
      <c r="J26" s="13">
        <v>0.0</v>
      </c>
      <c r="K26" s="13">
        <v>1.0</v>
      </c>
      <c r="L26" s="13">
        <v>0.0</v>
      </c>
      <c r="M26" s="6">
        <f t="shared" si="3"/>
        <v>1</v>
      </c>
    </row>
    <row r="27" ht="12.75" customHeight="1">
      <c r="A27" s="37"/>
      <c r="B27" s="27"/>
      <c r="C27" s="38"/>
      <c r="D27" s="6" t="s">
        <v>14</v>
      </c>
      <c r="E27" s="6">
        <f t="shared" ref="E27:L27" si="6">SUM(E25:E26)</f>
        <v>0</v>
      </c>
      <c r="F27" s="6">
        <f t="shared" si="6"/>
        <v>0</v>
      </c>
      <c r="G27" s="6">
        <f t="shared" si="6"/>
        <v>0</v>
      </c>
      <c r="H27" s="6">
        <f t="shared" si="6"/>
        <v>0</v>
      </c>
      <c r="I27" s="6">
        <f t="shared" si="6"/>
        <v>0</v>
      </c>
      <c r="J27" s="6">
        <f t="shared" si="6"/>
        <v>0</v>
      </c>
      <c r="K27" s="6">
        <f t="shared" si="6"/>
        <v>1</v>
      </c>
      <c r="L27" s="6">
        <f t="shared" si="6"/>
        <v>0</v>
      </c>
      <c r="M27" s="6">
        <f t="shared" si="3"/>
        <v>1</v>
      </c>
    </row>
    <row r="28" ht="12.75" customHeight="1">
      <c r="A28" s="37"/>
      <c r="B28" s="39" t="s">
        <v>23</v>
      </c>
      <c r="C28" s="40" t="s">
        <v>24</v>
      </c>
      <c r="D28" s="6" t="s">
        <v>12</v>
      </c>
      <c r="E28" s="6">
        <f t="shared" ref="E28:L28" si="7">SUM(E19,E22,E25)</f>
        <v>116</v>
      </c>
      <c r="F28" s="6">
        <f t="shared" si="7"/>
        <v>107</v>
      </c>
      <c r="G28" s="6">
        <f t="shared" si="7"/>
        <v>99</v>
      </c>
      <c r="H28" s="6">
        <f t="shared" si="7"/>
        <v>113</v>
      </c>
      <c r="I28" s="6">
        <f t="shared" si="7"/>
        <v>111</v>
      </c>
      <c r="J28" s="6">
        <f t="shared" si="7"/>
        <v>116</v>
      </c>
      <c r="K28" s="6">
        <f t="shared" si="7"/>
        <v>109</v>
      </c>
      <c r="L28" s="6">
        <f t="shared" si="7"/>
        <v>106</v>
      </c>
      <c r="M28" s="6">
        <f t="shared" si="3"/>
        <v>877</v>
      </c>
    </row>
    <row r="29" ht="12.75" customHeight="1">
      <c r="A29" s="37"/>
      <c r="B29" s="26"/>
      <c r="C29" s="36"/>
      <c r="D29" s="6" t="s">
        <v>13</v>
      </c>
      <c r="E29" s="6">
        <f t="shared" ref="E29:L29" si="8">SUM(E20,E23,E26)</f>
        <v>131</v>
      </c>
      <c r="F29" s="6">
        <f t="shared" si="8"/>
        <v>128</v>
      </c>
      <c r="G29" s="6">
        <f t="shared" si="8"/>
        <v>125</v>
      </c>
      <c r="H29" s="6">
        <f t="shared" si="8"/>
        <v>131</v>
      </c>
      <c r="I29" s="6">
        <f t="shared" si="8"/>
        <v>117</v>
      </c>
      <c r="J29" s="6">
        <f t="shared" si="8"/>
        <v>129</v>
      </c>
      <c r="K29" s="6">
        <f t="shared" si="8"/>
        <v>125</v>
      </c>
      <c r="L29" s="6">
        <f t="shared" si="8"/>
        <v>120</v>
      </c>
      <c r="M29" s="6">
        <f t="shared" si="3"/>
        <v>1006</v>
      </c>
    </row>
    <row r="30" ht="12.75" customHeight="1">
      <c r="A30" s="37"/>
      <c r="B30" s="27"/>
      <c r="C30" s="38"/>
      <c r="D30" s="6" t="s">
        <v>14</v>
      </c>
      <c r="E30" s="6">
        <f t="shared" ref="E30:L30" si="9">SUM(E28:E29)</f>
        <v>247</v>
      </c>
      <c r="F30" s="6">
        <f t="shared" si="9"/>
        <v>235</v>
      </c>
      <c r="G30" s="6">
        <f t="shared" si="9"/>
        <v>224</v>
      </c>
      <c r="H30" s="6">
        <f t="shared" si="9"/>
        <v>244</v>
      </c>
      <c r="I30" s="6">
        <f t="shared" si="9"/>
        <v>228</v>
      </c>
      <c r="J30" s="6">
        <f t="shared" si="9"/>
        <v>245</v>
      </c>
      <c r="K30" s="6">
        <f t="shared" si="9"/>
        <v>234</v>
      </c>
      <c r="L30" s="6">
        <f t="shared" si="9"/>
        <v>226</v>
      </c>
      <c r="M30" s="6">
        <f t="shared" si="3"/>
        <v>1883</v>
      </c>
    </row>
    <row r="31" ht="12.75" customHeight="1">
      <c r="A31" s="21"/>
      <c r="B31" s="8"/>
      <c r="C31" s="8"/>
      <c r="D31" s="9"/>
      <c r="E31" s="13"/>
      <c r="F31" s="13"/>
      <c r="G31" s="13"/>
      <c r="H31" s="13"/>
      <c r="I31" s="13"/>
      <c r="J31" s="13"/>
      <c r="K31" s="13"/>
      <c r="L31" s="13"/>
      <c r="M31" s="6"/>
    </row>
    <row r="32" ht="12.75" customHeight="1">
      <c r="A32" s="42" t="s">
        <v>25</v>
      </c>
      <c r="B32" s="7" t="s">
        <v>26</v>
      </c>
      <c r="C32" s="8"/>
      <c r="D32" s="9"/>
      <c r="E32" s="6"/>
      <c r="F32" s="6"/>
      <c r="G32" s="6"/>
      <c r="H32" s="6"/>
      <c r="I32" s="6"/>
      <c r="J32" s="6"/>
      <c r="K32" s="6"/>
      <c r="L32" s="6"/>
      <c r="M32" s="6"/>
    </row>
    <row r="33" ht="12.75" customHeight="1">
      <c r="A33" s="13">
        <v>1.0</v>
      </c>
      <c r="B33" s="14" t="s">
        <v>27</v>
      </c>
      <c r="C33" s="8"/>
      <c r="D33" s="9"/>
      <c r="E33" s="13">
        <v>275.0</v>
      </c>
      <c r="F33" s="13">
        <v>259.0</v>
      </c>
      <c r="G33" s="13">
        <v>258.0</v>
      </c>
      <c r="H33" s="13">
        <v>268.0</v>
      </c>
      <c r="I33" s="13">
        <v>260.0</v>
      </c>
      <c r="J33" s="13">
        <v>267.0</v>
      </c>
      <c r="K33" s="13">
        <v>264.0</v>
      </c>
      <c r="L33" s="13">
        <v>265.0</v>
      </c>
      <c r="M33" s="6">
        <f t="shared" ref="M33:M36" si="10">SUM(E33:L33)</f>
        <v>2116</v>
      </c>
    </row>
    <row r="34" ht="12.75" customHeight="1">
      <c r="A34" s="13">
        <v>2.0</v>
      </c>
      <c r="B34" s="14" t="s">
        <v>28</v>
      </c>
      <c r="C34" s="8"/>
      <c r="D34" s="9"/>
      <c r="E34" s="6">
        <v>247.0</v>
      </c>
      <c r="F34" s="6">
        <v>235.0</v>
      </c>
      <c r="G34" s="6">
        <v>224.0</v>
      </c>
      <c r="H34" s="6">
        <v>244.0</v>
      </c>
      <c r="I34" s="6">
        <v>228.0</v>
      </c>
      <c r="J34" s="6">
        <v>245.0</v>
      </c>
      <c r="K34" s="6">
        <v>234.0</v>
      </c>
      <c r="L34" s="6">
        <v>226.0</v>
      </c>
      <c r="M34" s="6">
        <f t="shared" si="10"/>
        <v>1883</v>
      </c>
    </row>
    <row r="35" ht="12.75" customHeight="1">
      <c r="A35" s="13">
        <v>3.0</v>
      </c>
      <c r="B35" s="14" t="s">
        <v>29</v>
      </c>
      <c r="C35" s="8"/>
      <c r="D35" s="9"/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3">
        <v>0.0</v>
      </c>
      <c r="K35" s="13">
        <v>0.0</v>
      </c>
      <c r="L35" s="13">
        <v>0.0</v>
      </c>
      <c r="M35" s="6">
        <f t="shared" si="10"/>
        <v>0</v>
      </c>
    </row>
    <row r="36" ht="12.75" customHeight="1">
      <c r="A36" s="13">
        <v>4.0</v>
      </c>
      <c r="B36" s="14" t="s">
        <v>30</v>
      </c>
      <c r="C36" s="8"/>
      <c r="D36" s="9"/>
      <c r="E36" s="6">
        <f t="shared" ref="E36:L36" si="11">E33-(E34+E35)</f>
        <v>28</v>
      </c>
      <c r="F36" s="6">
        <f t="shared" si="11"/>
        <v>24</v>
      </c>
      <c r="G36" s="6">
        <f t="shared" si="11"/>
        <v>34</v>
      </c>
      <c r="H36" s="6">
        <f t="shared" si="11"/>
        <v>24</v>
      </c>
      <c r="I36" s="6">
        <f t="shared" si="11"/>
        <v>32</v>
      </c>
      <c r="J36" s="6">
        <f t="shared" si="11"/>
        <v>22</v>
      </c>
      <c r="K36" s="6">
        <f t="shared" si="11"/>
        <v>30</v>
      </c>
      <c r="L36" s="6">
        <f t="shared" si="11"/>
        <v>39</v>
      </c>
      <c r="M36" s="6">
        <f t="shared" si="10"/>
        <v>233</v>
      </c>
    </row>
    <row r="37" ht="12.75" customHeight="1">
      <c r="A37" s="21"/>
      <c r="B37" s="8"/>
      <c r="C37" s="8"/>
      <c r="D37" s="8"/>
      <c r="E37" s="21"/>
      <c r="F37" s="8"/>
      <c r="G37" s="8"/>
      <c r="H37" s="8"/>
      <c r="I37" s="9"/>
      <c r="J37" s="13"/>
      <c r="K37" s="13"/>
      <c r="L37" s="13"/>
      <c r="M37" s="6"/>
    </row>
    <row r="38" ht="12.75" customHeight="1">
      <c r="A38" s="44" t="s">
        <v>31</v>
      </c>
      <c r="B38" s="7" t="s">
        <v>32</v>
      </c>
      <c r="C38" s="8"/>
      <c r="D38" s="9"/>
      <c r="E38" s="6"/>
      <c r="F38" s="6"/>
      <c r="G38" s="6"/>
      <c r="H38" s="6"/>
      <c r="I38" s="6"/>
      <c r="J38" s="6"/>
      <c r="K38" s="6"/>
      <c r="L38" s="6"/>
      <c r="M38" s="6"/>
    </row>
    <row r="39" ht="12.75" customHeight="1">
      <c r="A39" s="32"/>
      <c r="B39" s="45" t="s">
        <v>33</v>
      </c>
      <c r="C39" s="20"/>
      <c r="D39" s="13" t="s">
        <v>12</v>
      </c>
      <c r="E39" s="13"/>
      <c r="F39" s="13"/>
      <c r="G39" s="13"/>
      <c r="H39" s="13"/>
      <c r="I39" s="13"/>
      <c r="J39" s="13"/>
      <c r="K39" s="13"/>
      <c r="L39" s="13"/>
      <c r="M39" s="6">
        <f t="shared" ref="M39:M41" si="12">SUM(E39:L39)</f>
        <v>0</v>
      </c>
    </row>
    <row r="40" ht="12.75" customHeight="1">
      <c r="A40" s="35"/>
      <c r="C40" s="26"/>
      <c r="D40" s="13" t="s">
        <v>13</v>
      </c>
      <c r="E40" s="13"/>
      <c r="F40" s="13"/>
      <c r="G40" s="13"/>
      <c r="H40" s="13"/>
      <c r="I40" s="13"/>
      <c r="J40" s="13"/>
      <c r="K40" s="13"/>
      <c r="L40" s="13"/>
      <c r="M40" s="6">
        <f t="shared" si="12"/>
        <v>0</v>
      </c>
    </row>
    <row r="41" ht="12.75" customHeight="1">
      <c r="A41" s="42"/>
      <c r="B41" s="46"/>
      <c r="C41" s="27"/>
      <c r="D41" s="6" t="s">
        <v>14</v>
      </c>
      <c r="E41" s="6">
        <f t="shared" ref="E41:L41" si="13">SUM(E39:E40)</f>
        <v>0</v>
      </c>
      <c r="F41" s="6">
        <f t="shared" si="13"/>
        <v>0</v>
      </c>
      <c r="G41" s="6">
        <f t="shared" si="13"/>
        <v>0</v>
      </c>
      <c r="H41" s="6">
        <f t="shared" si="13"/>
        <v>0</v>
      </c>
      <c r="I41" s="6">
        <f t="shared" si="13"/>
        <v>0</v>
      </c>
      <c r="J41" s="6">
        <f t="shared" si="13"/>
        <v>0</v>
      </c>
      <c r="K41" s="6">
        <f t="shared" si="13"/>
        <v>0</v>
      </c>
      <c r="L41" s="6">
        <f t="shared" si="13"/>
        <v>0</v>
      </c>
      <c r="M41" s="6">
        <f t="shared" si="12"/>
        <v>0</v>
      </c>
    </row>
    <row r="42" ht="12.75" customHeight="1">
      <c r="A42" s="47"/>
      <c r="B42" s="46"/>
      <c r="C42" s="46"/>
      <c r="D42" s="27"/>
      <c r="E42" s="21"/>
      <c r="F42" s="8"/>
      <c r="G42" s="8"/>
      <c r="H42" s="8"/>
      <c r="I42" s="9"/>
      <c r="J42" s="13"/>
      <c r="K42" s="13"/>
      <c r="L42" s="13"/>
      <c r="M42" s="6"/>
    </row>
    <row r="43" ht="12.75" customHeight="1">
      <c r="A43" s="44" t="s">
        <v>34</v>
      </c>
      <c r="B43" s="7" t="s">
        <v>35</v>
      </c>
      <c r="C43" s="8"/>
      <c r="D43" s="9"/>
      <c r="E43" s="28"/>
      <c r="F43" s="6"/>
      <c r="G43" s="6"/>
      <c r="H43" s="6"/>
      <c r="I43" s="6"/>
      <c r="J43" s="6"/>
      <c r="K43" s="6"/>
      <c r="L43" s="6"/>
      <c r="M43" s="6"/>
    </row>
    <row r="44" ht="12.75" customHeight="1">
      <c r="A44" s="45" t="s">
        <v>36</v>
      </c>
      <c r="B44" s="48"/>
      <c r="C44" s="48"/>
      <c r="D44" s="20"/>
      <c r="E44" s="21"/>
      <c r="F44" s="13"/>
      <c r="G44" s="13"/>
      <c r="H44" s="13"/>
      <c r="I44" s="13"/>
      <c r="J44" s="13"/>
      <c r="K44" s="13"/>
      <c r="L44" s="13"/>
      <c r="M44" s="6"/>
    </row>
    <row r="45" ht="12.75" customHeight="1">
      <c r="A45" s="32" t="s">
        <v>37</v>
      </c>
      <c r="B45" s="49" t="s">
        <v>17</v>
      </c>
      <c r="C45" s="50" t="s">
        <v>38</v>
      </c>
      <c r="D45" s="9"/>
      <c r="E45" s="13">
        <v>2.0</v>
      </c>
      <c r="F45" s="13">
        <v>3.0</v>
      </c>
      <c r="G45" s="13">
        <v>9.0</v>
      </c>
      <c r="H45" s="13">
        <v>6.0</v>
      </c>
      <c r="I45" s="13">
        <v>9.0</v>
      </c>
      <c r="J45" s="13">
        <v>7.0</v>
      </c>
      <c r="K45" s="13">
        <v>4.0</v>
      </c>
      <c r="L45" s="13">
        <v>2.0</v>
      </c>
      <c r="M45" s="6">
        <f t="shared" ref="M45:M52" si="14">SUM(E45:L45)</f>
        <v>42</v>
      </c>
    </row>
    <row r="46" ht="12.75" customHeight="1">
      <c r="A46" s="32" t="s">
        <v>39</v>
      </c>
      <c r="B46" s="51"/>
      <c r="C46" s="52" t="s">
        <v>40</v>
      </c>
      <c r="D46" s="53"/>
      <c r="E46" s="13">
        <v>2.0</v>
      </c>
      <c r="F46" s="13">
        <v>3.0</v>
      </c>
      <c r="G46" s="13">
        <v>19.0</v>
      </c>
      <c r="H46" s="13">
        <v>4.0</v>
      </c>
      <c r="I46" s="13">
        <v>2.0</v>
      </c>
      <c r="J46" s="13">
        <v>1.0</v>
      </c>
      <c r="K46" s="13">
        <v>4.0</v>
      </c>
      <c r="L46" s="13">
        <v>0.0</v>
      </c>
      <c r="M46" s="6">
        <f t="shared" si="14"/>
        <v>35</v>
      </c>
    </row>
    <row r="47" ht="12.75" customHeight="1">
      <c r="A47" s="18"/>
      <c r="B47" s="51"/>
      <c r="C47" s="52" t="s">
        <v>41</v>
      </c>
      <c r="D47" s="53"/>
      <c r="E47" s="13">
        <v>2.0</v>
      </c>
      <c r="F47" s="13">
        <v>1.0</v>
      </c>
      <c r="G47" s="13">
        <v>3.0</v>
      </c>
      <c r="H47" s="13">
        <v>1.0</v>
      </c>
      <c r="I47" s="13">
        <v>2.0</v>
      </c>
      <c r="J47" s="13">
        <v>0.0</v>
      </c>
      <c r="K47" s="13">
        <v>3.0</v>
      </c>
      <c r="L47" s="72">
        <v>4.0</v>
      </c>
      <c r="M47" s="6">
        <f t="shared" si="14"/>
        <v>16</v>
      </c>
    </row>
    <row r="48" ht="12.75" customHeight="1">
      <c r="A48" s="18"/>
      <c r="B48" s="51"/>
      <c r="C48" s="52" t="s">
        <v>42</v>
      </c>
      <c r="D48" s="53"/>
      <c r="E48" s="13">
        <v>12.0</v>
      </c>
      <c r="F48" s="13">
        <v>7.0</v>
      </c>
      <c r="G48" s="13">
        <v>37.0</v>
      </c>
      <c r="H48" s="13">
        <v>22.0</v>
      </c>
      <c r="I48" s="13">
        <v>20.0</v>
      </c>
      <c r="J48" s="13">
        <v>9.0</v>
      </c>
      <c r="K48" s="13">
        <v>6.0</v>
      </c>
      <c r="L48" s="13">
        <v>1.0</v>
      </c>
      <c r="M48" s="6">
        <f t="shared" si="14"/>
        <v>114</v>
      </c>
    </row>
    <row r="49" ht="12.75" customHeight="1">
      <c r="A49" s="18"/>
      <c r="B49" s="51"/>
      <c r="C49" s="52" t="s">
        <v>43</v>
      </c>
      <c r="D49" s="53"/>
      <c r="E49" s="13">
        <v>0.0</v>
      </c>
      <c r="F49" s="13">
        <v>0.0</v>
      </c>
      <c r="G49" s="13">
        <v>0.0</v>
      </c>
      <c r="H49" s="13">
        <v>0.0</v>
      </c>
      <c r="I49" s="13">
        <v>0.0</v>
      </c>
      <c r="J49" s="13">
        <v>0.0</v>
      </c>
      <c r="K49" s="13">
        <v>0.0</v>
      </c>
      <c r="L49" s="13">
        <v>0.0</v>
      </c>
      <c r="M49" s="6">
        <f t="shared" si="14"/>
        <v>0</v>
      </c>
    </row>
    <row r="50" ht="12.75" customHeight="1">
      <c r="A50" s="18"/>
      <c r="B50" s="51"/>
      <c r="C50" s="52" t="s">
        <v>44</v>
      </c>
      <c r="D50" s="53"/>
      <c r="E50" s="13">
        <v>1.0</v>
      </c>
      <c r="F50" s="13">
        <v>0.0</v>
      </c>
      <c r="G50" s="13">
        <v>0.0</v>
      </c>
      <c r="H50" s="13">
        <v>0.0</v>
      </c>
      <c r="I50" s="13">
        <v>0.0</v>
      </c>
      <c r="J50" s="13">
        <v>0.0</v>
      </c>
      <c r="K50" s="13">
        <v>0.0</v>
      </c>
      <c r="L50" s="13">
        <v>0.0</v>
      </c>
      <c r="M50" s="6">
        <f t="shared" si="14"/>
        <v>1</v>
      </c>
    </row>
    <row r="51" ht="12.75" customHeight="1">
      <c r="A51" s="18"/>
      <c r="B51" s="51"/>
      <c r="C51" s="52" t="s">
        <v>45</v>
      </c>
      <c r="D51" s="53"/>
      <c r="E51" s="13">
        <v>0.0</v>
      </c>
      <c r="F51" s="13">
        <v>0.0</v>
      </c>
      <c r="G51" s="13">
        <v>2.0</v>
      </c>
      <c r="H51" s="13">
        <v>0.0</v>
      </c>
      <c r="I51" s="13">
        <v>0.0</v>
      </c>
      <c r="J51" s="13">
        <v>1.0</v>
      </c>
      <c r="K51" s="13">
        <v>2.0</v>
      </c>
      <c r="L51" s="13">
        <v>0.0</v>
      </c>
      <c r="M51" s="6">
        <f t="shared" si="14"/>
        <v>5</v>
      </c>
    </row>
    <row r="52" ht="12.75" customHeight="1">
      <c r="A52" s="13" t="s">
        <v>15</v>
      </c>
      <c r="B52" s="49" t="s">
        <v>46</v>
      </c>
      <c r="C52" s="8"/>
      <c r="D52" s="9"/>
      <c r="E52" s="60">
        <f t="shared" ref="E52:L52" si="15">SUM(E45:E51)</f>
        <v>19</v>
      </c>
      <c r="F52" s="60">
        <f t="shared" si="15"/>
        <v>14</v>
      </c>
      <c r="G52" s="60">
        <f t="shared" si="15"/>
        <v>70</v>
      </c>
      <c r="H52" s="60">
        <f t="shared" si="15"/>
        <v>33</v>
      </c>
      <c r="I52" s="60">
        <f t="shared" si="15"/>
        <v>33</v>
      </c>
      <c r="J52" s="60">
        <f t="shared" si="15"/>
        <v>18</v>
      </c>
      <c r="K52" s="60">
        <f t="shared" si="15"/>
        <v>19</v>
      </c>
      <c r="L52" s="60">
        <f t="shared" si="15"/>
        <v>7</v>
      </c>
      <c r="M52" s="6">
        <f t="shared" si="14"/>
        <v>213</v>
      </c>
    </row>
    <row r="53" ht="12.75" customHeight="1">
      <c r="A53" s="5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6"/>
    </row>
    <row r="54" ht="12.75" customHeight="1">
      <c r="A54" s="32" t="s">
        <v>37</v>
      </c>
      <c r="B54" s="49" t="s">
        <v>19</v>
      </c>
      <c r="C54" s="50" t="s">
        <v>47</v>
      </c>
      <c r="D54" s="9"/>
      <c r="E54" s="13">
        <v>5.0</v>
      </c>
      <c r="F54" s="13">
        <v>5.0</v>
      </c>
      <c r="G54" s="13">
        <v>4.0</v>
      </c>
      <c r="H54" s="13">
        <v>3.0</v>
      </c>
      <c r="I54" s="13">
        <v>5.0</v>
      </c>
      <c r="J54" s="13">
        <v>8.0</v>
      </c>
      <c r="K54" s="13">
        <v>9.0</v>
      </c>
      <c r="L54" s="13">
        <v>12.0</v>
      </c>
      <c r="M54" s="6">
        <f t="shared" ref="M54:M61" si="16">SUM(E54:L54)</f>
        <v>51</v>
      </c>
    </row>
    <row r="55" ht="12.75" customHeight="1">
      <c r="A55" s="32" t="s">
        <v>39</v>
      </c>
      <c r="B55" s="51"/>
      <c r="C55" s="52" t="s">
        <v>48</v>
      </c>
      <c r="D55" s="53"/>
      <c r="E55" s="13">
        <v>6.0</v>
      </c>
      <c r="F55" s="13">
        <v>2.0</v>
      </c>
      <c r="G55" s="13">
        <v>0.0</v>
      </c>
      <c r="H55" s="13">
        <v>3.0</v>
      </c>
      <c r="I55" s="13">
        <v>2.0</v>
      </c>
      <c r="J55" s="13">
        <v>3.0</v>
      </c>
      <c r="K55" s="13">
        <v>0.0</v>
      </c>
      <c r="L55" s="13">
        <v>8.0</v>
      </c>
      <c r="M55" s="6">
        <f t="shared" si="16"/>
        <v>24</v>
      </c>
    </row>
    <row r="56" ht="12.75" customHeight="1">
      <c r="A56" s="18"/>
      <c r="B56" s="51"/>
      <c r="C56" s="52" t="s">
        <v>49</v>
      </c>
      <c r="D56" s="53"/>
      <c r="E56" s="13">
        <v>4.0</v>
      </c>
      <c r="F56" s="13">
        <v>4.0</v>
      </c>
      <c r="G56" s="13">
        <v>7.0</v>
      </c>
      <c r="H56" s="13">
        <v>3.0</v>
      </c>
      <c r="I56" s="13">
        <v>0.0</v>
      </c>
      <c r="J56" s="13">
        <v>6.0</v>
      </c>
      <c r="K56" s="13">
        <v>1.0</v>
      </c>
      <c r="L56" s="13">
        <v>2.0</v>
      </c>
      <c r="M56" s="6">
        <f t="shared" si="16"/>
        <v>27</v>
      </c>
    </row>
    <row r="57" ht="12.75" customHeight="1">
      <c r="A57" s="18"/>
      <c r="B57" s="51"/>
      <c r="C57" s="52" t="s">
        <v>50</v>
      </c>
      <c r="D57" s="53"/>
      <c r="E57" s="13">
        <v>0.0</v>
      </c>
      <c r="F57" s="13">
        <v>0.0</v>
      </c>
      <c r="G57" s="13">
        <v>1.0</v>
      </c>
      <c r="H57" s="13">
        <v>0.0</v>
      </c>
      <c r="I57" s="13">
        <v>0.0</v>
      </c>
      <c r="J57" s="13">
        <v>1.0</v>
      </c>
      <c r="K57" s="13">
        <v>1.0</v>
      </c>
      <c r="L57" s="13">
        <v>0.0</v>
      </c>
      <c r="M57" s="6">
        <f t="shared" si="16"/>
        <v>3</v>
      </c>
    </row>
    <row r="58" ht="12.75" customHeight="1">
      <c r="A58" s="18"/>
      <c r="B58" s="51"/>
      <c r="C58" s="52" t="s">
        <v>51</v>
      </c>
      <c r="D58" s="53"/>
      <c r="E58" s="13">
        <v>0.0</v>
      </c>
      <c r="F58" s="13">
        <v>1.0</v>
      </c>
      <c r="G58" s="13">
        <v>0.0</v>
      </c>
      <c r="H58" s="13">
        <v>1.0</v>
      </c>
      <c r="I58" s="13">
        <v>0.0</v>
      </c>
      <c r="J58" s="13">
        <v>0.0</v>
      </c>
      <c r="K58" s="13">
        <v>1.0</v>
      </c>
      <c r="L58" s="13">
        <v>0.0</v>
      </c>
      <c r="M58" s="6">
        <f t="shared" si="16"/>
        <v>3</v>
      </c>
    </row>
    <row r="59" ht="12.75" customHeight="1">
      <c r="A59" s="18"/>
      <c r="B59" s="51"/>
      <c r="C59" s="52" t="s">
        <v>52</v>
      </c>
      <c r="D59" s="53"/>
      <c r="E59" s="13">
        <v>0.0</v>
      </c>
      <c r="F59" s="13">
        <v>0.0</v>
      </c>
      <c r="G59" s="13">
        <v>0.0</v>
      </c>
      <c r="H59" s="13">
        <v>0.0</v>
      </c>
      <c r="I59" s="13">
        <v>0.0</v>
      </c>
      <c r="J59" s="13">
        <v>0.0</v>
      </c>
      <c r="K59" s="13">
        <v>0.0</v>
      </c>
      <c r="L59" s="13">
        <v>0.0</v>
      </c>
      <c r="M59" s="6">
        <f t="shared" si="16"/>
        <v>0</v>
      </c>
    </row>
    <row r="60" ht="12.75" customHeight="1">
      <c r="A60" s="18"/>
      <c r="B60" s="51"/>
      <c r="C60" s="52" t="s">
        <v>53</v>
      </c>
      <c r="D60" s="53"/>
      <c r="E60" s="13">
        <v>0.0</v>
      </c>
      <c r="F60" s="13">
        <v>0.0</v>
      </c>
      <c r="G60" s="13">
        <v>0.0</v>
      </c>
      <c r="H60" s="13">
        <v>0.0</v>
      </c>
      <c r="I60" s="13">
        <v>0.0</v>
      </c>
      <c r="J60" s="13">
        <v>0.0</v>
      </c>
      <c r="K60" s="13">
        <v>0.0</v>
      </c>
      <c r="L60" s="13">
        <v>0.0</v>
      </c>
      <c r="M60" s="6">
        <f t="shared" si="16"/>
        <v>0</v>
      </c>
    </row>
    <row r="61" ht="12.75" customHeight="1">
      <c r="A61" s="13" t="s">
        <v>15</v>
      </c>
      <c r="B61" s="49" t="s">
        <v>46</v>
      </c>
      <c r="C61" s="8"/>
      <c r="D61" s="9"/>
      <c r="E61" s="60">
        <f t="shared" ref="E61:L61" si="17">SUM(E54:E60)</f>
        <v>15</v>
      </c>
      <c r="F61" s="60">
        <f t="shared" si="17"/>
        <v>12</v>
      </c>
      <c r="G61" s="60">
        <f t="shared" si="17"/>
        <v>12</v>
      </c>
      <c r="H61" s="60">
        <f t="shared" si="17"/>
        <v>10</v>
      </c>
      <c r="I61" s="60">
        <f t="shared" si="17"/>
        <v>7</v>
      </c>
      <c r="J61" s="60">
        <f t="shared" si="17"/>
        <v>18</v>
      </c>
      <c r="K61" s="60">
        <f t="shared" si="17"/>
        <v>12</v>
      </c>
      <c r="L61" s="60">
        <f t="shared" si="17"/>
        <v>22</v>
      </c>
      <c r="M61" s="6">
        <f t="shared" si="16"/>
        <v>108</v>
      </c>
    </row>
    <row r="62" ht="12.75" customHeight="1">
      <c r="A62" s="54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6"/>
    </row>
    <row r="63" ht="12.75" customHeight="1">
      <c r="A63" s="32" t="s">
        <v>37</v>
      </c>
      <c r="B63" s="49" t="s">
        <v>21</v>
      </c>
      <c r="C63" s="50" t="s">
        <v>54</v>
      </c>
      <c r="D63" s="9"/>
      <c r="E63" s="13">
        <v>19.0</v>
      </c>
      <c r="F63" s="13">
        <v>11.0</v>
      </c>
      <c r="G63" s="13">
        <v>11.0</v>
      </c>
      <c r="H63" s="13">
        <v>5.0</v>
      </c>
      <c r="I63" s="13">
        <v>9.0</v>
      </c>
      <c r="J63" s="13">
        <v>25.0</v>
      </c>
      <c r="K63" s="13">
        <v>17.0</v>
      </c>
      <c r="L63" s="13">
        <v>13.0</v>
      </c>
      <c r="M63" s="6">
        <f t="shared" ref="M63:M70" si="18">SUM(E63:L63)</f>
        <v>110</v>
      </c>
    </row>
    <row r="64" ht="12.75" customHeight="1">
      <c r="A64" s="32" t="s">
        <v>39</v>
      </c>
      <c r="B64" s="51"/>
      <c r="C64" s="52" t="s">
        <v>55</v>
      </c>
      <c r="D64" s="53"/>
      <c r="E64" s="13">
        <v>1.0</v>
      </c>
      <c r="F64" s="13">
        <v>2.0</v>
      </c>
      <c r="G64" s="13">
        <v>3.0</v>
      </c>
      <c r="H64" s="13">
        <v>1.0</v>
      </c>
      <c r="I64" s="13">
        <v>1.0</v>
      </c>
      <c r="J64" s="13">
        <v>4.0</v>
      </c>
      <c r="K64" s="13">
        <v>3.0</v>
      </c>
      <c r="L64" s="13">
        <v>4.0</v>
      </c>
      <c r="M64" s="6">
        <f t="shared" si="18"/>
        <v>19</v>
      </c>
    </row>
    <row r="65" ht="12.75" customHeight="1">
      <c r="A65" s="18"/>
      <c r="B65" s="51"/>
      <c r="C65" s="52" t="s">
        <v>56</v>
      </c>
      <c r="D65" s="53"/>
      <c r="E65" s="13">
        <v>3.0</v>
      </c>
      <c r="F65" s="13">
        <v>1.0</v>
      </c>
      <c r="G65" s="13">
        <v>1.0</v>
      </c>
      <c r="H65" s="13">
        <v>0.0</v>
      </c>
      <c r="I65" s="13">
        <v>3.0</v>
      </c>
      <c r="J65" s="13">
        <v>3.0</v>
      </c>
      <c r="K65" s="13">
        <v>2.0</v>
      </c>
      <c r="L65" s="13">
        <v>2.0</v>
      </c>
      <c r="M65" s="6">
        <f t="shared" si="18"/>
        <v>15</v>
      </c>
    </row>
    <row r="66" ht="12.75" customHeight="1">
      <c r="A66" s="18"/>
      <c r="B66" s="51"/>
      <c r="C66" s="52" t="s">
        <v>57</v>
      </c>
      <c r="D66" s="53"/>
      <c r="E66" s="13">
        <v>11.0</v>
      </c>
      <c r="F66" s="13">
        <v>7.0</v>
      </c>
      <c r="G66" s="13">
        <v>13.0</v>
      </c>
      <c r="H66" s="13">
        <v>11.0</v>
      </c>
      <c r="I66" s="13">
        <v>14.0</v>
      </c>
      <c r="J66" s="13">
        <v>15.0</v>
      </c>
      <c r="K66" s="13">
        <v>20.0</v>
      </c>
      <c r="L66" s="13">
        <v>24.0</v>
      </c>
      <c r="M66" s="6">
        <f t="shared" si="18"/>
        <v>115</v>
      </c>
    </row>
    <row r="67" ht="12.75" customHeight="1">
      <c r="A67" s="18"/>
      <c r="B67" s="51"/>
      <c r="C67" s="52" t="s">
        <v>58</v>
      </c>
      <c r="D67" s="53"/>
      <c r="E67" s="13">
        <v>2.0</v>
      </c>
      <c r="F67" s="13">
        <v>1.0</v>
      </c>
      <c r="G67" s="13">
        <v>0.0</v>
      </c>
      <c r="H67" s="13">
        <v>0.0</v>
      </c>
      <c r="I67" s="13">
        <v>2.0</v>
      </c>
      <c r="J67" s="13">
        <v>0.0</v>
      </c>
      <c r="K67" s="13">
        <v>1.0</v>
      </c>
      <c r="L67" s="13">
        <v>1.0</v>
      </c>
      <c r="M67" s="6">
        <f t="shared" si="18"/>
        <v>7</v>
      </c>
    </row>
    <row r="68" ht="12.75" customHeight="1">
      <c r="A68" s="18"/>
      <c r="B68" s="51"/>
      <c r="C68" s="52" t="s">
        <v>59</v>
      </c>
      <c r="D68" s="53"/>
      <c r="E68" s="13">
        <v>14.0</v>
      </c>
      <c r="F68" s="13">
        <v>1.0</v>
      </c>
      <c r="G68" s="13">
        <v>1.0</v>
      </c>
      <c r="H68" s="13">
        <v>2.0</v>
      </c>
      <c r="I68" s="13">
        <v>2.0</v>
      </c>
      <c r="J68" s="13">
        <v>6.0</v>
      </c>
      <c r="K68" s="13">
        <v>28.0</v>
      </c>
      <c r="L68" s="13">
        <v>5.0</v>
      </c>
      <c r="M68" s="6">
        <f t="shared" si="18"/>
        <v>59</v>
      </c>
    </row>
    <row r="69" ht="12.75" customHeight="1">
      <c r="A69" s="18"/>
      <c r="B69" s="51"/>
      <c r="C69" s="52" t="s">
        <v>60</v>
      </c>
      <c r="D69" s="53"/>
      <c r="E69" s="13">
        <v>0.0</v>
      </c>
      <c r="F69" s="13">
        <v>3.0</v>
      </c>
      <c r="G69" s="13">
        <v>3.0</v>
      </c>
      <c r="H69" s="13">
        <v>1.0</v>
      </c>
      <c r="I69" s="13">
        <v>2.0</v>
      </c>
      <c r="J69" s="13">
        <v>0.0</v>
      </c>
      <c r="K69" s="13">
        <v>2.0</v>
      </c>
      <c r="L69" s="13">
        <v>0.0</v>
      </c>
      <c r="M69" s="6">
        <f t="shared" si="18"/>
        <v>11</v>
      </c>
    </row>
    <row r="70" ht="12.75" customHeight="1">
      <c r="A70" s="13" t="s">
        <v>15</v>
      </c>
      <c r="B70" s="49" t="s">
        <v>46</v>
      </c>
      <c r="C70" s="8"/>
      <c r="D70" s="9"/>
      <c r="E70" s="60">
        <f t="shared" ref="E70:L70" si="19">SUM(E63:E69)</f>
        <v>50</v>
      </c>
      <c r="F70" s="60">
        <f t="shared" si="19"/>
        <v>26</v>
      </c>
      <c r="G70" s="60">
        <f t="shared" si="19"/>
        <v>32</v>
      </c>
      <c r="H70" s="60">
        <f t="shared" si="19"/>
        <v>20</v>
      </c>
      <c r="I70" s="60">
        <f t="shared" si="19"/>
        <v>33</v>
      </c>
      <c r="J70" s="60">
        <f t="shared" si="19"/>
        <v>53</v>
      </c>
      <c r="K70" s="60">
        <f t="shared" si="19"/>
        <v>73</v>
      </c>
      <c r="L70" s="60">
        <f t="shared" si="19"/>
        <v>49</v>
      </c>
      <c r="M70" s="6">
        <f t="shared" si="18"/>
        <v>336</v>
      </c>
    </row>
    <row r="71" ht="12.75" customHeight="1">
      <c r="A71" s="54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6"/>
    </row>
    <row r="72" ht="12.75" customHeight="1">
      <c r="A72" s="32" t="s">
        <v>37</v>
      </c>
      <c r="B72" s="49" t="s">
        <v>23</v>
      </c>
      <c r="C72" s="50" t="s">
        <v>61</v>
      </c>
      <c r="D72" s="9"/>
      <c r="E72" s="13">
        <v>2.0</v>
      </c>
      <c r="F72" s="13">
        <v>1.0</v>
      </c>
      <c r="G72" s="13">
        <v>3.0</v>
      </c>
      <c r="H72" s="13">
        <v>9.0</v>
      </c>
      <c r="I72" s="13">
        <v>14.0</v>
      </c>
      <c r="J72" s="13">
        <v>1.0</v>
      </c>
      <c r="K72" s="13">
        <v>1.0</v>
      </c>
      <c r="L72" s="13">
        <v>2.0</v>
      </c>
      <c r="M72" s="6">
        <f t="shared" ref="M72:M79" si="20">SUM(E72:L72)</f>
        <v>33</v>
      </c>
    </row>
    <row r="73" ht="12.75" customHeight="1">
      <c r="A73" s="32" t="s">
        <v>39</v>
      </c>
      <c r="B73" s="51"/>
      <c r="C73" s="52" t="s">
        <v>62</v>
      </c>
      <c r="D73" s="53"/>
      <c r="E73" s="13">
        <v>2.0</v>
      </c>
      <c r="F73" s="13">
        <v>3.0</v>
      </c>
      <c r="G73" s="13">
        <v>3.0</v>
      </c>
      <c r="H73" s="13">
        <v>14.0</v>
      </c>
      <c r="I73" s="13">
        <v>32.0</v>
      </c>
      <c r="J73" s="13">
        <v>4.0</v>
      </c>
      <c r="K73" s="13">
        <v>4.0</v>
      </c>
      <c r="L73" s="13">
        <v>4.0</v>
      </c>
      <c r="M73" s="6">
        <f t="shared" si="20"/>
        <v>66</v>
      </c>
    </row>
    <row r="74" ht="12.75" customHeight="1">
      <c r="A74" s="18"/>
      <c r="B74" s="51"/>
      <c r="C74" s="52" t="s">
        <v>63</v>
      </c>
      <c r="D74" s="53"/>
      <c r="E74" s="13">
        <v>1.0</v>
      </c>
      <c r="F74" s="13">
        <v>3.0</v>
      </c>
      <c r="G74" s="13">
        <v>0.0</v>
      </c>
      <c r="H74" s="13">
        <v>0.0</v>
      </c>
      <c r="I74" s="13">
        <v>0.0</v>
      </c>
      <c r="J74" s="13">
        <v>2.0</v>
      </c>
      <c r="K74" s="13">
        <v>0.0</v>
      </c>
      <c r="L74" s="13">
        <v>0.0</v>
      </c>
      <c r="M74" s="6">
        <f t="shared" si="20"/>
        <v>6</v>
      </c>
    </row>
    <row r="75" ht="12.75" customHeight="1">
      <c r="A75" s="18"/>
      <c r="B75" s="51"/>
      <c r="C75" s="52" t="s">
        <v>64</v>
      </c>
      <c r="D75" s="53"/>
      <c r="E75" s="13">
        <v>1.0</v>
      </c>
      <c r="F75" s="13">
        <v>2.0</v>
      </c>
      <c r="G75" s="13">
        <v>0.0</v>
      </c>
      <c r="H75" s="13">
        <v>1.0</v>
      </c>
      <c r="I75" s="13">
        <v>0.0</v>
      </c>
      <c r="J75" s="13">
        <v>0.0</v>
      </c>
      <c r="K75" s="13">
        <v>0.0</v>
      </c>
      <c r="L75" s="13">
        <v>0.0</v>
      </c>
      <c r="M75" s="6">
        <f t="shared" si="20"/>
        <v>4</v>
      </c>
    </row>
    <row r="76" ht="12.75" customHeight="1">
      <c r="A76" s="18"/>
      <c r="B76" s="51"/>
      <c r="C76" s="52" t="s">
        <v>65</v>
      </c>
      <c r="D76" s="53"/>
      <c r="E76" s="13">
        <v>14.0</v>
      </c>
      <c r="F76" s="13">
        <v>2.0</v>
      </c>
      <c r="G76" s="13">
        <v>0.0</v>
      </c>
      <c r="H76" s="13">
        <v>18.0</v>
      </c>
      <c r="I76" s="13">
        <v>14.0</v>
      </c>
      <c r="J76" s="13">
        <v>3.0</v>
      </c>
      <c r="K76" s="13">
        <v>1.0</v>
      </c>
      <c r="L76" s="72">
        <v>19.0</v>
      </c>
      <c r="M76" s="6">
        <f t="shared" si="20"/>
        <v>71</v>
      </c>
    </row>
    <row r="77" ht="12.75" customHeight="1">
      <c r="A77" s="18"/>
      <c r="B77" s="51"/>
      <c r="C77" s="52" t="s">
        <v>66</v>
      </c>
      <c r="D77" s="53"/>
      <c r="E77" s="13">
        <v>0.0</v>
      </c>
      <c r="F77" s="13">
        <v>1.0</v>
      </c>
      <c r="G77" s="13">
        <v>1.0</v>
      </c>
      <c r="H77" s="13">
        <v>0.0</v>
      </c>
      <c r="I77" s="13">
        <v>0.0</v>
      </c>
      <c r="J77" s="13">
        <v>0.0</v>
      </c>
      <c r="K77" s="13">
        <v>1.0</v>
      </c>
      <c r="L77" s="13">
        <v>0.0</v>
      </c>
      <c r="M77" s="6">
        <f t="shared" si="20"/>
        <v>3</v>
      </c>
    </row>
    <row r="78" ht="12.75" customHeight="1">
      <c r="A78" s="18"/>
      <c r="B78" s="51"/>
      <c r="C78" s="52" t="s">
        <v>67</v>
      </c>
      <c r="D78" s="53"/>
      <c r="E78" s="13">
        <v>0.0</v>
      </c>
      <c r="F78" s="13">
        <v>0.0</v>
      </c>
      <c r="G78" s="13">
        <v>0.0</v>
      </c>
      <c r="H78" s="13">
        <v>0.0</v>
      </c>
      <c r="I78" s="13">
        <v>0.0</v>
      </c>
      <c r="J78" s="13">
        <v>0.0</v>
      </c>
      <c r="K78" s="13">
        <v>0.0</v>
      </c>
      <c r="L78" s="13">
        <v>0.0</v>
      </c>
      <c r="M78" s="6">
        <f t="shared" si="20"/>
        <v>0</v>
      </c>
    </row>
    <row r="79" ht="12.75" customHeight="1">
      <c r="A79" s="13" t="s">
        <v>15</v>
      </c>
      <c r="B79" s="49" t="s">
        <v>46</v>
      </c>
      <c r="C79" s="8"/>
      <c r="D79" s="9"/>
      <c r="E79" s="60">
        <f t="shared" ref="E79:L79" si="21">SUM(E72:E78)</f>
        <v>20</v>
      </c>
      <c r="F79" s="60">
        <f t="shared" si="21"/>
        <v>12</v>
      </c>
      <c r="G79" s="60">
        <f t="shared" si="21"/>
        <v>7</v>
      </c>
      <c r="H79" s="60">
        <f t="shared" si="21"/>
        <v>42</v>
      </c>
      <c r="I79" s="60">
        <f t="shared" si="21"/>
        <v>60</v>
      </c>
      <c r="J79" s="60">
        <f t="shared" si="21"/>
        <v>10</v>
      </c>
      <c r="K79" s="60">
        <f t="shared" si="21"/>
        <v>7</v>
      </c>
      <c r="L79" s="60">
        <f t="shared" si="21"/>
        <v>25</v>
      </c>
      <c r="M79" s="6">
        <f t="shared" si="20"/>
        <v>183</v>
      </c>
    </row>
    <row r="80" ht="12.75" customHeight="1">
      <c r="A80" s="54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6"/>
    </row>
    <row r="81" ht="12.75" customHeight="1">
      <c r="A81" s="32" t="s">
        <v>37</v>
      </c>
      <c r="B81" s="49" t="s">
        <v>68</v>
      </c>
      <c r="C81" s="50" t="s">
        <v>69</v>
      </c>
      <c r="D81" s="9"/>
      <c r="E81" s="13">
        <v>1.0</v>
      </c>
      <c r="F81" s="13">
        <v>1.0</v>
      </c>
      <c r="G81" s="13">
        <v>0.0</v>
      </c>
      <c r="H81" s="13">
        <v>2.0</v>
      </c>
      <c r="I81" s="13">
        <v>3.0</v>
      </c>
      <c r="J81" s="13">
        <v>4.0</v>
      </c>
      <c r="K81" s="13">
        <v>2.0</v>
      </c>
      <c r="L81" s="13">
        <v>1.0</v>
      </c>
      <c r="M81" s="6">
        <f t="shared" ref="M81:M88" si="22">SUM(E81:L81)</f>
        <v>14</v>
      </c>
    </row>
    <row r="82" ht="12.75" customHeight="1">
      <c r="A82" s="32" t="s">
        <v>39</v>
      </c>
      <c r="B82" s="51"/>
      <c r="C82" s="52" t="s">
        <v>70</v>
      </c>
      <c r="D82" s="53"/>
      <c r="E82" s="13">
        <v>19.0</v>
      </c>
      <c r="F82" s="13">
        <v>10.0</v>
      </c>
      <c r="G82" s="13">
        <v>5.0</v>
      </c>
      <c r="H82" s="13">
        <v>39.0</v>
      </c>
      <c r="I82" s="13">
        <v>19.0</v>
      </c>
      <c r="J82" s="13">
        <v>35.0</v>
      </c>
      <c r="K82" s="13">
        <v>19.0</v>
      </c>
      <c r="L82" s="13">
        <v>8.0</v>
      </c>
      <c r="M82" s="6">
        <f t="shared" si="22"/>
        <v>154</v>
      </c>
    </row>
    <row r="83" ht="12.75" customHeight="1">
      <c r="A83" s="18"/>
      <c r="B83" s="51"/>
      <c r="C83" s="52" t="s">
        <v>71</v>
      </c>
      <c r="D83" s="53"/>
      <c r="E83" s="13">
        <v>0.0</v>
      </c>
      <c r="F83" s="13">
        <v>0.0</v>
      </c>
      <c r="G83" s="13">
        <v>0.0</v>
      </c>
      <c r="H83" s="13">
        <v>0.0</v>
      </c>
      <c r="I83" s="13">
        <v>1.0</v>
      </c>
      <c r="J83" s="13">
        <v>1.0</v>
      </c>
      <c r="K83" s="13">
        <v>2.0</v>
      </c>
      <c r="L83" s="13">
        <v>0.0</v>
      </c>
      <c r="M83" s="6">
        <f t="shared" si="22"/>
        <v>4</v>
      </c>
    </row>
    <row r="84" ht="12.75" customHeight="1">
      <c r="A84" s="18"/>
      <c r="B84" s="51"/>
      <c r="C84" s="52" t="s">
        <v>72</v>
      </c>
      <c r="D84" s="53"/>
      <c r="E84" s="13">
        <v>0.0</v>
      </c>
      <c r="F84" s="13">
        <v>1.0</v>
      </c>
      <c r="G84" s="13">
        <v>0.0</v>
      </c>
      <c r="H84" s="13">
        <v>0.0</v>
      </c>
      <c r="I84" s="13">
        <v>0.0</v>
      </c>
      <c r="J84" s="13">
        <v>0.0</v>
      </c>
      <c r="K84" s="13">
        <v>0.0</v>
      </c>
      <c r="L84" s="13">
        <v>0.0</v>
      </c>
      <c r="M84" s="6">
        <f t="shared" si="22"/>
        <v>1</v>
      </c>
    </row>
    <row r="85" ht="12.75" customHeight="1">
      <c r="A85" s="18"/>
      <c r="B85" s="51"/>
      <c r="C85" s="52" t="s">
        <v>73</v>
      </c>
      <c r="D85" s="53"/>
      <c r="E85" s="13">
        <v>1.0</v>
      </c>
      <c r="F85" s="13">
        <v>1.0</v>
      </c>
      <c r="G85" s="13">
        <v>0.0</v>
      </c>
      <c r="H85" s="13">
        <v>0.0</v>
      </c>
      <c r="I85" s="13">
        <v>0.0</v>
      </c>
      <c r="J85" s="13">
        <v>1.0</v>
      </c>
      <c r="K85" s="13">
        <v>0.0</v>
      </c>
      <c r="L85" s="13">
        <v>0.0</v>
      </c>
      <c r="M85" s="6">
        <f t="shared" si="22"/>
        <v>3</v>
      </c>
    </row>
    <row r="86" ht="12.75" customHeight="1">
      <c r="A86" s="18"/>
      <c r="B86" s="51"/>
      <c r="C86" s="52" t="s">
        <v>74</v>
      </c>
      <c r="D86" s="53"/>
      <c r="E86" s="13">
        <v>0.0</v>
      </c>
      <c r="F86" s="13">
        <v>1.0</v>
      </c>
      <c r="G86" s="13">
        <v>1.0</v>
      </c>
      <c r="H86" s="13">
        <v>0.0</v>
      </c>
      <c r="I86" s="13">
        <v>0.0</v>
      </c>
      <c r="J86" s="13">
        <v>0.0</v>
      </c>
      <c r="K86" s="13">
        <v>2.0</v>
      </c>
      <c r="L86" s="13">
        <v>0.0</v>
      </c>
      <c r="M86" s="6">
        <f t="shared" si="22"/>
        <v>4</v>
      </c>
    </row>
    <row r="87" ht="12.75" customHeight="1">
      <c r="A87" s="18"/>
      <c r="B87" s="51"/>
      <c r="C87" s="52" t="s">
        <v>75</v>
      </c>
      <c r="D87" s="53"/>
      <c r="E87" s="13">
        <v>0.0</v>
      </c>
      <c r="F87" s="13">
        <v>0.0</v>
      </c>
      <c r="G87" s="13">
        <v>0.0</v>
      </c>
      <c r="H87" s="13">
        <v>0.0</v>
      </c>
      <c r="I87" s="13">
        <v>0.0</v>
      </c>
      <c r="J87" s="13">
        <v>0.0</v>
      </c>
      <c r="K87" s="13">
        <v>0.0</v>
      </c>
      <c r="L87" s="13">
        <v>0.0</v>
      </c>
      <c r="M87" s="6">
        <f t="shared" si="22"/>
        <v>0</v>
      </c>
    </row>
    <row r="88" ht="12.75" customHeight="1">
      <c r="A88" s="13" t="s">
        <v>15</v>
      </c>
      <c r="B88" s="49" t="s">
        <v>46</v>
      </c>
      <c r="C88" s="8"/>
      <c r="D88" s="9"/>
      <c r="E88" s="60">
        <f t="shared" ref="E88:L88" si="23">SUM(E81:E87)</f>
        <v>21</v>
      </c>
      <c r="F88" s="60">
        <f t="shared" si="23"/>
        <v>14</v>
      </c>
      <c r="G88" s="60">
        <f t="shared" si="23"/>
        <v>6</v>
      </c>
      <c r="H88" s="60">
        <f t="shared" si="23"/>
        <v>41</v>
      </c>
      <c r="I88" s="60">
        <f t="shared" si="23"/>
        <v>23</v>
      </c>
      <c r="J88" s="60">
        <f t="shared" si="23"/>
        <v>41</v>
      </c>
      <c r="K88" s="60">
        <f t="shared" si="23"/>
        <v>25</v>
      </c>
      <c r="L88" s="60">
        <f t="shared" si="23"/>
        <v>9</v>
      </c>
      <c r="M88" s="6">
        <f t="shared" si="22"/>
        <v>180</v>
      </c>
    </row>
    <row r="89" ht="12.75" customHeight="1">
      <c r="A89" s="54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6"/>
    </row>
    <row r="90" ht="12.75" customHeight="1">
      <c r="A90" s="32" t="s">
        <v>37</v>
      </c>
      <c r="B90" s="49" t="s">
        <v>76</v>
      </c>
      <c r="C90" s="50" t="s">
        <v>77</v>
      </c>
      <c r="D90" s="9"/>
      <c r="E90" s="13">
        <v>1.0</v>
      </c>
      <c r="F90" s="13">
        <v>0.0</v>
      </c>
      <c r="G90" s="13">
        <v>0.0</v>
      </c>
      <c r="H90" s="13">
        <v>0.0</v>
      </c>
      <c r="I90" s="13">
        <v>0.0</v>
      </c>
      <c r="J90" s="13">
        <v>1.0</v>
      </c>
      <c r="K90" s="13">
        <v>2.0</v>
      </c>
      <c r="L90" s="13">
        <v>0.0</v>
      </c>
      <c r="M90" s="6">
        <f t="shared" ref="M90:M92" si="24">SUM(E90:L90)</f>
        <v>4</v>
      </c>
    </row>
    <row r="91" ht="12.75" customHeight="1">
      <c r="A91" s="32" t="s">
        <v>39</v>
      </c>
      <c r="B91" s="51"/>
      <c r="C91" s="52" t="s">
        <v>78</v>
      </c>
      <c r="D91" s="61"/>
      <c r="E91" s="13">
        <v>0.0</v>
      </c>
      <c r="F91" s="13">
        <v>0.0</v>
      </c>
      <c r="G91" s="13">
        <v>0.0</v>
      </c>
      <c r="H91" s="13">
        <v>0.0</v>
      </c>
      <c r="I91" s="13">
        <v>0.0</v>
      </c>
      <c r="J91" s="13">
        <v>0.0</v>
      </c>
      <c r="K91" s="13">
        <v>0.0</v>
      </c>
      <c r="L91" s="13">
        <v>0.0</v>
      </c>
      <c r="M91" s="6">
        <f t="shared" si="24"/>
        <v>0</v>
      </c>
    </row>
    <row r="92" ht="12.75" customHeight="1">
      <c r="A92" s="13" t="s">
        <v>15</v>
      </c>
      <c r="B92" s="49" t="s">
        <v>46</v>
      </c>
      <c r="C92" s="8"/>
      <c r="D92" s="9"/>
      <c r="E92" s="60">
        <f t="shared" ref="E92:L92" si="25">SUM(E90:E91)</f>
        <v>1</v>
      </c>
      <c r="F92" s="60">
        <f t="shared" si="25"/>
        <v>0</v>
      </c>
      <c r="G92" s="60">
        <f t="shared" si="25"/>
        <v>0</v>
      </c>
      <c r="H92" s="60">
        <f t="shared" si="25"/>
        <v>0</v>
      </c>
      <c r="I92" s="60">
        <f t="shared" si="25"/>
        <v>0</v>
      </c>
      <c r="J92" s="60">
        <f t="shared" si="25"/>
        <v>1</v>
      </c>
      <c r="K92" s="60">
        <f t="shared" si="25"/>
        <v>2</v>
      </c>
      <c r="L92" s="60">
        <f t="shared" si="25"/>
        <v>0</v>
      </c>
      <c r="M92" s="6">
        <f t="shared" si="24"/>
        <v>4</v>
      </c>
    </row>
    <row r="93" ht="12.75" customHeight="1">
      <c r="A93" s="54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6"/>
    </row>
    <row r="94" ht="12.75" customHeight="1">
      <c r="A94" s="32" t="s">
        <v>37</v>
      </c>
      <c r="B94" s="49" t="s">
        <v>79</v>
      </c>
      <c r="C94" s="50" t="s">
        <v>80</v>
      </c>
      <c r="D94" s="9"/>
      <c r="E94" s="13">
        <v>3.0</v>
      </c>
      <c r="F94" s="13">
        <v>1.0</v>
      </c>
      <c r="G94" s="13">
        <v>0.0</v>
      </c>
      <c r="H94" s="13">
        <v>0.0</v>
      </c>
      <c r="I94" s="13">
        <v>0.0</v>
      </c>
      <c r="J94" s="13">
        <v>1.0</v>
      </c>
      <c r="K94" s="13">
        <v>2.0</v>
      </c>
      <c r="L94" s="13">
        <v>2.0</v>
      </c>
      <c r="M94" s="6">
        <f t="shared" ref="M94:M101" si="26">SUM(E94:L94)</f>
        <v>9</v>
      </c>
    </row>
    <row r="95" ht="12.75" customHeight="1">
      <c r="A95" s="32" t="s">
        <v>39</v>
      </c>
      <c r="B95" s="51"/>
      <c r="C95" s="52" t="s">
        <v>81</v>
      </c>
      <c r="D95" s="53"/>
      <c r="E95" s="13">
        <v>13.0</v>
      </c>
      <c r="F95" s="13">
        <v>8.0</v>
      </c>
      <c r="G95" s="13">
        <v>2.0</v>
      </c>
      <c r="H95" s="13">
        <v>15.0</v>
      </c>
      <c r="I95" s="13">
        <v>7.0</v>
      </c>
      <c r="J95" s="72">
        <v>14.0</v>
      </c>
      <c r="K95" s="13">
        <v>11.0</v>
      </c>
      <c r="L95" s="13">
        <v>25.0</v>
      </c>
      <c r="M95" s="6">
        <f t="shared" si="26"/>
        <v>95</v>
      </c>
    </row>
    <row r="96" ht="12.75" customHeight="1">
      <c r="A96" s="32"/>
      <c r="B96" s="51"/>
      <c r="C96" s="52" t="s">
        <v>82</v>
      </c>
      <c r="D96" s="53"/>
      <c r="E96" s="13">
        <v>0.0</v>
      </c>
      <c r="F96" s="13">
        <v>0.0</v>
      </c>
      <c r="G96" s="13">
        <v>0.0</v>
      </c>
      <c r="H96" s="13">
        <v>0.0</v>
      </c>
      <c r="I96" s="13">
        <v>0.0</v>
      </c>
      <c r="J96" s="13">
        <v>0.0</v>
      </c>
      <c r="K96" s="13">
        <v>0.0</v>
      </c>
      <c r="L96" s="13">
        <v>1.0</v>
      </c>
      <c r="M96" s="6">
        <f t="shared" si="26"/>
        <v>1</v>
      </c>
    </row>
    <row r="97" ht="12.75" customHeight="1">
      <c r="A97" s="32"/>
      <c r="B97" s="51"/>
      <c r="C97" s="52" t="s">
        <v>83</v>
      </c>
      <c r="D97" s="53"/>
      <c r="E97" s="13">
        <v>0.0</v>
      </c>
      <c r="F97" s="13">
        <v>1.0</v>
      </c>
      <c r="G97" s="13">
        <v>0.0</v>
      </c>
      <c r="H97" s="13">
        <v>0.0</v>
      </c>
      <c r="I97" s="13">
        <v>0.0</v>
      </c>
      <c r="J97" s="13">
        <v>0.0</v>
      </c>
      <c r="K97" s="13">
        <v>0.0</v>
      </c>
      <c r="L97" s="13">
        <v>0.0</v>
      </c>
      <c r="M97" s="6">
        <f t="shared" si="26"/>
        <v>1</v>
      </c>
    </row>
    <row r="98" ht="12.75" customHeight="1">
      <c r="A98" s="32"/>
      <c r="B98" s="51"/>
      <c r="C98" s="52" t="s">
        <v>84</v>
      </c>
      <c r="D98" s="53"/>
      <c r="E98" s="13">
        <v>0.0</v>
      </c>
      <c r="F98" s="13">
        <v>0.0</v>
      </c>
      <c r="G98" s="13">
        <v>0.0</v>
      </c>
      <c r="H98" s="13">
        <v>0.0</v>
      </c>
      <c r="I98" s="13">
        <v>0.0</v>
      </c>
      <c r="J98" s="13">
        <v>0.0</v>
      </c>
      <c r="K98" s="13">
        <v>0.0</v>
      </c>
      <c r="L98" s="13">
        <v>0.0</v>
      </c>
      <c r="M98" s="6">
        <f t="shared" si="26"/>
        <v>0</v>
      </c>
    </row>
    <row r="99" ht="12.75" customHeight="1">
      <c r="A99" s="32"/>
      <c r="B99" s="51"/>
      <c r="C99" s="52" t="s">
        <v>85</v>
      </c>
      <c r="D99" s="53"/>
      <c r="E99" s="13">
        <v>1.0</v>
      </c>
      <c r="F99" s="13">
        <v>10.0</v>
      </c>
      <c r="G99" s="13">
        <v>0.0</v>
      </c>
      <c r="H99" s="13">
        <v>0.0</v>
      </c>
      <c r="I99" s="13">
        <v>0.0</v>
      </c>
      <c r="J99" s="13">
        <v>2.0</v>
      </c>
      <c r="K99" s="13">
        <v>0.0</v>
      </c>
      <c r="L99" s="13">
        <v>0.0</v>
      </c>
      <c r="M99" s="6">
        <f t="shared" si="26"/>
        <v>13</v>
      </c>
    </row>
    <row r="100" ht="12.75" customHeight="1">
      <c r="A100" s="32"/>
      <c r="B100" s="51"/>
      <c r="C100" s="52" t="s">
        <v>86</v>
      </c>
      <c r="D100" s="53"/>
      <c r="E100" s="13">
        <v>0.0</v>
      </c>
      <c r="F100" s="13">
        <v>0.0</v>
      </c>
      <c r="G100" s="13">
        <v>0.0</v>
      </c>
      <c r="H100" s="13">
        <v>0.0</v>
      </c>
      <c r="I100" s="13">
        <v>0.0</v>
      </c>
      <c r="J100" s="13">
        <v>0.0</v>
      </c>
      <c r="K100" s="13">
        <v>0.0</v>
      </c>
      <c r="L100" s="13">
        <v>0.0</v>
      </c>
      <c r="M100" s="6">
        <f t="shared" si="26"/>
        <v>0</v>
      </c>
    </row>
    <row r="101" ht="12.75" customHeight="1">
      <c r="A101" s="13" t="s">
        <v>15</v>
      </c>
      <c r="B101" s="49" t="s">
        <v>46</v>
      </c>
      <c r="C101" s="8"/>
      <c r="D101" s="9"/>
      <c r="E101" s="60">
        <f t="shared" ref="E101:L101" si="27">SUM(E94:E100)</f>
        <v>17</v>
      </c>
      <c r="F101" s="60">
        <f t="shared" si="27"/>
        <v>20</v>
      </c>
      <c r="G101" s="60">
        <f t="shared" si="27"/>
        <v>2</v>
      </c>
      <c r="H101" s="60">
        <f t="shared" si="27"/>
        <v>15</v>
      </c>
      <c r="I101" s="60">
        <f t="shared" si="27"/>
        <v>7</v>
      </c>
      <c r="J101" s="60">
        <f t="shared" si="27"/>
        <v>17</v>
      </c>
      <c r="K101" s="60">
        <f t="shared" si="27"/>
        <v>13</v>
      </c>
      <c r="L101" s="60">
        <f t="shared" si="27"/>
        <v>28</v>
      </c>
      <c r="M101" s="6">
        <f t="shared" si="26"/>
        <v>119</v>
      </c>
    </row>
    <row r="102" ht="12.75" customHeight="1">
      <c r="A102" s="54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6"/>
    </row>
    <row r="103" ht="12.75" customHeight="1">
      <c r="A103" s="32" t="s">
        <v>37</v>
      </c>
      <c r="B103" s="49" t="s">
        <v>87</v>
      </c>
      <c r="C103" s="50" t="s">
        <v>88</v>
      </c>
      <c r="D103" s="9"/>
      <c r="E103" s="13">
        <v>1.0</v>
      </c>
      <c r="F103" s="13">
        <v>7.0</v>
      </c>
      <c r="G103" s="13">
        <v>0.0</v>
      </c>
      <c r="H103" s="13">
        <v>0.0</v>
      </c>
      <c r="I103" s="13">
        <v>3.0</v>
      </c>
      <c r="J103" s="13">
        <v>1.0</v>
      </c>
      <c r="K103" s="13">
        <v>0.0</v>
      </c>
      <c r="L103" s="13">
        <v>2.0</v>
      </c>
      <c r="M103" s="6">
        <f t="shared" ref="M103:M110" si="28">SUM(E103:L103)</f>
        <v>14</v>
      </c>
    </row>
    <row r="104" ht="12.75" customHeight="1">
      <c r="A104" s="32" t="s">
        <v>39</v>
      </c>
      <c r="B104" s="51"/>
      <c r="C104" s="52" t="s">
        <v>89</v>
      </c>
      <c r="D104" s="53"/>
      <c r="E104" s="13">
        <v>8.0</v>
      </c>
      <c r="F104" s="13">
        <v>20.0</v>
      </c>
      <c r="G104" s="13">
        <v>5.0</v>
      </c>
      <c r="H104" s="13">
        <v>4.0</v>
      </c>
      <c r="I104" s="13">
        <v>4.0</v>
      </c>
      <c r="J104" s="13">
        <v>8.0</v>
      </c>
      <c r="K104" s="13">
        <v>0.0</v>
      </c>
      <c r="L104" s="13">
        <v>0.0</v>
      </c>
      <c r="M104" s="6">
        <f t="shared" si="28"/>
        <v>49</v>
      </c>
    </row>
    <row r="105" ht="12.75" customHeight="1">
      <c r="A105" s="18"/>
      <c r="B105" s="51"/>
      <c r="C105" s="52" t="s">
        <v>90</v>
      </c>
      <c r="D105" s="53"/>
      <c r="E105" s="13">
        <v>1.0</v>
      </c>
      <c r="F105" s="13">
        <v>0.0</v>
      </c>
      <c r="G105" s="13">
        <v>0.0</v>
      </c>
      <c r="H105" s="13">
        <v>0.0</v>
      </c>
      <c r="I105" s="13">
        <v>0.0</v>
      </c>
      <c r="J105" s="13">
        <v>0.0</v>
      </c>
      <c r="K105" s="13">
        <v>0.0</v>
      </c>
      <c r="L105" s="13">
        <v>0.0</v>
      </c>
      <c r="M105" s="6">
        <f t="shared" si="28"/>
        <v>1</v>
      </c>
    </row>
    <row r="106" ht="12.75" customHeight="1">
      <c r="A106" s="18"/>
      <c r="B106" s="51"/>
      <c r="C106" s="52" t="s">
        <v>91</v>
      </c>
      <c r="D106" s="53"/>
      <c r="E106" s="13">
        <v>0.0</v>
      </c>
      <c r="F106" s="13">
        <v>0.0</v>
      </c>
      <c r="G106" s="13">
        <v>1.0</v>
      </c>
      <c r="H106" s="13">
        <v>0.0</v>
      </c>
      <c r="I106" s="13">
        <v>0.0</v>
      </c>
      <c r="J106" s="13">
        <v>0.0</v>
      </c>
      <c r="K106" s="13">
        <v>0.0</v>
      </c>
      <c r="L106" s="13">
        <v>0.0</v>
      </c>
      <c r="M106" s="6">
        <f t="shared" si="28"/>
        <v>1</v>
      </c>
    </row>
    <row r="107" ht="12.75" customHeight="1">
      <c r="A107" s="18"/>
      <c r="B107" s="51"/>
      <c r="C107" s="52" t="s">
        <v>92</v>
      </c>
      <c r="D107" s="53"/>
      <c r="E107" s="13">
        <v>1.0</v>
      </c>
      <c r="F107" s="13">
        <v>1.0</v>
      </c>
      <c r="G107" s="13">
        <v>0.0</v>
      </c>
      <c r="H107" s="13">
        <v>1.0</v>
      </c>
      <c r="I107" s="13">
        <v>0.0</v>
      </c>
      <c r="J107" s="13">
        <v>0.0</v>
      </c>
      <c r="K107" s="13">
        <v>2.0</v>
      </c>
      <c r="L107" s="13">
        <v>5.0</v>
      </c>
      <c r="M107" s="6">
        <f t="shared" si="28"/>
        <v>10</v>
      </c>
    </row>
    <row r="108" ht="12.75" customHeight="1">
      <c r="A108" s="18"/>
      <c r="B108" s="51"/>
      <c r="C108" s="52" t="s">
        <v>93</v>
      </c>
      <c r="D108" s="53"/>
      <c r="E108" s="13">
        <v>0.0</v>
      </c>
      <c r="F108" s="13">
        <v>1.0</v>
      </c>
      <c r="G108" s="13">
        <v>1.0</v>
      </c>
      <c r="H108" s="13">
        <v>0.0</v>
      </c>
      <c r="I108" s="13">
        <v>0.0</v>
      </c>
      <c r="J108" s="13">
        <v>0.0</v>
      </c>
      <c r="K108" s="13">
        <v>1.0</v>
      </c>
      <c r="L108" s="13">
        <v>0.0</v>
      </c>
      <c r="M108" s="6">
        <f t="shared" si="28"/>
        <v>3</v>
      </c>
    </row>
    <row r="109" ht="12.75" customHeight="1">
      <c r="A109" s="18"/>
      <c r="B109" s="51"/>
      <c r="C109" s="52" t="s">
        <v>94</v>
      </c>
      <c r="D109" s="53"/>
      <c r="E109" s="13">
        <v>2.0</v>
      </c>
      <c r="F109" s="13">
        <v>3.0</v>
      </c>
      <c r="G109" s="13">
        <v>0.0</v>
      </c>
      <c r="H109" s="13">
        <v>1.0</v>
      </c>
      <c r="I109" s="13">
        <v>0.0</v>
      </c>
      <c r="J109" s="13">
        <v>2.0</v>
      </c>
      <c r="K109" s="13">
        <v>0.0</v>
      </c>
      <c r="L109" s="13">
        <v>0.0</v>
      </c>
      <c r="M109" s="6">
        <f t="shared" si="28"/>
        <v>8</v>
      </c>
    </row>
    <row r="110" ht="12.75" customHeight="1">
      <c r="A110" s="13" t="s">
        <v>15</v>
      </c>
      <c r="B110" s="49" t="s">
        <v>46</v>
      </c>
      <c r="C110" s="8"/>
      <c r="D110" s="9"/>
      <c r="E110" s="60">
        <f t="shared" ref="E110:L110" si="29">SUM(E103:E109)</f>
        <v>13</v>
      </c>
      <c r="F110" s="60">
        <f t="shared" si="29"/>
        <v>32</v>
      </c>
      <c r="G110" s="60">
        <f t="shared" si="29"/>
        <v>7</v>
      </c>
      <c r="H110" s="60">
        <f t="shared" si="29"/>
        <v>6</v>
      </c>
      <c r="I110" s="60">
        <f t="shared" si="29"/>
        <v>7</v>
      </c>
      <c r="J110" s="60">
        <f t="shared" si="29"/>
        <v>11</v>
      </c>
      <c r="K110" s="60">
        <f t="shared" si="29"/>
        <v>3</v>
      </c>
      <c r="L110" s="60">
        <f t="shared" si="29"/>
        <v>7</v>
      </c>
      <c r="M110" s="6">
        <f t="shared" si="28"/>
        <v>86</v>
      </c>
    </row>
    <row r="111" ht="12.75" customHeight="1">
      <c r="A111" s="54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6"/>
    </row>
    <row r="112" ht="12.75" customHeight="1">
      <c r="A112" s="32" t="s">
        <v>37</v>
      </c>
      <c r="B112" s="49" t="s">
        <v>95</v>
      </c>
      <c r="C112" s="50" t="s">
        <v>96</v>
      </c>
      <c r="D112" s="9"/>
      <c r="E112" s="13">
        <v>1.0</v>
      </c>
      <c r="F112" s="13">
        <v>0.0</v>
      </c>
      <c r="G112" s="13">
        <v>0.0</v>
      </c>
      <c r="H112" s="13">
        <v>0.0</v>
      </c>
      <c r="I112" s="13">
        <v>0.0</v>
      </c>
      <c r="J112" s="13">
        <v>0.0</v>
      </c>
      <c r="K112" s="13">
        <v>0.0</v>
      </c>
      <c r="L112" s="13">
        <v>0.0</v>
      </c>
      <c r="M112" s="6">
        <f t="shared" ref="M112:M114" si="30">SUM(E112:L112)</f>
        <v>1</v>
      </c>
    </row>
    <row r="113" ht="12.75" customHeight="1">
      <c r="A113" s="32" t="s">
        <v>39</v>
      </c>
      <c r="B113" s="49"/>
      <c r="C113" s="52" t="s">
        <v>97</v>
      </c>
      <c r="D113" s="61"/>
      <c r="E113" s="13">
        <v>0.0</v>
      </c>
      <c r="F113" s="13">
        <v>0.0</v>
      </c>
      <c r="G113" s="13">
        <v>0.0</v>
      </c>
      <c r="H113" s="13">
        <v>0.0</v>
      </c>
      <c r="I113" s="13">
        <v>0.0</v>
      </c>
      <c r="J113" s="13">
        <v>0.0</v>
      </c>
      <c r="K113" s="13">
        <v>1.0</v>
      </c>
      <c r="L113" s="13">
        <v>0.0</v>
      </c>
      <c r="M113" s="6">
        <f t="shared" si="30"/>
        <v>1</v>
      </c>
    </row>
    <row r="114" ht="12.75" customHeight="1">
      <c r="A114" s="13" t="s">
        <v>15</v>
      </c>
      <c r="B114" s="49" t="s">
        <v>46</v>
      </c>
      <c r="C114" s="8"/>
      <c r="D114" s="9"/>
      <c r="E114" s="60">
        <f t="shared" ref="E114:L114" si="31">SUM(E112:E113)</f>
        <v>1</v>
      </c>
      <c r="F114" s="60">
        <f t="shared" si="31"/>
        <v>0</v>
      </c>
      <c r="G114" s="60">
        <f t="shared" si="31"/>
        <v>0</v>
      </c>
      <c r="H114" s="60">
        <f t="shared" si="31"/>
        <v>0</v>
      </c>
      <c r="I114" s="60">
        <f t="shared" si="31"/>
        <v>0</v>
      </c>
      <c r="J114" s="60">
        <f t="shared" si="31"/>
        <v>0</v>
      </c>
      <c r="K114" s="60">
        <f t="shared" si="31"/>
        <v>1</v>
      </c>
      <c r="L114" s="60">
        <f t="shared" si="31"/>
        <v>0</v>
      </c>
      <c r="M114" s="6">
        <f t="shared" si="30"/>
        <v>2</v>
      </c>
    </row>
    <row r="115" ht="12.75" customHeight="1">
      <c r="A115" s="54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6"/>
    </row>
    <row r="116" ht="12.75" customHeight="1">
      <c r="A116" s="32" t="s">
        <v>37</v>
      </c>
      <c r="B116" s="49" t="s">
        <v>98</v>
      </c>
      <c r="C116" s="50" t="s">
        <v>99</v>
      </c>
      <c r="D116" s="9"/>
      <c r="E116" s="13">
        <v>2.0</v>
      </c>
      <c r="F116" s="13">
        <v>1.0</v>
      </c>
      <c r="G116" s="13">
        <v>1.0</v>
      </c>
      <c r="H116" s="13">
        <v>0.0</v>
      </c>
      <c r="I116" s="13">
        <v>0.0</v>
      </c>
      <c r="J116" s="13">
        <v>2.0</v>
      </c>
      <c r="K116" s="13">
        <v>2.0</v>
      </c>
      <c r="L116" s="13">
        <v>1.0</v>
      </c>
      <c r="M116" s="6">
        <f t="shared" ref="M116:M123" si="32">SUM(E116:L116)</f>
        <v>9</v>
      </c>
    </row>
    <row r="117" ht="12.75" customHeight="1">
      <c r="A117" s="32" t="s">
        <v>39</v>
      </c>
      <c r="B117" s="51"/>
      <c r="C117" s="52" t="s">
        <v>100</v>
      </c>
      <c r="D117" s="53"/>
      <c r="E117" s="13">
        <v>0.0</v>
      </c>
      <c r="F117" s="13">
        <v>0.0</v>
      </c>
      <c r="G117" s="13">
        <v>0.0</v>
      </c>
      <c r="H117" s="13">
        <v>0.0</v>
      </c>
      <c r="I117" s="13">
        <v>2.0</v>
      </c>
      <c r="J117" s="13">
        <v>0.0</v>
      </c>
      <c r="K117" s="13">
        <v>2.0</v>
      </c>
      <c r="L117" s="13">
        <v>0.0</v>
      </c>
      <c r="M117" s="6">
        <f t="shared" si="32"/>
        <v>4</v>
      </c>
    </row>
    <row r="118" ht="12.75" customHeight="1">
      <c r="A118" s="18"/>
      <c r="B118" s="51"/>
      <c r="C118" s="52" t="s">
        <v>101</v>
      </c>
      <c r="D118" s="53"/>
      <c r="E118" s="13">
        <v>0.0</v>
      </c>
      <c r="F118" s="13">
        <v>1.0</v>
      </c>
      <c r="G118" s="13">
        <v>0.0</v>
      </c>
      <c r="H118" s="13">
        <v>0.0</v>
      </c>
      <c r="I118" s="13">
        <v>0.0</v>
      </c>
      <c r="J118" s="13">
        <v>0.0</v>
      </c>
      <c r="K118" s="13">
        <v>0.0</v>
      </c>
      <c r="L118" s="13">
        <v>0.0</v>
      </c>
      <c r="M118" s="6">
        <f t="shared" si="32"/>
        <v>1</v>
      </c>
    </row>
    <row r="119" ht="12.75" customHeight="1">
      <c r="A119" s="18"/>
      <c r="B119" s="51"/>
      <c r="C119" s="52" t="s">
        <v>102</v>
      </c>
      <c r="D119" s="53"/>
      <c r="E119" s="13">
        <v>41.0</v>
      </c>
      <c r="F119" s="13">
        <v>65.0</v>
      </c>
      <c r="G119" s="13">
        <v>24.0</v>
      </c>
      <c r="H119" s="13">
        <v>40.0</v>
      </c>
      <c r="I119" s="13">
        <v>27.0</v>
      </c>
      <c r="J119" s="13">
        <v>12.0</v>
      </c>
      <c r="K119" s="13">
        <v>27.0</v>
      </c>
      <c r="L119" s="13">
        <v>24.0</v>
      </c>
      <c r="M119" s="6">
        <f t="shared" si="32"/>
        <v>260</v>
      </c>
    </row>
    <row r="120" ht="12.75" customHeight="1">
      <c r="A120" s="18"/>
      <c r="B120" s="51"/>
      <c r="C120" s="52" t="s">
        <v>103</v>
      </c>
      <c r="D120" s="53"/>
      <c r="E120" s="13">
        <v>0.0</v>
      </c>
      <c r="F120" s="13">
        <v>0.0</v>
      </c>
      <c r="G120" s="13">
        <v>0.0</v>
      </c>
      <c r="H120" s="13">
        <v>0.0</v>
      </c>
      <c r="I120" s="13">
        <v>0.0</v>
      </c>
      <c r="J120" s="13">
        <v>0.0</v>
      </c>
      <c r="K120" s="13">
        <v>0.0</v>
      </c>
      <c r="L120" s="13">
        <v>0.0</v>
      </c>
      <c r="M120" s="6">
        <f t="shared" si="32"/>
        <v>0</v>
      </c>
    </row>
    <row r="121" ht="12.75" customHeight="1">
      <c r="A121" s="18"/>
      <c r="B121" s="51"/>
      <c r="C121" s="52" t="s">
        <v>104</v>
      </c>
      <c r="D121" s="53"/>
      <c r="E121" s="13">
        <v>0.0</v>
      </c>
      <c r="F121" s="13">
        <v>1.0</v>
      </c>
      <c r="G121" s="13">
        <v>0.0</v>
      </c>
      <c r="H121" s="13">
        <v>1.0</v>
      </c>
      <c r="I121" s="13">
        <v>0.0</v>
      </c>
      <c r="J121" s="13">
        <v>0.0</v>
      </c>
      <c r="K121" s="13">
        <v>0.0</v>
      </c>
      <c r="L121" s="13">
        <v>0.0</v>
      </c>
      <c r="M121" s="6">
        <f t="shared" si="32"/>
        <v>2</v>
      </c>
    </row>
    <row r="122" ht="12.75" customHeight="1">
      <c r="A122" s="18"/>
      <c r="B122" s="51"/>
      <c r="C122" s="52" t="s">
        <v>105</v>
      </c>
      <c r="D122" s="53"/>
      <c r="E122" s="13">
        <v>4.0</v>
      </c>
      <c r="F122" s="13">
        <v>1.0</v>
      </c>
      <c r="G122" s="13">
        <v>0.0</v>
      </c>
      <c r="H122" s="13">
        <v>1.0</v>
      </c>
      <c r="I122" s="13">
        <v>0.0</v>
      </c>
      <c r="J122" s="13">
        <v>11.0</v>
      </c>
      <c r="K122" s="13">
        <v>6.0</v>
      </c>
      <c r="L122" s="13">
        <v>0.0</v>
      </c>
      <c r="M122" s="6">
        <f t="shared" si="32"/>
        <v>23</v>
      </c>
    </row>
    <row r="123" ht="12.75" customHeight="1">
      <c r="A123" s="13" t="s">
        <v>15</v>
      </c>
      <c r="B123" s="49" t="s">
        <v>46</v>
      </c>
      <c r="C123" s="8"/>
      <c r="D123" s="9"/>
      <c r="E123" s="60">
        <f t="shared" ref="E123:L123" si="33">SUM(E116:E122)</f>
        <v>47</v>
      </c>
      <c r="F123" s="60">
        <f t="shared" si="33"/>
        <v>69</v>
      </c>
      <c r="G123" s="60">
        <f t="shared" si="33"/>
        <v>25</v>
      </c>
      <c r="H123" s="60">
        <f t="shared" si="33"/>
        <v>42</v>
      </c>
      <c r="I123" s="60">
        <f t="shared" si="33"/>
        <v>29</v>
      </c>
      <c r="J123" s="60">
        <f t="shared" si="33"/>
        <v>25</v>
      </c>
      <c r="K123" s="60">
        <f t="shared" si="33"/>
        <v>37</v>
      </c>
      <c r="L123" s="60">
        <f t="shared" si="33"/>
        <v>25</v>
      </c>
      <c r="M123" s="6">
        <f t="shared" si="32"/>
        <v>299</v>
      </c>
    </row>
    <row r="124" ht="12.75" customHeight="1">
      <c r="A124" s="54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6"/>
    </row>
    <row r="125" ht="12.75" customHeight="1">
      <c r="A125" s="32" t="s">
        <v>37</v>
      </c>
      <c r="B125" s="49" t="s">
        <v>106</v>
      </c>
      <c r="C125" s="50" t="s">
        <v>107</v>
      </c>
      <c r="D125" s="9"/>
      <c r="E125" s="13"/>
      <c r="F125" s="13"/>
      <c r="G125" s="13"/>
      <c r="H125" s="13"/>
      <c r="I125" s="13"/>
      <c r="J125" s="13"/>
      <c r="K125" s="13"/>
      <c r="L125" s="13"/>
      <c r="M125" s="6">
        <f t="shared" ref="M125:M127" si="34">SUM(E125:L125)</f>
        <v>0</v>
      </c>
    </row>
    <row r="126" ht="12.75" customHeight="1">
      <c r="A126" s="32" t="s">
        <v>39</v>
      </c>
      <c r="B126" s="51"/>
      <c r="C126" s="52" t="s">
        <v>108</v>
      </c>
      <c r="D126" s="53"/>
      <c r="E126" s="13"/>
      <c r="F126" s="13"/>
      <c r="G126" s="13"/>
      <c r="H126" s="13"/>
      <c r="I126" s="13"/>
      <c r="J126" s="13"/>
      <c r="K126" s="13"/>
      <c r="L126" s="13"/>
      <c r="M126" s="6">
        <f t="shared" si="34"/>
        <v>0</v>
      </c>
    </row>
    <row r="127" ht="12.75" customHeight="1">
      <c r="A127" s="13" t="s">
        <v>15</v>
      </c>
      <c r="B127" s="49" t="s">
        <v>46</v>
      </c>
      <c r="C127" s="8"/>
      <c r="D127" s="9"/>
      <c r="E127" s="60">
        <f t="shared" ref="E127:L127" si="35">SUM(E125:E126)</f>
        <v>0</v>
      </c>
      <c r="F127" s="60">
        <f t="shared" si="35"/>
        <v>0</v>
      </c>
      <c r="G127" s="60">
        <f t="shared" si="35"/>
        <v>0</v>
      </c>
      <c r="H127" s="60">
        <f t="shared" si="35"/>
        <v>0</v>
      </c>
      <c r="I127" s="60">
        <f t="shared" si="35"/>
        <v>0</v>
      </c>
      <c r="J127" s="60">
        <f t="shared" si="35"/>
        <v>0</v>
      </c>
      <c r="K127" s="60">
        <f t="shared" si="35"/>
        <v>0</v>
      </c>
      <c r="L127" s="60">
        <f t="shared" si="35"/>
        <v>0</v>
      </c>
      <c r="M127" s="6">
        <f t="shared" si="34"/>
        <v>0</v>
      </c>
    </row>
    <row r="128" ht="12.75" customHeight="1">
      <c r="A128" s="54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6"/>
    </row>
    <row r="129" ht="12.75" customHeight="1">
      <c r="A129" s="32" t="s">
        <v>37</v>
      </c>
      <c r="B129" s="49" t="s">
        <v>109</v>
      </c>
      <c r="C129" s="50" t="s">
        <v>110</v>
      </c>
      <c r="D129" s="9"/>
      <c r="E129" s="13">
        <v>0.0</v>
      </c>
      <c r="F129" s="13">
        <v>0.0</v>
      </c>
      <c r="G129" s="13">
        <v>1.0</v>
      </c>
      <c r="H129" s="13">
        <v>0.0</v>
      </c>
      <c r="I129" s="13">
        <v>1.0</v>
      </c>
      <c r="J129" s="13">
        <v>0.0</v>
      </c>
      <c r="K129" s="13">
        <v>0.0</v>
      </c>
      <c r="L129" s="13">
        <v>4.0</v>
      </c>
      <c r="M129" s="6">
        <f t="shared" ref="M129:M136" si="36">SUM(E129:L129)</f>
        <v>6</v>
      </c>
    </row>
    <row r="130" ht="12.75" customHeight="1">
      <c r="A130" s="32" t="s">
        <v>39</v>
      </c>
      <c r="B130" s="51"/>
      <c r="C130" s="52" t="s">
        <v>111</v>
      </c>
      <c r="D130" s="53"/>
      <c r="E130" s="13">
        <v>0.0</v>
      </c>
      <c r="F130" s="13">
        <v>0.0</v>
      </c>
      <c r="G130" s="13">
        <v>0.0</v>
      </c>
      <c r="H130" s="13">
        <v>0.0</v>
      </c>
      <c r="I130" s="13">
        <v>0.0</v>
      </c>
      <c r="J130" s="13">
        <v>0.0</v>
      </c>
      <c r="K130" s="13">
        <v>1.0</v>
      </c>
      <c r="L130" s="13">
        <v>2.0</v>
      </c>
      <c r="M130" s="6">
        <f t="shared" si="36"/>
        <v>3</v>
      </c>
    </row>
    <row r="131" ht="12.75" customHeight="1">
      <c r="A131" s="18"/>
      <c r="B131" s="51"/>
      <c r="C131" s="52" t="s">
        <v>112</v>
      </c>
      <c r="D131" s="53"/>
      <c r="E131" s="13">
        <v>1.0</v>
      </c>
      <c r="F131" s="13">
        <v>1.0</v>
      </c>
      <c r="G131" s="13">
        <v>0.0</v>
      </c>
      <c r="H131" s="13">
        <v>0.0</v>
      </c>
      <c r="I131" s="13">
        <v>0.0</v>
      </c>
      <c r="J131" s="13">
        <v>0.0</v>
      </c>
      <c r="K131" s="13">
        <v>0.0</v>
      </c>
      <c r="L131" s="13">
        <v>0.0</v>
      </c>
      <c r="M131" s="6">
        <f t="shared" si="36"/>
        <v>2</v>
      </c>
    </row>
    <row r="132" ht="12.75" customHeight="1">
      <c r="A132" s="18"/>
      <c r="B132" s="51"/>
      <c r="C132" s="52" t="s">
        <v>113</v>
      </c>
      <c r="D132" s="53"/>
      <c r="E132" s="13">
        <v>1.0</v>
      </c>
      <c r="F132" s="13">
        <v>0.0</v>
      </c>
      <c r="G132" s="13">
        <v>0.0</v>
      </c>
      <c r="H132" s="13">
        <v>0.0</v>
      </c>
      <c r="I132" s="13">
        <v>0.0</v>
      </c>
      <c r="J132" s="13">
        <v>0.0</v>
      </c>
      <c r="K132" s="13">
        <v>0.0</v>
      </c>
      <c r="L132" s="13">
        <v>0.0</v>
      </c>
      <c r="M132" s="6">
        <f t="shared" si="36"/>
        <v>1</v>
      </c>
    </row>
    <row r="133" ht="12.75" customHeight="1">
      <c r="A133" s="18"/>
      <c r="B133" s="51"/>
      <c r="C133" s="52" t="s">
        <v>114</v>
      </c>
      <c r="D133" s="53"/>
      <c r="E133" s="13">
        <v>0.0</v>
      </c>
      <c r="F133" s="13">
        <v>0.0</v>
      </c>
      <c r="G133" s="13">
        <v>0.0</v>
      </c>
      <c r="H133" s="13">
        <v>0.0</v>
      </c>
      <c r="I133" s="13">
        <v>0.0</v>
      </c>
      <c r="J133" s="13">
        <v>0.0</v>
      </c>
      <c r="K133" s="13">
        <v>0.0</v>
      </c>
      <c r="L133" s="13">
        <v>0.0</v>
      </c>
      <c r="M133" s="6">
        <f t="shared" si="36"/>
        <v>0</v>
      </c>
    </row>
    <row r="134" ht="12.75" customHeight="1">
      <c r="A134" s="18"/>
      <c r="B134" s="51"/>
      <c r="C134" s="52" t="s">
        <v>115</v>
      </c>
      <c r="D134" s="53"/>
      <c r="E134" s="13">
        <v>0.0</v>
      </c>
      <c r="F134" s="13">
        <v>0.0</v>
      </c>
      <c r="G134" s="13">
        <v>0.0</v>
      </c>
      <c r="H134" s="13">
        <v>0.0</v>
      </c>
      <c r="I134" s="13">
        <v>0.0</v>
      </c>
      <c r="J134" s="13">
        <v>0.0</v>
      </c>
      <c r="K134" s="13">
        <v>0.0</v>
      </c>
      <c r="L134" s="13">
        <v>0.0</v>
      </c>
      <c r="M134" s="6">
        <f t="shared" si="36"/>
        <v>0</v>
      </c>
    </row>
    <row r="135" ht="12.75" customHeight="1">
      <c r="A135" s="18"/>
      <c r="B135" s="51"/>
      <c r="C135" s="52" t="s">
        <v>116</v>
      </c>
      <c r="D135" s="53"/>
      <c r="E135" s="13">
        <v>0.0</v>
      </c>
      <c r="F135" s="13">
        <v>0.0</v>
      </c>
      <c r="G135" s="13">
        <v>0.0</v>
      </c>
      <c r="H135" s="13">
        <v>0.0</v>
      </c>
      <c r="I135" s="13">
        <v>0.0</v>
      </c>
      <c r="J135" s="13">
        <v>0.0</v>
      </c>
      <c r="K135" s="13">
        <v>0.0</v>
      </c>
      <c r="L135" s="13">
        <v>0.0</v>
      </c>
      <c r="M135" s="6">
        <f t="shared" si="36"/>
        <v>0</v>
      </c>
    </row>
    <row r="136" ht="12.75" customHeight="1">
      <c r="A136" s="13" t="s">
        <v>15</v>
      </c>
      <c r="B136" s="49" t="s">
        <v>46</v>
      </c>
      <c r="C136" s="8"/>
      <c r="D136" s="9"/>
      <c r="E136" s="60">
        <f t="shared" ref="E136:L136" si="37">SUM(E129:E135)</f>
        <v>2</v>
      </c>
      <c r="F136" s="60">
        <f t="shared" si="37"/>
        <v>1</v>
      </c>
      <c r="G136" s="60">
        <f t="shared" si="37"/>
        <v>1</v>
      </c>
      <c r="H136" s="60">
        <f t="shared" si="37"/>
        <v>0</v>
      </c>
      <c r="I136" s="60">
        <f t="shared" si="37"/>
        <v>1</v>
      </c>
      <c r="J136" s="60">
        <f t="shared" si="37"/>
        <v>0</v>
      </c>
      <c r="K136" s="60">
        <f t="shared" si="37"/>
        <v>1</v>
      </c>
      <c r="L136" s="60">
        <f t="shared" si="37"/>
        <v>6</v>
      </c>
      <c r="M136" s="6">
        <f t="shared" si="36"/>
        <v>12</v>
      </c>
    </row>
    <row r="137" ht="12.75" customHeight="1">
      <c r="A137" s="54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6"/>
    </row>
    <row r="138" ht="12.75" customHeight="1">
      <c r="A138" s="32" t="s">
        <v>37</v>
      </c>
      <c r="B138" s="49" t="s">
        <v>117</v>
      </c>
      <c r="C138" s="50" t="s">
        <v>118</v>
      </c>
      <c r="D138" s="9"/>
      <c r="E138" s="13">
        <v>1.0</v>
      </c>
      <c r="F138" s="13">
        <v>1.0</v>
      </c>
      <c r="G138" s="13">
        <v>0.0</v>
      </c>
      <c r="H138" s="13">
        <v>0.0</v>
      </c>
      <c r="I138" s="13">
        <v>0.0</v>
      </c>
      <c r="J138" s="13">
        <v>1.0</v>
      </c>
      <c r="K138" s="13">
        <v>0.0</v>
      </c>
      <c r="L138" s="13">
        <v>0.0</v>
      </c>
      <c r="M138" s="6">
        <f t="shared" ref="M138:M145" si="38">SUM(E138:L138)</f>
        <v>3</v>
      </c>
    </row>
    <row r="139" ht="12.75" customHeight="1">
      <c r="A139" s="32" t="s">
        <v>39</v>
      </c>
      <c r="B139" s="51"/>
      <c r="C139" s="52" t="s">
        <v>119</v>
      </c>
      <c r="D139" s="53"/>
      <c r="E139" s="13">
        <v>0.0</v>
      </c>
      <c r="F139" s="13">
        <v>0.0</v>
      </c>
      <c r="G139" s="13">
        <v>0.0</v>
      </c>
      <c r="H139" s="13">
        <v>0.0</v>
      </c>
      <c r="I139" s="13">
        <v>0.0</v>
      </c>
      <c r="J139" s="13">
        <v>0.0</v>
      </c>
      <c r="K139" s="13">
        <v>0.0</v>
      </c>
      <c r="L139" s="13">
        <v>1.0</v>
      </c>
      <c r="M139" s="6">
        <f t="shared" si="38"/>
        <v>1</v>
      </c>
    </row>
    <row r="140" ht="12.75" customHeight="1">
      <c r="A140" s="18"/>
      <c r="B140" s="51"/>
      <c r="C140" s="52" t="s">
        <v>120</v>
      </c>
      <c r="D140" s="53"/>
      <c r="E140" s="13">
        <v>0.0</v>
      </c>
      <c r="F140" s="13">
        <v>0.0</v>
      </c>
      <c r="G140" s="13">
        <v>0.0</v>
      </c>
      <c r="H140" s="13">
        <v>0.0</v>
      </c>
      <c r="I140" s="13">
        <v>0.0</v>
      </c>
      <c r="J140" s="13">
        <v>0.0</v>
      </c>
      <c r="K140" s="13">
        <v>0.0</v>
      </c>
      <c r="L140" s="13">
        <v>0.0</v>
      </c>
      <c r="M140" s="6">
        <f t="shared" si="38"/>
        <v>0</v>
      </c>
    </row>
    <row r="141" ht="12.75" customHeight="1">
      <c r="A141" s="18"/>
      <c r="B141" s="51"/>
      <c r="C141" s="52" t="s">
        <v>121</v>
      </c>
      <c r="D141" s="53"/>
      <c r="E141" s="13">
        <v>0.0</v>
      </c>
      <c r="F141" s="13">
        <v>0.0</v>
      </c>
      <c r="G141" s="13">
        <v>0.0</v>
      </c>
      <c r="H141" s="13">
        <v>0.0</v>
      </c>
      <c r="I141" s="13">
        <v>0.0</v>
      </c>
      <c r="J141" s="13">
        <v>0.0</v>
      </c>
      <c r="K141" s="13">
        <v>0.0</v>
      </c>
      <c r="L141" s="13">
        <v>0.0</v>
      </c>
      <c r="M141" s="6">
        <f t="shared" si="38"/>
        <v>0</v>
      </c>
    </row>
    <row r="142" ht="12.75" customHeight="1">
      <c r="A142" s="18"/>
      <c r="B142" s="51"/>
      <c r="C142" s="52" t="s">
        <v>122</v>
      </c>
      <c r="D142" s="53"/>
      <c r="E142" s="13">
        <v>0.0</v>
      </c>
      <c r="F142" s="13">
        <v>0.0</v>
      </c>
      <c r="G142" s="13">
        <v>0.0</v>
      </c>
      <c r="H142" s="13">
        <v>0.0</v>
      </c>
      <c r="I142" s="13">
        <v>0.0</v>
      </c>
      <c r="J142" s="13">
        <v>0.0</v>
      </c>
      <c r="K142" s="13">
        <v>0.0</v>
      </c>
      <c r="L142" s="13">
        <v>0.0</v>
      </c>
      <c r="M142" s="6">
        <f t="shared" si="38"/>
        <v>0</v>
      </c>
    </row>
    <row r="143" ht="12.75" customHeight="1">
      <c r="A143" s="18"/>
      <c r="B143" s="51"/>
      <c r="C143" s="52" t="s">
        <v>123</v>
      </c>
      <c r="D143" s="53"/>
      <c r="E143" s="13">
        <v>0.0</v>
      </c>
      <c r="F143" s="13">
        <v>0.0</v>
      </c>
      <c r="G143" s="13">
        <v>0.0</v>
      </c>
      <c r="H143" s="13">
        <v>0.0</v>
      </c>
      <c r="I143" s="13">
        <v>0.0</v>
      </c>
      <c r="J143" s="13">
        <v>0.0</v>
      </c>
      <c r="K143" s="13">
        <v>0.0</v>
      </c>
      <c r="L143" s="13">
        <v>0.0</v>
      </c>
      <c r="M143" s="6">
        <f t="shared" si="38"/>
        <v>0</v>
      </c>
    </row>
    <row r="144" ht="12.75" customHeight="1">
      <c r="A144" s="18"/>
      <c r="B144" s="51"/>
      <c r="C144" s="52" t="s">
        <v>124</v>
      </c>
      <c r="D144" s="53"/>
      <c r="E144" s="13">
        <v>0.0</v>
      </c>
      <c r="F144" s="13">
        <v>0.0</v>
      </c>
      <c r="G144" s="13">
        <v>0.0</v>
      </c>
      <c r="H144" s="13">
        <v>0.0</v>
      </c>
      <c r="I144" s="13">
        <v>0.0</v>
      </c>
      <c r="J144" s="13">
        <v>0.0</v>
      </c>
      <c r="K144" s="13">
        <v>0.0</v>
      </c>
      <c r="L144" s="13">
        <v>0.0</v>
      </c>
      <c r="M144" s="6">
        <f t="shared" si="38"/>
        <v>0</v>
      </c>
    </row>
    <row r="145" ht="12.75" customHeight="1">
      <c r="A145" s="13" t="s">
        <v>15</v>
      </c>
      <c r="B145" s="49" t="s">
        <v>46</v>
      </c>
      <c r="C145" s="8"/>
      <c r="D145" s="9"/>
      <c r="E145" s="60">
        <f t="shared" ref="E145:L145" si="39">SUM(E138:E144)</f>
        <v>1</v>
      </c>
      <c r="F145" s="60">
        <f t="shared" si="39"/>
        <v>1</v>
      </c>
      <c r="G145" s="60">
        <f t="shared" si="39"/>
        <v>0</v>
      </c>
      <c r="H145" s="60">
        <f t="shared" si="39"/>
        <v>0</v>
      </c>
      <c r="I145" s="60">
        <f t="shared" si="39"/>
        <v>0</v>
      </c>
      <c r="J145" s="60">
        <f t="shared" si="39"/>
        <v>1</v>
      </c>
      <c r="K145" s="60">
        <f t="shared" si="39"/>
        <v>0</v>
      </c>
      <c r="L145" s="60">
        <f t="shared" si="39"/>
        <v>1</v>
      </c>
      <c r="M145" s="6">
        <f t="shared" si="38"/>
        <v>4</v>
      </c>
    </row>
    <row r="146" ht="12.75" customHeight="1">
      <c r="A146" s="54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6"/>
    </row>
    <row r="147" ht="12.75" customHeight="1">
      <c r="A147" s="32" t="s">
        <v>37</v>
      </c>
      <c r="B147" s="49" t="s">
        <v>125</v>
      </c>
      <c r="C147" s="50" t="s">
        <v>126</v>
      </c>
      <c r="D147" s="9"/>
      <c r="E147" s="13">
        <v>4.0</v>
      </c>
      <c r="F147" s="13">
        <v>1.0</v>
      </c>
      <c r="G147" s="13">
        <v>2.0</v>
      </c>
      <c r="H147" s="13">
        <v>3.0</v>
      </c>
      <c r="I147" s="13">
        <v>3.0</v>
      </c>
      <c r="J147" s="13">
        <v>1.0</v>
      </c>
      <c r="K147" s="13">
        <v>4.0</v>
      </c>
      <c r="L147" s="13">
        <v>1.0</v>
      </c>
      <c r="M147" s="6">
        <f t="shared" ref="M147:M154" si="40">SUM(E147:L147)</f>
        <v>19</v>
      </c>
    </row>
    <row r="148" ht="12.75" customHeight="1">
      <c r="A148" s="32" t="s">
        <v>39</v>
      </c>
      <c r="B148" s="51"/>
      <c r="C148" s="52" t="s">
        <v>127</v>
      </c>
      <c r="D148" s="53"/>
      <c r="E148" s="13">
        <v>1.0</v>
      </c>
      <c r="F148" s="13">
        <v>3.0</v>
      </c>
      <c r="G148" s="13">
        <v>3.0</v>
      </c>
      <c r="H148" s="13">
        <v>0.0</v>
      </c>
      <c r="I148" s="13">
        <v>0.0</v>
      </c>
      <c r="J148" s="13">
        <v>8.0</v>
      </c>
      <c r="K148" s="13">
        <v>3.0</v>
      </c>
      <c r="L148" s="13">
        <v>4.0</v>
      </c>
      <c r="M148" s="6">
        <f t="shared" si="40"/>
        <v>22</v>
      </c>
    </row>
    <row r="149" ht="12.75" customHeight="1">
      <c r="A149" s="18"/>
      <c r="B149" s="51"/>
      <c r="C149" s="52" t="s">
        <v>128</v>
      </c>
      <c r="D149" s="53"/>
      <c r="E149" s="13">
        <v>1.0</v>
      </c>
      <c r="F149" s="13">
        <v>5.0</v>
      </c>
      <c r="G149" s="13">
        <v>1.0</v>
      </c>
      <c r="H149" s="13">
        <v>2.0</v>
      </c>
      <c r="I149" s="13">
        <v>1.0</v>
      </c>
      <c r="J149" s="13">
        <v>0.0</v>
      </c>
      <c r="K149" s="13">
        <v>0.0</v>
      </c>
      <c r="L149" s="13">
        <v>0.0</v>
      </c>
      <c r="M149" s="6">
        <f t="shared" si="40"/>
        <v>10</v>
      </c>
    </row>
    <row r="150" ht="12.75" customHeight="1">
      <c r="A150" s="18"/>
      <c r="B150" s="51"/>
      <c r="C150" s="52" t="s">
        <v>129</v>
      </c>
      <c r="D150" s="53"/>
      <c r="E150" s="13">
        <v>3.0</v>
      </c>
      <c r="F150" s="13">
        <v>2.0</v>
      </c>
      <c r="G150" s="13">
        <v>9.0</v>
      </c>
      <c r="H150" s="13">
        <v>10.0</v>
      </c>
      <c r="I150" s="13">
        <v>5.0</v>
      </c>
      <c r="J150" s="13">
        <v>2.0</v>
      </c>
      <c r="K150" s="13">
        <v>1.0</v>
      </c>
      <c r="L150" s="13">
        <v>19.0</v>
      </c>
      <c r="M150" s="6">
        <f t="shared" si="40"/>
        <v>51</v>
      </c>
    </row>
    <row r="151" ht="12.75" customHeight="1">
      <c r="A151" s="18"/>
      <c r="B151" s="51"/>
      <c r="C151" s="52" t="s">
        <v>130</v>
      </c>
      <c r="D151" s="53"/>
      <c r="E151" s="13">
        <v>0.0</v>
      </c>
      <c r="F151" s="13">
        <v>0.0</v>
      </c>
      <c r="G151" s="13">
        <v>0.0</v>
      </c>
      <c r="H151" s="13">
        <v>0.0</v>
      </c>
      <c r="I151" s="13">
        <v>0.0</v>
      </c>
      <c r="J151" s="13">
        <v>0.0</v>
      </c>
      <c r="K151" s="13">
        <v>0.0</v>
      </c>
      <c r="L151" s="13">
        <v>0.0</v>
      </c>
      <c r="M151" s="6">
        <f t="shared" si="40"/>
        <v>0</v>
      </c>
    </row>
    <row r="152" ht="12.75" customHeight="1">
      <c r="A152" s="18"/>
      <c r="B152" s="51"/>
      <c r="C152" s="52" t="s">
        <v>131</v>
      </c>
      <c r="D152" s="53"/>
      <c r="E152" s="13">
        <v>0.0</v>
      </c>
      <c r="F152" s="13">
        <v>0.0</v>
      </c>
      <c r="G152" s="13">
        <v>0.0</v>
      </c>
      <c r="H152" s="13">
        <v>0.0</v>
      </c>
      <c r="I152" s="13">
        <v>0.0</v>
      </c>
      <c r="J152" s="13">
        <v>0.0</v>
      </c>
      <c r="K152" s="13">
        <v>0.0</v>
      </c>
      <c r="L152" s="13">
        <v>0.0</v>
      </c>
      <c r="M152" s="6">
        <f t="shared" si="40"/>
        <v>0</v>
      </c>
    </row>
    <row r="153" ht="12.75" customHeight="1">
      <c r="A153" s="18"/>
      <c r="B153" s="51"/>
      <c r="C153" s="52" t="s">
        <v>132</v>
      </c>
      <c r="D153" s="53"/>
      <c r="E153" s="13">
        <v>0.0</v>
      </c>
      <c r="F153" s="13">
        <v>0.0</v>
      </c>
      <c r="G153" s="13">
        <v>0.0</v>
      </c>
      <c r="H153" s="13">
        <v>0.0</v>
      </c>
      <c r="I153" s="13">
        <v>0.0</v>
      </c>
      <c r="J153" s="13">
        <v>0.0</v>
      </c>
      <c r="K153" s="13">
        <v>0.0</v>
      </c>
      <c r="L153" s="13">
        <v>0.0</v>
      </c>
      <c r="M153" s="6">
        <f t="shared" si="40"/>
        <v>0</v>
      </c>
    </row>
    <row r="154" ht="12.75" customHeight="1">
      <c r="A154" s="13" t="s">
        <v>15</v>
      </c>
      <c r="B154" s="49" t="s">
        <v>46</v>
      </c>
      <c r="C154" s="8"/>
      <c r="D154" s="9"/>
      <c r="E154" s="60">
        <f t="shared" ref="E154:L154" si="41">SUM(E147:E153)</f>
        <v>9</v>
      </c>
      <c r="F154" s="60">
        <f t="shared" si="41"/>
        <v>11</v>
      </c>
      <c r="G154" s="60">
        <f t="shared" si="41"/>
        <v>15</v>
      </c>
      <c r="H154" s="60">
        <f t="shared" si="41"/>
        <v>15</v>
      </c>
      <c r="I154" s="60">
        <f t="shared" si="41"/>
        <v>9</v>
      </c>
      <c r="J154" s="60">
        <f t="shared" si="41"/>
        <v>11</v>
      </c>
      <c r="K154" s="60">
        <f t="shared" si="41"/>
        <v>8</v>
      </c>
      <c r="L154" s="60">
        <f t="shared" si="41"/>
        <v>24</v>
      </c>
      <c r="M154" s="6">
        <f t="shared" si="40"/>
        <v>102</v>
      </c>
    </row>
    <row r="155" ht="12.75" customHeight="1">
      <c r="A155" s="54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6"/>
    </row>
    <row r="156" ht="12.75" customHeight="1">
      <c r="A156" s="32" t="s">
        <v>37</v>
      </c>
      <c r="B156" s="49" t="s">
        <v>133</v>
      </c>
      <c r="C156" s="50" t="s">
        <v>134</v>
      </c>
      <c r="D156" s="9"/>
      <c r="E156" s="13">
        <v>2.0</v>
      </c>
      <c r="F156" s="13">
        <v>1.0</v>
      </c>
      <c r="G156" s="13">
        <v>0.0</v>
      </c>
      <c r="H156" s="13">
        <v>0.0</v>
      </c>
      <c r="I156" s="13">
        <v>0.0</v>
      </c>
      <c r="J156" s="13">
        <v>0.0</v>
      </c>
      <c r="K156" s="13">
        <v>2.0</v>
      </c>
      <c r="L156" s="13">
        <v>0.0</v>
      </c>
      <c r="M156" s="6">
        <f t="shared" ref="M156:M162" si="42">SUM(E156:L156)</f>
        <v>5</v>
      </c>
    </row>
    <row r="157" ht="12.75" customHeight="1">
      <c r="A157" s="32"/>
      <c r="B157" s="49"/>
      <c r="C157" s="52" t="s">
        <v>135</v>
      </c>
      <c r="D157" s="61"/>
      <c r="E157" s="72">
        <v>0.0</v>
      </c>
      <c r="F157" s="13">
        <v>0.0</v>
      </c>
      <c r="G157" s="13">
        <v>0.0</v>
      </c>
      <c r="H157" s="13">
        <v>0.0</v>
      </c>
      <c r="I157" s="13">
        <v>0.0</v>
      </c>
      <c r="J157" s="13">
        <v>1.0</v>
      </c>
      <c r="K157" s="13">
        <v>0.0</v>
      </c>
      <c r="L157" s="13">
        <v>1.0</v>
      </c>
      <c r="M157" s="6">
        <f t="shared" si="42"/>
        <v>2</v>
      </c>
    </row>
    <row r="158" ht="12.75" customHeight="1">
      <c r="A158" s="32"/>
      <c r="B158" s="49"/>
      <c r="C158" s="52" t="s">
        <v>136</v>
      </c>
      <c r="D158" s="61"/>
      <c r="E158" s="72">
        <v>0.0</v>
      </c>
      <c r="F158" s="13">
        <v>0.0</v>
      </c>
      <c r="G158" s="13">
        <v>0.0</v>
      </c>
      <c r="H158" s="13">
        <v>0.0</v>
      </c>
      <c r="I158" s="13">
        <v>0.0</v>
      </c>
      <c r="J158" s="13">
        <v>0.0</v>
      </c>
      <c r="K158" s="13">
        <v>1.0</v>
      </c>
      <c r="L158" s="13">
        <v>0.0</v>
      </c>
      <c r="M158" s="6">
        <f t="shared" si="42"/>
        <v>1</v>
      </c>
    </row>
    <row r="159" ht="12.75" customHeight="1">
      <c r="A159" s="32"/>
      <c r="B159" s="49"/>
      <c r="C159" s="52" t="s">
        <v>137</v>
      </c>
      <c r="D159" s="61"/>
      <c r="E159" s="13">
        <v>1.0</v>
      </c>
      <c r="F159" s="13">
        <v>0.0</v>
      </c>
      <c r="G159" s="13">
        <v>0.0</v>
      </c>
      <c r="H159" s="13">
        <v>0.0</v>
      </c>
      <c r="I159" s="13">
        <v>0.0</v>
      </c>
      <c r="J159" s="13">
        <v>0.0</v>
      </c>
      <c r="K159" s="72">
        <v>1.0</v>
      </c>
      <c r="L159" s="13">
        <v>0.0</v>
      </c>
      <c r="M159" s="6">
        <f t="shared" si="42"/>
        <v>2</v>
      </c>
    </row>
    <row r="160" ht="12.75" customHeight="1">
      <c r="A160" s="32" t="s">
        <v>39</v>
      </c>
      <c r="B160" s="51"/>
      <c r="C160" s="52" t="s">
        <v>138</v>
      </c>
      <c r="D160" s="53"/>
      <c r="E160" s="13">
        <v>0.0</v>
      </c>
      <c r="F160" s="13">
        <v>1.0</v>
      </c>
      <c r="G160" s="13">
        <v>0.0</v>
      </c>
      <c r="H160" s="13">
        <v>0.0</v>
      </c>
      <c r="I160" s="13">
        <v>0.0</v>
      </c>
      <c r="J160" s="13">
        <v>0.0</v>
      </c>
      <c r="K160" s="13">
        <v>0.0</v>
      </c>
      <c r="L160" s="13">
        <v>0.0</v>
      </c>
      <c r="M160" s="6">
        <f t="shared" si="42"/>
        <v>1</v>
      </c>
    </row>
    <row r="161" ht="12.75" customHeight="1">
      <c r="A161" s="32"/>
      <c r="B161" s="51"/>
      <c r="C161" s="52" t="s">
        <v>139</v>
      </c>
      <c r="D161" s="53"/>
      <c r="E161" s="13">
        <v>0.0</v>
      </c>
      <c r="F161" s="13">
        <v>0.0</v>
      </c>
      <c r="G161" s="13">
        <v>0.0</v>
      </c>
      <c r="H161" s="13">
        <v>0.0</v>
      </c>
      <c r="I161" s="13">
        <v>0.0</v>
      </c>
      <c r="J161" s="13">
        <v>0.0</v>
      </c>
      <c r="K161" s="13">
        <v>1.0</v>
      </c>
      <c r="L161" s="13">
        <v>0.0</v>
      </c>
      <c r="M161" s="6">
        <f t="shared" si="42"/>
        <v>1</v>
      </c>
    </row>
    <row r="162" ht="12.75" customHeight="1">
      <c r="A162" s="13" t="s">
        <v>15</v>
      </c>
      <c r="B162" s="49" t="s">
        <v>46</v>
      </c>
      <c r="C162" s="8"/>
      <c r="D162" s="9"/>
      <c r="E162" s="60">
        <f t="shared" ref="E162:L162" si="43">SUM(E156:E161)</f>
        <v>3</v>
      </c>
      <c r="F162" s="60">
        <f t="shared" si="43"/>
        <v>2</v>
      </c>
      <c r="G162" s="60">
        <f t="shared" si="43"/>
        <v>0</v>
      </c>
      <c r="H162" s="60">
        <f t="shared" si="43"/>
        <v>0</v>
      </c>
      <c r="I162" s="60">
        <f t="shared" si="43"/>
        <v>0</v>
      </c>
      <c r="J162" s="60">
        <f t="shared" si="43"/>
        <v>1</v>
      </c>
      <c r="K162" s="60">
        <f t="shared" si="43"/>
        <v>5</v>
      </c>
      <c r="L162" s="60">
        <f t="shared" si="43"/>
        <v>1</v>
      </c>
      <c r="M162" s="6">
        <f t="shared" si="42"/>
        <v>12</v>
      </c>
    </row>
    <row r="163" ht="12.75" customHeight="1">
      <c r="A163" s="54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6"/>
    </row>
    <row r="164" ht="12.75" customHeight="1">
      <c r="A164" s="32" t="s">
        <v>37</v>
      </c>
      <c r="B164" s="49" t="s">
        <v>140</v>
      </c>
      <c r="C164" s="50" t="s">
        <v>141</v>
      </c>
      <c r="D164" s="9"/>
      <c r="E164" s="13">
        <v>1.0</v>
      </c>
      <c r="F164" s="13">
        <v>0.0</v>
      </c>
      <c r="G164" s="13">
        <v>0.0</v>
      </c>
      <c r="H164" s="13">
        <v>0.0</v>
      </c>
      <c r="I164" s="13">
        <v>0.0</v>
      </c>
      <c r="J164" s="13">
        <v>1.0</v>
      </c>
      <c r="K164" s="13">
        <v>0.0</v>
      </c>
      <c r="L164" s="13">
        <v>0.0</v>
      </c>
      <c r="M164" s="6">
        <f t="shared" ref="M164:M171" si="44">SUM(E164:L164)</f>
        <v>2</v>
      </c>
    </row>
    <row r="165" ht="12.75" customHeight="1">
      <c r="A165" s="32"/>
      <c r="B165" s="49"/>
      <c r="C165" s="52" t="s">
        <v>142</v>
      </c>
      <c r="D165" s="61"/>
      <c r="E165" s="13">
        <v>1.0</v>
      </c>
      <c r="F165" s="13">
        <v>0.0</v>
      </c>
      <c r="G165" s="13">
        <v>0.0</v>
      </c>
      <c r="H165" s="13">
        <v>0.0</v>
      </c>
      <c r="I165" s="13">
        <v>0.0</v>
      </c>
      <c r="J165" s="13">
        <v>0.0</v>
      </c>
      <c r="K165" s="13">
        <v>0.0</v>
      </c>
      <c r="L165" s="13">
        <v>0.0</v>
      </c>
      <c r="M165" s="6">
        <f t="shared" si="44"/>
        <v>1</v>
      </c>
    </row>
    <row r="166" ht="12.75" customHeight="1">
      <c r="A166" s="32"/>
      <c r="B166" s="49"/>
      <c r="C166" s="52" t="s">
        <v>143</v>
      </c>
      <c r="D166" s="61"/>
      <c r="E166" s="13">
        <v>0.0</v>
      </c>
      <c r="F166" s="13">
        <v>0.0</v>
      </c>
      <c r="G166" s="13">
        <v>0.0</v>
      </c>
      <c r="H166" s="13">
        <v>0.0</v>
      </c>
      <c r="I166" s="13">
        <v>0.0</v>
      </c>
      <c r="J166" s="13">
        <v>2.0</v>
      </c>
      <c r="K166" s="13">
        <v>0.0</v>
      </c>
      <c r="L166" s="13">
        <v>0.0</v>
      </c>
      <c r="M166" s="6">
        <f t="shared" si="44"/>
        <v>2</v>
      </c>
    </row>
    <row r="167" ht="12.75" customHeight="1">
      <c r="A167" s="32"/>
      <c r="B167" s="49"/>
      <c r="C167" s="52" t="s">
        <v>144</v>
      </c>
      <c r="D167" s="61"/>
      <c r="E167" s="13">
        <v>0.0</v>
      </c>
      <c r="F167" s="13">
        <v>0.0</v>
      </c>
      <c r="G167" s="13">
        <v>0.0</v>
      </c>
      <c r="H167" s="13">
        <v>0.0</v>
      </c>
      <c r="I167" s="13">
        <v>0.0</v>
      </c>
      <c r="J167" s="13">
        <v>0.0</v>
      </c>
      <c r="K167" s="13">
        <v>0.0</v>
      </c>
      <c r="L167" s="13">
        <v>0.0</v>
      </c>
      <c r="M167" s="6">
        <f t="shared" si="44"/>
        <v>0</v>
      </c>
    </row>
    <row r="168" ht="12.75" customHeight="1">
      <c r="A168" s="32" t="s">
        <v>39</v>
      </c>
      <c r="B168" s="51"/>
      <c r="C168" s="52" t="s">
        <v>145</v>
      </c>
      <c r="D168" s="53"/>
      <c r="E168" s="13">
        <v>5.0</v>
      </c>
      <c r="F168" s="13">
        <v>2.0</v>
      </c>
      <c r="G168" s="13">
        <v>4.0</v>
      </c>
      <c r="H168" s="13">
        <v>3.0</v>
      </c>
      <c r="I168" s="13">
        <v>1.0</v>
      </c>
      <c r="J168" s="13">
        <v>19.0</v>
      </c>
      <c r="K168" s="13">
        <v>8.0</v>
      </c>
      <c r="L168" s="13">
        <v>1.0</v>
      </c>
      <c r="M168" s="6">
        <f t="shared" si="44"/>
        <v>43</v>
      </c>
    </row>
    <row r="169" ht="12.75" customHeight="1">
      <c r="A169" s="18"/>
      <c r="B169" s="51"/>
      <c r="C169" s="52" t="s">
        <v>146</v>
      </c>
      <c r="D169" s="53"/>
      <c r="E169" s="13">
        <v>0.0</v>
      </c>
      <c r="F169" s="13">
        <v>0.0</v>
      </c>
      <c r="G169" s="13">
        <v>0.0</v>
      </c>
      <c r="H169" s="13">
        <v>0.0</v>
      </c>
      <c r="I169" s="13">
        <v>0.0</v>
      </c>
      <c r="J169" s="13">
        <v>0.0</v>
      </c>
      <c r="K169" s="13">
        <v>0.0</v>
      </c>
      <c r="L169" s="13">
        <v>1.0</v>
      </c>
      <c r="M169" s="6">
        <f t="shared" si="44"/>
        <v>1</v>
      </c>
    </row>
    <row r="170" ht="12.75" customHeight="1">
      <c r="A170" s="18"/>
      <c r="B170" s="51"/>
      <c r="C170" s="52" t="s">
        <v>147</v>
      </c>
      <c r="D170" s="53"/>
      <c r="E170" s="13">
        <v>0.0</v>
      </c>
      <c r="F170" s="13">
        <v>0.0</v>
      </c>
      <c r="G170" s="13">
        <v>0.0</v>
      </c>
      <c r="H170" s="13">
        <v>0.0</v>
      </c>
      <c r="I170" s="13">
        <v>0.0</v>
      </c>
      <c r="J170" s="13">
        <v>0.0</v>
      </c>
      <c r="K170" s="13">
        <v>0.0</v>
      </c>
      <c r="L170" s="13">
        <v>0.0</v>
      </c>
      <c r="M170" s="6">
        <f t="shared" si="44"/>
        <v>0</v>
      </c>
    </row>
    <row r="171" ht="12.75" customHeight="1">
      <c r="A171" s="13" t="s">
        <v>15</v>
      </c>
      <c r="B171" s="49" t="s">
        <v>46</v>
      </c>
      <c r="C171" s="8"/>
      <c r="D171" s="9"/>
      <c r="E171" s="60">
        <f t="shared" ref="E171:L171" si="45">SUM(E164:E170)</f>
        <v>7</v>
      </c>
      <c r="F171" s="60">
        <f t="shared" si="45"/>
        <v>2</v>
      </c>
      <c r="G171" s="60">
        <f t="shared" si="45"/>
        <v>4</v>
      </c>
      <c r="H171" s="60">
        <f t="shared" si="45"/>
        <v>3</v>
      </c>
      <c r="I171" s="60">
        <f t="shared" si="45"/>
        <v>1</v>
      </c>
      <c r="J171" s="60">
        <f t="shared" si="45"/>
        <v>22</v>
      </c>
      <c r="K171" s="60">
        <f t="shared" si="45"/>
        <v>8</v>
      </c>
      <c r="L171" s="60">
        <f t="shared" si="45"/>
        <v>2</v>
      </c>
      <c r="M171" s="6">
        <f t="shared" si="44"/>
        <v>49</v>
      </c>
    </row>
    <row r="172" ht="12.75" customHeight="1">
      <c r="A172" s="54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6"/>
    </row>
    <row r="173" ht="12.75" customHeight="1">
      <c r="A173" s="32" t="s">
        <v>37</v>
      </c>
      <c r="B173" s="49" t="s">
        <v>148</v>
      </c>
      <c r="C173" s="50" t="s">
        <v>149</v>
      </c>
      <c r="D173" s="9"/>
      <c r="E173" s="13">
        <v>0.0</v>
      </c>
      <c r="F173" s="13">
        <v>0.0</v>
      </c>
      <c r="G173" s="13">
        <v>3.0</v>
      </c>
      <c r="H173" s="13">
        <v>0.0</v>
      </c>
      <c r="I173" s="13">
        <v>2.0</v>
      </c>
      <c r="J173" s="13">
        <v>1.0</v>
      </c>
      <c r="K173" s="13">
        <v>2.0</v>
      </c>
      <c r="L173" s="13">
        <v>0.0</v>
      </c>
      <c r="M173" s="6">
        <f t="shared" ref="M173:M180" si="46">SUM(E173:L173)</f>
        <v>8</v>
      </c>
    </row>
    <row r="174" ht="12.75" customHeight="1">
      <c r="A174" s="32" t="s">
        <v>39</v>
      </c>
      <c r="B174" s="51"/>
      <c r="C174" s="52" t="s">
        <v>150</v>
      </c>
      <c r="D174" s="53"/>
      <c r="E174" s="13">
        <v>0.0</v>
      </c>
      <c r="F174" s="13">
        <v>0.0</v>
      </c>
      <c r="G174" s="13">
        <v>0.0</v>
      </c>
      <c r="H174" s="13">
        <v>0.0</v>
      </c>
      <c r="I174" s="13">
        <v>0.0</v>
      </c>
      <c r="J174" s="13">
        <v>2.0</v>
      </c>
      <c r="K174" s="13">
        <v>0.0</v>
      </c>
      <c r="L174" s="13">
        <v>0.0</v>
      </c>
      <c r="M174" s="6">
        <f t="shared" si="46"/>
        <v>2</v>
      </c>
    </row>
    <row r="175" ht="12.75" customHeight="1">
      <c r="A175" s="18"/>
      <c r="B175" s="51"/>
      <c r="C175" s="52" t="s">
        <v>151</v>
      </c>
      <c r="D175" s="53"/>
      <c r="E175" s="13">
        <v>0.0</v>
      </c>
      <c r="F175" s="13">
        <v>2.0</v>
      </c>
      <c r="G175" s="13">
        <v>1.0</v>
      </c>
      <c r="H175" s="13">
        <v>0.0</v>
      </c>
      <c r="I175" s="13">
        <v>0.0</v>
      </c>
      <c r="J175" s="13">
        <v>0.0</v>
      </c>
      <c r="K175" s="13">
        <v>0.0</v>
      </c>
      <c r="L175" s="13">
        <v>0.0</v>
      </c>
      <c r="M175" s="6">
        <f t="shared" si="46"/>
        <v>3</v>
      </c>
    </row>
    <row r="176" ht="12.75" customHeight="1">
      <c r="A176" s="18"/>
      <c r="B176" s="51"/>
      <c r="C176" s="52" t="s">
        <v>152</v>
      </c>
      <c r="D176" s="53"/>
      <c r="E176" s="13">
        <v>5.0</v>
      </c>
      <c r="F176" s="13">
        <v>12.0</v>
      </c>
      <c r="G176" s="13">
        <v>13.0</v>
      </c>
      <c r="H176" s="13">
        <v>3.0</v>
      </c>
      <c r="I176" s="13">
        <v>2.0</v>
      </c>
      <c r="J176" s="13">
        <v>2.0</v>
      </c>
      <c r="K176" s="13">
        <v>6.0</v>
      </c>
      <c r="L176" s="13">
        <v>4.0</v>
      </c>
      <c r="M176" s="6">
        <f t="shared" si="46"/>
        <v>47</v>
      </c>
    </row>
    <row r="177" ht="12.75" customHeight="1">
      <c r="A177" s="18"/>
      <c r="B177" s="51"/>
      <c r="C177" s="52" t="s">
        <v>153</v>
      </c>
      <c r="D177" s="53"/>
      <c r="E177" s="13">
        <v>0.0</v>
      </c>
      <c r="F177" s="13">
        <v>0.0</v>
      </c>
      <c r="G177" s="13">
        <v>1.0</v>
      </c>
      <c r="H177" s="13">
        <v>1.0</v>
      </c>
      <c r="I177" s="13">
        <v>0.0</v>
      </c>
      <c r="J177" s="13">
        <v>0.0</v>
      </c>
      <c r="K177" s="13">
        <v>0.0</v>
      </c>
      <c r="L177" s="13">
        <v>0.0</v>
      </c>
      <c r="M177" s="6">
        <f t="shared" si="46"/>
        <v>2</v>
      </c>
    </row>
    <row r="178" ht="12.75" customHeight="1">
      <c r="A178" s="18"/>
      <c r="B178" s="51"/>
      <c r="C178" s="52" t="s">
        <v>154</v>
      </c>
      <c r="D178" s="53"/>
      <c r="E178" s="13">
        <v>0.0</v>
      </c>
      <c r="F178" s="13">
        <v>0.0</v>
      </c>
      <c r="G178" s="13">
        <v>0.0</v>
      </c>
      <c r="H178" s="13">
        <v>0.0</v>
      </c>
      <c r="I178" s="13">
        <v>0.0</v>
      </c>
      <c r="J178" s="13">
        <v>0.0</v>
      </c>
      <c r="K178" s="13">
        <v>0.0</v>
      </c>
      <c r="L178" s="13">
        <v>0.0</v>
      </c>
      <c r="M178" s="6">
        <f t="shared" si="46"/>
        <v>0</v>
      </c>
    </row>
    <row r="179" ht="12.75" customHeight="1">
      <c r="A179" s="18"/>
      <c r="B179" s="51"/>
      <c r="C179" s="52" t="s">
        <v>155</v>
      </c>
      <c r="D179" s="53"/>
      <c r="E179" s="13">
        <v>0.0</v>
      </c>
      <c r="F179" s="13">
        <v>0.0</v>
      </c>
      <c r="G179" s="13">
        <v>0.0</v>
      </c>
      <c r="H179" s="13">
        <v>0.0</v>
      </c>
      <c r="I179" s="13">
        <v>0.0</v>
      </c>
      <c r="J179" s="13">
        <v>0.0</v>
      </c>
      <c r="K179" s="13">
        <v>0.0</v>
      </c>
      <c r="L179" s="13">
        <v>0.0</v>
      </c>
      <c r="M179" s="6">
        <f t="shared" si="46"/>
        <v>0</v>
      </c>
    </row>
    <row r="180" ht="12.75" customHeight="1">
      <c r="A180" s="13" t="s">
        <v>15</v>
      </c>
      <c r="B180" s="49" t="s">
        <v>46</v>
      </c>
      <c r="C180" s="8"/>
      <c r="D180" s="9"/>
      <c r="E180" s="60">
        <f t="shared" ref="E180:L180" si="47">SUM(E173:E179)</f>
        <v>5</v>
      </c>
      <c r="F180" s="60">
        <f t="shared" si="47"/>
        <v>14</v>
      </c>
      <c r="G180" s="60">
        <f t="shared" si="47"/>
        <v>18</v>
      </c>
      <c r="H180" s="60">
        <f t="shared" si="47"/>
        <v>4</v>
      </c>
      <c r="I180" s="60">
        <f t="shared" si="47"/>
        <v>4</v>
      </c>
      <c r="J180" s="60">
        <f t="shared" si="47"/>
        <v>5</v>
      </c>
      <c r="K180" s="60">
        <f t="shared" si="47"/>
        <v>8</v>
      </c>
      <c r="L180" s="60">
        <f t="shared" si="47"/>
        <v>4</v>
      </c>
      <c r="M180" s="6">
        <f t="shared" si="46"/>
        <v>62</v>
      </c>
    </row>
    <row r="181" ht="12.75" customHeight="1">
      <c r="A181" s="54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6"/>
    </row>
    <row r="182" ht="12.75" customHeight="1">
      <c r="A182" s="32" t="s">
        <v>37</v>
      </c>
      <c r="B182" s="49" t="s">
        <v>156</v>
      </c>
      <c r="C182" s="50" t="s">
        <v>157</v>
      </c>
      <c r="D182" s="9"/>
      <c r="E182" s="13">
        <v>0.0</v>
      </c>
      <c r="F182" s="13">
        <v>2.0</v>
      </c>
      <c r="G182" s="13">
        <v>0.0</v>
      </c>
      <c r="H182" s="13">
        <v>1.0</v>
      </c>
      <c r="I182" s="13">
        <v>0.0</v>
      </c>
      <c r="J182" s="13">
        <v>0.0</v>
      </c>
      <c r="K182" s="13">
        <v>0.0</v>
      </c>
      <c r="L182" s="13">
        <v>0.0</v>
      </c>
      <c r="M182" s="6">
        <f t="shared" ref="M182:M187" si="48">SUM(E182:L182)</f>
        <v>3</v>
      </c>
    </row>
    <row r="183" ht="12.75" customHeight="1">
      <c r="A183" s="32"/>
      <c r="B183" s="49"/>
      <c r="C183" s="52" t="s">
        <v>158</v>
      </c>
      <c r="D183" s="61"/>
      <c r="E183" s="13">
        <v>0.0</v>
      </c>
      <c r="F183" s="13">
        <v>0.0</v>
      </c>
      <c r="G183" s="13">
        <v>0.0</v>
      </c>
      <c r="H183" s="13">
        <v>3.0</v>
      </c>
      <c r="I183" s="13">
        <v>0.0</v>
      </c>
      <c r="J183" s="13">
        <v>0.0</v>
      </c>
      <c r="K183" s="13">
        <v>0.0</v>
      </c>
      <c r="L183" s="13">
        <v>0.0</v>
      </c>
      <c r="M183" s="6">
        <f t="shared" si="48"/>
        <v>3</v>
      </c>
    </row>
    <row r="184" ht="12.75" customHeight="1">
      <c r="A184" s="32"/>
      <c r="B184" s="49"/>
      <c r="C184" s="52" t="s">
        <v>159</v>
      </c>
      <c r="D184" s="61"/>
      <c r="E184" s="13">
        <v>1.0</v>
      </c>
      <c r="F184" s="13">
        <v>0.0</v>
      </c>
      <c r="G184" s="13">
        <v>0.0</v>
      </c>
      <c r="H184" s="13">
        <v>0.0</v>
      </c>
      <c r="I184" s="13">
        <v>0.0</v>
      </c>
      <c r="J184" s="13">
        <v>0.0</v>
      </c>
      <c r="K184" s="13">
        <v>0.0</v>
      </c>
      <c r="L184" s="13">
        <v>0.0</v>
      </c>
      <c r="M184" s="6">
        <f t="shared" si="48"/>
        <v>1</v>
      </c>
    </row>
    <row r="185" ht="12.75" customHeight="1">
      <c r="A185" s="32"/>
      <c r="B185" s="49"/>
      <c r="C185" s="52" t="s">
        <v>160</v>
      </c>
      <c r="D185" s="61"/>
      <c r="E185" s="13">
        <v>0.0</v>
      </c>
      <c r="F185" s="13">
        <v>0.0</v>
      </c>
      <c r="G185" s="13">
        <v>0.0</v>
      </c>
      <c r="H185" s="13">
        <v>0.0</v>
      </c>
      <c r="I185" s="13">
        <v>0.0</v>
      </c>
      <c r="J185" s="13">
        <v>0.0</v>
      </c>
      <c r="K185" s="13">
        <v>0.0</v>
      </c>
      <c r="L185" s="13">
        <v>0.0</v>
      </c>
      <c r="M185" s="6">
        <f t="shared" si="48"/>
        <v>0</v>
      </c>
    </row>
    <row r="186" ht="12.75" customHeight="1">
      <c r="A186" s="32" t="s">
        <v>39</v>
      </c>
      <c r="B186" s="51"/>
      <c r="C186" s="52" t="s">
        <v>161</v>
      </c>
      <c r="D186" s="53"/>
      <c r="E186" s="13">
        <v>0.0</v>
      </c>
      <c r="F186" s="13">
        <v>0.0</v>
      </c>
      <c r="G186" s="13">
        <v>0.0</v>
      </c>
      <c r="H186" s="13">
        <v>0.0</v>
      </c>
      <c r="I186" s="13">
        <v>0.0</v>
      </c>
      <c r="J186" s="13">
        <v>0.0</v>
      </c>
      <c r="K186" s="13">
        <v>0.0</v>
      </c>
      <c r="L186" s="13">
        <v>0.0</v>
      </c>
      <c r="M186" s="6">
        <f t="shared" si="48"/>
        <v>0</v>
      </c>
    </row>
    <row r="187" ht="12.75" customHeight="1">
      <c r="A187" s="13" t="s">
        <v>15</v>
      </c>
      <c r="B187" s="49" t="s">
        <v>46</v>
      </c>
      <c r="C187" s="8"/>
      <c r="D187" s="9"/>
      <c r="E187" s="60">
        <f t="shared" ref="E187:L187" si="49">SUM(E182:E186)</f>
        <v>1</v>
      </c>
      <c r="F187" s="60">
        <f t="shared" si="49"/>
        <v>2</v>
      </c>
      <c r="G187" s="60">
        <f t="shared" si="49"/>
        <v>0</v>
      </c>
      <c r="H187" s="60">
        <f t="shared" si="49"/>
        <v>4</v>
      </c>
      <c r="I187" s="60">
        <f t="shared" si="49"/>
        <v>0</v>
      </c>
      <c r="J187" s="60">
        <f t="shared" si="49"/>
        <v>0</v>
      </c>
      <c r="K187" s="60">
        <f t="shared" si="49"/>
        <v>0</v>
      </c>
      <c r="L187" s="60">
        <f t="shared" si="49"/>
        <v>0</v>
      </c>
      <c r="M187" s="6">
        <f t="shared" si="48"/>
        <v>7</v>
      </c>
    </row>
    <row r="188" ht="12.75" customHeight="1">
      <c r="A188" s="21"/>
      <c r="B188" s="8"/>
      <c r="C188" s="8"/>
      <c r="D188" s="9"/>
      <c r="E188" s="21"/>
      <c r="F188" s="21"/>
      <c r="G188" s="21"/>
      <c r="H188" s="21"/>
      <c r="I188" s="21"/>
      <c r="J188" s="21"/>
      <c r="K188" s="21"/>
      <c r="L188" s="21"/>
      <c r="M188" s="6"/>
    </row>
    <row r="189" ht="12.75" customHeight="1">
      <c r="A189" s="47"/>
      <c r="B189" s="46"/>
      <c r="C189" s="46"/>
      <c r="D189" s="27"/>
      <c r="E189" s="13"/>
      <c r="F189" s="13"/>
      <c r="G189" s="13"/>
      <c r="H189" s="13"/>
      <c r="I189" s="13"/>
      <c r="J189" s="13"/>
      <c r="K189" s="13"/>
      <c r="L189" s="13"/>
      <c r="M189" s="6"/>
    </row>
    <row r="190" ht="12.75" customHeight="1">
      <c r="A190" s="44" t="s">
        <v>162</v>
      </c>
      <c r="B190" s="7" t="s">
        <v>163</v>
      </c>
      <c r="C190" s="8"/>
      <c r="D190" s="9"/>
      <c r="E190" s="6"/>
      <c r="F190" s="6"/>
      <c r="G190" s="6"/>
      <c r="H190" s="6"/>
      <c r="I190" s="6"/>
      <c r="J190" s="6"/>
      <c r="K190" s="6"/>
      <c r="L190" s="6"/>
      <c r="M190" s="6"/>
    </row>
    <row r="191" ht="12.75" customHeight="1">
      <c r="A191" s="44"/>
      <c r="B191" s="63" t="s">
        <v>164</v>
      </c>
      <c r="C191" s="64" t="s">
        <v>165</v>
      </c>
      <c r="D191" s="9"/>
      <c r="E191" s="13">
        <f t="shared" ref="E191:L191" si="50">E187+E180+E171+E162+E154+E145+E136+E127+E123+E114+E110+E101+E92+E88+E79+E70+E61+E52</f>
        <v>232</v>
      </c>
      <c r="F191" s="13">
        <f t="shared" si="50"/>
        <v>232</v>
      </c>
      <c r="G191" s="13">
        <f t="shared" si="50"/>
        <v>199</v>
      </c>
      <c r="H191" s="13">
        <f t="shared" si="50"/>
        <v>235</v>
      </c>
      <c r="I191" s="13">
        <f t="shared" si="50"/>
        <v>214</v>
      </c>
      <c r="J191" s="13">
        <f t="shared" si="50"/>
        <v>234</v>
      </c>
      <c r="K191" s="13">
        <f t="shared" si="50"/>
        <v>222</v>
      </c>
      <c r="L191" s="13">
        <f t="shared" si="50"/>
        <v>210</v>
      </c>
      <c r="M191" s="6">
        <f t="shared" ref="M191:M193" si="51">SUM(E191:L191)</f>
        <v>1778</v>
      </c>
    </row>
    <row r="192" ht="12.75" customHeight="1">
      <c r="A192" s="37"/>
      <c r="B192" s="63" t="s">
        <v>166</v>
      </c>
      <c r="C192" s="64" t="s">
        <v>167</v>
      </c>
      <c r="D192" s="9"/>
      <c r="E192" s="72">
        <v>16.0</v>
      </c>
      <c r="F192" s="72">
        <v>13.0</v>
      </c>
      <c r="G192" s="72">
        <v>14.0</v>
      </c>
      <c r="H192" s="72">
        <v>9.0</v>
      </c>
      <c r="I192" s="72">
        <v>14.0</v>
      </c>
      <c r="J192" s="72">
        <v>11.0</v>
      </c>
      <c r="K192" s="72">
        <v>12.0</v>
      </c>
      <c r="L192" s="72">
        <v>16.0</v>
      </c>
      <c r="M192" s="6">
        <f t="shared" si="51"/>
        <v>105</v>
      </c>
    </row>
    <row r="193" ht="12.75" customHeight="1">
      <c r="A193" s="42"/>
      <c r="B193" s="63" t="s">
        <v>168</v>
      </c>
      <c r="C193" s="64" t="s">
        <v>169</v>
      </c>
      <c r="D193" s="9"/>
      <c r="E193" s="6">
        <f t="shared" ref="E193:L193" si="52">SUM(E191:E192)</f>
        <v>248</v>
      </c>
      <c r="F193" s="6">
        <f t="shared" si="52"/>
        <v>245</v>
      </c>
      <c r="G193" s="6">
        <f t="shared" si="52"/>
        <v>213</v>
      </c>
      <c r="H193" s="6">
        <f t="shared" si="52"/>
        <v>244</v>
      </c>
      <c r="I193" s="6">
        <f t="shared" si="52"/>
        <v>228</v>
      </c>
      <c r="J193" s="6">
        <f t="shared" si="52"/>
        <v>245</v>
      </c>
      <c r="K193" s="6">
        <f t="shared" si="52"/>
        <v>234</v>
      </c>
      <c r="L193" s="6">
        <f t="shared" si="52"/>
        <v>226</v>
      </c>
      <c r="M193" s="6">
        <f t="shared" si="51"/>
        <v>1883</v>
      </c>
    </row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110:D110"/>
    <mergeCell ref="C112:D112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5:D145"/>
    <mergeCell ref="C147:D147"/>
    <mergeCell ref="B154:D154"/>
    <mergeCell ref="C156:D156"/>
    <mergeCell ref="A188:D188"/>
    <mergeCell ref="A189:D189"/>
    <mergeCell ref="B190:D190"/>
    <mergeCell ref="C191:D191"/>
    <mergeCell ref="C192:D192"/>
    <mergeCell ref="C193:D193"/>
    <mergeCell ref="B162:D162"/>
    <mergeCell ref="C164:D164"/>
    <mergeCell ref="B171:D171"/>
    <mergeCell ref="C173:D173"/>
    <mergeCell ref="B180:D180"/>
    <mergeCell ref="C182:D182"/>
    <mergeCell ref="B187:D187"/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101:D101"/>
    <mergeCell ref="C103:D103"/>
  </mergeCells>
  <conditionalFormatting sqref="E30:L30">
    <cfRule type="expression" dxfId="0" priority="1">
      <formula>E30&lt;&gt;E62</formula>
    </cfRule>
  </conditionalFormatting>
  <conditionalFormatting sqref="E34:L34">
    <cfRule type="expression" dxfId="0" priority="2">
      <formula>E34&lt;&gt;E62</formula>
    </cfRule>
  </conditionalFormatting>
  <conditionalFormatting sqref="E14:L15">
    <cfRule type="containsBlanks" dxfId="1" priority="3">
      <formula>LEN(TRIM(E14))=0</formula>
    </cfRule>
  </conditionalFormatting>
  <conditionalFormatting sqref="E19:L20">
    <cfRule type="containsBlanks" dxfId="1" priority="4">
      <formula>LEN(TRIM(E19))=0</formula>
    </cfRule>
  </conditionalFormatting>
  <conditionalFormatting sqref="E22:L23 E25:L26 E33:L33 E35:L35 E39:L40">
    <cfRule type="containsBlanks" dxfId="1" priority="5">
      <formula>LEN(TRIM(E22))=0</formula>
    </cfRule>
  </conditionalFormatting>
  <conditionalFormatting sqref="E30:L30">
    <cfRule type="expression" dxfId="0" priority="6">
      <formula>E30&lt;&gt;E34</formula>
    </cfRule>
  </conditionalFormatting>
  <conditionalFormatting sqref="E34:L34">
    <cfRule type="expression" dxfId="2" priority="7">
      <formula>E30&lt;&gt;E34</formula>
    </cfRule>
  </conditionalFormatting>
  <conditionalFormatting sqref="E34:L34">
    <cfRule type="expression" dxfId="3" priority="8">
      <formula>E30=E34</formula>
    </cfRule>
  </conditionalFormatting>
  <conditionalFormatting sqref="E34:L34">
    <cfRule type="expression" dxfId="0" priority="9">
      <formula>E34&lt;&gt;E30</formula>
    </cfRule>
  </conditionalFormatting>
  <conditionalFormatting sqref="E45:L51">
    <cfRule type="containsBlanks" dxfId="1" priority="10">
      <formula>LEN(TRIM(E45))=0</formula>
    </cfRule>
  </conditionalFormatting>
  <conditionalFormatting sqref="E54:L60">
    <cfRule type="containsBlanks" dxfId="1" priority="11">
      <formula>LEN(TRIM(E54))=0</formula>
    </cfRule>
  </conditionalFormatting>
  <conditionalFormatting sqref="E63:L69">
    <cfRule type="containsBlanks" dxfId="1" priority="12">
      <formula>LEN(TRIM(E63))=0</formula>
    </cfRule>
  </conditionalFormatting>
  <conditionalFormatting sqref="E72:L78">
    <cfRule type="containsBlanks" dxfId="1" priority="13">
      <formula>LEN(TRIM(E72))=0</formula>
    </cfRule>
  </conditionalFormatting>
  <conditionalFormatting sqref="E81:L87">
    <cfRule type="containsBlanks" dxfId="1" priority="14">
      <formula>LEN(TRIM(E81))=0</formula>
    </cfRule>
  </conditionalFormatting>
  <conditionalFormatting sqref="E90:L91">
    <cfRule type="containsBlanks" dxfId="1" priority="15">
      <formula>LEN(TRIM(E90))=0</formula>
    </cfRule>
  </conditionalFormatting>
  <conditionalFormatting sqref="E94:L100">
    <cfRule type="containsBlanks" dxfId="1" priority="16">
      <formula>LEN(TRIM(E94))=0</formula>
    </cfRule>
  </conditionalFormatting>
  <conditionalFormatting sqref="E103:L109">
    <cfRule type="containsBlanks" dxfId="1" priority="17">
      <formula>LEN(TRIM(E103))=0</formula>
    </cfRule>
  </conditionalFormatting>
  <conditionalFormatting sqref="E112:L113">
    <cfRule type="containsBlanks" dxfId="1" priority="18">
      <formula>LEN(TRIM(E112))=0</formula>
    </cfRule>
  </conditionalFormatting>
  <conditionalFormatting sqref="E116:L122">
    <cfRule type="containsBlanks" dxfId="1" priority="19">
      <formula>LEN(TRIM(E116))=0</formula>
    </cfRule>
  </conditionalFormatting>
  <conditionalFormatting sqref="E125:L126">
    <cfRule type="containsBlanks" dxfId="1" priority="20">
      <formula>LEN(TRIM(E125))=0</formula>
    </cfRule>
  </conditionalFormatting>
  <conditionalFormatting sqref="E129:L135">
    <cfRule type="containsBlanks" dxfId="1" priority="21">
      <formula>LEN(TRIM(E129))=0</formula>
    </cfRule>
  </conditionalFormatting>
  <conditionalFormatting sqref="E138:L144">
    <cfRule type="containsBlanks" dxfId="1" priority="22">
      <formula>LEN(TRIM(E138))=0</formula>
    </cfRule>
  </conditionalFormatting>
  <conditionalFormatting sqref="E147:L153">
    <cfRule type="containsBlanks" dxfId="1" priority="23">
      <formula>LEN(TRIM(E147))=0</formula>
    </cfRule>
  </conditionalFormatting>
  <conditionalFormatting sqref="E156:L161">
    <cfRule type="containsBlanks" dxfId="1" priority="24">
      <formula>LEN(TRIM(E156))=0</formula>
    </cfRule>
  </conditionalFormatting>
  <conditionalFormatting sqref="E164:L170">
    <cfRule type="containsBlanks" dxfId="1" priority="25">
      <formula>LEN(TRIM(E164))=0</formula>
    </cfRule>
  </conditionalFormatting>
  <conditionalFormatting sqref="E173:L179">
    <cfRule type="containsBlanks" dxfId="1" priority="26">
      <formula>LEN(TRIM(E173))=0</formula>
    </cfRule>
  </conditionalFormatting>
  <conditionalFormatting sqref="E182:L186">
    <cfRule type="containsBlanks" dxfId="1" priority="27">
      <formula>LEN(TRIM(E182))=0</formula>
    </cfRule>
  </conditionalFormatting>
  <conditionalFormatting sqref="E191:L192">
    <cfRule type="containsBlanks" dxfId="1" priority="28">
      <formula>LEN(TRIM(E191))=0</formula>
    </cfRule>
  </conditionalFormatting>
  <conditionalFormatting sqref="E193:L193">
    <cfRule type="expression" dxfId="0" priority="29">
      <formula>E193&lt;&gt;#REF!</formula>
    </cfRule>
  </conditionalFormatting>
  <conditionalFormatting sqref="E193:L193">
    <cfRule type="expression" dxfId="2" priority="30">
      <formula>#REF!&lt;&gt;E193</formula>
    </cfRule>
  </conditionalFormatting>
  <conditionalFormatting sqref="E193:L193">
    <cfRule type="expression" dxfId="3" priority="31">
      <formula>#REF!=E193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</cols>
  <sheetData>
    <row r="1" ht="12.75" customHeight="1"/>
    <row r="2" ht="12.75" customHeight="1">
      <c r="C2" s="1" t="s">
        <v>0</v>
      </c>
      <c r="D2" s="1" t="s">
        <v>1</v>
      </c>
    </row>
    <row r="3" ht="12.75" customHeight="1">
      <c r="C3" s="1" t="s">
        <v>2</v>
      </c>
      <c r="D3" s="1" t="s">
        <v>3</v>
      </c>
    </row>
    <row r="4" ht="12.75" customHeight="1">
      <c r="C4" s="1" t="s">
        <v>4</v>
      </c>
      <c r="D4" s="1" t="s">
        <v>5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170</v>
      </c>
      <c r="D9" s="1" t="s">
        <v>194</v>
      </c>
    </row>
    <row r="10" ht="12.75" customHeight="1"/>
    <row r="11" ht="12.75" customHeight="1"/>
    <row r="12" ht="12.75" customHeight="1">
      <c r="A12" s="6" t="s">
        <v>6</v>
      </c>
      <c r="B12" s="7" t="s">
        <v>7</v>
      </c>
      <c r="C12" s="8"/>
      <c r="D12" s="8"/>
      <c r="E12" s="28"/>
      <c r="F12" s="8"/>
      <c r="G12" s="8"/>
      <c r="H12" s="8"/>
      <c r="I12" s="8"/>
      <c r="J12" s="8"/>
      <c r="K12" s="8"/>
      <c r="L12" s="8"/>
      <c r="M12" s="9"/>
      <c r="N12" s="39" t="s">
        <v>8</v>
      </c>
    </row>
    <row r="13" ht="12.75" customHeight="1">
      <c r="A13" s="13" t="s">
        <v>9</v>
      </c>
      <c r="B13" s="14" t="s">
        <v>10</v>
      </c>
      <c r="C13" s="8"/>
      <c r="D13" s="9"/>
      <c r="E13" s="42" t="s">
        <v>172</v>
      </c>
      <c r="F13" s="42" t="s">
        <v>173</v>
      </c>
      <c r="G13" s="42" t="s">
        <v>174</v>
      </c>
      <c r="H13" s="42" t="s">
        <v>175</v>
      </c>
      <c r="I13" s="42" t="s">
        <v>176</v>
      </c>
      <c r="J13" s="42" t="s">
        <v>177</v>
      </c>
      <c r="K13" s="42" t="s">
        <v>178</v>
      </c>
      <c r="L13" s="42" t="s">
        <v>179</v>
      </c>
      <c r="M13" s="42" t="s">
        <v>180</v>
      </c>
      <c r="N13" s="27"/>
    </row>
    <row r="14" ht="12.75" customHeight="1">
      <c r="A14" s="18"/>
      <c r="B14" s="19" t="s">
        <v>11</v>
      </c>
      <c r="C14" s="20"/>
      <c r="D14" s="13" t="s">
        <v>12</v>
      </c>
      <c r="E14" s="13">
        <v>125.0</v>
      </c>
      <c r="F14" s="13">
        <v>102.0</v>
      </c>
      <c r="G14" s="13">
        <v>108.0</v>
      </c>
      <c r="H14" s="13">
        <v>107.0</v>
      </c>
      <c r="I14" s="13">
        <v>107.0</v>
      </c>
      <c r="J14" s="72">
        <v>101.0</v>
      </c>
      <c r="K14" s="13">
        <v>116.0</v>
      </c>
      <c r="L14" s="13">
        <v>108.0</v>
      </c>
      <c r="M14" s="13">
        <v>104.0</v>
      </c>
      <c r="N14" s="6">
        <f t="shared" ref="N14:N16" si="1">SUM(E14:M14)</f>
        <v>978</v>
      </c>
    </row>
    <row r="15" ht="12.75" customHeight="1">
      <c r="A15" s="18"/>
      <c r="B15" s="25"/>
      <c r="C15" s="26"/>
      <c r="D15" s="13" t="s">
        <v>13</v>
      </c>
      <c r="E15" s="13">
        <v>137.0</v>
      </c>
      <c r="F15" s="13">
        <v>112.0</v>
      </c>
      <c r="G15" s="13">
        <v>133.0</v>
      </c>
      <c r="H15" s="13">
        <v>114.0</v>
      </c>
      <c r="I15" s="13">
        <v>125.0</v>
      </c>
      <c r="J15" s="13">
        <v>119.0</v>
      </c>
      <c r="K15" s="13">
        <v>107.0</v>
      </c>
      <c r="L15" s="13">
        <v>115.0</v>
      </c>
      <c r="M15" s="13">
        <v>114.0</v>
      </c>
      <c r="N15" s="6">
        <f t="shared" si="1"/>
        <v>1076</v>
      </c>
    </row>
    <row r="16" ht="12.75" customHeight="1">
      <c r="A16" s="16"/>
      <c r="B16" s="15"/>
      <c r="C16" s="27"/>
      <c r="D16" s="6" t="s">
        <v>14</v>
      </c>
      <c r="E16" s="6">
        <f t="shared" ref="E16:M16" si="2">SUM(E14:E15)</f>
        <v>262</v>
      </c>
      <c r="F16" s="6">
        <f t="shared" si="2"/>
        <v>214</v>
      </c>
      <c r="G16" s="6">
        <f t="shared" si="2"/>
        <v>241</v>
      </c>
      <c r="H16" s="6">
        <f t="shared" si="2"/>
        <v>221</v>
      </c>
      <c r="I16" s="6">
        <f t="shared" si="2"/>
        <v>232</v>
      </c>
      <c r="J16" s="6">
        <f t="shared" si="2"/>
        <v>220</v>
      </c>
      <c r="K16" s="6">
        <f t="shared" si="2"/>
        <v>223</v>
      </c>
      <c r="L16" s="6">
        <f t="shared" si="2"/>
        <v>223</v>
      </c>
      <c r="M16" s="6">
        <f t="shared" si="2"/>
        <v>218</v>
      </c>
      <c r="N16" s="6">
        <f t="shared" si="1"/>
        <v>2054</v>
      </c>
    </row>
    <row r="17" ht="12.75" customHeight="1">
      <c r="A17" s="21"/>
      <c r="B17" s="8"/>
      <c r="C17" s="8"/>
      <c r="D17" s="9"/>
      <c r="E17" s="13"/>
      <c r="F17" s="13"/>
      <c r="G17" s="13"/>
      <c r="H17" s="13"/>
      <c r="I17" s="13"/>
      <c r="J17" s="13"/>
      <c r="K17" s="13"/>
      <c r="L17" s="13"/>
      <c r="M17" s="13"/>
      <c r="N17" s="6"/>
    </row>
    <row r="18" ht="12.75" customHeight="1">
      <c r="A18" s="32" t="s">
        <v>15</v>
      </c>
      <c r="B18" s="14" t="s">
        <v>16</v>
      </c>
      <c r="C18" s="8"/>
      <c r="D18" s="9"/>
      <c r="E18" s="13"/>
      <c r="F18" s="13"/>
      <c r="G18" s="13"/>
      <c r="H18" s="13"/>
      <c r="I18" s="13"/>
      <c r="J18" s="13"/>
      <c r="K18" s="13"/>
      <c r="L18" s="13"/>
      <c r="M18" s="13"/>
      <c r="N18" s="6"/>
    </row>
    <row r="19" ht="12.75" customHeight="1">
      <c r="A19" s="32"/>
      <c r="B19" s="33" t="s">
        <v>17</v>
      </c>
      <c r="C19" s="34" t="s">
        <v>18</v>
      </c>
      <c r="D19" s="13" t="s">
        <v>12</v>
      </c>
      <c r="E19" s="13">
        <v>108.0</v>
      </c>
      <c r="F19" s="72">
        <v>78.0</v>
      </c>
      <c r="G19" s="13">
        <v>96.0</v>
      </c>
      <c r="H19" s="13">
        <v>100.0</v>
      </c>
      <c r="I19" s="13">
        <v>89.0</v>
      </c>
      <c r="J19" s="13">
        <v>90.0</v>
      </c>
      <c r="K19" s="13">
        <v>101.0</v>
      </c>
      <c r="L19" s="13">
        <v>93.0</v>
      </c>
      <c r="M19" s="13">
        <v>84.0</v>
      </c>
      <c r="N19" s="6">
        <f t="shared" ref="N19:N30" si="3">SUM(E19:M19)</f>
        <v>839</v>
      </c>
    </row>
    <row r="20" ht="12.75" customHeight="1">
      <c r="A20" s="35"/>
      <c r="B20" s="26"/>
      <c r="C20" s="36"/>
      <c r="D20" s="13" t="s">
        <v>13</v>
      </c>
      <c r="E20" s="13">
        <v>117.0</v>
      </c>
      <c r="F20" s="13">
        <v>92.0</v>
      </c>
      <c r="G20" s="13">
        <v>117.0</v>
      </c>
      <c r="H20" s="13">
        <v>106.0</v>
      </c>
      <c r="I20" s="13">
        <v>115.0</v>
      </c>
      <c r="J20" s="13">
        <v>110.0</v>
      </c>
      <c r="K20" s="13">
        <v>102.0</v>
      </c>
      <c r="L20" s="13">
        <v>105.0</v>
      </c>
      <c r="M20" s="13">
        <v>104.0</v>
      </c>
      <c r="N20" s="6">
        <f t="shared" si="3"/>
        <v>968</v>
      </c>
    </row>
    <row r="21" ht="12.75" customHeight="1">
      <c r="A21" s="37"/>
      <c r="B21" s="27"/>
      <c r="C21" s="38"/>
      <c r="D21" s="6" t="s">
        <v>14</v>
      </c>
      <c r="E21" s="6">
        <f t="shared" ref="E21:M21" si="4">SUM(E19:E20)</f>
        <v>225</v>
      </c>
      <c r="F21" s="6">
        <f t="shared" si="4"/>
        <v>170</v>
      </c>
      <c r="G21" s="6">
        <f t="shared" si="4"/>
        <v>213</v>
      </c>
      <c r="H21" s="6">
        <f t="shared" si="4"/>
        <v>206</v>
      </c>
      <c r="I21" s="6">
        <f t="shared" si="4"/>
        <v>204</v>
      </c>
      <c r="J21" s="6">
        <f t="shared" si="4"/>
        <v>200</v>
      </c>
      <c r="K21" s="6">
        <f t="shared" si="4"/>
        <v>203</v>
      </c>
      <c r="L21" s="6">
        <f t="shared" si="4"/>
        <v>198</v>
      </c>
      <c r="M21" s="6">
        <f t="shared" si="4"/>
        <v>188</v>
      </c>
      <c r="N21" s="6">
        <f t="shared" si="3"/>
        <v>1807</v>
      </c>
    </row>
    <row r="22" ht="12.75" customHeight="1">
      <c r="A22" s="35"/>
      <c r="B22" s="33" t="s">
        <v>19</v>
      </c>
      <c r="C22" s="34" t="s">
        <v>20</v>
      </c>
      <c r="D22" s="13" t="s">
        <v>12</v>
      </c>
      <c r="E22" s="13">
        <v>0.0</v>
      </c>
      <c r="F22" s="13">
        <v>1.0</v>
      </c>
      <c r="G22" s="13">
        <v>0.0</v>
      </c>
      <c r="H22" s="13">
        <v>0.0</v>
      </c>
      <c r="I22" s="13">
        <v>0.0</v>
      </c>
      <c r="J22" s="13">
        <v>0.0</v>
      </c>
      <c r="K22" s="13">
        <v>2.0</v>
      </c>
      <c r="L22" s="13">
        <v>1.0</v>
      </c>
      <c r="M22" s="13">
        <v>0.0</v>
      </c>
      <c r="N22" s="6">
        <f t="shared" si="3"/>
        <v>4</v>
      </c>
    </row>
    <row r="23" ht="12.75" customHeight="1">
      <c r="A23" s="35"/>
      <c r="B23" s="26"/>
      <c r="C23" s="36"/>
      <c r="D23" s="13" t="s">
        <v>13</v>
      </c>
      <c r="E23" s="13">
        <v>0.0</v>
      </c>
      <c r="F23" s="13">
        <v>2.0</v>
      </c>
      <c r="G23" s="13">
        <v>0.0</v>
      </c>
      <c r="H23" s="13">
        <v>0.0</v>
      </c>
      <c r="I23" s="13">
        <v>0.0</v>
      </c>
      <c r="J23" s="13">
        <v>0.0</v>
      </c>
      <c r="K23" s="13">
        <v>1.0</v>
      </c>
      <c r="L23" s="13">
        <v>1.0</v>
      </c>
      <c r="M23" s="13">
        <v>0.0</v>
      </c>
      <c r="N23" s="6">
        <f t="shared" si="3"/>
        <v>4</v>
      </c>
    </row>
    <row r="24" ht="12.75" customHeight="1">
      <c r="A24" s="37"/>
      <c r="B24" s="27"/>
      <c r="C24" s="38"/>
      <c r="D24" s="6" t="s">
        <v>14</v>
      </c>
      <c r="E24" s="6">
        <f t="shared" ref="E24:M24" si="5">SUM(E22:E23)</f>
        <v>0</v>
      </c>
      <c r="F24" s="6">
        <f t="shared" si="5"/>
        <v>3</v>
      </c>
      <c r="G24" s="6">
        <f t="shared" si="5"/>
        <v>0</v>
      </c>
      <c r="H24" s="6">
        <f t="shared" si="5"/>
        <v>0</v>
      </c>
      <c r="I24" s="6">
        <f t="shared" si="5"/>
        <v>0</v>
      </c>
      <c r="J24" s="6">
        <f t="shared" si="5"/>
        <v>0</v>
      </c>
      <c r="K24" s="6">
        <f t="shared" si="5"/>
        <v>3</v>
      </c>
      <c r="L24" s="6">
        <f t="shared" si="5"/>
        <v>2</v>
      </c>
      <c r="M24" s="6">
        <f t="shared" si="5"/>
        <v>0</v>
      </c>
      <c r="N24" s="6">
        <f t="shared" si="3"/>
        <v>8</v>
      </c>
    </row>
    <row r="25" ht="12.75" customHeight="1">
      <c r="A25" s="35"/>
      <c r="B25" s="33" t="s">
        <v>21</v>
      </c>
      <c r="C25" s="34" t="s">
        <v>22</v>
      </c>
      <c r="D25" s="13" t="s">
        <v>12</v>
      </c>
      <c r="E25" s="13">
        <v>0.0</v>
      </c>
      <c r="F25" s="13">
        <v>2.0</v>
      </c>
      <c r="G25" s="13">
        <v>0.0</v>
      </c>
      <c r="H25" s="13">
        <v>0.0</v>
      </c>
      <c r="I25" s="13">
        <v>0.0</v>
      </c>
      <c r="J25" s="13">
        <v>0.0</v>
      </c>
      <c r="K25" s="72">
        <v>0.0</v>
      </c>
      <c r="L25" s="13">
        <v>0.0</v>
      </c>
      <c r="M25" s="13">
        <v>0.0</v>
      </c>
      <c r="N25" s="6">
        <f t="shared" si="3"/>
        <v>2</v>
      </c>
    </row>
    <row r="26" ht="12.75" customHeight="1">
      <c r="A26" s="35"/>
      <c r="B26" s="26"/>
      <c r="C26" s="36"/>
      <c r="D26" s="13" t="s">
        <v>13</v>
      </c>
      <c r="E26" s="13">
        <v>1.0</v>
      </c>
      <c r="F26" s="13">
        <v>2.0</v>
      </c>
      <c r="G26" s="13">
        <v>0.0</v>
      </c>
      <c r="H26" s="13">
        <v>0.0</v>
      </c>
      <c r="I26" s="13">
        <v>2.0</v>
      </c>
      <c r="J26" s="13">
        <v>0.0</v>
      </c>
      <c r="K26" s="72">
        <v>0.0</v>
      </c>
      <c r="L26" s="13">
        <v>0.0</v>
      </c>
      <c r="M26" s="13">
        <v>0.0</v>
      </c>
      <c r="N26" s="6">
        <f t="shared" si="3"/>
        <v>5</v>
      </c>
    </row>
    <row r="27" ht="12.75" customHeight="1">
      <c r="A27" s="37"/>
      <c r="B27" s="27"/>
      <c r="C27" s="38"/>
      <c r="D27" s="6" t="s">
        <v>14</v>
      </c>
      <c r="E27" s="6">
        <f t="shared" ref="E27:M27" si="6">SUM(E25:E26)</f>
        <v>1</v>
      </c>
      <c r="F27" s="6">
        <f t="shared" si="6"/>
        <v>4</v>
      </c>
      <c r="G27" s="6">
        <f t="shared" si="6"/>
        <v>0</v>
      </c>
      <c r="H27" s="6">
        <f t="shared" si="6"/>
        <v>0</v>
      </c>
      <c r="I27" s="6">
        <f t="shared" si="6"/>
        <v>2</v>
      </c>
      <c r="J27" s="6">
        <f t="shared" si="6"/>
        <v>0</v>
      </c>
      <c r="K27" s="6">
        <f t="shared" si="6"/>
        <v>0</v>
      </c>
      <c r="L27" s="6">
        <f t="shared" si="6"/>
        <v>0</v>
      </c>
      <c r="M27" s="6">
        <f t="shared" si="6"/>
        <v>0</v>
      </c>
      <c r="N27" s="6">
        <f t="shared" si="3"/>
        <v>7</v>
      </c>
    </row>
    <row r="28" ht="12.75" customHeight="1">
      <c r="A28" s="37"/>
      <c r="B28" s="39" t="s">
        <v>23</v>
      </c>
      <c r="C28" s="40" t="s">
        <v>24</v>
      </c>
      <c r="D28" s="6" t="s">
        <v>12</v>
      </c>
      <c r="E28" s="6">
        <f t="shared" ref="E28:M28" si="7">SUM(E19,E22,E25)</f>
        <v>108</v>
      </c>
      <c r="F28" s="6">
        <f t="shared" si="7"/>
        <v>81</v>
      </c>
      <c r="G28" s="6">
        <f t="shared" si="7"/>
        <v>96</v>
      </c>
      <c r="H28" s="6">
        <f t="shared" si="7"/>
        <v>100</v>
      </c>
      <c r="I28" s="6">
        <f t="shared" si="7"/>
        <v>89</v>
      </c>
      <c r="J28" s="6">
        <f t="shared" si="7"/>
        <v>90</v>
      </c>
      <c r="K28" s="6">
        <f t="shared" si="7"/>
        <v>103</v>
      </c>
      <c r="L28" s="6">
        <f t="shared" si="7"/>
        <v>94</v>
      </c>
      <c r="M28" s="6">
        <f t="shared" si="7"/>
        <v>84</v>
      </c>
      <c r="N28" s="6">
        <f t="shared" si="3"/>
        <v>845</v>
      </c>
    </row>
    <row r="29" ht="12.75" customHeight="1">
      <c r="A29" s="37"/>
      <c r="B29" s="26"/>
      <c r="C29" s="36"/>
      <c r="D29" s="6" t="s">
        <v>13</v>
      </c>
      <c r="E29" s="6">
        <f t="shared" ref="E29:M29" si="8">SUM(E20,E23,E26)</f>
        <v>118</v>
      </c>
      <c r="F29" s="6">
        <f t="shared" si="8"/>
        <v>96</v>
      </c>
      <c r="G29" s="6">
        <f t="shared" si="8"/>
        <v>117</v>
      </c>
      <c r="H29" s="6">
        <f t="shared" si="8"/>
        <v>106</v>
      </c>
      <c r="I29" s="6">
        <f t="shared" si="8"/>
        <v>117</v>
      </c>
      <c r="J29" s="6">
        <f t="shared" si="8"/>
        <v>110</v>
      </c>
      <c r="K29" s="6">
        <f t="shared" si="8"/>
        <v>103</v>
      </c>
      <c r="L29" s="6">
        <f t="shared" si="8"/>
        <v>106</v>
      </c>
      <c r="M29" s="6">
        <f t="shared" si="8"/>
        <v>104</v>
      </c>
      <c r="N29" s="6">
        <f t="shared" si="3"/>
        <v>977</v>
      </c>
    </row>
    <row r="30" ht="12.75" customHeight="1">
      <c r="A30" s="37"/>
      <c r="B30" s="27"/>
      <c r="C30" s="38"/>
      <c r="D30" s="6" t="s">
        <v>14</v>
      </c>
      <c r="E30" s="6">
        <f t="shared" ref="E30:M30" si="9">SUM(E28:E29)</f>
        <v>226</v>
      </c>
      <c r="F30" s="6">
        <f t="shared" si="9"/>
        <v>177</v>
      </c>
      <c r="G30" s="6">
        <f t="shared" si="9"/>
        <v>213</v>
      </c>
      <c r="H30" s="6">
        <f t="shared" si="9"/>
        <v>206</v>
      </c>
      <c r="I30" s="6">
        <f t="shared" si="9"/>
        <v>206</v>
      </c>
      <c r="J30" s="6">
        <f t="shared" si="9"/>
        <v>200</v>
      </c>
      <c r="K30" s="6">
        <f t="shared" si="9"/>
        <v>206</v>
      </c>
      <c r="L30" s="6">
        <f t="shared" si="9"/>
        <v>200</v>
      </c>
      <c r="M30" s="6">
        <f t="shared" si="9"/>
        <v>188</v>
      </c>
      <c r="N30" s="6">
        <f t="shared" si="3"/>
        <v>1822</v>
      </c>
    </row>
    <row r="31" ht="12.75" customHeight="1">
      <c r="A31" s="21"/>
      <c r="B31" s="8"/>
      <c r="C31" s="8"/>
      <c r="D31" s="9"/>
      <c r="E31" s="13"/>
      <c r="F31" s="13"/>
      <c r="G31" s="13"/>
      <c r="H31" s="13"/>
      <c r="I31" s="13"/>
      <c r="J31" s="13"/>
      <c r="K31" s="13"/>
      <c r="L31" s="13"/>
      <c r="M31" s="13"/>
      <c r="N31" s="6"/>
    </row>
    <row r="32" ht="12.75" customHeight="1">
      <c r="A32" s="42" t="s">
        <v>25</v>
      </c>
      <c r="B32" s="7" t="s">
        <v>26</v>
      </c>
      <c r="C32" s="8"/>
      <c r="D32" s="9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ht="12.75" customHeight="1">
      <c r="A33" s="13">
        <v>1.0</v>
      </c>
      <c r="B33" s="14" t="s">
        <v>27</v>
      </c>
      <c r="C33" s="8"/>
      <c r="D33" s="9"/>
      <c r="E33" s="13">
        <v>268.0</v>
      </c>
      <c r="F33" s="13">
        <v>218.0</v>
      </c>
      <c r="G33" s="13">
        <v>246.0</v>
      </c>
      <c r="H33" s="13">
        <v>226.0</v>
      </c>
      <c r="I33" s="13">
        <v>237.0</v>
      </c>
      <c r="J33" s="13">
        <v>225.0</v>
      </c>
      <c r="K33" s="13">
        <v>228.0</v>
      </c>
      <c r="L33" s="13">
        <v>228.0</v>
      </c>
      <c r="M33" s="13">
        <v>223.0</v>
      </c>
      <c r="N33" s="6">
        <f t="shared" ref="N33:N36" si="10">SUM(E33:M33)</f>
        <v>2099</v>
      </c>
    </row>
    <row r="34" ht="12.75" customHeight="1">
      <c r="A34" s="13">
        <v>2.0</v>
      </c>
      <c r="B34" s="14" t="s">
        <v>28</v>
      </c>
      <c r="C34" s="8"/>
      <c r="D34" s="9"/>
      <c r="E34" s="6">
        <v>226.0</v>
      </c>
      <c r="F34" s="6">
        <v>177.0</v>
      </c>
      <c r="G34" s="6">
        <v>213.0</v>
      </c>
      <c r="H34" s="6">
        <v>206.0</v>
      </c>
      <c r="I34" s="6">
        <v>206.0</v>
      </c>
      <c r="J34" s="6">
        <v>200.0</v>
      </c>
      <c r="K34" s="6">
        <v>206.0</v>
      </c>
      <c r="L34" s="6">
        <v>200.0</v>
      </c>
      <c r="M34" s="6">
        <v>188.0</v>
      </c>
      <c r="N34" s="6">
        <f t="shared" si="10"/>
        <v>1822</v>
      </c>
    </row>
    <row r="35" ht="12.75" customHeight="1">
      <c r="A35" s="13">
        <v>3.0</v>
      </c>
      <c r="B35" s="14" t="s">
        <v>29</v>
      </c>
      <c r="C35" s="8"/>
      <c r="D35" s="9"/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3">
        <v>0.0</v>
      </c>
      <c r="K35" s="13">
        <v>0.0</v>
      </c>
      <c r="L35" s="13">
        <v>0.0</v>
      </c>
      <c r="M35" s="13">
        <v>0.0</v>
      </c>
      <c r="N35" s="6">
        <f t="shared" si="10"/>
        <v>0</v>
      </c>
    </row>
    <row r="36" ht="12.75" customHeight="1">
      <c r="A36" s="13">
        <v>4.0</v>
      </c>
      <c r="B36" s="14" t="s">
        <v>30</v>
      </c>
      <c r="C36" s="8"/>
      <c r="D36" s="9"/>
      <c r="E36" s="6">
        <f t="shared" ref="E36:M36" si="11">E33-(E34+E35)</f>
        <v>42</v>
      </c>
      <c r="F36" s="6">
        <f t="shared" si="11"/>
        <v>41</v>
      </c>
      <c r="G36" s="6">
        <f t="shared" si="11"/>
        <v>33</v>
      </c>
      <c r="H36" s="6">
        <f t="shared" si="11"/>
        <v>20</v>
      </c>
      <c r="I36" s="6">
        <f t="shared" si="11"/>
        <v>31</v>
      </c>
      <c r="J36" s="6">
        <f t="shared" si="11"/>
        <v>25</v>
      </c>
      <c r="K36" s="6">
        <f t="shared" si="11"/>
        <v>22</v>
      </c>
      <c r="L36" s="6">
        <f t="shared" si="11"/>
        <v>28</v>
      </c>
      <c r="M36" s="6">
        <f t="shared" si="11"/>
        <v>35</v>
      </c>
      <c r="N36" s="6">
        <f t="shared" si="10"/>
        <v>277</v>
      </c>
    </row>
    <row r="37" ht="12.75" customHeight="1">
      <c r="A37" s="21"/>
      <c r="B37" s="8"/>
      <c r="C37" s="8"/>
      <c r="D37" s="8"/>
      <c r="E37" s="21"/>
      <c r="F37" s="8"/>
      <c r="G37" s="8"/>
      <c r="H37" s="8"/>
      <c r="I37" s="9"/>
      <c r="J37" s="13"/>
      <c r="K37" s="13"/>
      <c r="L37" s="13"/>
      <c r="M37" s="13"/>
      <c r="N37" s="6"/>
    </row>
    <row r="38" ht="12.75" customHeight="1">
      <c r="A38" s="44" t="s">
        <v>31</v>
      </c>
      <c r="B38" s="7" t="s">
        <v>32</v>
      </c>
      <c r="C38" s="8"/>
      <c r="D38" s="9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ht="12.75" customHeight="1">
      <c r="A39" s="32"/>
      <c r="B39" s="45" t="s">
        <v>33</v>
      </c>
      <c r="C39" s="20"/>
      <c r="D39" s="13" t="s">
        <v>12</v>
      </c>
      <c r="E39" s="13">
        <v>1.0</v>
      </c>
      <c r="F39" s="13"/>
      <c r="G39" s="13"/>
      <c r="H39" s="13"/>
      <c r="I39" s="13">
        <v>1.0</v>
      </c>
      <c r="J39" s="13"/>
      <c r="K39" s="13"/>
      <c r="L39" s="13"/>
      <c r="M39" s="13"/>
      <c r="N39" s="6">
        <f t="shared" ref="N39:N41" si="12">SUM(E39:M39)</f>
        <v>2</v>
      </c>
    </row>
    <row r="40" ht="12.75" customHeight="1">
      <c r="A40" s="35"/>
      <c r="C40" s="26"/>
      <c r="D40" s="13" t="s">
        <v>13</v>
      </c>
      <c r="E40" s="13"/>
      <c r="F40" s="13"/>
      <c r="G40" s="13"/>
      <c r="H40" s="13"/>
      <c r="I40" s="13"/>
      <c r="J40" s="13"/>
      <c r="K40" s="13">
        <v>2.0</v>
      </c>
      <c r="L40" s="13"/>
      <c r="M40" s="13">
        <v>2.0</v>
      </c>
      <c r="N40" s="6">
        <f t="shared" si="12"/>
        <v>4</v>
      </c>
    </row>
    <row r="41" ht="12.75" customHeight="1">
      <c r="A41" s="42"/>
      <c r="B41" s="46"/>
      <c r="C41" s="27"/>
      <c r="D41" s="6" t="s">
        <v>14</v>
      </c>
      <c r="E41" s="6">
        <f t="shared" ref="E41:M41" si="13">SUM(E39:E40)</f>
        <v>1</v>
      </c>
      <c r="F41" s="6">
        <f t="shared" si="13"/>
        <v>0</v>
      </c>
      <c r="G41" s="6">
        <f t="shared" si="13"/>
        <v>0</v>
      </c>
      <c r="H41" s="6">
        <f t="shared" si="13"/>
        <v>0</v>
      </c>
      <c r="I41" s="6">
        <f t="shared" si="13"/>
        <v>1</v>
      </c>
      <c r="J41" s="6">
        <f t="shared" si="13"/>
        <v>0</v>
      </c>
      <c r="K41" s="6">
        <f t="shared" si="13"/>
        <v>2</v>
      </c>
      <c r="L41" s="6">
        <f t="shared" si="13"/>
        <v>0</v>
      </c>
      <c r="M41" s="6">
        <f t="shared" si="13"/>
        <v>2</v>
      </c>
      <c r="N41" s="6">
        <f t="shared" si="12"/>
        <v>6</v>
      </c>
    </row>
    <row r="42" ht="12.75" customHeight="1">
      <c r="A42" s="47"/>
      <c r="B42" s="46"/>
      <c r="C42" s="46"/>
      <c r="D42" s="27"/>
      <c r="E42" s="21"/>
      <c r="F42" s="8"/>
      <c r="G42" s="8"/>
      <c r="H42" s="8"/>
      <c r="I42" s="9"/>
      <c r="J42" s="13"/>
      <c r="K42" s="13"/>
      <c r="L42" s="13"/>
      <c r="M42" s="13"/>
      <c r="N42" s="6"/>
    </row>
    <row r="43" ht="12.75" customHeight="1">
      <c r="A43" s="44" t="s">
        <v>34</v>
      </c>
      <c r="B43" s="7" t="s">
        <v>35</v>
      </c>
      <c r="C43" s="8"/>
      <c r="D43" s="9"/>
      <c r="E43" s="28"/>
      <c r="F43" s="6"/>
      <c r="G43" s="6"/>
      <c r="H43" s="6"/>
      <c r="I43" s="6"/>
      <c r="J43" s="6"/>
      <c r="K43" s="6"/>
      <c r="L43" s="6"/>
      <c r="M43" s="6"/>
      <c r="N43" s="6"/>
    </row>
    <row r="44" ht="12.75" customHeight="1">
      <c r="A44" s="45" t="s">
        <v>36</v>
      </c>
      <c r="B44" s="48"/>
      <c r="C44" s="48"/>
      <c r="D44" s="20"/>
      <c r="E44" s="21"/>
      <c r="F44" s="13"/>
      <c r="G44" s="13"/>
      <c r="H44" s="13"/>
      <c r="I44" s="13"/>
      <c r="J44" s="13"/>
      <c r="K44" s="13"/>
      <c r="L44" s="13"/>
      <c r="M44" s="13"/>
      <c r="N44" s="6"/>
    </row>
    <row r="45" ht="12.75" customHeight="1">
      <c r="A45" s="32" t="s">
        <v>37</v>
      </c>
      <c r="B45" s="49" t="s">
        <v>17</v>
      </c>
      <c r="C45" s="50" t="s">
        <v>38</v>
      </c>
      <c r="D45" s="9"/>
      <c r="E45" s="13">
        <v>5.0</v>
      </c>
      <c r="F45" s="13">
        <v>1.0</v>
      </c>
      <c r="G45" s="13">
        <v>4.0</v>
      </c>
      <c r="H45" s="13">
        <v>1.0</v>
      </c>
      <c r="I45" s="13">
        <v>3.0</v>
      </c>
      <c r="J45" s="13">
        <v>6.0</v>
      </c>
      <c r="K45" s="13">
        <v>11.0</v>
      </c>
      <c r="L45" s="13">
        <v>4.0</v>
      </c>
      <c r="M45" s="13">
        <v>2.0</v>
      </c>
      <c r="N45" s="6">
        <f t="shared" ref="N45:N52" si="14">SUM(E45:M45)</f>
        <v>37</v>
      </c>
    </row>
    <row r="46" ht="12.75" customHeight="1">
      <c r="A46" s="32" t="s">
        <v>39</v>
      </c>
      <c r="B46" s="51"/>
      <c r="C46" s="52" t="s">
        <v>40</v>
      </c>
      <c r="D46" s="53"/>
      <c r="E46" s="13">
        <v>5.0</v>
      </c>
      <c r="F46" s="13">
        <v>1.0</v>
      </c>
      <c r="G46" s="13">
        <v>5.0</v>
      </c>
      <c r="H46" s="13">
        <v>19.0</v>
      </c>
      <c r="I46" s="13">
        <v>6.0</v>
      </c>
      <c r="J46" s="13">
        <v>9.0</v>
      </c>
      <c r="K46" s="13">
        <v>7.0</v>
      </c>
      <c r="L46" s="13">
        <v>4.0</v>
      </c>
      <c r="M46" s="13">
        <v>6.0</v>
      </c>
      <c r="N46" s="6">
        <f t="shared" si="14"/>
        <v>62</v>
      </c>
    </row>
    <row r="47" ht="12.75" customHeight="1">
      <c r="A47" s="18"/>
      <c r="B47" s="51"/>
      <c r="C47" s="52" t="s">
        <v>41</v>
      </c>
      <c r="D47" s="53"/>
      <c r="E47" s="13">
        <v>0.0</v>
      </c>
      <c r="F47" s="13">
        <v>0.0</v>
      </c>
      <c r="G47" s="13">
        <v>2.0</v>
      </c>
      <c r="H47" s="13">
        <v>0.0</v>
      </c>
      <c r="I47" s="13">
        <v>2.0</v>
      </c>
      <c r="J47" s="13">
        <v>0.0</v>
      </c>
      <c r="K47" s="13">
        <v>5.0</v>
      </c>
      <c r="L47" s="13">
        <v>2.0</v>
      </c>
      <c r="M47" s="13">
        <v>0.0</v>
      </c>
      <c r="N47" s="6">
        <f t="shared" si="14"/>
        <v>11</v>
      </c>
    </row>
    <row r="48" ht="12.75" customHeight="1">
      <c r="A48" s="18"/>
      <c r="B48" s="51"/>
      <c r="C48" s="52" t="s">
        <v>42</v>
      </c>
      <c r="D48" s="53"/>
      <c r="E48" s="13">
        <v>0.0</v>
      </c>
      <c r="F48" s="13">
        <v>1.0</v>
      </c>
      <c r="G48" s="13">
        <v>0.0</v>
      </c>
      <c r="H48" s="13">
        <v>0.0</v>
      </c>
      <c r="I48" s="13">
        <v>1.0</v>
      </c>
      <c r="J48" s="13">
        <v>0.0</v>
      </c>
      <c r="K48" s="13">
        <v>0.0</v>
      </c>
      <c r="L48" s="13">
        <v>0.0</v>
      </c>
      <c r="M48" s="13">
        <v>2.0</v>
      </c>
      <c r="N48" s="6">
        <f t="shared" si="14"/>
        <v>4</v>
      </c>
    </row>
    <row r="49" ht="12.75" customHeight="1">
      <c r="A49" s="18"/>
      <c r="B49" s="51"/>
      <c r="C49" s="52" t="s">
        <v>43</v>
      </c>
      <c r="D49" s="53"/>
      <c r="E49" s="13">
        <v>0.0</v>
      </c>
      <c r="F49" s="13">
        <v>0.0</v>
      </c>
      <c r="G49" s="13">
        <v>0.0</v>
      </c>
      <c r="H49" s="13">
        <v>0.0</v>
      </c>
      <c r="I49" s="13">
        <v>0.0</v>
      </c>
      <c r="J49" s="13">
        <v>0.0</v>
      </c>
      <c r="K49" s="13">
        <v>0.0</v>
      </c>
      <c r="L49" s="13">
        <v>0.0</v>
      </c>
      <c r="M49" s="13">
        <v>0.0</v>
      </c>
      <c r="N49" s="6">
        <f t="shared" si="14"/>
        <v>0</v>
      </c>
    </row>
    <row r="50" ht="12.75" customHeight="1">
      <c r="A50" s="18"/>
      <c r="B50" s="51"/>
      <c r="C50" s="52" t="s">
        <v>44</v>
      </c>
      <c r="D50" s="53"/>
      <c r="E50" s="13">
        <v>0.0</v>
      </c>
      <c r="F50" s="13">
        <v>0.0</v>
      </c>
      <c r="G50" s="13">
        <v>0.0</v>
      </c>
      <c r="H50" s="13">
        <v>0.0</v>
      </c>
      <c r="I50" s="13">
        <v>0.0</v>
      </c>
      <c r="J50" s="13">
        <v>0.0</v>
      </c>
      <c r="K50" s="13">
        <v>0.0</v>
      </c>
      <c r="L50" s="13">
        <v>0.0</v>
      </c>
      <c r="M50" s="13">
        <v>0.0</v>
      </c>
      <c r="N50" s="6">
        <f t="shared" si="14"/>
        <v>0</v>
      </c>
    </row>
    <row r="51" ht="12.75" customHeight="1">
      <c r="A51" s="18"/>
      <c r="B51" s="51"/>
      <c r="C51" s="52" t="s">
        <v>45</v>
      </c>
      <c r="D51" s="53"/>
      <c r="E51" s="13">
        <v>0.0</v>
      </c>
      <c r="F51" s="13">
        <v>1.0</v>
      </c>
      <c r="G51" s="13">
        <v>0.0</v>
      </c>
      <c r="H51" s="13">
        <v>1.0</v>
      </c>
      <c r="I51" s="13">
        <v>0.0</v>
      </c>
      <c r="J51" s="13">
        <v>1.0</v>
      </c>
      <c r="K51" s="13">
        <v>2.0</v>
      </c>
      <c r="L51" s="13">
        <v>3.0</v>
      </c>
      <c r="M51" s="13">
        <v>1.0</v>
      </c>
      <c r="N51" s="6">
        <f t="shared" si="14"/>
        <v>9</v>
      </c>
    </row>
    <row r="52" ht="12.75" customHeight="1">
      <c r="A52" s="13" t="s">
        <v>15</v>
      </c>
      <c r="B52" s="49" t="s">
        <v>46</v>
      </c>
      <c r="C52" s="8"/>
      <c r="D52" s="9"/>
      <c r="E52" s="60">
        <f t="shared" ref="E52:M52" si="15">SUM(E45:E51)</f>
        <v>10</v>
      </c>
      <c r="F52" s="60">
        <f t="shared" si="15"/>
        <v>4</v>
      </c>
      <c r="G52" s="60">
        <f t="shared" si="15"/>
        <v>11</v>
      </c>
      <c r="H52" s="60">
        <f t="shared" si="15"/>
        <v>21</v>
      </c>
      <c r="I52" s="60">
        <f t="shared" si="15"/>
        <v>12</v>
      </c>
      <c r="J52" s="60">
        <f t="shared" si="15"/>
        <v>16</v>
      </c>
      <c r="K52" s="60">
        <f t="shared" si="15"/>
        <v>25</v>
      </c>
      <c r="L52" s="60">
        <f t="shared" si="15"/>
        <v>13</v>
      </c>
      <c r="M52" s="60">
        <f t="shared" si="15"/>
        <v>11</v>
      </c>
      <c r="N52" s="6">
        <f t="shared" si="14"/>
        <v>123</v>
      </c>
    </row>
    <row r="53" ht="12.75" customHeight="1">
      <c r="A53" s="5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6"/>
    </row>
    <row r="54" ht="12.75" customHeight="1">
      <c r="A54" s="32" t="s">
        <v>37</v>
      </c>
      <c r="B54" s="49" t="s">
        <v>19</v>
      </c>
      <c r="C54" s="50" t="s">
        <v>47</v>
      </c>
      <c r="D54" s="9"/>
      <c r="E54" s="13">
        <v>1.0</v>
      </c>
      <c r="F54" s="13">
        <v>4.0</v>
      </c>
      <c r="G54" s="13">
        <v>6.0</v>
      </c>
      <c r="H54" s="13">
        <v>2.0</v>
      </c>
      <c r="I54" s="13">
        <v>3.0</v>
      </c>
      <c r="J54" s="13">
        <v>7.0</v>
      </c>
      <c r="K54" s="13">
        <v>10.0</v>
      </c>
      <c r="L54" s="13">
        <v>3.0</v>
      </c>
      <c r="M54" s="13">
        <v>7.0</v>
      </c>
      <c r="N54" s="6">
        <f t="shared" ref="N54:N61" si="16">SUM(E54:M54)</f>
        <v>43</v>
      </c>
    </row>
    <row r="55" ht="12.75" customHeight="1">
      <c r="A55" s="32" t="s">
        <v>39</v>
      </c>
      <c r="B55" s="51"/>
      <c r="C55" s="52" t="s">
        <v>48</v>
      </c>
      <c r="D55" s="53"/>
      <c r="E55" s="13">
        <v>1.0</v>
      </c>
      <c r="F55" s="13">
        <v>0.0</v>
      </c>
      <c r="G55" s="13">
        <v>1.0</v>
      </c>
      <c r="H55" s="13">
        <v>3.0</v>
      </c>
      <c r="I55" s="13">
        <v>5.0</v>
      </c>
      <c r="J55" s="13">
        <v>0.0</v>
      </c>
      <c r="K55" s="13">
        <v>1.0</v>
      </c>
      <c r="L55" s="13">
        <v>1.0</v>
      </c>
      <c r="M55" s="13">
        <v>3.0</v>
      </c>
      <c r="N55" s="6">
        <f t="shared" si="16"/>
        <v>15</v>
      </c>
    </row>
    <row r="56" ht="12.75" customHeight="1">
      <c r="A56" s="18"/>
      <c r="B56" s="51"/>
      <c r="C56" s="52" t="s">
        <v>49</v>
      </c>
      <c r="D56" s="53"/>
      <c r="E56" s="13">
        <v>2.0</v>
      </c>
      <c r="F56" s="13">
        <v>1.0</v>
      </c>
      <c r="G56" s="13">
        <v>2.0</v>
      </c>
      <c r="H56" s="13">
        <v>1.0</v>
      </c>
      <c r="I56" s="13">
        <v>0.0</v>
      </c>
      <c r="J56" s="13">
        <v>5.0</v>
      </c>
      <c r="K56" s="13">
        <v>1.0</v>
      </c>
      <c r="L56" s="13">
        <v>1.0</v>
      </c>
      <c r="M56" s="13">
        <v>0.0</v>
      </c>
      <c r="N56" s="6">
        <f t="shared" si="16"/>
        <v>13</v>
      </c>
    </row>
    <row r="57" ht="12.75" customHeight="1">
      <c r="A57" s="18"/>
      <c r="B57" s="51"/>
      <c r="C57" s="52" t="s">
        <v>50</v>
      </c>
      <c r="D57" s="53"/>
      <c r="E57" s="13">
        <v>1.0</v>
      </c>
      <c r="F57" s="13">
        <v>0.0</v>
      </c>
      <c r="G57" s="13">
        <v>1.0</v>
      </c>
      <c r="H57" s="13">
        <v>2.0</v>
      </c>
      <c r="I57" s="13">
        <v>1.0</v>
      </c>
      <c r="J57" s="13">
        <v>0.0</v>
      </c>
      <c r="K57" s="13">
        <v>0.0</v>
      </c>
      <c r="L57" s="13">
        <v>0.0</v>
      </c>
      <c r="M57" s="13">
        <v>1.0</v>
      </c>
      <c r="N57" s="6">
        <f t="shared" si="16"/>
        <v>6</v>
      </c>
    </row>
    <row r="58" ht="12.75" customHeight="1">
      <c r="A58" s="18"/>
      <c r="B58" s="51"/>
      <c r="C58" s="52" t="s">
        <v>51</v>
      </c>
      <c r="D58" s="53"/>
      <c r="E58" s="13">
        <v>2.0</v>
      </c>
      <c r="F58" s="13">
        <v>0.0</v>
      </c>
      <c r="G58" s="13">
        <v>1.0</v>
      </c>
      <c r="H58" s="13">
        <v>0.0</v>
      </c>
      <c r="I58" s="13">
        <v>3.0</v>
      </c>
      <c r="J58" s="13">
        <v>0.0</v>
      </c>
      <c r="K58" s="13">
        <v>0.0</v>
      </c>
      <c r="L58" s="13">
        <v>0.0</v>
      </c>
      <c r="M58" s="13">
        <v>1.0</v>
      </c>
      <c r="N58" s="6">
        <f t="shared" si="16"/>
        <v>7</v>
      </c>
    </row>
    <row r="59" ht="12.75" customHeight="1">
      <c r="A59" s="18"/>
      <c r="B59" s="51"/>
      <c r="C59" s="52" t="s">
        <v>52</v>
      </c>
      <c r="D59" s="53"/>
      <c r="E59" s="13">
        <v>0.0</v>
      </c>
      <c r="F59" s="13">
        <v>0.0</v>
      </c>
      <c r="G59" s="13">
        <v>0.0</v>
      </c>
      <c r="H59" s="13">
        <v>0.0</v>
      </c>
      <c r="I59" s="13">
        <v>0.0</v>
      </c>
      <c r="J59" s="13">
        <v>0.0</v>
      </c>
      <c r="K59" s="13">
        <v>0.0</v>
      </c>
      <c r="L59" s="13">
        <v>0.0</v>
      </c>
      <c r="M59" s="13">
        <v>0.0</v>
      </c>
      <c r="N59" s="6">
        <f t="shared" si="16"/>
        <v>0</v>
      </c>
    </row>
    <row r="60" ht="12.75" customHeight="1">
      <c r="A60" s="18"/>
      <c r="B60" s="51"/>
      <c r="C60" s="52" t="s">
        <v>53</v>
      </c>
      <c r="D60" s="53"/>
      <c r="E60" s="13">
        <v>3.0</v>
      </c>
      <c r="F60" s="13">
        <v>1.0</v>
      </c>
      <c r="G60" s="13">
        <v>0.0</v>
      </c>
      <c r="H60" s="13">
        <v>0.0</v>
      </c>
      <c r="I60" s="13">
        <v>0.0</v>
      </c>
      <c r="J60" s="13">
        <v>0.0</v>
      </c>
      <c r="K60" s="13">
        <v>0.0</v>
      </c>
      <c r="L60" s="13">
        <v>0.0</v>
      </c>
      <c r="M60" s="13">
        <v>1.0</v>
      </c>
      <c r="N60" s="6">
        <f t="shared" si="16"/>
        <v>5</v>
      </c>
    </row>
    <row r="61" ht="12.75" customHeight="1">
      <c r="A61" s="13" t="s">
        <v>15</v>
      </c>
      <c r="B61" s="49" t="s">
        <v>46</v>
      </c>
      <c r="C61" s="8"/>
      <c r="D61" s="9"/>
      <c r="E61" s="60">
        <f t="shared" ref="E61:M61" si="17">SUM(E54:E60)</f>
        <v>10</v>
      </c>
      <c r="F61" s="60">
        <f t="shared" si="17"/>
        <v>6</v>
      </c>
      <c r="G61" s="60">
        <f t="shared" si="17"/>
        <v>11</v>
      </c>
      <c r="H61" s="60">
        <f t="shared" si="17"/>
        <v>8</v>
      </c>
      <c r="I61" s="60">
        <f t="shared" si="17"/>
        <v>12</v>
      </c>
      <c r="J61" s="60">
        <f t="shared" si="17"/>
        <v>12</v>
      </c>
      <c r="K61" s="60">
        <f t="shared" si="17"/>
        <v>12</v>
      </c>
      <c r="L61" s="60">
        <f t="shared" si="17"/>
        <v>5</v>
      </c>
      <c r="M61" s="60">
        <f t="shared" si="17"/>
        <v>13</v>
      </c>
      <c r="N61" s="6">
        <f t="shared" si="16"/>
        <v>89</v>
      </c>
    </row>
    <row r="62" ht="12.75" customHeight="1">
      <c r="A62" s="54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6"/>
    </row>
    <row r="63" ht="12.75" customHeight="1">
      <c r="A63" s="32" t="s">
        <v>37</v>
      </c>
      <c r="B63" s="49" t="s">
        <v>21</v>
      </c>
      <c r="C63" s="50" t="s">
        <v>54</v>
      </c>
      <c r="D63" s="9"/>
      <c r="E63" s="13">
        <v>10.0</v>
      </c>
      <c r="F63" s="13">
        <v>8.0</v>
      </c>
      <c r="G63" s="13">
        <v>7.0</v>
      </c>
      <c r="H63" s="13">
        <v>6.0</v>
      </c>
      <c r="I63" s="13">
        <v>9.0</v>
      </c>
      <c r="J63" s="13">
        <v>4.0</v>
      </c>
      <c r="K63" s="13">
        <v>11.0</v>
      </c>
      <c r="L63" s="13">
        <v>6.0</v>
      </c>
      <c r="M63" s="13">
        <v>7.0</v>
      </c>
      <c r="N63" s="6">
        <f t="shared" ref="N63:N70" si="18">SUM(E63:M63)</f>
        <v>68</v>
      </c>
    </row>
    <row r="64" ht="12.75" customHeight="1">
      <c r="A64" s="32" t="s">
        <v>39</v>
      </c>
      <c r="B64" s="51"/>
      <c r="C64" s="52" t="s">
        <v>55</v>
      </c>
      <c r="D64" s="53"/>
      <c r="E64" s="13">
        <v>6.0</v>
      </c>
      <c r="F64" s="13">
        <v>5.0</v>
      </c>
      <c r="G64" s="13">
        <v>6.0</v>
      </c>
      <c r="H64" s="13">
        <v>9.0</v>
      </c>
      <c r="I64" s="13">
        <v>13.0</v>
      </c>
      <c r="J64" s="13">
        <v>3.0</v>
      </c>
      <c r="K64" s="13">
        <v>8.0</v>
      </c>
      <c r="L64" s="13">
        <v>10.0</v>
      </c>
      <c r="M64" s="13">
        <v>2.0</v>
      </c>
      <c r="N64" s="6">
        <f t="shared" si="18"/>
        <v>62</v>
      </c>
    </row>
    <row r="65" ht="12.75" customHeight="1">
      <c r="A65" s="18"/>
      <c r="B65" s="51"/>
      <c r="C65" s="52" t="s">
        <v>56</v>
      </c>
      <c r="D65" s="53"/>
      <c r="E65" s="13">
        <v>12.0</v>
      </c>
      <c r="F65" s="13">
        <v>14.0</v>
      </c>
      <c r="G65" s="13">
        <v>8.0</v>
      </c>
      <c r="H65" s="13">
        <v>47.0</v>
      </c>
      <c r="I65" s="13">
        <v>11.0</v>
      </c>
      <c r="J65" s="13">
        <v>3.0</v>
      </c>
      <c r="K65" s="13">
        <v>2.0</v>
      </c>
      <c r="L65" s="13">
        <v>4.0</v>
      </c>
      <c r="M65" s="13">
        <v>2.0</v>
      </c>
      <c r="N65" s="6">
        <f t="shared" si="18"/>
        <v>103</v>
      </c>
    </row>
    <row r="66" ht="12.75" customHeight="1">
      <c r="A66" s="18"/>
      <c r="B66" s="51"/>
      <c r="C66" s="52" t="s">
        <v>57</v>
      </c>
      <c r="D66" s="53"/>
      <c r="E66" s="13">
        <v>6.0</v>
      </c>
      <c r="F66" s="13">
        <v>9.0</v>
      </c>
      <c r="G66" s="13">
        <v>24.0</v>
      </c>
      <c r="H66" s="13">
        <v>17.0</v>
      </c>
      <c r="I66" s="13">
        <v>29.0</v>
      </c>
      <c r="J66" s="13">
        <v>21.0</v>
      </c>
      <c r="K66" s="13">
        <v>30.0</v>
      </c>
      <c r="L66" s="13">
        <v>36.0</v>
      </c>
      <c r="M66" s="13">
        <v>29.0</v>
      </c>
      <c r="N66" s="6">
        <f t="shared" si="18"/>
        <v>201</v>
      </c>
    </row>
    <row r="67" ht="12.75" customHeight="1">
      <c r="A67" s="18"/>
      <c r="B67" s="51"/>
      <c r="C67" s="52" t="s">
        <v>58</v>
      </c>
      <c r="D67" s="53"/>
      <c r="E67" s="13">
        <v>1.0</v>
      </c>
      <c r="F67" s="13">
        <v>5.0</v>
      </c>
      <c r="G67" s="13">
        <v>1.0</v>
      </c>
      <c r="H67" s="13">
        <v>1.0</v>
      </c>
      <c r="I67" s="13">
        <v>1.0</v>
      </c>
      <c r="J67" s="13">
        <v>0.0</v>
      </c>
      <c r="K67" s="13">
        <v>1.0</v>
      </c>
      <c r="L67" s="13">
        <v>2.0</v>
      </c>
      <c r="M67" s="13">
        <v>0.0</v>
      </c>
      <c r="N67" s="6">
        <f t="shared" si="18"/>
        <v>12</v>
      </c>
    </row>
    <row r="68" ht="12.75" customHeight="1">
      <c r="A68" s="18"/>
      <c r="B68" s="51"/>
      <c r="C68" s="52" t="s">
        <v>59</v>
      </c>
      <c r="D68" s="53"/>
      <c r="E68" s="13">
        <v>5.0</v>
      </c>
      <c r="F68" s="13">
        <v>1.0</v>
      </c>
      <c r="G68" s="72">
        <v>6.0</v>
      </c>
      <c r="H68" s="13">
        <v>3.0</v>
      </c>
      <c r="I68" s="13">
        <v>8.0</v>
      </c>
      <c r="J68" s="13">
        <v>0.0</v>
      </c>
      <c r="K68" s="13">
        <v>2.0</v>
      </c>
      <c r="L68" s="13">
        <v>1.0</v>
      </c>
      <c r="M68" s="13">
        <v>1.0</v>
      </c>
      <c r="N68" s="6">
        <f t="shared" si="18"/>
        <v>27</v>
      </c>
    </row>
    <row r="69" ht="12.75" customHeight="1">
      <c r="A69" s="18"/>
      <c r="B69" s="51"/>
      <c r="C69" s="52" t="s">
        <v>60</v>
      </c>
      <c r="D69" s="53"/>
      <c r="E69" s="13">
        <v>6.0</v>
      </c>
      <c r="F69" s="13">
        <v>2.0</v>
      </c>
      <c r="G69" s="13">
        <v>3.0</v>
      </c>
      <c r="H69" s="13">
        <v>0.0</v>
      </c>
      <c r="I69" s="13">
        <v>1.0</v>
      </c>
      <c r="J69" s="13">
        <v>1.0</v>
      </c>
      <c r="K69" s="13">
        <v>4.0</v>
      </c>
      <c r="L69" s="13">
        <v>2.0</v>
      </c>
      <c r="M69" s="13">
        <v>0.0</v>
      </c>
      <c r="N69" s="6">
        <f t="shared" si="18"/>
        <v>19</v>
      </c>
    </row>
    <row r="70" ht="12.75" customHeight="1">
      <c r="A70" s="13" t="s">
        <v>15</v>
      </c>
      <c r="B70" s="49" t="s">
        <v>46</v>
      </c>
      <c r="C70" s="8"/>
      <c r="D70" s="9"/>
      <c r="E70" s="60">
        <f t="shared" ref="E70:M70" si="19">SUM(E63:E69)</f>
        <v>46</v>
      </c>
      <c r="F70" s="60">
        <f t="shared" si="19"/>
        <v>44</v>
      </c>
      <c r="G70" s="60">
        <f t="shared" si="19"/>
        <v>55</v>
      </c>
      <c r="H70" s="60">
        <f t="shared" si="19"/>
        <v>83</v>
      </c>
      <c r="I70" s="60">
        <f t="shared" si="19"/>
        <v>72</v>
      </c>
      <c r="J70" s="60">
        <f t="shared" si="19"/>
        <v>32</v>
      </c>
      <c r="K70" s="60">
        <f t="shared" si="19"/>
        <v>58</v>
      </c>
      <c r="L70" s="60">
        <f t="shared" si="19"/>
        <v>61</v>
      </c>
      <c r="M70" s="60">
        <f t="shared" si="19"/>
        <v>41</v>
      </c>
      <c r="N70" s="6">
        <f t="shared" si="18"/>
        <v>492</v>
      </c>
    </row>
    <row r="71" ht="12.75" customHeight="1">
      <c r="A71" s="54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6"/>
    </row>
    <row r="72" ht="12.75" customHeight="1">
      <c r="A72" s="32" t="s">
        <v>37</v>
      </c>
      <c r="B72" s="49" t="s">
        <v>23</v>
      </c>
      <c r="C72" s="50" t="s">
        <v>61</v>
      </c>
      <c r="D72" s="9"/>
      <c r="E72" s="13">
        <v>9.0</v>
      </c>
      <c r="F72" s="13">
        <v>5.0</v>
      </c>
      <c r="G72" s="13">
        <v>3.0</v>
      </c>
      <c r="H72" s="13">
        <v>3.0</v>
      </c>
      <c r="I72" s="13">
        <v>2.0</v>
      </c>
      <c r="J72" s="13">
        <v>4.0</v>
      </c>
      <c r="K72" s="13">
        <v>2.0</v>
      </c>
      <c r="L72" s="13">
        <v>5.0</v>
      </c>
      <c r="M72" s="13">
        <v>9.0</v>
      </c>
      <c r="N72" s="6">
        <f t="shared" ref="N72:N79" si="20">SUM(E72:M72)</f>
        <v>42</v>
      </c>
    </row>
    <row r="73" ht="12.75" customHeight="1">
      <c r="A73" s="32" t="s">
        <v>39</v>
      </c>
      <c r="B73" s="51"/>
      <c r="C73" s="52" t="s">
        <v>62</v>
      </c>
      <c r="D73" s="53"/>
      <c r="E73" s="13">
        <v>17.0</v>
      </c>
      <c r="F73" s="13">
        <v>18.0</v>
      </c>
      <c r="G73" s="13">
        <v>18.0</v>
      </c>
      <c r="H73" s="72">
        <v>9.0</v>
      </c>
      <c r="I73" s="13">
        <v>8.0</v>
      </c>
      <c r="J73" s="13">
        <v>21.0</v>
      </c>
      <c r="K73" s="13">
        <v>3.0</v>
      </c>
      <c r="L73" s="13">
        <v>14.0</v>
      </c>
      <c r="M73" s="13">
        <v>25.0</v>
      </c>
      <c r="N73" s="6">
        <f t="shared" si="20"/>
        <v>133</v>
      </c>
    </row>
    <row r="74" ht="12.75" customHeight="1">
      <c r="A74" s="18"/>
      <c r="B74" s="51"/>
      <c r="C74" s="52" t="s">
        <v>63</v>
      </c>
      <c r="D74" s="53"/>
      <c r="E74" s="13">
        <v>0.0</v>
      </c>
      <c r="F74" s="13">
        <v>0.0</v>
      </c>
      <c r="G74" s="13">
        <v>2.0</v>
      </c>
      <c r="H74" s="13">
        <v>1.0</v>
      </c>
      <c r="I74" s="13">
        <v>1.0</v>
      </c>
      <c r="J74" s="13">
        <v>2.0</v>
      </c>
      <c r="K74" s="13">
        <v>1.0</v>
      </c>
      <c r="L74" s="13">
        <v>0.0</v>
      </c>
      <c r="M74" s="13">
        <v>2.0</v>
      </c>
      <c r="N74" s="6">
        <f t="shared" si="20"/>
        <v>9</v>
      </c>
    </row>
    <row r="75" ht="12.75" customHeight="1">
      <c r="A75" s="18"/>
      <c r="B75" s="51"/>
      <c r="C75" s="52" t="s">
        <v>64</v>
      </c>
      <c r="D75" s="53"/>
      <c r="E75" s="13">
        <v>0.0</v>
      </c>
      <c r="F75" s="13">
        <v>0.0</v>
      </c>
      <c r="G75" s="13">
        <v>0.0</v>
      </c>
      <c r="H75" s="13">
        <v>1.0</v>
      </c>
      <c r="I75" s="13">
        <v>0.0</v>
      </c>
      <c r="J75" s="13">
        <v>1.0</v>
      </c>
      <c r="K75" s="13">
        <v>0.0</v>
      </c>
      <c r="L75" s="13">
        <v>0.0</v>
      </c>
      <c r="M75" s="13">
        <v>1.0</v>
      </c>
      <c r="N75" s="6">
        <f t="shared" si="20"/>
        <v>3</v>
      </c>
    </row>
    <row r="76" ht="12.75" customHeight="1">
      <c r="A76" s="18"/>
      <c r="B76" s="51"/>
      <c r="C76" s="52" t="s">
        <v>65</v>
      </c>
      <c r="D76" s="53"/>
      <c r="E76" s="13">
        <v>1.0</v>
      </c>
      <c r="F76" s="13">
        <v>0.0</v>
      </c>
      <c r="G76" s="13">
        <v>1.0</v>
      </c>
      <c r="H76" s="13">
        <v>0.0</v>
      </c>
      <c r="I76" s="13">
        <v>0.0</v>
      </c>
      <c r="J76" s="13">
        <v>0.0</v>
      </c>
      <c r="K76" s="13">
        <v>0.0</v>
      </c>
      <c r="L76" s="13">
        <v>0.0</v>
      </c>
      <c r="M76" s="13">
        <v>1.0</v>
      </c>
      <c r="N76" s="6">
        <f t="shared" si="20"/>
        <v>3</v>
      </c>
    </row>
    <row r="77" ht="12.75" customHeight="1">
      <c r="A77" s="18"/>
      <c r="B77" s="51"/>
      <c r="C77" s="52" t="s">
        <v>66</v>
      </c>
      <c r="D77" s="53"/>
      <c r="E77" s="13">
        <v>0.0</v>
      </c>
      <c r="F77" s="13">
        <v>0.0</v>
      </c>
      <c r="G77" s="13">
        <v>1.0</v>
      </c>
      <c r="H77" s="13">
        <v>0.0</v>
      </c>
      <c r="I77" s="13">
        <v>1.0</v>
      </c>
      <c r="J77" s="13">
        <v>0.0</v>
      </c>
      <c r="K77" s="13">
        <v>0.0</v>
      </c>
      <c r="L77" s="13">
        <v>0.0</v>
      </c>
      <c r="M77" s="13">
        <v>0.0</v>
      </c>
      <c r="N77" s="6">
        <f t="shared" si="20"/>
        <v>2</v>
      </c>
    </row>
    <row r="78" ht="12.75" customHeight="1">
      <c r="A78" s="18"/>
      <c r="B78" s="51"/>
      <c r="C78" s="52" t="s">
        <v>67</v>
      </c>
      <c r="D78" s="53"/>
      <c r="E78" s="13">
        <v>0.0</v>
      </c>
      <c r="F78" s="13">
        <v>0.0</v>
      </c>
      <c r="G78" s="13">
        <v>0.0</v>
      </c>
      <c r="H78" s="13">
        <v>0.0</v>
      </c>
      <c r="I78" s="13">
        <v>1.0</v>
      </c>
      <c r="J78" s="13">
        <v>0.0</v>
      </c>
      <c r="K78" s="13">
        <v>0.0</v>
      </c>
      <c r="L78" s="13">
        <v>0.0</v>
      </c>
      <c r="M78" s="13">
        <v>1.0</v>
      </c>
      <c r="N78" s="6">
        <f t="shared" si="20"/>
        <v>2</v>
      </c>
    </row>
    <row r="79" ht="12.75" customHeight="1">
      <c r="A79" s="13" t="s">
        <v>15</v>
      </c>
      <c r="B79" s="49" t="s">
        <v>46</v>
      </c>
      <c r="C79" s="8"/>
      <c r="D79" s="9"/>
      <c r="E79" s="60">
        <f t="shared" ref="E79:M79" si="21">SUM(E72:E78)</f>
        <v>27</v>
      </c>
      <c r="F79" s="60">
        <f t="shared" si="21"/>
        <v>23</v>
      </c>
      <c r="G79" s="60">
        <f t="shared" si="21"/>
        <v>25</v>
      </c>
      <c r="H79" s="60">
        <f t="shared" si="21"/>
        <v>14</v>
      </c>
      <c r="I79" s="60">
        <f t="shared" si="21"/>
        <v>13</v>
      </c>
      <c r="J79" s="60">
        <f t="shared" si="21"/>
        <v>28</v>
      </c>
      <c r="K79" s="60">
        <f t="shared" si="21"/>
        <v>6</v>
      </c>
      <c r="L79" s="60">
        <f t="shared" si="21"/>
        <v>19</v>
      </c>
      <c r="M79" s="60">
        <f t="shared" si="21"/>
        <v>39</v>
      </c>
      <c r="N79" s="6">
        <f t="shared" si="20"/>
        <v>194</v>
      </c>
    </row>
    <row r="80" ht="12.75" customHeight="1">
      <c r="A80" s="54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6"/>
    </row>
    <row r="81" ht="12.75" customHeight="1">
      <c r="A81" s="32" t="s">
        <v>37</v>
      </c>
      <c r="B81" s="49" t="s">
        <v>68</v>
      </c>
      <c r="C81" s="50" t="s">
        <v>69</v>
      </c>
      <c r="D81" s="9"/>
      <c r="E81" s="13">
        <v>0.0</v>
      </c>
      <c r="F81" s="13">
        <v>0.0</v>
      </c>
      <c r="G81" s="13">
        <v>0.0</v>
      </c>
      <c r="H81" s="13">
        <v>0.0</v>
      </c>
      <c r="I81" s="13">
        <v>0.0</v>
      </c>
      <c r="J81" s="13">
        <v>0.0</v>
      </c>
      <c r="K81" s="13">
        <v>0.0</v>
      </c>
      <c r="L81" s="13">
        <v>0.0</v>
      </c>
      <c r="M81" s="13">
        <v>0.0</v>
      </c>
      <c r="N81" s="6">
        <f t="shared" ref="N81:N88" si="22">SUM(E81:M81)</f>
        <v>0</v>
      </c>
    </row>
    <row r="82" ht="12.75" customHeight="1">
      <c r="A82" s="32" t="s">
        <v>39</v>
      </c>
      <c r="B82" s="51"/>
      <c r="C82" s="52" t="s">
        <v>70</v>
      </c>
      <c r="D82" s="53"/>
      <c r="E82" s="13">
        <v>17.0</v>
      </c>
      <c r="F82" s="13">
        <v>9.0</v>
      </c>
      <c r="G82" s="13">
        <v>18.0</v>
      </c>
      <c r="H82" s="13">
        <v>5.0</v>
      </c>
      <c r="I82" s="13">
        <v>3.0</v>
      </c>
      <c r="J82" s="13">
        <v>7.0</v>
      </c>
      <c r="K82" s="13">
        <v>3.0</v>
      </c>
      <c r="L82" s="13">
        <v>3.0</v>
      </c>
      <c r="M82" s="13">
        <v>1.0</v>
      </c>
      <c r="N82" s="6">
        <f t="shared" si="22"/>
        <v>66</v>
      </c>
    </row>
    <row r="83" ht="12.75" customHeight="1">
      <c r="A83" s="18"/>
      <c r="B83" s="51"/>
      <c r="C83" s="52" t="s">
        <v>71</v>
      </c>
      <c r="D83" s="53"/>
      <c r="E83" s="13">
        <v>0.0</v>
      </c>
      <c r="F83" s="13">
        <v>1.0</v>
      </c>
      <c r="G83" s="13">
        <v>0.0</v>
      </c>
      <c r="H83" s="13">
        <v>0.0</v>
      </c>
      <c r="I83" s="13">
        <v>0.0</v>
      </c>
      <c r="J83" s="13">
        <v>0.0</v>
      </c>
      <c r="K83" s="13">
        <v>0.0</v>
      </c>
      <c r="L83" s="13">
        <v>0.0</v>
      </c>
      <c r="M83" s="13">
        <v>0.0</v>
      </c>
      <c r="N83" s="6">
        <f t="shared" si="22"/>
        <v>1</v>
      </c>
    </row>
    <row r="84" ht="12.75" customHeight="1">
      <c r="A84" s="18"/>
      <c r="B84" s="51"/>
      <c r="C84" s="52" t="s">
        <v>72</v>
      </c>
      <c r="D84" s="53"/>
      <c r="E84" s="13">
        <v>0.0</v>
      </c>
      <c r="F84" s="13">
        <v>0.0</v>
      </c>
      <c r="G84" s="13">
        <v>0.0</v>
      </c>
      <c r="H84" s="13">
        <v>0.0</v>
      </c>
      <c r="I84" s="13">
        <v>0.0</v>
      </c>
      <c r="J84" s="13">
        <v>0.0</v>
      </c>
      <c r="K84" s="13">
        <v>0.0</v>
      </c>
      <c r="L84" s="13">
        <v>1.0</v>
      </c>
      <c r="M84" s="13">
        <v>0.0</v>
      </c>
      <c r="N84" s="6">
        <f t="shared" si="22"/>
        <v>1</v>
      </c>
    </row>
    <row r="85" ht="12.75" customHeight="1">
      <c r="A85" s="18"/>
      <c r="B85" s="51"/>
      <c r="C85" s="52" t="s">
        <v>73</v>
      </c>
      <c r="D85" s="53"/>
      <c r="E85" s="13">
        <v>0.0</v>
      </c>
      <c r="F85" s="13">
        <v>0.0</v>
      </c>
      <c r="G85" s="13">
        <v>0.0</v>
      </c>
      <c r="H85" s="13">
        <v>0.0</v>
      </c>
      <c r="I85" s="13">
        <v>0.0</v>
      </c>
      <c r="J85" s="13">
        <v>0.0</v>
      </c>
      <c r="K85" s="13">
        <v>0.0</v>
      </c>
      <c r="L85" s="13">
        <v>1.0</v>
      </c>
      <c r="M85" s="13">
        <v>0.0</v>
      </c>
      <c r="N85" s="6">
        <f t="shared" si="22"/>
        <v>1</v>
      </c>
    </row>
    <row r="86" ht="12.75" customHeight="1">
      <c r="A86" s="18"/>
      <c r="B86" s="51"/>
      <c r="C86" s="52" t="s">
        <v>74</v>
      </c>
      <c r="D86" s="53"/>
      <c r="E86" s="13">
        <v>0.0</v>
      </c>
      <c r="F86" s="13">
        <v>0.0</v>
      </c>
      <c r="G86" s="13">
        <v>0.0</v>
      </c>
      <c r="H86" s="13">
        <v>1.0</v>
      </c>
      <c r="I86" s="13">
        <v>0.0</v>
      </c>
      <c r="J86" s="13">
        <v>0.0</v>
      </c>
      <c r="K86" s="13">
        <v>0.0</v>
      </c>
      <c r="L86" s="13">
        <v>0.0</v>
      </c>
      <c r="M86" s="13">
        <v>1.0</v>
      </c>
      <c r="N86" s="6">
        <f t="shared" si="22"/>
        <v>2</v>
      </c>
    </row>
    <row r="87" ht="12.75" customHeight="1">
      <c r="A87" s="18"/>
      <c r="B87" s="51"/>
      <c r="C87" s="52" t="s">
        <v>75</v>
      </c>
      <c r="D87" s="53"/>
      <c r="E87" s="13">
        <v>0.0</v>
      </c>
      <c r="F87" s="13">
        <v>0.0</v>
      </c>
      <c r="G87" s="13">
        <v>0.0</v>
      </c>
      <c r="H87" s="13">
        <v>0.0</v>
      </c>
      <c r="I87" s="13">
        <v>0.0</v>
      </c>
      <c r="J87" s="13">
        <v>0.0</v>
      </c>
      <c r="K87" s="13">
        <v>0.0</v>
      </c>
      <c r="L87" s="13">
        <v>0.0</v>
      </c>
      <c r="M87" s="13">
        <v>0.0</v>
      </c>
      <c r="N87" s="6">
        <f t="shared" si="22"/>
        <v>0</v>
      </c>
    </row>
    <row r="88" ht="12.75" customHeight="1">
      <c r="A88" s="13" t="s">
        <v>15</v>
      </c>
      <c r="B88" s="49" t="s">
        <v>46</v>
      </c>
      <c r="C88" s="8"/>
      <c r="D88" s="9"/>
      <c r="E88" s="60">
        <f t="shared" ref="E88:M88" si="23">SUM(E81:E87)</f>
        <v>17</v>
      </c>
      <c r="F88" s="60">
        <f t="shared" si="23"/>
        <v>10</v>
      </c>
      <c r="G88" s="60">
        <f t="shared" si="23"/>
        <v>18</v>
      </c>
      <c r="H88" s="60">
        <f t="shared" si="23"/>
        <v>6</v>
      </c>
      <c r="I88" s="60">
        <f t="shared" si="23"/>
        <v>3</v>
      </c>
      <c r="J88" s="60">
        <f t="shared" si="23"/>
        <v>7</v>
      </c>
      <c r="K88" s="60">
        <f t="shared" si="23"/>
        <v>3</v>
      </c>
      <c r="L88" s="60">
        <f t="shared" si="23"/>
        <v>5</v>
      </c>
      <c r="M88" s="60">
        <f t="shared" si="23"/>
        <v>2</v>
      </c>
      <c r="N88" s="6">
        <f t="shared" si="22"/>
        <v>71</v>
      </c>
    </row>
    <row r="89" ht="12.75" customHeight="1">
      <c r="A89" s="54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6"/>
    </row>
    <row r="90" ht="12.75" customHeight="1">
      <c r="A90" s="32" t="s">
        <v>37</v>
      </c>
      <c r="B90" s="49" t="s">
        <v>76</v>
      </c>
      <c r="C90" s="50" t="s">
        <v>77</v>
      </c>
      <c r="D90" s="9"/>
      <c r="E90" s="13">
        <v>4.0</v>
      </c>
      <c r="F90" s="13">
        <v>1.0</v>
      </c>
      <c r="G90" s="13">
        <v>3.0</v>
      </c>
      <c r="H90" s="13">
        <v>0.0</v>
      </c>
      <c r="I90" s="13">
        <v>0.0</v>
      </c>
      <c r="J90" s="13">
        <v>1.0</v>
      </c>
      <c r="K90" s="13">
        <v>3.0</v>
      </c>
      <c r="L90" s="13">
        <v>0.0</v>
      </c>
      <c r="M90" s="13">
        <v>1.0</v>
      </c>
      <c r="N90" s="6">
        <f t="shared" ref="N90:N92" si="24">SUM(E90:M90)</f>
        <v>13</v>
      </c>
    </row>
    <row r="91" ht="12.75" customHeight="1">
      <c r="A91" s="32" t="s">
        <v>39</v>
      </c>
      <c r="B91" s="51"/>
      <c r="C91" s="52" t="s">
        <v>78</v>
      </c>
      <c r="D91" s="61"/>
      <c r="E91" s="13">
        <v>0.0</v>
      </c>
      <c r="F91" s="13">
        <v>0.0</v>
      </c>
      <c r="G91" s="13">
        <v>0.0</v>
      </c>
      <c r="H91" s="13">
        <v>0.0</v>
      </c>
      <c r="I91" s="13">
        <v>0.0</v>
      </c>
      <c r="J91" s="13">
        <v>0.0</v>
      </c>
      <c r="K91" s="13">
        <v>1.0</v>
      </c>
      <c r="L91" s="13">
        <v>1.0</v>
      </c>
      <c r="M91" s="13">
        <v>0.0</v>
      </c>
      <c r="N91" s="6">
        <f t="shared" si="24"/>
        <v>2</v>
      </c>
    </row>
    <row r="92" ht="12.75" customHeight="1">
      <c r="A92" s="13" t="s">
        <v>15</v>
      </c>
      <c r="B92" s="49" t="s">
        <v>46</v>
      </c>
      <c r="C92" s="8"/>
      <c r="D92" s="9"/>
      <c r="E92" s="60">
        <f t="shared" ref="E92:M92" si="25">SUM(E90:E91)</f>
        <v>4</v>
      </c>
      <c r="F92" s="60">
        <f t="shared" si="25"/>
        <v>1</v>
      </c>
      <c r="G92" s="60">
        <f t="shared" si="25"/>
        <v>3</v>
      </c>
      <c r="H92" s="60">
        <f t="shared" si="25"/>
        <v>0</v>
      </c>
      <c r="I92" s="60">
        <f t="shared" si="25"/>
        <v>0</v>
      </c>
      <c r="J92" s="60">
        <f t="shared" si="25"/>
        <v>1</v>
      </c>
      <c r="K92" s="60">
        <f t="shared" si="25"/>
        <v>4</v>
      </c>
      <c r="L92" s="60">
        <f t="shared" si="25"/>
        <v>1</v>
      </c>
      <c r="M92" s="60">
        <f t="shared" si="25"/>
        <v>1</v>
      </c>
      <c r="N92" s="6">
        <f t="shared" si="24"/>
        <v>15</v>
      </c>
    </row>
    <row r="93" ht="12.75" customHeight="1">
      <c r="A93" s="54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6"/>
    </row>
    <row r="94" ht="12.75" customHeight="1">
      <c r="A94" s="32" t="s">
        <v>37</v>
      </c>
      <c r="B94" s="49" t="s">
        <v>79</v>
      </c>
      <c r="C94" s="50" t="s">
        <v>80</v>
      </c>
      <c r="D94" s="9"/>
      <c r="E94" s="13">
        <v>0.0</v>
      </c>
      <c r="F94" s="13">
        <v>1.0</v>
      </c>
      <c r="G94" s="13">
        <v>1.0</v>
      </c>
      <c r="H94" s="13">
        <v>1.0</v>
      </c>
      <c r="I94" s="13">
        <v>1.0</v>
      </c>
      <c r="J94" s="13">
        <v>2.0</v>
      </c>
      <c r="K94" s="13">
        <v>1.0</v>
      </c>
      <c r="L94" s="13">
        <v>1.0</v>
      </c>
      <c r="M94" s="13">
        <v>3.0</v>
      </c>
      <c r="N94" s="6">
        <f t="shared" ref="N94:N101" si="26">SUM(E94:M94)</f>
        <v>11</v>
      </c>
    </row>
    <row r="95" ht="12.75" customHeight="1">
      <c r="A95" s="32" t="s">
        <v>39</v>
      </c>
      <c r="B95" s="51"/>
      <c r="C95" s="52" t="s">
        <v>81</v>
      </c>
      <c r="D95" s="53"/>
      <c r="E95" s="13">
        <v>3.0</v>
      </c>
      <c r="F95" s="13">
        <v>7.0</v>
      </c>
      <c r="G95" s="13">
        <v>10.0</v>
      </c>
      <c r="H95" s="13">
        <v>11.0</v>
      </c>
      <c r="I95" s="13">
        <v>10.0</v>
      </c>
      <c r="J95" s="13">
        <v>1.0</v>
      </c>
      <c r="K95" s="13">
        <v>4.0</v>
      </c>
      <c r="L95" s="13">
        <v>13.0</v>
      </c>
      <c r="M95" s="13">
        <v>8.0</v>
      </c>
      <c r="N95" s="6">
        <f t="shared" si="26"/>
        <v>67</v>
      </c>
    </row>
    <row r="96" ht="12.75" customHeight="1">
      <c r="A96" s="32"/>
      <c r="B96" s="51"/>
      <c r="C96" s="52" t="s">
        <v>82</v>
      </c>
      <c r="D96" s="53"/>
      <c r="E96" s="13">
        <v>0.0</v>
      </c>
      <c r="F96" s="13">
        <v>0.0</v>
      </c>
      <c r="G96" s="13">
        <v>0.0</v>
      </c>
      <c r="H96" s="13">
        <v>1.0</v>
      </c>
      <c r="I96" s="13">
        <v>0.0</v>
      </c>
      <c r="J96" s="13">
        <v>0.0</v>
      </c>
      <c r="K96" s="13">
        <v>0.0</v>
      </c>
      <c r="L96" s="13">
        <v>0.0</v>
      </c>
      <c r="M96" s="13">
        <v>0.0</v>
      </c>
      <c r="N96" s="6">
        <f t="shared" si="26"/>
        <v>1</v>
      </c>
    </row>
    <row r="97" ht="12.75" customHeight="1">
      <c r="A97" s="32"/>
      <c r="B97" s="51"/>
      <c r="C97" s="52" t="s">
        <v>83</v>
      </c>
      <c r="D97" s="53"/>
      <c r="E97" s="13">
        <v>0.0</v>
      </c>
      <c r="F97" s="13">
        <v>0.0</v>
      </c>
      <c r="G97" s="13">
        <v>0.0</v>
      </c>
      <c r="H97" s="13">
        <v>0.0</v>
      </c>
      <c r="I97" s="13">
        <v>1.0</v>
      </c>
      <c r="J97" s="13">
        <v>0.0</v>
      </c>
      <c r="K97" s="13">
        <v>0.0</v>
      </c>
      <c r="L97" s="13">
        <v>0.0</v>
      </c>
      <c r="M97" s="13">
        <v>0.0</v>
      </c>
      <c r="N97" s="6">
        <f t="shared" si="26"/>
        <v>1</v>
      </c>
    </row>
    <row r="98" ht="12.75" customHeight="1">
      <c r="A98" s="32"/>
      <c r="B98" s="51"/>
      <c r="C98" s="52" t="s">
        <v>84</v>
      </c>
      <c r="D98" s="53"/>
      <c r="E98" s="13">
        <v>0.0</v>
      </c>
      <c r="F98" s="13">
        <v>0.0</v>
      </c>
      <c r="G98" s="13">
        <v>0.0</v>
      </c>
      <c r="H98" s="13">
        <v>0.0</v>
      </c>
      <c r="I98" s="13">
        <v>0.0</v>
      </c>
      <c r="J98" s="13">
        <v>0.0</v>
      </c>
      <c r="K98" s="13">
        <v>0.0</v>
      </c>
      <c r="L98" s="13">
        <v>0.0</v>
      </c>
      <c r="M98" s="13">
        <v>0.0</v>
      </c>
      <c r="N98" s="6">
        <f t="shared" si="26"/>
        <v>0</v>
      </c>
    </row>
    <row r="99" ht="12.75" customHeight="1">
      <c r="A99" s="32"/>
      <c r="B99" s="51"/>
      <c r="C99" s="52" t="s">
        <v>85</v>
      </c>
      <c r="D99" s="53"/>
      <c r="E99" s="13">
        <v>0.0</v>
      </c>
      <c r="F99" s="13">
        <v>0.0</v>
      </c>
      <c r="G99" s="13">
        <v>1.0</v>
      </c>
      <c r="H99" s="13">
        <v>0.0</v>
      </c>
      <c r="I99" s="13">
        <v>1.0</v>
      </c>
      <c r="J99" s="13">
        <v>0.0</v>
      </c>
      <c r="K99" s="13">
        <v>0.0</v>
      </c>
      <c r="L99" s="13">
        <v>0.0</v>
      </c>
      <c r="M99" s="13">
        <v>0.0</v>
      </c>
      <c r="N99" s="6">
        <f t="shared" si="26"/>
        <v>2</v>
      </c>
    </row>
    <row r="100" ht="12.75" customHeight="1">
      <c r="A100" s="32"/>
      <c r="B100" s="51"/>
      <c r="C100" s="52" t="s">
        <v>86</v>
      </c>
      <c r="D100" s="53"/>
      <c r="E100" s="13">
        <v>0.0</v>
      </c>
      <c r="F100" s="13">
        <v>0.0</v>
      </c>
      <c r="G100" s="13">
        <v>0.0</v>
      </c>
      <c r="H100" s="13">
        <v>0.0</v>
      </c>
      <c r="I100" s="13">
        <v>1.0</v>
      </c>
      <c r="J100" s="13">
        <v>0.0</v>
      </c>
      <c r="K100" s="13">
        <v>0.0</v>
      </c>
      <c r="L100" s="13">
        <v>0.0</v>
      </c>
      <c r="M100" s="13">
        <v>0.0</v>
      </c>
      <c r="N100" s="6">
        <f t="shared" si="26"/>
        <v>1</v>
      </c>
    </row>
    <row r="101" ht="12.75" customHeight="1">
      <c r="A101" s="13" t="s">
        <v>15</v>
      </c>
      <c r="B101" s="49" t="s">
        <v>46</v>
      </c>
      <c r="C101" s="8"/>
      <c r="D101" s="9"/>
      <c r="E101" s="60">
        <f t="shared" ref="E101:M101" si="27">SUM(E94:E100)</f>
        <v>3</v>
      </c>
      <c r="F101" s="60">
        <f t="shared" si="27"/>
        <v>8</v>
      </c>
      <c r="G101" s="60">
        <f t="shared" si="27"/>
        <v>12</v>
      </c>
      <c r="H101" s="60">
        <f t="shared" si="27"/>
        <v>13</v>
      </c>
      <c r="I101" s="60">
        <f t="shared" si="27"/>
        <v>14</v>
      </c>
      <c r="J101" s="60">
        <f t="shared" si="27"/>
        <v>3</v>
      </c>
      <c r="K101" s="60">
        <f t="shared" si="27"/>
        <v>5</v>
      </c>
      <c r="L101" s="60">
        <f t="shared" si="27"/>
        <v>14</v>
      </c>
      <c r="M101" s="60">
        <f t="shared" si="27"/>
        <v>11</v>
      </c>
      <c r="N101" s="6">
        <f t="shared" si="26"/>
        <v>83</v>
      </c>
    </row>
    <row r="102" ht="12.75" customHeight="1">
      <c r="A102" s="54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6"/>
    </row>
    <row r="103" ht="12.75" customHeight="1">
      <c r="A103" s="32" t="s">
        <v>37</v>
      </c>
      <c r="B103" s="49" t="s">
        <v>87</v>
      </c>
      <c r="C103" s="50" t="s">
        <v>88</v>
      </c>
      <c r="D103" s="9"/>
      <c r="E103" s="13">
        <v>4.0</v>
      </c>
      <c r="F103" s="13">
        <v>0.0</v>
      </c>
      <c r="G103" s="13">
        <v>0.0</v>
      </c>
      <c r="H103" s="13">
        <v>0.0</v>
      </c>
      <c r="I103" s="13">
        <v>1.0</v>
      </c>
      <c r="J103" s="13">
        <v>1.0</v>
      </c>
      <c r="K103" s="13">
        <v>0.0</v>
      </c>
      <c r="L103" s="13">
        <v>0.0</v>
      </c>
      <c r="M103" s="13">
        <v>0.0</v>
      </c>
      <c r="N103" s="6">
        <f t="shared" ref="N103:N110" si="28">SUM(E103:M103)</f>
        <v>6</v>
      </c>
    </row>
    <row r="104" ht="12.75" customHeight="1">
      <c r="A104" s="32" t="s">
        <v>39</v>
      </c>
      <c r="B104" s="51"/>
      <c r="C104" s="52" t="s">
        <v>89</v>
      </c>
      <c r="D104" s="53"/>
      <c r="E104" s="13">
        <v>27.0</v>
      </c>
      <c r="F104" s="13">
        <v>10.0</v>
      </c>
      <c r="G104" s="13">
        <v>1.0</v>
      </c>
      <c r="H104" s="13">
        <v>7.0</v>
      </c>
      <c r="I104" s="13">
        <v>13.0</v>
      </c>
      <c r="J104" s="13">
        <v>10.0</v>
      </c>
      <c r="K104" s="13">
        <v>5.0</v>
      </c>
      <c r="L104" s="13">
        <v>5.0</v>
      </c>
      <c r="M104" s="13">
        <v>2.0</v>
      </c>
      <c r="N104" s="6">
        <f t="shared" si="28"/>
        <v>80</v>
      </c>
    </row>
    <row r="105" ht="12.75" customHeight="1">
      <c r="A105" s="18"/>
      <c r="B105" s="51"/>
      <c r="C105" s="52" t="s">
        <v>90</v>
      </c>
      <c r="D105" s="53"/>
      <c r="E105" s="13">
        <v>0.0</v>
      </c>
      <c r="F105" s="13">
        <v>0.0</v>
      </c>
      <c r="G105" s="13">
        <v>0.0</v>
      </c>
      <c r="H105" s="13">
        <v>0.0</v>
      </c>
      <c r="I105" s="13">
        <v>0.0</v>
      </c>
      <c r="J105" s="13">
        <v>0.0</v>
      </c>
      <c r="K105" s="13">
        <v>0.0</v>
      </c>
      <c r="L105" s="13">
        <v>1.0</v>
      </c>
      <c r="M105" s="13">
        <v>0.0</v>
      </c>
      <c r="N105" s="6">
        <f t="shared" si="28"/>
        <v>1</v>
      </c>
    </row>
    <row r="106" ht="12.75" customHeight="1">
      <c r="A106" s="18"/>
      <c r="B106" s="51"/>
      <c r="C106" s="52" t="s">
        <v>91</v>
      </c>
      <c r="D106" s="53"/>
      <c r="E106" s="13">
        <v>0.0</v>
      </c>
      <c r="F106" s="13">
        <v>0.0</v>
      </c>
      <c r="G106" s="13">
        <v>0.0</v>
      </c>
      <c r="H106" s="13">
        <v>0.0</v>
      </c>
      <c r="I106" s="13">
        <v>0.0</v>
      </c>
      <c r="J106" s="13">
        <v>0.0</v>
      </c>
      <c r="K106" s="13">
        <v>0.0</v>
      </c>
      <c r="L106" s="13">
        <v>0.0</v>
      </c>
      <c r="M106" s="13">
        <v>0.0</v>
      </c>
      <c r="N106" s="6">
        <f t="shared" si="28"/>
        <v>0</v>
      </c>
    </row>
    <row r="107" ht="12.75" customHeight="1">
      <c r="A107" s="18"/>
      <c r="B107" s="51"/>
      <c r="C107" s="52" t="s">
        <v>92</v>
      </c>
      <c r="D107" s="53"/>
      <c r="E107" s="13">
        <v>0.0</v>
      </c>
      <c r="F107" s="13">
        <v>0.0</v>
      </c>
      <c r="G107" s="13">
        <v>0.0</v>
      </c>
      <c r="H107" s="13">
        <v>0.0</v>
      </c>
      <c r="I107" s="13">
        <v>0.0</v>
      </c>
      <c r="J107" s="13">
        <v>0.0</v>
      </c>
      <c r="K107" s="13">
        <v>0.0</v>
      </c>
      <c r="L107" s="13">
        <v>0.0</v>
      </c>
      <c r="M107" s="13">
        <v>0.0</v>
      </c>
      <c r="N107" s="6">
        <f t="shared" si="28"/>
        <v>0</v>
      </c>
    </row>
    <row r="108" ht="12.75" customHeight="1">
      <c r="A108" s="18"/>
      <c r="B108" s="51"/>
      <c r="C108" s="52" t="s">
        <v>93</v>
      </c>
      <c r="D108" s="53"/>
      <c r="E108" s="13">
        <v>0.0</v>
      </c>
      <c r="F108" s="13">
        <v>0.0</v>
      </c>
      <c r="G108" s="13">
        <v>0.0</v>
      </c>
      <c r="H108" s="13">
        <v>0.0</v>
      </c>
      <c r="I108" s="13">
        <v>0.0</v>
      </c>
      <c r="J108" s="13">
        <v>1.0</v>
      </c>
      <c r="K108" s="13">
        <v>0.0</v>
      </c>
      <c r="L108" s="13">
        <v>0.0</v>
      </c>
      <c r="M108" s="13">
        <v>0.0</v>
      </c>
      <c r="N108" s="6">
        <f t="shared" si="28"/>
        <v>1</v>
      </c>
    </row>
    <row r="109" ht="12.75" customHeight="1">
      <c r="A109" s="18"/>
      <c r="B109" s="51"/>
      <c r="C109" s="52" t="s">
        <v>94</v>
      </c>
      <c r="D109" s="53"/>
      <c r="E109" s="13">
        <v>0.0</v>
      </c>
      <c r="F109" s="13">
        <v>0.0</v>
      </c>
      <c r="G109" s="13">
        <v>0.0</v>
      </c>
      <c r="H109" s="13">
        <v>0.0</v>
      </c>
      <c r="I109" s="13">
        <v>2.0</v>
      </c>
      <c r="J109" s="13">
        <v>1.0</v>
      </c>
      <c r="K109" s="13">
        <v>0.0</v>
      </c>
      <c r="L109" s="13">
        <v>0.0</v>
      </c>
      <c r="M109" s="13">
        <v>0.0</v>
      </c>
      <c r="N109" s="6">
        <f t="shared" si="28"/>
        <v>3</v>
      </c>
    </row>
    <row r="110" ht="12.75" customHeight="1">
      <c r="A110" s="13" t="s">
        <v>15</v>
      </c>
      <c r="B110" s="49" t="s">
        <v>46</v>
      </c>
      <c r="C110" s="8"/>
      <c r="D110" s="9"/>
      <c r="E110" s="60">
        <f t="shared" ref="E110:M110" si="29">SUM(E103:E109)</f>
        <v>31</v>
      </c>
      <c r="F110" s="60">
        <f t="shared" si="29"/>
        <v>10</v>
      </c>
      <c r="G110" s="60">
        <f t="shared" si="29"/>
        <v>1</v>
      </c>
      <c r="H110" s="60">
        <f t="shared" si="29"/>
        <v>7</v>
      </c>
      <c r="I110" s="60">
        <f t="shared" si="29"/>
        <v>16</v>
      </c>
      <c r="J110" s="60">
        <f t="shared" si="29"/>
        <v>13</v>
      </c>
      <c r="K110" s="60">
        <f t="shared" si="29"/>
        <v>5</v>
      </c>
      <c r="L110" s="60">
        <f t="shared" si="29"/>
        <v>6</v>
      </c>
      <c r="M110" s="60">
        <f t="shared" si="29"/>
        <v>2</v>
      </c>
      <c r="N110" s="6">
        <f t="shared" si="28"/>
        <v>91</v>
      </c>
    </row>
    <row r="111" ht="12.75" customHeight="1">
      <c r="A111" s="54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6"/>
    </row>
    <row r="112" ht="12.75" customHeight="1">
      <c r="A112" s="32" t="s">
        <v>37</v>
      </c>
      <c r="B112" s="49" t="s">
        <v>95</v>
      </c>
      <c r="C112" s="50" t="s">
        <v>96</v>
      </c>
      <c r="D112" s="9"/>
      <c r="E112" s="13">
        <v>0.0</v>
      </c>
      <c r="F112" s="13">
        <v>0.0</v>
      </c>
      <c r="G112" s="13">
        <v>0.0</v>
      </c>
      <c r="H112" s="13">
        <v>0.0</v>
      </c>
      <c r="I112" s="13">
        <v>0.0</v>
      </c>
      <c r="J112" s="13">
        <v>0.0</v>
      </c>
      <c r="K112" s="13">
        <v>0.0</v>
      </c>
      <c r="L112" s="13">
        <v>0.0</v>
      </c>
      <c r="M112" s="13">
        <v>0.0</v>
      </c>
      <c r="N112" s="6">
        <f t="shared" ref="N112:N114" si="30">SUM(E112:M112)</f>
        <v>0</v>
      </c>
    </row>
    <row r="113" ht="12.75" customHeight="1">
      <c r="A113" s="32" t="s">
        <v>39</v>
      </c>
      <c r="B113" s="49"/>
      <c r="C113" s="52" t="s">
        <v>97</v>
      </c>
      <c r="D113" s="61"/>
      <c r="E113" s="13">
        <v>0.0</v>
      </c>
      <c r="F113" s="13">
        <v>0.0</v>
      </c>
      <c r="G113" s="13">
        <v>0.0</v>
      </c>
      <c r="H113" s="13">
        <v>0.0</v>
      </c>
      <c r="I113" s="13">
        <v>0.0</v>
      </c>
      <c r="J113" s="13">
        <v>0.0</v>
      </c>
      <c r="K113" s="13">
        <v>0.0</v>
      </c>
      <c r="L113" s="13">
        <v>0.0</v>
      </c>
      <c r="M113" s="13">
        <v>0.0</v>
      </c>
      <c r="N113" s="6">
        <f t="shared" si="30"/>
        <v>0</v>
      </c>
    </row>
    <row r="114" ht="12.75" customHeight="1">
      <c r="A114" s="13" t="s">
        <v>15</v>
      </c>
      <c r="B114" s="49" t="s">
        <v>46</v>
      </c>
      <c r="C114" s="8"/>
      <c r="D114" s="9"/>
      <c r="E114" s="60">
        <f t="shared" ref="E114:M114" si="31">SUM(E112:E113)</f>
        <v>0</v>
      </c>
      <c r="F114" s="60">
        <f t="shared" si="31"/>
        <v>0</v>
      </c>
      <c r="G114" s="60">
        <f t="shared" si="31"/>
        <v>0</v>
      </c>
      <c r="H114" s="60">
        <f t="shared" si="31"/>
        <v>0</v>
      </c>
      <c r="I114" s="60">
        <f t="shared" si="31"/>
        <v>0</v>
      </c>
      <c r="J114" s="60">
        <f t="shared" si="31"/>
        <v>0</v>
      </c>
      <c r="K114" s="60">
        <f t="shared" si="31"/>
        <v>0</v>
      </c>
      <c r="L114" s="60">
        <f t="shared" si="31"/>
        <v>0</v>
      </c>
      <c r="M114" s="60">
        <f t="shared" si="31"/>
        <v>0</v>
      </c>
      <c r="N114" s="6">
        <f t="shared" si="30"/>
        <v>0</v>
      </c>
    </row>
    <row r="115" ht="12.75" customHeight="1">
      <c r="A115" s="54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6"/>
    </row>
    <row r="116" ht="12.75" customHeight="1">
      <c r="A116" s="32" t="s">
        <v>37</v>
      </c>
      <c r="B116" s="49" t="s">
        <v>98</v>
      </c>
      <c r="C116" s="50" t="s">
        <v>99</v>
      </c>
      <c r="D116" s="9"/>
      <c r="E116" s="13">
        <v>1.0</v>
      </c>
      <c r="F116" s="13">
        <v>2.0</v>
      </c>
      <c r="G116" s="13">
        <v>0.0</v>
      </c>
      <c r="H116" s="13">
        <v>0.0</v>
      </c>
      <c r="I116" s="13">
        <v>1.0</v>
      </c>
      <c r="J116" s="13">
        <v>1.0</v>
      </c>
      <c r="K116" s="13">
        <v>3.0</v>
      </c>
      <c r="L116" s="13">
        <v>2.0</v>
      </c>
      <c r="M116" s="13">
        <v>1.0</v>
      </c>
      <c r="N116" s="6">
        <f t="shared" ref="N116:N123" si="32">SUM(E116:M116)</f>
        <v>11</v>
      </c>
    </row>
    <row r="117" ht="12.75" customHeight="1">
      <c r="A117" s="32" t="s">
        <v>39</v>
      </c>
      <c r="B117" s="51"/>
      <c r="C117" s="52" t="s">
        <v>100</v>
      </c>
      <c r="D117" s="53"/>
      <c r="E117" s="13">
        <v>1.0</v>
      </c>
      <c r="F117" s="13">
        <v>4.0</v>
      </c>
      <c r="G117" s="13">
        <v>0.0</v>
      </c>
      <c r="H117" s="13">
        <v>0.0</v>
      </c>
      <c r="I117" s="13">
        <v>1.0</v>
      </c>
      <c r="J117" s="13">
        <v>1.0</v>
      </c>
      <c r="K117" s="13">
        <v>6.0</v>
      </c>
      <c r="L117" s="13">
        <v>6.0</v>
      </c>
      <c r="M117" s="13">
        <v>5.0</v>
      </c>
      <c r="N117" s="6">
        <f t="shared" si="32"/>
        <v>24</v>
      </c>
    </row>
    <row r="118" ht="12.75" customHeight="1">
      <c r="A118" s="18"/>
      <c r="B118" s="51"/>
      <c r="C118" s="52" t="s">
        <v>101</v>
      </c>
      <c r="D118" s="53"/>
      <c r="E118" s="13">
        <v>0.0</v>
      </c>
      <c r="F118" s="13">
        <v>0.0</v>
      </c>
      <c r="G118" s="13">
        <v>1.0</v>
      </c>
      <c r="H118" s="13">
        <v>0.0</v>
      </c>
      <c r="I118" s="13">
        <v>0.0</v>
      </c>
      <c r="J118" s="13">
        <v>0.0</v>
      </c>
      <c r="K118" s="13">
        <v>0.0</v>
      </c>
      <c r="L118" s="13">
        <v>0.0</v>
      </c>
      <c r="M118" s="13">
        <v>0.0</v>
      </c>
      <c r="N118" s="6">
        <f t="shared" si="32"/>
        <v>1</v>
      </c>
    </row>
    <row r="119" ht="12.75" customHeight="1">
      <c r="A119" s="18"/>
      <c r="B119" s="51"/>
      <c r="C119" s="52" t="s">
        <v>102</v>
      </c>
      <c r="D119" s="53"/>
      <c r="E119" s="13">
        <v>3.0</v>
      </c>
      <c r="F119" s="13">
        <v>1.0</v>
      </c>
      <c r="G119" s="13">
        <v>2.0</v>
      </c>
      <c r="H119" s="13">
        <v>1.0</v>
      </c>
      <c r="I119" s="13">
        <v>3.0</v>
      </c>
      <c r="J119" s="13">
        <v>1.0</v>
      </c>
      <c r="K119" s="13">
        <v>2.0</v>
      </c>
      <c r="L119" s="13">
        <v>0.0</v>
      </c>
      <c r="M119" s="13">
        <v>3.0</v>
      </c>
      <c r="N119" s="6">
        <f t="shared" si="32"/>
        <v>16</v>
      </c>
    </row>
    <row r="120" ht="12.75" customHeight="1">
      <c r="A120" s="18"/>
      <c r="B120" s="51"/>
      <c r="C120" s="52" t="s">
        <v>103</v>
      </c>
      <c r="D120" s="53"/>
      <c r="E120" s="13">
        <v>0.0</v>
      </c>
      <c r="F120" s="13">
        <v>0.0</v>
      </c>
      <c r="G120" s="13">
        <v>0.0</v>
      </c>
      <c r="H120" s="13">
        <v>0.0</v>
      </c>
      <c r="I120" s="13">
        <v>0.0</v>
      </c>
      <c r="J120" s="13">
        <v>0.0</v>
      </c>
      <c r="K120" s="13">
        <v>0.0</v>
      </c>
      <c r="L120" s="13">
        <v>0.0</v>
      </c>
      <c r="M120" s="13">
        <v>0.0</v>
      </c>
      <c r="N120" s="6">
        <f t="shared" si="32"/>
        <v>0</v>
      </c>
    </row>
    <row r="121" ht="12.75" customHeight="1">
      <c r="A121" s="18"/>
      <c r="B121" s="51"/>
      <c r="C121" s="52" t="s">
        <v>104</v>
      </c>
      <c r="D121" s="53"/>
      <c r="E121" s="13">
        <v>0.0</v>
      </c>
      <c r="F121" s="13">
        <v>0.0</v>
      </c>
      <c r="G121" s="13">
        <v>0.0</v>
      </c>
      <c r="H121" s="13">
        <v>0.0</v>
      </c>
      <c r="I121" s="13">
        <v>0.0</v>
      </c>
      <c r="J121" s="13">
        <v>0.0</v>
      </c>
      <c r="K121" s="13">
        <v>0.0</v>
      </c>
      <c r="L121" s="13">
        <v>0.0</v>
      </c>
      <c r="M121" s="13">
        <v>0.0</v>
      </c>
      <c r="N121" s="6">
        <f t="shared" si="32"/>
        <v>0</v>
      </c>
    </row>
    <row r="122" ht="12.75" customHeight="1">
      <c r="A122" s="18"/>
      <c r="B122" s="51"/>
      <c r="C122" s="52" t="s">
        <v>105</v>
      </c>
      <c r="D122" s="53"/>
      <c r="E122" s="13">
        <v>24.0</v>
      </c>
      <c r="F122" s="13">
        <v>21.0</v>
      </c>
      <c r="G122" s="13">
        <v>38.0</v>
      </c>
      <c r="H122" s="13">
        <v>14.0</v>
      </c>
      <c r="I122" s="13">
        <v>12.0</v>
      </c>
      <c r="J122" s="13">
        <v>23.0</v>
      </c>
      <c r="K122" s="13">
        <v>25.0</v>
      </c>
      <c r="L122" s="13">
        <v>17.0</v>
      </c>
      <c r="M122" s="13">
        <v>22.0</v>
      </c>
      <c r="N122" s="6">
        <f t="shared" si="32"/>
        <v>196</v>
      </c>
    </row>
    <row r="123" ht="12.75" customHeight="1">
      <c r="A123" s="13" t="s">
        <v>15</v>
      </c>
      <c r="B123" s="49" t="s">
        <v>46</v>
      </c>
      <c r="C123" s="8"/>
      <c r="D123" s="9"/>
      <c r="E123" s="60">
        <f t="shared" ref="E123:M123" si="33">SUM(E116:E122)</f>
        <v>29</v>
      </c>
      <c r="F123" s="60">
        <f t="shared" si="33"/>
        <v>28</v>
      </c>
      <c r="G123" s="60">
        <f t="shared" si="33"/>
        <v>41</v>
      </c>
      <c r="H123" s="60">
        <f t="shared" si="33"/>
        <v>15</v>
      </c>
      <c r="I123" s="60">
        <f t="shared" si="33"/>
        <v>17</v>
      </c>
      <c r="J123" s="60">
        <f t="shared" si="33"/>
        <v>26</v>
      </c>
      <c r="K123" s="60">
        <f t="shared" si="33"/>
        <v>36</v>
      </c>
      <c r="L123" s="60">
        <f t="shared" si="33"/>
        <v>25</v>
      </c>
      <c r="M123" s="60">
        <f t="shared" si="33"/>
        <v>31</v>
      </c>
      <c r="N123" s="6">
        <f t="shared" si="32"/>
        <v>248</v>
      </c>
    </row>
    <row r="124" ht="12.75" customHeight="1">
      <c r="A124" s="54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6"/>
    </row>
    <row r="125" ht="12.75" customHeight="1">
      <c r="A125" s="32" t="s">
        <v>37</v>
      </c>
      <c r="B125" s="49" t="s">
        <v>106</v>
      </c>
      <c r="C125" s="50" t="s">
        <v>107</v>
      </c>
      <c r="D125" s="9"/>
      <c r="E125" s="13">
        <v>2.0</v>
      </c>
      <c r="F125" s="13">
        <v>0.0</v>
      </c>
      <c r="G125" s="13">
        <v>2.0</v>
      </c>
      <c r="H125" s="13">
        <v>0.0</v>
      </c>
      <c r="I125" s="13">
        <v>0.0</v>
      </c>
      <c r="J125" s="13">
        <v>1.0</v>
      </c>
      <c r="K125" s="13">
        <v>0.0</v>
      </c>
      <c r="L125" s="13">
        <v>0.0</v>
      </c>
      <c r="M125" s="13">
        <v>0.0</v>
      </c>
      <c r="N125" s="6">
        <f t="shared" ref="N125:N127" si="34">SUM(E125:M125)</f>
        <v>5</v>
      </c>
    </row>
    <row r="126" ht="12.75" customHeight="1">
      <c r="A126" s="32" t="s">
        <v>39</v>
      </c>
      <c r="B126" s="51"/>
      <c r="C126" s="52" t="s">
        <v>108</v>
      </c>
      <c r="D126" s="53"/>
      <c r="E126" s="13"/>
      <c r="F126" s="13"/>
      <c r="G126" s="13"/>
      <c r="H126" s="13"/>
      <c r="I126" s="13"/>
      <c r="J126" s="13"/>
      <c r="K126" s="13"/>
      <c r="L126" s="13"/>
      <c r="M126" s="13"/>
      <c r="N126" s="6">
        <f t="shared" si="34"/>
        <v>0</v>
      </c>
    </row>
    <row r="127" ht="12.75" customHeight="1">
      <c r="A127" s="13" t="s">
        <v>15</v>
      </c>
      <c r="B127" s="49" t="s">
        <v>46</v>
      </c>
      <c r="C127" s="8"/>
      <c r="D127" s="9"/>
      <c r="E127" s="60">
        <f t="shared" ref="E127:M127" si="35">SUM(E125:E126)</f>
        <v>2</v>
      </c>
      <c r="F127" s="60">
        <f t="shared" si="35"/>
        <v>0</v>
      </c>
      <c r="G127" s="60">
        <f t="shared" si="35"/>
        <v>2</v>
      </c>
      <c r="H127" s="60">
        <f t="shared" si="35"/>
        <v>0</v>
      </c>
      <c r="I127" s="60">
        <f t="shared" si="35"/>
        <v>0</v>
      </c>
      <c r="J127" s="60">
        <f t="shared" si="35"/>
        <v>1</v>
      </c>
      <c r="K127" s="60">
        <f t="shared" si="35"/>
        <v>0</v>
      </c>
      <c r="L127" s="60">
        <f t="shared" si="35"/>
        <v>0</v>
      </c>
      <c r="M127" s="60">
        <f t="shared" si="35"/>
        <v>0</v>
      </c>
      <c r="N127" s="6">
        <f t="shared" si="34"/>
        <v>5</v>
      </c>
    </row>
    <row r="128" ht="12.75" customHeight="1">
      <c r="A128" s="54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6"/>
    </row>
    <row r="129" ht="12.75" customHeight="1">
      <c r="A129" s="32" t="s">
        <v>37</v>
      </c>
      <c r="B129" s="49" t="s">
        <v>109</v>
      </c>
      <c r="C129" s="50" t="s">
        <v>110</v>
      </c>
      <c r="D129" s="9"/>
      <c r="E129" s="13">
        <v>0.0</v>
      </c>
      <c r="F129" s="13">
        <v>1.0</v>
      </c>
      <c r="G129" s="13">
        <v>0.0</v>
      </c>
      <c r="H129" s="13">
        <v>0.0</v>
      </c>
      <c r="I129" s="13">
        <v>0.0</v>
      </c>
      <c r="J129" s="13">
        <v>2.0</v>
      </c>
      <c r="K129" s="13">
        <v>2.0</v>
      </c>
      <c r="L129" s="13">
        <v>1.0</v>
      </c>
      <c r="M129" s="13">
        <v>1.0</v>
      </c>
      <c r="N129" s="6">
        <f t="shared" ref="N129:N136" si="36">SUM(E129:M129)</f>
        <v>7</v>
      </c>
    </row>
    <row r="130" ht="12.75" customHeight="1">
      <c r="A130" s="32" t="s">
        <v>39</v>
      </c>
      <c r="B130" s="51"/>
      <c r="C130" s="52" t="s">
        <v>111</v>
      </c>
      <c r="D130" s="53"/>
      <c r="E130" s="13">
        <v>2.0</v>
      </c>
      <c r="F130" s="13">
        <v>0.0</v>
      </c>
      <c r="G130" s="13">
        <v>1.0</v>
      </c>
      <c r="H130" s="13">
        <v>0.0</v>
      </c>
      <c r="I130" s="13">
        <v>0.0</v>
      </c>
      <c r="J130" s="13">
        <v>0.0</v>
      </c>
      <c r="K130" s="13">
        <v>0.0</v>
      </c>
      <c r="L130" s="13">
        <v>0.0</v>
      </c>
      <c r="M130" s="13">
        <v>0.0</v>
      </c>
      <c r="N130" s="6">
        <f t="shared" si="36"/>
        <v>3</v>
      </c>
    </row>
    <row r="131" ht="12.75" customHeight="1">
      <c r="A131" s="18"/>
      <c r="B131" s="51"/>
      <c r="C131" s="52" t="s">
        <v>112</v>
      </c>
      <c r="D131" s="53"/>
      <c r="E131" s="13">
        <v>0.0</v>
      </c>
      <c r="F131" s="13">
        <v>0.0</v>
      </c>
      <c r="G131" s="13">
        <v>0.0</v>
      </c>
      <c r="H131" s="13">
        <v>1.0</v>
      </c>
      <c r="I131" s="13">
        <v>0.0</v>
      </c>
      <c r="J131" s="13">
        <v>0.0</v>
      </c>
      <c r="K131" s="13">
        <v>0.0</v>
      </c>
      <c r="L131" s="13">
        <v>0.0</v>
      </c>
      <c r="M131" s="13">
        <v>0.0</v>
      </c>
      <c r="N131" s="6">
        <f t="shared" si="36"/>
        <v>1</v>
      </c>
    </row>
    <row r="132" ht="12.75" customHeight="1">
      <c r="A132" s="18"/>
      <c r="B132" s="51"/>
      <c r="C132" s="52" t="s">
        <v>113</v>
      </c>
      <c r="D132" s="53"/>
      <c r="E132" s="13">
        <v>0.0</v>
      </c>
      <c r="F132" s="13">
        <v>0.0</v>
      </c>
      <c r="G132" s="13">
        <v>0.0</v>
      </c>
      <c r="H132" s="13">
        <v>0.0</v>
      </c>
      <c r="I132" s="13">
        <v>0.0</v>
      </c>
      <c r="J132" s="13">
        <v>1.0</v>
      </c>
      <c r="K132" s="13">
        <v>0.0</v>
      </c>
      <c r="L132" s="13">
        <v>0.0</v>
      </c>
      <c r="M132" s="13">
        <v>0.0</v>
      </c>
      <c r="N132" s="6">
        <f t="shared" si="36"/>
        <v>1</v>
      </c>
    </row>
    <row r="133" ht="12.75" customHeight="1">
      <c r="A133" s="18"/>
      <c r="B133" s="51"/>
      <c r="C133" s="52" t="s">
        <v>114</v>
      </c>
      <c r="D133" s="53"/>
      <c r="E133" s="13">
        <v>0.0</v>
      </c>
      <c r="F133" s="13">
        <v>0.0</v>
      </c>
      <c r="G133" s="13">
        <v>0.0</v>
      </c>
      <c r="H133" s="13">
        <v>0.0</v>
      </c>
      <c r="I133" s="13">
        <v>0.0</v>
      </c>
      <c r="J133" s="13">
        <v>0.0</v>
      </c>
      <c r="K133" s="13">
        <v>0.0</v>
      </c>
      <c r="L133" s="13">
        <v>0.0</v>
      </c>
      <c r="M133" s="13">
        <v>0.0</v>
      </c>
      <c r="N133" s="6">
        <f t="shared" si="36"/>
        <v>0</v>
      </c>
    </row>
    <row r="134" ht="12.75" customHeight="1">
      <c r="A134" s="18"/>
      <c r="B134" s="51"/>
      <c r="C134" s="52" t="s">
        <v>115</v>
      </c>
      <c r="D134" s="53"/>
      <c r="E134" s="13">
        <v>0.0</v>
      </c>
      <c r="F134" s="13">
        <v>0.0</v>
      </c>
      <c r="G134" s="13">
        <v>0.0</v>
      </c>
      <c r="H134" s="13">
        <v>0.0</v>
      </c>
      <c r="I134" s="13">
        <v>0.0</v>
      </c>
      <c r="J134" s="13">
        <v>0.0</v>
      </c>
      <c r="K134" s="13">
        <v>0.0</v>
      </c>
      <c r="L134" s="13">
        <v>0.0</v>
      </c>
      <c r="M134" s="13">
        <v>0.0</v>
      </c>
      <c r="N134" s="6">
        <f t="shared" si="36"/>
        <v>0</v>
      </c>
    </row>
    <row r="135" ht="12.75" customHeight="1">
      <c r="A135" s="18"/>
      <c r="B135" s="51"/>
      <c r="C135" s="52" t="s">
        <v>116</v>
      </c>
      <c r="D135" s="53"/>
      <c r="E135" s="13">
        <v>0.0</v>
      </c>
      <c r="F135" s="13">
        <v>0.0</v>
      </c>
      <c r="G135" s="13">
        <v>0.0</v>
      </c>
      <c r="H135" s="13">
        <v>0.0</v>
      </c>
      <c r="I135" s="13">
        <v>0.0</v>
      </c>
      <c r="J135" s="13">
        <v>0.0</v>
      </c>
      <c r="K135" s="13">
        <v>0.0</v>
      </c>
      <c r="L135" s="13">
        <v>0.0</v>
      </c>
      <c r="M135" s="13">
        <v>0.0</v>
      </c>
      <c r="N135" s="6">
        <f t="shared" si="36"/>
        <v>0</v>
      </c>
    </row>
    <row r="136" ht="12.75" customHeight="1">
      <c r="A136" s="13" t="s">
        <v>15</v>
      </c>
      <c r="B136" s="49" t="s">
        <v>46</v>
      </c>
      <c r="C136" s="8"/>
      <c r="D136" s="9"/>
      <c r="E136" s="60">
        <f t="shared" ref="E136:M136" si="37">SUM(E129:E135)</f>
        <v>2</v>
      </c>
      <c r="F136" s="60">
        <f t="shared" si="37"/>
        <v>1</v>
      </c>
      <c r="G136" s="60">
        <f t="shared" si="37"/>
        <v>1</v>
      </c>
      <c r="H136" s="60">
        <f t="shared" si="37"/>
        <v>1</v>
      </c>
      <c r="I136" s="60">
        <f t="shared" si="37"/>
        <v>0</v>
      </c>
      <c r="J136" s="60">
        <f t="shared" si="37"/>
        <v>3</v>
      </c>
      <c r="K136" s="60">
        <f t="shared" si="37"/>
        <v>2</v>
      </c>
      <c r="L136" s="60">
        <f t="shared" si="37"/>
        <v>1</v>
      </c>
      <c r="M136" s="60">
        <f t="shared" si="37"/>
        <v>1</v>
      </c>
      <c r="N136" s="6">
        <f t="shared" si="36"/>
        <v>12</v>
      </c>
    </row>
    <row r="137" ht="12.75" customHeight="1">
      <c r="A137" s="54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6"/>
    </row>
    <row r="138" ht="12.75" customHeight="1">
      <c r="A138" s="32" t="s">
        <v>37</v>
      </c>
      <c r="B138" s="49" t="s">
        <v>117</v>
      </c>
      <c r="C138" s="50" t="s">
        <v>118</v>
      </c>
      <c r="D138" s="9"/>
      <c r="E138" s="13">
        <v>0.0</v>
      </c>
      <c r="F138" s="13">
        <v>1.0</v>
      </c>
      <c r="G138" s="13">
        <v>0.0</v>
      </c>
      <c r="H138" s="13">
        <v>0.0</v>
      </c>
      <c r="I138" s="13">
        <v>0.0</v>
      </c>
      <c r="J138" s="13">
        <v>1.0</v>
      </c>
      <c r="K138" s="13">
        <v>1.0</v>
      </c>
      <c r="L138" s="13">
        <v>0.0</v>
      </c>
      <c r="M138" s="13">
        <v>0.0</v>
      </c>
      <c r="N138" s="6">
        <f t="shared" ref="N138:N145" si="38">SUM(E138:M138)</f>
        <v>3</v>
      </c>
    </row>
    <row r="139" ht="12.75" customHeight="1">
      <c r="A139" s="32" t="s">
        <v>39</v>
      </c>
      <c r="B139" s="51"/>
      <c r="C139" s="52" t="s">
        <v>119</v>
      </c>
      <c r="D139" s="53"/>
      <c r="E139" s="13">
        <v>0.0</v>
      </c>
      <c r="F139" s="13">
        <v>0.0</v>
      </c>
      <c r="G139" s="13">
        <v>0.0</v>
      </c>
      <c r="H139" s="13">
        <v>0.0</v>
      </c>
      <c r="I139" s="13">
        <v>0.0</v>
      </c>
      <c r="J139" s="13">
        <v>0.0</v>
      </c>
      <c r="K139" s="13">
        <v>0.0</v>
      </c>
      <c r="L139" s="13">
        <v>0.0</v>
      </c>
      <c r="M139" s="13">
        <v>0.0</v>
      </c>
      <c r="N139" s="6">
        <f t="shared" si="38"/>
        <v>0</v>
      </c>
    </row>
    <row r="140" ht="12.75" customHeight="1">
      <c r="A140" s="18"/>
      <c r="B140" s="51"/>
      <c r="C140" s="52" t="s">
        <v>120</v>
      </c>
      <c r="D140" s="53"/>
      <c r="E140" s="13">
        <v>0.0</v>
      </c>
      <c r="F140" s="13">
        <v>0.0</v>
      </c>
      <c r="G140" s="13">
        <v>0.0</v>
      </c>
      <c r="H140" s="13">
        <v>0.0</v>
      </c>
      <c r="I140" s="13">
        <v>0.0</v>
      </c>
      <c r="J140" s="13">
        <v>0.0</v>
      </c>
      <c r="K140" s="13">
        <v>0.0</v>
      </c>
      <c r="L140" s="13">
        <v>0.0</v>
      </c>
      <c r="M140" s="13">
        <v>0.0</v>
      </c>
      <c r="N140" s="6">
        <f t="shared" si="38"/>
        <v>0</v>
      </c>
    </row>
    <row r="141" ht="12.75" customHeight="1">
      <c r="A141" s="18"/>
      <c r="B141" s="51"/>
      <c r="C141" s="52" t="s">
        <v>121</v>
      </c>
      <c r="D141" s="53"/>
      <c r="E141" s="13">
        <v>0.0</v>
      </c>
      <c r="F141" s="13">
        <v>0.0</v>
      </c>
      <c r="G141" s="13">
        <v>0.0</v>
      </c>
      <c r="H141" s="13">
        <v>0.0</v>
      </c>
      <c r="I141" s="13">
        <v>0.0</v>
      </c>
      <c r="J141" s="13">
        <v>0.0</v>
      </c>
      <c r="K141" s="13">
        <v>0.0</v>
      </c>
      <c r="L141" s="13">
        <v>0.0</v>
      </c>
      <c r="M141" s="13">
        <v>0.0</v>
      </c>
      <c r="N141" s="6">
        <f t="shared" si="38"/>
        <v>0</v>
      </c>
    </row>
    <row r="142" ht="12.75" customHeight="1">
      <c r="A142" s="18"/>
      <c r="B142" s="51"/>
      <c r="C142" s="52" t="s">
        <v>122</v>
      </c>
      <c r="D142" s="53"/>
      <c r="E142" s="13">
        <v>0.0</v>
      </c>
      <c r="F142" s="13">
        <v>0.0</v>
      </c>
      <c r="G142" s="13">
        <v>0.0</v>
      </c>
      <c r="H142" s="13">
        <v>0.0</v>
      </c>
      <c r="I142" s="13">
        <v>0.0</v>
      </c>
      <c r="J142" s="13">
        <v>0.0</v>
      </c>
      <c r="K142" s="13">
        <v>0.0</v>
      </c>
      <c r="L142" s="13">
        <v>0.0</v>
      </c>
      <c r="M142" s="13">
        <v>1.0</v>
      </c>
      <c r="N142" s="6">
        <f t="shared" si="38"/>
        <v>1</v>
      </c>
    </row>
    <row r="143" ht="12.75" customHeight="1">
      <c r="A143" s="18"/>
      <c r="B143" s="51"/>
      <c r="C143" s="52" t="s">
        <v>123</v>
      </c>
      <c r="D143" s="53"/>
      <c r="E143" s="13">
        <v>0.0</v>
      </c>
      <c r="F143" s="13">
        <v>0.0</v>
      </c>
      <c r="G143" s="13">
        <v>0.0</v>
      </c>
      <c r="H143" s="13">
        <v>0.0</v>
      </c>
      <c r="I143" s="13">
        <v>0.0</v>
      </c>
      <c r="J143" s="13">
        <v>0.0</v>
      </c>
      <c r="K143" s="13">
        <v>0.0</v>
      </c>
      <c r="L143" s="13">
        <v>0.0</v>
      </c>
      <c r="M143" s="13">
        <v>0.0</v>
      </c>
      <c r="N143" s="6">
        <f t="shared" si="38"/>
        <v>0</v>
      </c>
    </row>
    <row r="144" ht="12.75" customHeight="1">
      <c r="A144" s="18"/>
      <c r="B144" s="51"/>
      <c r="C144" s="52" t="s">
        <v>124</v>
      </c>
      <c r="D144" s="53"/>
      <c r="E144" s="13">
        <v>0.0</v>
      </c>
      <c r="F144" s="13">
        <v>0.0</v>
      </c>
      <c r="G144" s="13">
        <v>0.0</v>
      </c>
      <c r="H144" s="13">
        <v>0.0</v>
      </c>
      <c r="I144" s="13">
        <v>0.0</v>
      </c>
      <c r="J144" s="13">
        <v>2.0</v>
      </c>
      <c r="K144" s="13">
        <v>0.0</v>
      </c>
      <c r="L144" s="13">
        <v>0.0</v>
      </c>
      <c r="M144" s="13">
        <v>0.0</v>
      </c>
      <c r="N144" s="6">
        <f t="shared" si="38"/>
        <v>2</v>
      </c>
    </row>
    <row r="145" ht="12.75" customHeight="1">
      <c r="A145" s="13" t="s">
        <v>15</v>
      </c>
      <c r="B145" s="49" t="s">
        <v>46</v>
      </c>
      <c r="C145" s="8"/>
      <c r="D145" s="9"/>
      <c r="E145" s="60">
        <f t="shared" ref="E145:M145" si="39">SUM(E138:E144)</f>
        <v>0</v>
      </c>
      <c r="F145" s="60">
        <f t="shared" si="39"/>
        <v>1</v>
      </c>
      <c r="G145" s="60">
        <f t="shared" si="39"/>
        <v>0</v>
      </c>
      <c r="H145" s="60">
        <f t="shared" si="39"/>
        <v>0</v>
      </c>
      <c r="I145" s="60">
        <f t="shared" si="39"/>
        <v>0</v>
      </c>
      <c r="J145" s="60">
        <f t="shared" si="39"/>
        <v>3</v>
      </c>
      <c r="K145" s="60">
        <f t="shared" si="39"/>
        <v>1</v>
      </c>
      <c r="L145" s="60">
        <f t="shared" si="39"/>
        <v>0</v>
      </c>
      <c r="M145" s="60">
        <f t="shared" si="39"/>
        <v>1</v>
      </c>
      <c r="N145" s="6">
        <f t="shared" si="38"/>
        <v>6</v>
      </c>
    </row>
    <row r="146" ht="12.75" customHeight="1">
      <c r="A146" s="54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6"/>
    </row>
    <row r="147" ht="12.75" customHeight="1">
      <c r="A147" s="32" t="s">
        <v>37</v>
      </c>
      <c r="B147" s="49" t="s">
        <v>125</v>
      </c>
      <c r="C147" s="50" t="s">
        <v>126</v>
      </c>
      <c r="D147" s="9"/>
      <c r="E147" s="13">
        <v>1.0</v>
      </c>
      <c r="F147" s="13">
        <v>3.0</v>
      </c>
      <c r="G147" s="13">
        <v>5.0</v>
      </c>
      <c r="H147" s="13">
        <v>0.0</v>
      </c>
      <c r="I147" s="13">
        <v>2.0</v>
      </c>
      <c r="J147" s="13">
        <v>0.0</v>
      </c>
      <c r="K147" s="13">
        <v>1.0</v>
      </c>
      <c r="L147" s="13">
        <v>0.0</v>
      </c>
      <c r="M147" s="13">
        <v>0.0</v>
      </c>
      <c r="N147" s="6">
        <f t="shared" ref="N147:N154" si="40">SUM(E147:M147)</f>
        <v>12</v>
      </c>
    </row>
    <row r="148" ht="12.75" customHeight="1">
      <c r="A148" s="32" t="s">
        <v>39</v>
      </c>
      <c r="B148" s="51"/>
      <c r="C148" s="52" t="s">
        <v>127</v>
      </c>
      <c r="D148" s="53"/>
      <c r="E148" s="13">
        <v>4.0</v>
      </c>
      <c r="F148" s="13">
        <v>5.0</v>
      </c>
      <c r="G148" s="13">
        <v>7.0</v>
      </c>
      <c r="H148" s="13">
        <v>0.0</v>
      </c>
      <c r="I148" s="13">
        <v>2.0</v>
      </c>
      <c r="J148" s="13">
        <v>8.0</v>
      </c>
      <c r="K148" s="13">
        <v>6.0</v>
      </c>
      <c r="L148" s="13">
        <v>2.0</v>
      </c>
      <c r="M148" s="13">
        <v>0.0</v>
      </c>
      <c r="N148" s="6">
        <f t="shared" si="40"/>
        <v>34</v>
      </c>
    </row>
    <row r="149" ht="12.75" customHeight="1">
      <c r="A149" s="18"/>
      <c r="B149" s="51"/>
      <c r="C149" s="52" t="s">
        <v>128</v>
      </c>
      <c r="D149" s="53"/>
      <c r="E149" s="13">
        <v>1.0</v>
      </c>
      <c r="F149" s="13">
        <v>0.0</v>
      </c>
      <c r="G149" s="13">
        <v>0.0</v>
      </c>
      <c r="H149" s="13">
        <v>0.0</v>
      </c>
      <c r="I149" s="13">
        <v>1.0</v>
      </c>
      <c r="J149" s="13">
        <v>0.0</v>
      </c>
      <c r="K149" s="13">
        <v>0.0</v>
      </c>
      <c r="L149" s="13">
        <v>0.0</v>
      </c>
      <c r="M149" s="13">
        <v>0.0</v>
      </c>
      <c r="N149" s="6">
        <f t="shared" si="40"/>
        <v>2</v>
      </c>
    </row>
    <row r="150" ht="12.75" customHeight="1">
      <c r="A150" s="18"/>
      <c r="B150" s="51"/>
      <c r="C150" s="52" t="s">
        <v>129</v>
      </c>
      <c r="D150" s="53"/>
      <c r="E150" s="13">
        <v>4.0</v>
      </c>
      <c r="F150" s="13">
        <v>9.0</v>
      </c>
      <c r="G150" s="13">
        <v>4.0</v>
      </c>
      <c r="H150" s="13">
        <v>6.0</v>
      </c>
      <c r="I150" s="13">
        <v>8.0</v>
      </c>
      <c r="J150" s="13">
        <v>4.0</v>
      </c>
      <c r="K150" s="13">
        <v>6.0</v>
      </c>
      <c r="L150" s="13">
        <v>5.0</v>
      </c>
      <c r="M150" s="13">
        <v>3.0</v>
      </c>
      <c r="N150" s="6">
        <f t="shared" si="40"/>
        <v>49</v>
      </c>
    </row>
    <row r="151" ht="12.75" customHeight="1">
      <c r="A151" s="18"/>
      <c r="B151" s="51"/>
      <c r="C151" s="52" t="s">
        <v>130</v>
      </c>
      <c r="D151" s="53"/>
      <c r="E151" s="13">
        <v>0.0</v>
      </c>
      <c r="F151" s="13">
        <v>0.0</v>
      </c>
      <c r="G151" s="13">
        <v>0.0</v>
      </c>
      <c r="H151" s="13">
        <v>0.0</v>
      </c>
      <c r="I151" s="13">
        <v>0.0</v>
      </c>
      <c r="J151" s="13">
        <v>0.0</v>
      </c>
      <c r="K151" s="13">
        <v>0.0</v>
      </c>
      <c r="L151" s="13">
        <v>0.0</v>
      </c>
      <c r="M151" s="13">
        <v>0.0</v>
      </c>
      <c r="N151" s="6">
        <f t="shared" si="40"/>
        <v>0</v>
      </c>
    </row>
    <row r="152" ht="12.75" customHeight="1">
      <c r="A152" s="18"/>
      <c r="B152" s="51"/>
      <c r="C152" s="52" t="s">
        <v>131</v>
      </c>
      <c r="D152" s="53"/>
      <c r="E152" s="13">
        <v>0.0</v>
      </c>
      <c r="F152" s="13">
        <v>0.0</v>
      </c>
      <c r="G152" s="13">
        <v>0.0</v>
      </c>
      <c r="H152" s="13">
        <v>0.0</v>
      </c>
      <c r="I152" s="13">
        <v>0.0</v>
      </c>
      <c r="J152" s="13">
        <v>0.0</v>
      </c>
      <c r="K152" s="13">
        <v>0.0</v>
      </c>
      <c r="L152" s="13">
        <v>0.0</v>
      </c>
      <c r="M152" s="13">
        <v>0.0</v>
      </c>
      <c r="N152" s="6">
        <f t="shared" si="40"/>
        <v>0</v>
      </c>
    </row>
    <row r="153" ht="12.75" customHeight="1">
      <c r="A153" s="18"/>
      <c r="B153" s="51"/>
      <c r="C153" s="52" t="s">
        <v>132</v>
      </c>
      <c r="D153" s="53"/>
      <c r="E153" s="13">
        <v>1.0</v>
      </c>
      <c r="F153" s="13">
        <v>0.0</v>
      </c>
      <c r="G153" s="13">
        <v>0.0</v>
      </c>
      <c r="H153" s="13">
        <v>0.0</v>
      </c>
      <c r="I153" s="13">
        <v>0.0</v>
      </c>
      <c r="J153" s="13">
        <v>0.0</v>
      </c>
      <c r="K153" s="13">
        <v>0.0</v>
      </c>
      <c r="L153" s="13">
        <v>0.0</v>
      </c>
      <c r="M153" s="13">
        <v>0.0</v>
      </c>
      <c r="N153" s="6">
        <f t="shared" si="40"/>
        <v>1</v>
      </c>
    </row>
    <row r="154" ht="12.75" customHeight="1">
      <c r="A154" s="13" t="s">
        <v>15</v>
      </c>
      <c r="B154" s="49" t="s">
        <v>46</v>
      </c>
      <c r="C154" s="8"/>
      <c r="D154" s="9"/>
      <c r="E154" s="60">
        <f t="shared" ref="E154:M154" si="41">SUM(E147:E153)</f>
        <v>11</v>
      </c>
      <c r="F154" s="60">
        <f t="shared" si="41"/>
        <v>17</v>
      </c>
      <c r="G154" s="60">
        <f t="shared" si="41"/>
        <v>16</v>
      </c>
      <c r="H154" s="60">
        <f t="shared" si="41"/>
        <v>6</v>
      </c>
      <c r="I154" s="60">
        <f t="shared" si="41"/>
        <v>13</v>
      </c>
      <c r="J154" s="60">
        <f t="shared" si="41"/>
        <v>12</v>
      </c>
      <c r="K154" s="60">
        <f t="shared" si="41"/>
        <v>13</v>
      </c>
      <c r="L154" s="60">
        <f t="shared" si="41"/>
        <v>7</v>
      </c>
      <c r="M154" s="60">
        <f t="shared" si="41"/>
        <v>3</v>
      </c>
      <c r="N154" s="6">
        <f t="shared" si="40"/>
        <v>98</v>
      </c>
    </row>
    <row r="155" ht="12.75" customHeight="1">
      <c r="A155" s="54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6"/>
    </row>
    <row r="156" ht="12.75" customHeight="1">
      <c r="A156" s="32" t="s">
        <v>37</v>
      </c>
      <c r="B156" s="49" t="s">
        <v>133</v>
      </c>
      <c r="C156" s="50" t="s">
        <v>134</v>
      </c>
      <c r="D156" s="9"/>
      <c r="E156" s="13">
        <v>0.0</v>
      </c>
      <c r="F156" s="13">
        <v>0.0</v>
      </c>
      <c r="G156" s="13">
        <v>0.0</v>
      </c>
      <c r="H156" s="13">
        <v>0.0</v>
      </c>
      <c r="I156" s="13">
        <v>0.0</v>
      </c>
      <c r="J156" s="13">
        <v>2.0</v>
      </c>
      <c r="K156" s="13">
        <v>1.0</v>
      </c>
      <c r="L156" s="13">
        <v>3.0</v>
      </c>
      <c r="M156" s="13">
        <v>2.0</v>
      </c>
      <c r="N156" s="6">
        <f t="shared" ref="N156:N162" si="42">SUM(E156:M156)</f>
        <v>8</v>
      </c>
    </row>
    <row r="157" ht="12.75" customHeight="1">
      <c r="A157" s="32"/>
      <c r="B157" s="49"/>
      <c r="C157" s="52" t="s">
        <v>135</v>
      </c>
      <c r="D157" s="61"/>
      <c r="E157" s="13">
        <v>1.0</v>
      </c>
      <c r="F157" s="13">
        <v>1.0</v>
      </c>
      <c r="G157" s="13">
        <v>0.0</v>
      </c>
      <c r="H157" s="13">
        <v>1.0</v>
      </c>
      <c r="I157" s="13">
        <v>1.0</v>
      </c>
      <c r="J157" s="13">
        <v>0.0</v>
      </c>
      <c r="K157" s="13">
        <v>0.0</v>
      </c>
      <c r="L157" s="13">
        <v>2.0</v>
      </c>
      <c r="M157" s="13">
        <v>6.0</v>
      </c>
      <c r="N157" s="6">
        <f t="shared" si="42"/>
        <v>12</v>
      </c>
    </row>
    <row r="158" ht="12.75" customHeight="1">
      <c r="A158" s="32"/>
      <c r="B158" s="49"/>
      <c r="C158" s="52" t="s">
        <v>136</v>
      </c>
      <c r="D158" s="61"/>
      <c r="E158" s="13">
        <v>0.0</v>
      </c>
      <c r="F158" s="13">
        <v>0.0</v>
      </c>
      <c r="G158" s="13">
        <v>1.0</v>
      </c>
      <c r="H158" s="13">
        <v>0.0</v>
      </c>
      <c r="I158" s="13">
        <v>0.0</v>
      </c>
      <c r="J158" s="13">
        <v>0.0</v>
      </c>
      <c r="K158" s="13">
        <v>0.0</v>
      </c>
      <c r="L158" s="13">
        <v>0.0</v>
      </c>
      <c r="M158" s="13">
        <v>0.0</v>
      </c>
      <c r="N158" s="6">
        <f t="shared" si="42"/>
        <v>1</v>
      </c>
    </row>
    <row r="159" ht="12.75" customHeight="1">
      <c r="A159" s="32"/>
      <c r="B159" s="49"/>
      <c r="C159" s="52" t="s">
        <v>137</v>
      </c>
      <c r="D159" s="61"/>
      <c r="E159" s="13">
        <v>0.0</v>
      </c>
      <c r="F159" s="13">
        <v>0.0</v>
      </c>
      <c r="G159" s="13">
        <v>0.0</v>
      </c>
      <c r="H159" s="13">
        <v>0.0</v>
      </c>
      <c r="I159" s="13">
        <v>0.0</v>
      </c>
      <c r="J159" s="13">
        <v>0.0</v>
      </c>
      <c r="K159" s="13">
        <v>0.0</v>
      </c>
      <c r="L159" s="13">
        <v>0.0</v>
      </c>
      <c r="M159" s="13">
        <v>0.0</v>
      </c>
      <c r="N159" s="6">
        <f t="shared" si="42"/>
        <v>0</v>
      </c>
    </row>
    <row r="160" ht="12.75" customHeight="1">
      <c r="A160" s="32" t="s">
        <v>39</v>
      </c>
      <c r="B160" s="51"/>
      <c r="C160" s="52" t="s">
        <v>138</v>
      </c>
      <c r="D160" s="53"/>
      <c r="E160" s="13">
        <v>1.0</v>
      </c>
      <c r="F160" s="13">
        <v>0.0</v>
      </c>
      <c r="G160" s="13">
        <v>0.0</v>
      </c>
      <c r="H160" s="13">
        <v>0.0</v>
      </c>
      <c r="I160" s="13">
        <v>0.0</v>
      </c>
      <c r="J160" s="13">
        <v>0.0</v>
      </c>
      <c r="K160" s="13">
        <v>0.0</v>
      </c>
      <c r="L160" s="13">
        <v>0.0</v>
      </c>
      <c r="M160" s="13">
        <v>0.0</v>
      </c>
      <c r="N160" s="6">
        <f t="shared" si="42"/>
        <v>1</v>
      </c>
    </row>
    <row r="161" ht="12.75" customHeight="1">
      <c r="A161" s="32"/>
      <c r="B161" s="51"/>
      <c r="C161" s="52" t="s">
        <v>139</v>
      </c>
      <c r="D161" s="53"/>
      <c r="E161" s="13">
        <v>0.0</v>
      </c>
      <c r="F161" s="13">
        <v>0.0</v>
      </c>
      <c r="G161" s="13">
        <v>0.0</v>
      </c>
      <c r="H161" s="13">
        <v>0.0</v>
      </c>
      <c r="I161" s="13">
        <v>0.0</v>
      </c>
      <c r="J161" s="13">
        <v>0.0</v>
      </c>
      <c r="K161" s="13">
        <v>0.0</v>
      </c>
      <c r="L161" s="13">
        <v>0.0</v>
      </c>
      <c r="M161" s="13">
        <v>0.0</v>
      </c>
      <c r="N161" s="6">
        <f t="shared" si="42"/>
        <v>0</v>
      </c>
    </row>
    <row r="162" ht="12.75" customHeight="1">
      <c r="A162" s="13" t="s">
        <v>15</v>
      </c>
      <c r="B162" s="49" t="s">
        <v>46</v>
      </c>
      <c r="C162" s="8"/>
      <c r="D162" s="9"/>
      <c r="E162" s="60">
        <f t="shared" ref="E162:M162" si="43">SUM(E156:E161)</f>
        <v>2</v>
      </c>
      <c r="F162" s="60">
        <f t="shared" si="43"/>
        <v>1</v>
      </c>
      <c r="G162" s="60">
        <f t="shared" si="43"/>
        <v>1</v>
      </c>
      <c r="H162" s="60">
        <f t="shared" si="43"/>
        <v>1</v>
      </c>
      <c r="I162" s="60">
        <f t="shared" si="43"/>
        <v>1</v>
      </c>
      <c r="J162" s="60">
        <f t="shared" si="43"/>
        <v>2</v>
      </c>
      <c r="K162" s="60">
        <f t="shared" si="43"/>
        <v>1</v>
      </c>
      <c r="L162" s="60">
        <f t="shared" si="43"/>
        <v>5</v>
      </c>
      <c r="M162" s="60">
        <f t="shared" si="43"/>
        <v>8</v>
      </c>
      <c r="N162" s="6">
        <f t="shared" si="42"/>
        <v>22</v>
      </c>
    </row>
    <row r="163" ht="12.75" customHeight="1">
      <c r="A163" s="54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6"/>
    </row>
    <row r="164" ht="12.75" customHeight="1">
      <c r="A164" s="32" t="s">
        <v>37</v>
      </c>
      <c r="B164" s="49" t="s">
        <v>140</v>
      </c>
      <c r="C164" s="50" t="s">
        <v>141</v>
      </c>
      <c r="D164" s="9"/>
      <c r="E164" s="13">
        <v>0.0</v>
      </c>
      <c r="F164" s="13">
        <v>0.0</v>
      </c>
      <c r="G164" s="13">
        <v>0.0</v>
      </c>
      <c r="H164" s="13">
        <v>0.0</v>
      </c>
      <c r="I164" s="13">
        <v>0.0</v>
      </c>
      <c r="J164" s="13">
        <v>0.0</v>
      </c>
      <c r="K164" s="13">
        <v>0.0</v>
      </c>
      <c r="L164" s="13">
        <v>0.0</v>
      </c>
      <c r="M164" s="13">
        <v>1.0</v>
      </c>
      <c r="N164" s="6">
        <f t="shared" ref="N164:N171" si="44">SUM(E164:M164)</f>
        <v>1</v>
      </c>
    </row>
    <row r="165" ht="12.75" customHeight="1">
      <c r="A165" s="32"/>
      <c r="B165" s="49"/>
      <c r="C165" s="52" t="s">
        <v>142</v>
      </c>
      <c r="D165" s="61"/>
      <c r="E165" s="13">
        <v>0.0</v>
      </c>
      <c r="F165" s="13">
        <v>0.0</v>
      </c>
      <c r="G165" s="13">
        <v>0.0</v>
      </c>
      <c r="H165" s="13">
        <v>0.0</v>
      </c>
      <c r="I165" s="13">
        <v>0.0</v>
      </c>
      <c r="J165" s="13">
        <v>0.0</v>
      </c>
      <c r="K165" s="13">
        <v>0.0</v>
      </c>
      <c r="L165" s="13">
        <v>0.0</v>
      </c>
      <c r="M165" s="13">
        <v>0.0</v>
      </c>
      <c r="N165" s="6">
        <f t="shared" si="44"/>
        <v>0</v>
      </c>
    </row>
    <row r="166" ht="12.75" customHeight="1">
      <c r="A166" s="32"/>
      <c r="B166" s="49"/>
      <c r="C166" s="52" t="s">
        <v>143</v>
      </c>
      <c r="D166" s="61"/>
      <c r="E166" s="13">
        <v>0.0</v>
      </c>
      <c r="F166" s="13">
        <v>1.0</v>
      </c>
      <c r="G166" s="13">
        <v>0.0</v>
      </c>
      <c r="H166" s="13">
        <v>0.0</v>
      </c>
      <c r="I166" s="13">
        <v>0.0</v>
      </c>
      <c r="J166" s="13">
        <v>0.0</v>
      </c>
      <c r="K166" s="13">
        <v>0.0</v>
      </c>
      <c r="L166" s="13">
        <v>0.0</v>
      </c>
      <c r="M166" s="13">
        <v>0.0</v>
      </c>
      <c r="N166" s="6">
        <f t="shared" si="44"/>
        <v>1</v>
      </c>
    </row>
    <row r="167" ht="12.75" customHeight="1">
      <c r="A167" s="32"/>
      <c r="B167" s="49"/>
      <c r="C167" s="52" t="s">
        <v>144</v>
      </c>
      <c r="D167" s="61"/>
      <c r="E167" s="13">
        <v>0.0</v>
      </c>
      <c r="F167" s="13">
        <v>0.0</v>
      </c>
      <c r="G167" s="13">
        <v>0.0</v>
      </c>
      <c r="H167" s="13">
        <v>0.0</v>
      </c>
      <c r="I167" s="13">
        <v>0.0</v>
      </c>
      <c r="J167" s="13">
        <v>0.0</v>
      </c>
      <c r="K167" s="13">
        <v>0.0</v>
      </c>
      <c r="L167" s="13">
        <v>0.0</v>
      </c>
      <c r="M167" s="13">
        <v>0.0</v>
      </c>
      <c r="N167" s="6">
        <f t="shared" si="44"/>
        <v>0</v>
      </c>
    </row>
    <row r="168" ht="12.75" customHeight="1">
      <c r="A168" s="32" t="s">
        <v>39</v>
      </c>
      <c r="B168" s="51"/>
      <c r="C168" s="52" t="s">
        <v>145</v>
      </c>
      <c r="D168" s="53"/>
      <c r="E168" s="13">
        <v>3.0</v>
      </c>
      <c r="F168" s="13">
        <v>0.0</v>
      </c>
      <c r="G168" s="13">
        <v>1.0</v>
      </c>
      <c r="H168" s="13">
        <v>0.0</v>
      </c>
      <c r="I168" s="13">
        <v>0.0</v>
      </c>
      <c r="J168" s="13">
        <v>1.0</v>
      </c>
      <c r="K168" s="13">
        <v>5.0</v>
      </c>
      <c r="L168" s="13">
        <v>0.0</v>
      </c>
      <c r="M168" s="13">
        <v>0.0</v>
      </c>
      <c r="N168" s="6">
        <f t="shared" si="44"/>
        <v>10</v>
      </c>
    </row>
    <row r="169" ht="12.75" customHeight="1">
      <c r="A169" s="18"/>
      <c r="B169" s="51"/>
      <c r="C169" s="52" t="s">
        <v>146</v>
      </c>
      <c r="D169" s="53"/>
      <c r="E169" s="13">
        <v>0.0</v>
      </c>
      <c r="F169" s="13">
        <v>0.0</v>
      </c>
      <c r="G169" s="13">
        <v>0.0</v>
      </c>
      <c r="H169" s="13">
        <v>0.0</v>
      </c>
      <c r="I169" s="13">
        <v>0.0</v>
      </c>
      <c r="J169" s="13">
        <v>0.0</v>
      </c>
      <c r="K169" s="13">
        <v>0.0</v>
      </c>
      <c r="L169" s="13">
        <v>0.0</v>
      </c>
      <c r="M169" s="13">
        <v>0.0</v>
      </c>
      <c r="N169" s="6">
        <f t="shared" si="44"/>
        <v>0</v>
      </c>
    </row>
    <row r="170" ht="12.75" customHeight="1">
      <c r="A170" s="18"/>
      <c r="B170" s="51"/>
      <c r="C170" s="52" t="s">
        <v>147</v>
      </c>
      <c r="D170" s="53"/>
      <c r="E170" s="13">
        <v>0.0</v>
      </c>
      <c r="F170" s="13">
        <v>0.0</v>
      </c>
      <c r="G170" s="13">
        <v>0.0</v>
      </c>
      <c r="H170" s="13">
        <v>0.0</v>
      </c>
      <c r="I170" s="13">
        <v>0.0</v>
      </c>
      <c r="J170" s="13">
        <v>0.0</v>
      </c>
      <c r="K170" s="13">
        <v>0.0</v>
      </c>
      <c r="L170" s="13">
        <v>0.0</v>
      </c>
      <c r="M170" s="13">
        <v>0.0</v>
      </c>
      <c r="N170" s="6">
        <f t="shared" si="44"/>
        <v>0</v>
      </c>
    </row>
    <row r="171" ht="12.75" customHeight="1">
      <c r="A171" s="13" t="s">
        <v>15</v>
      </c>
      <c r="B171" s="49" t="s">
        <v>46</v>
      </c>
      <c r="C171" s="8"/>
      <c r="D171" s="9"/>
      <c r="E171" s="60">
        <f t="shared" ref="E171:M171" si="45">SUM(E164:E170)</f>
        <v>3</v>
      </c>
      <c r="F171" s="60">
        <f t="shared" si="45"/>
        <v>1</v>
      </c>
      <c r="G171" s="60">
        <f t="shared" si="45"/>
        <v>1</v>
      </c>
      <c r="H171" s="60">
        <f t="shared" si="45"/>
        <v>0</v>
      </c>
      <c r="I171" s="60">
        <f t="shared" si="45"/>
        <v>0</v>
      </c>
      <c r="J171" s="60">
        <f t="shared" si="45"/>
        <v>1</v>
      </c>
      <c r="K171" s="60">
        <f t="shared" si="45"/>
        <v>5</v>
      </c>
      <c r="L171" s="60">
        <f t="shared" si="45"/>
        <v>0</v>
      </c>
      <c r="M171" s="60">
        <f t="shared" si="45"/>
        <v>1</v>
      </c>
      <c r="N171" s="6">
        <f t="shared" si="44"/>
        <v>12</v>
      </c>
    </row>
    <row r="172" ht="12.75" customHeight="1">
      <c r="A172" s="54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6"/>
    </row>
    <row r="173" ht="12.75" customHeight="1">
      <c r="A173" s="32" t="s">
        <v>37</v>
      </c>
      <c r="B173" s="49" t="s">
        <v>148</v>
      </c>
      <c r="C173" s="50" t="s">
        <v>149</v>
      </c>
      <c r="D173" s="9"/>
      <c r="E173" s="13">
        <v>0.0</v>
      </c>
      <c r="F173" s="13">
        <v>0.0</v>
      </c>
      <c r="G173" s="13">
        <v>0.0</v>
      </c>
      <c r="H173" s="13">
        <v>2.0</v>
      </c>
      <c r="I173" s="13">
        <v>2.0</v>
      </c>
      <c r="J173" s="13">
        <v>3.0</v>
      </c>
      <c r="K173" s="13">
        <v>2.0</v>
      </c>
      <c r="L173" s="13">
        <v>1.0</v>
      </c>
      <c r="M173" s="13">
        <v>1.0</v>
      </c>
      <c r="N173" s="6">
        <f t="shared" ref="N173:N180" si="46">SUM(E173:M173)</f>
        <v>11</v>
      </c>
    </row>
    <row r="174" ht="12.75" customHeight="1">
      <c r="A174" s="32" t="s">
        <v>39</v>
      </c>
      <c r="B174" s="51"/>
      <c r="C174" s="52" t="s">
        <v>150</v>
      </c>
      <c r="D174" s="53"/>
      <c r="E174" s="13">
        <v>0.0</v>
      </c>
      <c r="F174" s="13">
        <v>0.0</v>
      </c>
      <c r="G174" s="13">
        <v>0.0</v>
      </c>
      <c r="H174" s="13">
        <v>0.0</v>
      </c>
      <c r="I174" s="13">
        <v>1.0</v>
      </c>
      <c r="J174" s="13">
        <v>0.0</v>
      </c>
      <c r="K174" s="13">
        <v>3.0</v>
      </c>
      <c r="L174" s="13">
        <v>0.0</v>
      </c>
      <c r="M174" s="13">
        <v>1.0</v>
      </c>
      <c r="N174" s="6">
        <f t="shared" si="46"/>
        <v>5</v>
      </c>
    </row>
    <row r="175" ht="12.75" customHeight="1">
      <c r="A175" s="18"/>
      <c r="B175" s="51"/>
      <c r="C175" s="52" t="s">
        <v>151</v>
      </c>
      <c r="D175" s="53"/>
      <c r="E175" s="13">
        <v>2.0</v>
      </c>
      <c r="F175" s="13">
        <v>1.0</v>
      </c>
      <c r="G175" s="13">
        <v>1.0</v>
      </c>
      <c r="H175" s="13">
        <v>0.0</v>
      </c>
      <c r="I175" s="13">
        <v>1.0</v>
      </c>
      <c r="J175" s="13">
        <v>0.0</v>
      </c>
      <c r="K175" s="13">
        <v>0.0</v>
      </c>
      <c r="L175" s="13">
        <v>0.0</v>
      </c>
      <c r="M175" s="13">
        <v>0.0</v>
      </c>
      <c r="N175" s="6">
        <f t="shared" si="46"/>
        <v>5</v>
      </c>
    </row>
    <row r="176" ht="12.75" customHeight="1">
      <c r="A176" s="18"/>
      <c r="B176" s="51"/>
      <c r="C176" s="52" t="s">
        <v>152</v>
      </c>
      <c r="D176" s="53"/>
      <c r="E176" s="13">
        <v>2.0</v>
      </c>
      <c r="F176" s="13">
        <v>0.0</v>
      </c>
      <c r="G176" s="13">
        <v>6.0</v>
      </c>
      <c r="H176" s="13">
        <v>7.0</v>
      </c>
      <c r="I176" s="13">
        <v>7.0</v>
      </c>
      <c r="J176" s="13">
        <v>7.0</v>
      </c>
      <c r="K176" s="13">
        <v>1.0</v>
      </c>
      <c r="L176" s="13">
        <v>4.0</v>
      </c>
      <c r="M176" s="13">
        <v>1.0</v>
      </c>
      <c r="N176" s="6">
        <f t="shared" si="46"/>
        <v>35</v>
      </c>
    </row>
    <row r="177" ht="12.75" customHeight="1">
      <c r="A177" s="18"/>
      <c r="B177" s="51"/>
      <c r="C177" s="52" t="s">
        <v>153</v>
      </c>
      <c r="D177" s="53"/>
      <c r="E177" s="13">
        <v>0.0</v>
      </c>
      <c r="F177" s="13">
        <v>0.0</v>
      </c>
      <c r="G177" s="13">
        <v>0.0</v>
      </c>
      <c r="H177" s="13">
        <v>0.0</v>
      </c>
      <c r="I177" s="13">
        <v>0.0</v>
      </c>
      <c r="J177" s="13">
        <v>0.0</v>
      </c>
      <c r="K177" s="13">
        <v>0.0</v>
      </c>
      <c r="L177" s="13">
        <v>0.0</v>
      </c>
      <c r="M177" s="13">
        <v>0.0</v>
      </c>
      <c r="N177" s="6">
        <f t="shared" si="46"/>
        <v>0</v>
      </c>
    </row>
    <row r="178" ht="12.75" customHeight="1">
      <c r="A178" s="18"/>
      <c r="B178" s="51"/>
      <c r="C178" s="52" t="s">
        <v>154</v>
      </c>
      <c r="D178" s="53"/>
      <c r="E178" s="13">
        <v>0.0</v>
      </c>
      <c r="F178" s="13">
        <v>0.0</v>
      </c>
      <c r="G178" s="13">
        <v>0.0</v>
      </c>
      <c r="H178" s="13">
        <v>0.0</v>
      </c>
      <c r="I178" s="13">
        <v>0.0</v>
      </c>
      <c r="J178" s="13">
        <v>0.0</v>
      </c>
      <c r="K178" s="13">
        <v>0.0</v>
      </c>
      <c r="L178" s="13">
        <v>0.0</v>
      </c>
      <c r="M178" s="13">
        <v>0.0</v>
      </c>
      <c r="N178" s="6">
        <f t="shared" si="46"/>
        <v>0</v>
      </c>
    </row>
    <row r="179" ht="12.75" customHeight="1">
      <c r="A179" s="18"/>
      <c r="B179" s="51"/>
      <c r="C179" s="52" t="s">
        <v>155</v>
      </c>
      <c r="D179" s="53"/>
      <c r="E179" s="13">
        <v>1.0</v>
      </c>
      <c r="F179" s="13">
        <v>0.0</v>
      </c>
      <c r="G179" s="13">
        <v>0.0</v>
      </c>
      <c r="H179" s="13">
        <v>1.0</v>
      </c>
      <c r="I179" s="13">
        <v>0.0</v>
      </c>
      <c r="J179" s="13">
        <v>0.0</v>
      </c>
      <c r="K179" s="13">
        <v>0.0</v>
      </c>
      <c r="L179" s="13">
        <v>0.0</v>
      </c>
      <c r="M179" s="13">
        <v>0.0</v>
      </c>
      <c r="N179" s="6">
        <f t="shared" si="46"/>
        <v>2</v>
      </c>
    </row>
    <row r="180" ht="12.75" customHeight="1">
      <c r="A180" s="13" t="s">
        <v>15</v>
      </c>
      <c r="B180" s="49" t="s">
        <v>46</v>
      </c>
      <c r="C180" s="8"/>
      <c r="D180" s="9"/>
      <c r="E180" s="60">
        <f t="shared" ref="E180:M180" si="47">SUM(E173:E179)</f>
        <v>5</v>
      </c>
      <c r="F180" s="60">
        <f t="shared" si="47"/>
        <v>1</v>
      </c>
      <c r="G180" s="60">
        <f t="shared" si="47"/>
        <v>7</v>
      </c>
      <c r="H180" s="60">
        <f t="shared" si="47"/>
        <v>10</v>
      </c>
      <c r="I180" s="60">
        <f t="shared" si="47"/>
        <v>11</v>
      </c>
      <c r="J180" s="60">
        <f t="shared" si="47"/>
        <v>10</v>
      </c>
      <c r="K180" s="60">
        <f t="shared" si="47"/>
        <v>6</v>
      </c>
      <c r="L180" s="60">
        <f t="shared" si="47"/>
        <v>5</v>
      </c>
      <c r="M180" s="60">
        <f t="shared" si="47"/>
        <v>3</v>
      </c>
      <c r="N180" s="6">
        <f t="shared" si="46"/>
        <v>58</v>
      </c>
    </row>
    <row r="181" ht="12.75" customHeight="1">
      <c r="A181" s="54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6"/>
    </row>
    <row r="182" ht="12.75" customHeight="1">
      <c r="A182" s="32" t="s">
        <v>37</v>
      </c>
      <c r="B182" s="49" t="s">
        <v>156</v>
      </c>
      <c r="C182" s="50" t="s">
        <v>157</v>
      </c>
      <c r="D182" s="9"/>
      <c r="E182" s="13">
        <v>1.0</v>
      </c>
      <c r="F182" s="13">
        <v>0.0</v>
      </c>
      <c r="G182" s="13">
        <v>0.0</v>
      </c>
      <c r="H182" s="13">
        <v>2.0</v>
      </c>
      <c r="I182" s="13">
        <v>0.0</v>
      </c>
      <c r="J182" s="13">
        <v>1.0</v>
      </c>
      <c r="K182" s="13">
        <v>0.0</v>
      </c>
      <c r="L182" s="13">
        <v>3.0</v>
      </c>
      <c r="M182" s="13">
        <v>0.0</v>
      </c>
      <c r="N182" s="6">
        <f t="shared" ref="N182:N187" si="48">SUM(E182:M182)</f>
        <v>7</v>
      </c>
    </row>
    <row r="183" ht="12.75" customHeight="1">
      <c r="A183" s="32"/>
      <c r="B183" s="49"/>
      <c r="C183" s="52" t="s">
        <v>158</v>
      </c>
      <c r="D183" s="61"/>
      <c r="E183" s="13">
        <v>2.0</v>
      </c>
      <c r="F183" s="13">
        <v>0.0</v>
      </c>
      <c r="G183" s="13">
        <v>2.0</v>
      </c>
      <c r="H183" s="13">
        <v>3.0</v>
      </c>
      <c r="I183" s="13">
        <v>4.0</v>
      </c>
      <c r="J183" s="13">
        <v>0.0</v>
      </c>
      <c r="K183" s="13">
        <v>0.0</v>
      </c>
      <c r="L183" s="13">
        <v>2.0</v>
      </c>
      <c r="M183" s="13">
        <v>0.0</v>
      </c>
      <c r="N183" s="6">
        <f t="shared" si="48"/>
        <v>13</v>
      </c>
    </row>
    <row r="184" ht="12.75" customHeight="1">
      <c r="A184" s="32"/>
      <c r="B184" s="49"/>
      <c r="C184" s="52" t="s">
        <v>159</v>
      </c>
      <c r="D184" s="61"/>
      <c r="E184" s="13">
        <v>13.0</v>
      </c>
      <c r="F184" s="13">
        <v>5.0</v>
      </c>
      <c r="G184" s="13">
        <v>1.0</v>
      </c>
      <c r="H184" s="13">
        <v>5.0</v>
      </c>
      <c r="I184" s="13">
        <v>10.0</v>
      </c>
      <c r="J184" s="13">
        <v>12.0</v>
      </c>
      <c r="K184" s="13">
        <v>4.0</v>
      </c>
      <c r="L184" s="13">
        <v>9.0</v>
      </c>
      <c r="M184" s="13">
        <v>7.0</v>
      </c>
      <c r="N184" s="6">
        <f t="shared" si="48"/>
        <v>66</v>
      </c>
    </row>
    <row r="185" ht="12.75" customHeight="1">
      <c r="A185" s="32"/>
      <c r="B185" s="49"/>
      <c r="C185" s="52" t="s">
        <v>160</v>
      </c>
      <c r="D185" s="61"/>
      <c r="E185" s="13">
        <v>0.0</v>
      </c>
      <c r="F185" s="13">
        <v>0.0</v>
      </c>
      <c r="G185" s="13">
        <v>0.0</v>
      </c>
      <c r="H185" s="13">
        <v>0.0</v>
      </c>
      <c r="I185" s="13">
        <v>0.0</v>
      </c>
      <c r="J185" s="13">
        <v>0.0</v>
      </c>
      <c r="K185" s="13">
        <v>0.0</v>
      </c>
      <c r="L185" s="13">
        <v>0.0</v>
      </c>
      <c r="M185" s="13">
        <v>0.0</v>
      </c>
      <c r="N185" s="6">
        <f t="shared" si="48"/>
        <v>0</v>
      </c>
    </row>
    <row r="186" ht="12.75" customHeight="1">
      <c r="A186" s="32" t="s">
        <v>39</v>
      </c>
      <c r="B186" s="51"/>
      <c r="C186" s="52" t="s">
        <v>161</v>
      </c>
      <c r="D186" s="53"/>
      <c r="E186" s="13">
        <v>0.0</v>
      </c>
      <c r="F186" s="13">
        <v>0.0</v>
      </c>
      <c r="G186" s="13">
        <v>0.0</v>
      </c>
      <c r="H186" s="13">
        <v>0.0</v>
      </c>
      <c r="I186" s="13">
        <v>0.0</v>
      </c>
      <c r="J186" s="13">
        <v>0.0</v>
      </c>
      <c r="K186" s="13">
        <v>0.0</v>
      </c>
      <c r="L186" s="13">
        <v>0.0</v>
      </c>
      <c r="M186" s="13">
        <v>0.0</v>
      </c>
      <c r="N186" s="6">
        <f t="shared" si="48"/>
        <v>0</v>
      </c>
    </row>
    <row r="187" ht="12.75" customHeight="1">
      <c r="A187" s="13" t="s">
        <v>15</v>
      </c>
      <c r="B187" s="49" t="s">
        <v>46</v>
      </c>
      <c r="C187" s="8"/>
      <c r="D187" s="9"/>
      <c r="E187" s="60">
        <f t="shared" ref="E187:M187" si="49">SUM(E182:E186)</f>
        <v>16</v>
      </c>
      <c r="F187" s="60">
        <f t="shared" si="49"/>
        <v>5</v>
      </c>
      <c r="G187" s="60">
        <f t="shared" si="49"/>
        <v>3</v>
      </c>
      <c r="H187" s="60">
        <f t="shared" si="49"/>
        <v>10</v>
      </c>
      <c r="I187" s="60">
        <f t="shared" si="49"/>
        <v>14</v>
      </c>
      <c r="J187" s="60">
        <f t="shared" si="49"/>
        <v>13</v>
      </c>
      <c r="K187" s="60">
        <f t="shared" si="49"/>
        <v>4</v>
      </c>
      <c r="L187" s="60">
        <f t="shared" si="49"/>
        <v>14</v>
      </c>
      <c r="M187" s="60">
        <f t="shared" si="49"/>
        <v>7</v>
      </c>
      <c r="N187" s="6">
        <f t="shared" si="48"/>
        <v>86</v>
      </c>
    </row>
    <row r="188" ht="12.75" customHeight="1">
      <c r="A188" s="21"/>
      <c r="B188" s="8"/>
      <c r="C188" s="8"/>
      <c r="D188" s="9"/>
      <c r="E188" s="21"/>
      <c r="F188" s="21"/>
      <c r="G188" s="21"/>
      <c r="H188" s="21"/>
      <c r="I188" s="21"/>
      <c r="J188" s="21"/>
      <c r="K188" s="21"/>
      <c r="L188" s="21"/>
      <c r="M188" s="21"/>
      <c r="N188" s="6"/>
    </row>
    <row r="189" ht="12.75" customHeight="1">
      <c r="A189" s="47"/>
      <c r="B189" s="46"/>
      <c r="C189" s="46"/>
      <c r="D189" s="27"/>
      <c r="E189" s="13"/>
      <c r="F189" s="13"/>
      <c r="G189" s="13"/>
      <c r="H189" s="13"/>
      <c r="I189" s="13"/>
      <c r="J189" s="13"/>
      <c r="K189" s="13"/>
      <c r="L189" s="13"/>
      <c r="M189" s="13"/>
      <c r="N189" s="6"/>
    </row>
    <row r="190" ht="12.75" customHeight="1">
      <c r="A190" s="44" t="s">
        <v>162</v>
      </c>
      <c r="B190" s="7" t="s">
        <v>163</v>
      </c>
      <c r="C190" s="8"/>
      <c r="D190" s="9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ht="12.75" customHeight="1">
      <c r="A191" s="44"/>
      <c r="B191" s="63" t="s">
        <v>164</v>
      </c>
      <c r="C191" s="64" t="s">
        <v>165</v>
      </c>
      <c r="D191" s="9"/>
      <c r="E191" s="13">
        <f t="shared" ref="E191:M191" si="50">E187+E180+E171+E162+E154+E145+E136+E127+E123+E114+E110+E101+E92+E88+E79+E70+E61+E52</f>
        <v>218</v>
      </c>
      <c r="F191" s="13">
        <f t="shared" si="50"/>
        <v>161</v>
      </c>
      <c r="G191" s="13">
        <f t="shared" si="50"/>
        <v>208</v>
      </c>
      <c r="H191" s="13">
        <f t="shared" si="50"/>
        <v>195</v>
      </c>
      <c r="I191" s="13">
        <f t="shared" si="50"/>
        <v>198</v>
      </c>
      <c r="J191" s="13">
        <f t="shared" si="50"/>
        <v>183</v>
      </c>
      <c r="K191" s="13">
        <f t="shared" si="50"/>
        <v>186</v>
      </c>
      <c r="L191" s="13">
        <f t="shared" si="50"/>
        <v>181</v>
      </c>
      <c r="M191" s="13">
        <f t="shared" si="50"/>
        <v>175</v>
      </c>
      <c r="N191" s="6">
        <f t="shared" ref="N191:N193" si="51">SUM(E191:M191)</f>
        <v>1705</v>
      </c>
    </row>
    <row r="192" ht="12.75" customHeight="1">
      <c r="A192" s="37"/>
      <c r="B192" s="63" t="s">
        <v>166</v>
      </c>
      <c r="C192" s="64" t="s">
        <v>167</v>
      </c>
      <c r="D192" s="9"/>
      <c r="E192" s="13">
        <v>8.0</v>
      </c>
      <c r="F192" s="13">
        <v>16.0</v>
      </c>
      <c r="G192" s="13">
        <v>5.0</v>
      </c>
      <c r="H192" s="13">
        <v>11.0</v>
      </c>
      <c r="I192" s="13">
        <v>8.0</v>
      </c>
      <c r="J192" s="13">
        <v>17.0</v>
      </c>
      <c r="K192" s="13">
        <v>20.0</v>
      </c>
      <c r="L192" s="13">
        <v>19.0</v>
      </c>
      <c r="M192" s="13">
        <v>13.0</v>
      </c>
      <c r="N192" s="6">
        <f t="shared" si="51"/>
        <v>117</v>
      </c>
    </row>
    <row r="193" ht="12.75" customHeight="1">
      <c r="A193" s="42"/>
      <c r="B193" s="63" t="s">
        <v>168</v>
      </c>
      <c r="C193" s="64" t="s">
        <v>169</v>
      </c>
      <c r="D193" s="9"/>
      <c r="E193" s="6">
        <f t="shared" ref="E193:M193" si="52">SUM(E191:E192)</f>
        <v>226</v>
      </c>
      <c r="F193" s="6">
        <f t="shared" si="52"/>
        <v>177</v>
      </c>
      <c r="G193" s="6">
        <f t="shared" si="52"/>
        <v>213</v>
      </c>
      <c r="H193" s="6">
        <f t="shared" si="52"/>
        <v>206</v>
      </c>
      <c r="I193" s="6">
        <f t="shared" si="52"/>
        <v>206</v>
      </c>
      <c r="J193" s="6">
        <f t="shared" si="52"/>
        <v>200</v>
      </c>
      <c r="K193" s="6">
        <f t="shared" si="52"/>
        <v>206</v>
      </c>
      <c r="L193" s="6">
        <f t="shared" si="52"/>
        <v>200</v>
      </c>
      <c r="M193" s="6">
        <f t="shared" si="52"/>
        <v>188</v>
      </c>
      <c r="N193" s="6">
        <f t="shared" si="51"/>
        <v>1822</v>
      </c>
    </row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110:D110"/>
    <mergeCell ref="C112:D112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5:D145"/>
    <mergeCell ref="C147:D147"/>
    <mergeCell ref="B154:D154"/>
    <mergeCell ref="C156:D156"/>
    <mergeCell ref="A188:D188"/>
    <mergeCell ref="A189:D189"/>
    <mergeCell ref="B190:D190"/>
    <mergeCell ref="C191:D191"/>
    <mergeCell ref="C192:D192"/>
    <mergeCell ref="C193:D193"/>
    <mergeCell ref="B162:D162"/>
    <mergeCell ref="C164:D164"/>
    <mergeCell ref="B171:D171"/>
    <mergeCell ref="C173:D173"/>
    <mergeCell ref="B180:D180"/>
    <mergeCell ref="C182:D182"/>
    <mergeCell ref="B187:D187"/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101:D101"/>
    <mergeCell ref="C103:D103"/>
  </mergeCells>
  <conditionalFormatting sqref="E30:M30">
    <cfRule type="expression" dxfId="0" priority="1">
      <formula>E30&lt;&gt;E62</formula>
    </cfRule>
  </conditionalFormatting>
  <conditionalFormatting sqref="E34:M34">
    <cfRule type="expression" dxfId="0" priority="2">
      <formula>E34&lt;&gt;E62</formula>
    </cfRule>
  </conditionalFormatting>
  <conditionalFormatting sqref="E14:M15">
    <cfRule type="containsBlanks" dxfId="1" priority="3">
      <formula>LEN(TRIM(E14))=0</formula>
    </cfRule>
  </conditionalFormatting>
  <conditionalFormatting sqref="E19:M20">
    <cfRule type="containsBlanks" dxfId="1" priority="4">
      <formula>LEN(TRIM(E19))=0</formula>
    </cfRule>
  </conditionalFormatting>
  <conditionalFormatting sqref="E22:M23 E25:M26 E33:M33 E35:M35 E39:M40">
    <cfRule type="containsBlanks" dxfId="1" priority="5">
      <formula>LEN(TRIM(E22))=0</formula>
    </cfRule>
  </conditionalFormatting>
  <conditionalFormatting sqref="E30:M30">
    <cfRule type="expression" dxfId="0" priority="6">
      <formula>E30&lt;&gt;E34</formula>
    </cfRule>
  </conditionalFormatting>
  <conditionalFormatting sqref="E34:M34">
    <cfRule type="expression" dxfId="2" priority="7">
      <formula>E30&lt;&gt;E34</formula>
    </cfRule>
  </conditionalFormatting>
  <conditionalFormatting sqref="E34:M34">
    <cfRule type="expression" dxfId="3" priority="8">
      <formula>E30=E34</formula>
    </cfRule>
  </conditionalFormatting>
  <conditionalFormatting sqref="E34:M34">
    <cfRule type="expression" dxfId="0" priority="9">
      <formula>E34&lt;&gt;E30</formula>
    </cfRule>
  </conditionalFormatting>
  <conditionalFormatting sqref="E45:M51">
    <cfRule type="containsBlanks" dxfId="1" priority="10">
      <formula>LEN(TRIM(E45))=0</formula>
    </cfRule>
  </conditionalFormatting>
  <conditionalFormatting sqref="E54:M60">
    <cfRule type="containsBlanks" dxfId="1" priority="11">
      <formula>LEN(TRIM(E54))=0</formula>
    </cfRule>
  </conditionalFormatting>
  <conditionalFormatting sqref="E63:M69">
    <cfRule type="containsBlanks" dxfId="1" priority="12">
      <formula>LEN(TRIM(E63))=0</formula>
    </cfRule>
  </conditionalFormatting>
  <conditionalFormatting sqref="E72:M78">
    <cfRule type="containsBlanks" dxfId="1" priority="13">
      <formula>LEN(TRIM(E72))=0</formula>
    </cfRule>
  </conditionalFormatting>
  <conditionalFormatting sqref="E81:M87">
    <cfRule type="containsBlanks" dxfId="1" priority="14">
      <formula>LEN(TRIM(E81))=0</formula>
    </cfRule>
  </conditionalFormatting>
  <conditionalFormatting sqref="E90:M91">
    <cfRule type="containsBlanks" dxfId="1" priority="15">
      <formula>LEN(TRIM(E90))=0</formula>
    </cfRule>
  </conditionalFormatting>
  <conditionalFormatting sqref="E94:M100">
    <cfRule type="containsBlanks" dxfId="1" priority="16">
      <formula>LEN(TRIM(E94))=0</formula>
    </cfRule>
  </conditionalFormatting>
  <conditionalFormatting sqref="E103:M109">
    <cfRule type="containsBlanks" dxfId="1" priority="17">
      <formula>LEN(TRIM(E103))=0</formula>
    </cfRule>
  </conditionalFormatting>
  <conditionalFormatting sqref="E112:M113">
    <cfRule type="containsBlanks" dxfId="1" priority="18">
      <formula>LEN(TRIM(E112))=0</formula>
    </cfRule>
  </conditionalFormatting>
  <conditionalFormatting sqref="E116:M122">
    <cfRule type="containsBlanks" dxfId="1" priority="19">
      <formula>LEN(TRIM(E116))=0</formula>
    </cfRule>
  </conditionalFormatting>
  <conditionalFormatting sqref="E125:M126">
    <cfRule type="containsBlanks" dxfId="1" priority="20">
      <formula>LEN(TRIM(E125))=0</formula>
    </cfRule>
  </conditionalFormatting>
  <conditionalFormatting sqref="E129:M135">
    <cfRule type="containsBlanks" dxfId="1" priority="21">
      <formula>LEN(TRIM(E129))=0</formula>
    </cfRule>
  </conditionalFormatting>
  <conditionalFormatting sqref="E138:M144">
    <cfRule type="containsBlanks" dxfId="1" priority="22">
      <formula>LEN(TRIM(E138))=0</formula>
    </cfRule>
  </conditionalFormatting>
  <conditionalFormatting sqref="E147:M153">
    <cfRule type="containsBlanks" dxfId="1" priority="23">
      <formula>LEN(TRIM(E147))=0</formula>
    </cfRule>
  </conditionalFormatting>
  <conditionalFormatting sqref="E156:M161">
    <cfRule type="containsBlanks" dxfId="1" priority="24">
      <formula>LEN(TRIM(E156))=0</formula>
    </cfRule>
  </conditionalFormatting>
  <conditionalFormatting sqref="E164:M170">
    <cfRule type="containsBlanks" dxfId="1" priority="25">
      <formula>LEN(TRIM(E164))=0</formula>
    </cfRule>
  </conditionalFormatting>
  <conditionalFormatting sqref="E173:M179">
    <cfRule type="containsBlanks" dxfId="1" priority="26">
      <formula>LEN(TRIM(E173))=0</formula>
    </cfRule>
  </conditionalFormatting>
  <conditionalFormatting sqref="E182:M186">
    <cfRule type="containsBlanks" dxfId="1" priority="27">
      <formula>LEN(TRIM(E182))=0</formula>
    </cfRule>
  </conditionalFormatting>
  <conditionalFormatting sqref="E191:M192">
    <cfRule type="containsBlanks" dxfId="1" priority="28">
      <formula>LEN(TRIM(E191))=0</formula>
    </cfRule>
  </conditionalFormatting>
  <conditionalFormatting sqref="E193:M193">
    <cfRule type="expression" dxfId="0" priority="29">
      <formula>E193&lt;&gt;#REF!</formula>
    </cfRule>
  </conditionalFormatting>
  <conditionalFormatting sqref="E193:M193">
    <cfRule type="expression" dxfId="2" priority="30">
      <formula>#REF!&lt;&gt;E193</formula>
    </cfRule>
  </conditionalFormatting>
  <conditionalFormatting sqref="E193:M193">
    <cfRule type="expression" dxfId="3" priority="31">
      <formula>#REF!=E193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</cols>
  <sheetData>
    <row r="1" ht="12.75" customHeight="1"/>
    <row r="2" ht="12.75" customHeight="1">
      <c r="C2" s="1" t="s">
        <v>0</v>
      </c>
      <c r="D2" s="1" t="s">
        <v>1</v>
      </c>
    </row>
    <row r="3" ht="12.75" customHeight="1">
      <c r="C3" s="1" t="s">
        <v>2</v>
      </c>
      <c r="D3" s="1" t="s">
        <v>3</v>
      </c>
    </row>
    <row r="4" ht="12.75" customHeight="1">
      <c r="C4" s="1" t="s">
        <v>4</v>
      </c>
      <c r="D4" s="1" t="s">
        <v>5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170</v>
      </c>
      <c r="D9" s="1" t="s">
        <v>1</v>
      </c>
    </row>
    <row r="10" ht="12.75" customHeight="1"/>
    <row r="11" ht="12.75" customHeight="1"/>
    <row r="12" ht="12.75" customHeight="1">
      <c r="A12" s="6" t="s">
        <v>6</v>
      </c>
      <c r="B12" s="7" t="s">
        <v>7</v>
      </c>
      <c r="C12" s="8"/>
      <c r="D12" s="8"/>
      <c r="E12" s="28"/>
      <c r="F12" s="8"/>
      <c r="G12" s="8"/>
      <c r="H12" s="8"/>
      <c r="I12" s="8"/>
      <c r="J12" s="8"/>
      <c r="K12" s="8"/>
      <c r="L12" s="9"/>
      <c r="M12" s="39" t="s">
        <v>8</v>
      </c>
    </row>
    <row r="13" ht="12.75" customHeight="1">
      <c r="A13" s="13" t="s">
        <v>9</v>
      </c>
      <c r="B13" s="14" t="s">
        <v>10</v>
      </c>
      <c r="C13" s="8"/>
      <c r="D13" s="9"/>
      <c r="E13" s="42" t="s">
        <v>172</v>
      </c>
      <c r="F13" s="42" t="s">
        <v>173</v>
      </c>
      <c r="G13" s="42" t="s">
        <v>174</v>
      </c>
      <c r="H13" s="42" t="s">
        <v>175</v>
      </c>
      <c r="I13" s="42" t="s">
        <v>176</v>
      </c>
      <c r="J13" s="42" t="s">
        <v>177</v>
      </c>
      <c r="K13" s="42" t="s">
        <v>178</v>
      </c>
      <c r="L13" s="42" t="s">
        <v>179</v>
      </c>
      <c r="M13" s="27"/>
    </row>
    <row r="14" ht="12.75" customHeight="1">
      <c r="A14" s="18"/>
      <c r="B14" s="19" t="s">
        <v>11</v>
      </c>
      <c r="C14" s="20"/>
      <c r="D14" s="13" t="s">
        <v>12</v>
      </c>
      <c r="E14" s="13">
        <v>129.0</v>
      </c>
      <c r="F14" s="13">
        <v>118.0</v>
      </c>
      <c r="G14" s="72">
        <v>128.0</v>
      </c>
      <c r="H14" s="13">
        <v>113.0</v>
      </c>
      <c r="I14" s="13">
        <v>131.0</v>
      </c>
      <c r="J14" s="13">
        <v>112.0</v>
      </c>
      <c r="K14" s="13">
        <v>123.0</v>
      </c>
      <c r="L14" s="13">
        <v>88.0</v>
      </c>
      <c r="M14" s="6">
        <f t="shared" ref="M14:M16" si="1">SUM(E14:L14)</f>
        <v>942</v>
      </c>
    </row>
    <row r="15" ht="12.75" customHeight="1">
      <c r="A15" s="18"/>
      <c r="B15" s="25"/>
      <c r="C15" s="26"/>
      <c r="D15" s="13" t="s">
        <v>13</v>
      </c>
      <c r="E15" s="13">
        <v>126.0</v>
      </c>
      <c r="F15" s="13">
        <v>117.0</v>
      </c>
      <c r="G15" s="13">
        <v>116.0</v>
      </c>
      <c r="H15" s="13">
        <v>129.0</v>
      </c>
      <c r="I15" s="13">
        <v>138.0</v>
      </c>
      <c r="J15" s="13">
        <v>128.0</v>
      </c>
      <c r="K15" s="13">
        <v>163.0</v>
      </c>
      <c r="L15" s="13">
        <v>106.0</v>
      </c>
      <c r="M15" s="6">
        <f t="shared" si="1"/>
        <v>1023</v>
      </c>
    </row>
    <row r="16" ht="12.75" customHeight="1">
      <c r="A16" s="16"/>
      <c r="B16" s="15"/>
      <c r="C16" s="27"/>
      <c r="D16" s="6" t="s">
        <v>14</v>
      </c>
      <c r="E16" s="6">
        <f t="shared" ref="E16:L16" si="2">SUM(E14:E15)</f>
        <v>255</v>
      </c>
      <c r="F16" s="6">
        <f t="shared" si="2"/>
        <v>235</v>
      </c>
      <c r="G16" s="6">
        <f t="shared" si="2"/>
        <v>244</v>
      </c>
      <c r="H16" s="6">
        <f t="shared" si="2"/>
        <v>242</v>
      </c>
      <c r="I16" s="6">
        <f t="shared" si="2"/>
        <v>269</v>
      </c>
      <c r="J16" s="6">
        <f t="shared" si="2"/>
        <v>240</v>
      </c>
      <c r="K16" s="6">
        <f t="shared" si="2"/>
        <v>286</v>
      </c>
      <c r="L16" s="6">
        <f t="shared" si="2"/>
        <v>194</v>
      </c>
      <c r="M16" s="6">
        <f t="shared" si="1"/>
        <v>1965</v>
      </c>
    </row>
    <row r="17" ht="12.75" customHeight="1">
      <c r="A17" s="21"/>
      <c r="B17" s="8"/>
      <c r="C17" s="8"/>
      <c r="D17" s="9"/>
      <c r="E17" s="13"/>
      <c r="F17" s="13"/>
      <c r="G17" s="13"/>
      <c r="H17" s="13"/>
      <c r="I17" s="13"/>
      <c r="J17" s="13"/>
      <c r="K17" s="13"/>
      <c r="L17" s="13"/>
      <c r="M17" s="6"/>
    </row>
    <row r="18" ht="12.75" customHeight="1">
      <c r="A18" s="32" t="s">
        <v>15</v>
      </c>
      <c r="B18" s="14" t="s">
        <v>16</v>
      </c>
      <c r="C18" s="8"/>
      <c r="D18" s="9"/>
      <c r="E18" s="13"/>
      <c r="F18" s="13"/>
      <c r="G18" s="13"/>
      <c r="H18" s="13"/>
      <c r="I18" s="13"/>
      <c r="J18" s="13"/>
      <c r="K18" s="13"/>
      <c r="L18" s="13"/>
      <c r="M18" s="6"/>
    </row>
    <row r="19" ht="12.75" customHeight="1">
      <c r="A19" s="32"/>
      <c r="B19" s="33" t="s">
        <v>17</v>
      </c>
      <c r="C19" s="34" t="s">
        <v>18</v>
      </c>
      <c r="D19" s="13" t="s">
        <v>12</v>
      </c>
      <c r="E19" s="13">
        <v>106.0</v>
      </c>
      <c r="F19" s="13">
        <v>99.0</v>
      </c>
      <c r="G19" s="13">
        <v>105.0</v>
      </c>
      <c r="H19" s="13">
        <v>97.0</v>
      </c>
      <c r="I19" s="13">
        <v>112.0</v>
      </c>
      <c r="J19" s="13">
        <v>98.0</v>
      </c>
      <c r="K19" s="13">
        <v>99.0</v>
      </c>
      <c r="L19" s="13">
        <v>72.0</v>
      </c>
      <c r="M19" s="6">
        <f t="shared" ref="M19:M30" si="3">SUM(E19:L19)</f>
        <v>788</v>
      </c>
    </row>
    <row r="20" ht="12.75" customHeight="1">
      <c r="A20" s="35"/>
      <c r="B20" s="26"/>
      <c r="C20" s="36"/>
      <c r="D20" s="13" t="s">
        <v>13</v>
      </c>
      <c r="E20" s="13">
        <v>101.0</v>
      </c>
      <c r="F20" s="13">
        <v>105.0</v>
      </c>
      <c r="G20" s="13">
        <v>96.0</v>
      </c>
      <c r="H20" s="13">
        <v>120.0</v>
      </c>
      <c r="I20" s="13">
        <v>115.0</v>
      </c>
      <c r="J20" s="13">
        <v>116.0</v>
      </c>
      <c r="K20" s="13">
        <v>131.0</v>
      </c>
      <c r="L20" s="13">
        <v>90.0</v>
      </c>
      <c r="M20" s="6">
        <f t="shared" si="3"/>
        <v>874</v>
      </c>
    </row>
    <row r="21" ht="12.75" customHeight="1">
      <c r="A21" s="37"/>
      <c r="B21" s="27"/>
      <c r="C21" s="38"/>
      <c r="D21" s="6" t="s">
        <v>14</v>
      </c>
      <c r="E21" s="6">
        <f t="shared" ref="E21:L21" si="4">SUM(E19:E20)</f>
        <v>207</v>
      </c>
      <c r="F21" s="6">
        <f t="shared" si="4"/>
        <v>204</v>
      </c>
      <c r="G21" s="6">
        <f t="shared" si="4"/>
        <v>201</v>
      </c>
      <c r="H21" s="6">
        <f t="shared" si="4"/>
        <v>217</v>
      </c>
      <c r="I21" s="6">
        <f t="shared" si="4"/>
        <v>227</v>
      </c>
      <c r="J21" s="6">
        <f t="shared" si="4"/>
        <v>214</v>
      </c>
      <c r="K21" s="6">
        <f t="shared" si="4"/>
        <v>230</v>
      </c>
      <c r="L21" s="6">
        <f t="shared" si="4"/>
        <v>162</v>
      </c>
      <c r="M21" s="6">
        <f t="shared" si="3"/>
        <v>1662</v>
      </c>
    </row>
    <row r="22" ht="12.75" customHeight="1">
      <c r="A22" s="35"/>
      <c r="B22" s="33" t="s">
        <v>19</v>
      </c>
      <c r="C22" s="34" t="s">
        <v>20</v>
      </c>
      <c r="D22" s="13" t="s">
        <v>12</v>
      </c>
      <c r="E22" s="13">
        <v>0.0</v>
      </c>
      <c r="F22" s="13">
        <v>0.0</v>
      </c>
      <c r="G22" s="13">
        <v>0.0</v>
      </c>
      <c r="H22" s="13">
        <v>0.0</v>
      </c>
      <c r="I22" s="13">
        <v>0.0</v>
      </c>
      <c r="J22" s="13">
        <v>1.0</v>
      </c>
      <c r="K22" s="13">
        <v>0.0</v>
      </c>
      <c r="L22" s="13">
        <v>0.0</v>
      </c>
      <c r="M22" s="6">
        <f t="shared" si="3"/>
        <v>1</v>
      </c>
    </row>
    <row r="23" ht="12.75" customHeight="1">
      <c r="A23" s="35"/>
      <c r="B23" s="26"/>
      <c r="C23" s="36"/>
      <c r="D23" s="13" t="s">
        <v>13</v>
      </c>
      <c r="E23" s="13">
        <v>0.0</v>
      </c>
      <c r="F23" s="13">
        <v>0.0</v>
      </c>
      <c r="G23" s="13">
        <v>0.0</v>
      </c>
      <c r="H23" s="13">
        <v>0.0</v>
      </c>
      <c r="I23" s="13">
        <v>0.0</v>
      </c>
      <c r="J23" s="13">
        <v>0.0</v>
      </c>
      <c r="K23" s="13">
        <v>0.0</v>
      </c>
      <c r="L23" s="13">
        <v>0.0</v>
      </c>
      <c r="M23" s="6">
        <f t="shared" si="3"/>
        <v>0</v>
      </c>
    </row>
    <row r="24" ht="12.75" customHeight="1">
      <c r="A24" s="37"/>
      <c r="B24" s="27"/>
      <c r="C24" s="38"/>
      <c r="D24" s="6" t="s">
        <v>14</v>
      </c>
      <c r="E24" s="6">
        <f t="shared" ref="E24:L24" si="5">SUM(E22:E23)</f>
        <v>0</v>
      </c>
      <c r="F24" s="6">
        <f t="shared" si="5"/>
        <v>0</v>
      </c>
      <c r="G24" s="6">
        <f t="shared" si="5"/>
        <v>0</v>
      </c>
      <c r="H24" s="6">
        <f t="shared" si="5"/>
        <v>0</v>
      </c>
      <c r="I24" s="6">
        <f t="shared" si="5"/>
        <v>0</v>
      </c>
      <c r="J24" s="6">
        <f t="shared" si="5"/>
        <v>1</v>
      </c>
      <c r="K24" s="6">
        <f t="shared" si="5"/>
        <v>0</v>
      </c>
      <c r="L24" s="6">
        <f t="shared" si="5"/>
        <v>0</v>
      </c>
      <c r="M24" s="6">
        <f t="shared" si="3"/>
        <v>1</v>
      </c>
    </row>
    <row r="25" ht="12.75" customHeight="1">
      <c r="A25" s="35"/>
      <c r="B25" s="33" t="s">
        <v>21</v>
      </c>
      <c r="C25" s="34" t="s">
        <v>22</v>
      </c>
      <c r="D25" s="13" t="s">
        <v>12</v>
      </c>
      <c r="E25" s="13">
        <v>1.0</v>
      </c>
      <c r="F25" s="13">
        <v>1.0</v>
      </c>
      <c r="G25" s="13">
        <v>1.0</v>
      </c>
      <c r="H25" s="13">
        <v>2.0</v>
      </c>
      <c r="I25" s="13">
        <v>2.0</v>
      </c>
      <c r="J25" s="13">
        <v>0.0</v>
      </c>
      <c r="K25" s="13">
        <v>2.0</v>
      </c>
      <c r="L25" s="13">
        <v>0.0</v>
      </c>
      <c r="M25" s="6">
        <f t="shared" si="3"/>
        <v>9</v>
      </c>
    </row>
    <row r="26" ht="12.75" customHeight="1">
      <c r="A26" s="35"/>
      <c r="B26" s="26"/>
      <c r="C26" s="36"/>
      <c r="D26" s="13" t="s">
        <v>13</v>
      </c>
      <c r="E26" s="13">
        <v>2.0</v>
      </c>
      <c r="F26" s="13">
        <v>0.0</v>
      </c>
      <c r="G26" s="13">
        <v>6.0</v>
      </c>
      <c r="H26" s="13">
        <v>1.0</v>
      </c>
      <c r="I26" s="13">
        <v>1.0</v>
      </c>
      <c r="J26" s="13">
        <v>1.0</v>
      </c>
      <c r="K26" s="13">
        <v>7.0</v>
      </c>
      <c r="L26" s="13">
        <v>1.0</v>
      </c>
      <c r="M26" s="6">
        <f t="shared" si="3"/>
        <v>19</v>
      </c>
    </row>
    <row r="27" ht="12.75" customHeight="1">
      <c r="A27" s="37"/>
      <c r="B27" s="27"/>
      <c r="C27" s="38"/>
      <c r="D27" s="6" t="s">
        <v>14</v>
      </c>
      <c r="E27" s="6">
        <f t="shared" ref="E27:L27" si="6">SUM(E25:E26)</f>
        <v>3</v>
      </c>
      <c r="F27" s="6">
        <f t="shared" si="6"/>
        <v>1</v>
      </c>
      <c r="G27" s="6">
        <f t="shared" si="6"/>
        <v>7</v>
      </c>
      <c r="H27" s="6">
        <f t="shared" si="6"/>
        <v>3</v>
      </c>
      <c r="I27" s="6">
        <f t="shared" si="6"/>
        <v>3</v>
      </c>
      <c r="J27" s="6">
        <f t="shared" si="6"/>
        <v>1</v>
      </c>
      <c r="K27" s="6">
        <f t="shared" si="6"/>
        <v>9</v>
      </c>
      <c r="L27" s="6">
        <f t="shared" si="6"/>
        <v>1</v>
      </c>
      <c r="M27" s="6">
        <f t="shared" si="3"/>
        <v>28</v>
      </c>
    </row>
    <row r="28" ht="12.75" customHeight="1">
      <c r="A28" s="37"/>
      <c r="B28" s="39" t="s">
        <v>23</v>
      </c>
      <c r="C28" s="40" t="s">
        <v>24</v>
      </c>
      <c r="D28" s="6" t="s">
        <v>12</v>
      </c>
      <c r="E28" s="6">
        <f t="shared" ref="E28:L28" si="7">SUM(E19,E22,E25)</f>
        <v>107</v>
      </c>
      <c r="F28" s="6">
        <f t="shared" si="7"/>
        <v>100</v>
      </c>
      <c r="G28" s="6">
        <f t="shared" si="7"/>
        <v>106</v>
      </c>
      <c r="H28" s="6">
        <f t="shared" si="7"/>
        <v>99</v>
      </c>
      <c r="I28" s="6">
        <f t="shared" si="7"/>
        <v>114</v>
      </c>
      <c r="J28" s="6">
        <f t="shared" si="7"/>
        <v>99</v>
      </c>
      <c r="K28" s="6">
        <f t="shared" si="7"/>
        <v>101</v>
      </c>
      <c r="L28" s="6">
        <f t="shared" si="7"/>
        <v>72</v>
      </c>
      <c r="M28" s="6">
        <f t="shared" si="3"/>
        <v>798</v>
      </c>
    </row>
    <row r="29" ht="12.75" customHeight="1">
      <c r="A29" s="37"/>
      <c r="B29" s="26"/>
      <c r="C29" s="36"/>
      <c r="D29" s="6" t="s">
        <v>13</v>
      </c>
      <c r="E29" s="6">
        <f t="shared" ref="E29:L29" si="8">SUM(E20,E23,E26)</f>
        <v>103</v>
      </c>
      <c r="F29" s="6">
        <f t="shared" si="8"/>
        <v>105</v>
      </c>
      <c r="G29" s="6">
        <f t="shared" si="8"/>
        <v>102</v>
      </c>
      <c r="H29" s="6">
        <f t="shared" si="8"/>
        <v>121</v>
      </c>
      <c r="I29" s="6">
        <f t="shared" si="8"/>
        <v>116</v>
      </c>
      <c r="J29" s="6">
        <f t="shared" si="8"/>
        <v>117</v>
      </c>
      <c r="K29" s="6">
        <f t="shared" si="8"/>
        <v>138</v>
      </c>
      <c r="L29" s="6">
        <f t="shared" si="8"/>
        <v>91</v>
      </c>
      <c r="M29" s="6">
        <f t="shared" si="3"/>
        <v>893</v>
      </c>
    </row>
    <row r="30" ht="12.75" customHeight="1">
      <c r="A30" s="37"/>
      <c r="B30" s="27"/>
      <c r="C30" s="38"/>
      <c r="D30" s="6" t="s">
        <v>14</v>
      </c>
      <c r="E30" s="6">
        <f t="shared" ref="E30:L30" si="9">SUM(E28:E29)</f>
        <v>210</v>
      </c>
      <c r="F30" s="6">
        <f t="shared" si="9"/>
        <v>205</v>
      </c>
      <c r="G30" s="6">
        <f t="shared" si="9"/>
        <v>208</v>
      </c>
      <c r="H30" s="6">
        <f t="shared" si="9"/>
        <v>220</v>
      </c>
      <c r="I30" s="6">
        <f t="shared" si="9"/>
        <v>230</v>
      </c>
      <c r="J30" s="6">
        <f t="shared" si="9"/>
        <v>216</v>
      </c>
      <c r="K30" s="6">
        <f t="shared" si="9"/>
        <v>239</v>
      </c>
      <c r="L30" s="6">
        <f t="shared" si="9"/>
        <v>163</v>
      </c>
      <c r="M30" s="6">
        <f t="shared" si="3"/>
        <v>1691</v>
      </c>
    </row>
    <row r="31" ht="12.75" customHeight="1">
      <c r="A31" s="21"/>
      <c r="B31" s="8"/>
      <c r="C31" s="8"/>
      <c r="D31" s="9"/>
      <c r="E31" s="13"/>
      <c r="F31" s="13"/>
      <c r="G31" s="13"/>
      <c r="H31" s="13"/>
      <c r="I31" s="13"/>
      <c r="J31" s="13"/>
      <c r="K31" s="13"/>
      <c r="L31" s="13"/>
      <c r="M31" s="6"/>
    </row>
    <row r="32" ht="12.75" customHeight="1">
      <c r="A32" s="42" t="s">
        <v>25</v>
      </c>
      <c r="B32" s="7" t="s">
        <v>26</v>
      </c>
      <c r="C32" s="8"/>
      <c r="D32" s="9"/>
      <c r="E32" s="6"/>
      <c r="F32" s="6"/>
      <c r="G32" s="6"/>
      <c r="H32" s="6"/>
      <c r="I32" s="6"/>
      <c r="J32" s="6"/>
      <c r="K32" s="6"/>
      <c r="L32" s="6"/>
      <c r="M32" s="6"/>
    </row>
    <row r="33" ht="12.75" customHeight="1">
      <c r="A33" s="13">
        <v>1.0</v>
      </c>
      <c r="B33" s="14" t="s">
        <v>27</v>
      </c>
      <c r="C33" s="8"/>
      <c r="D33" s="9"/>
      <c r="E33" s="13">
        <v>261.0</v>
      </c>
      <c r="F33" s="13">
        <v>240.0</v>
      </c>
      <c r="G33" s="13">
        <v>249.0</v>
      </c>
      <c r="H33" s="13">
        <v>247.0</v>
      </c>
      <c r="I33" s="13">
        <v>275.0</v>
      </c>
      <c r="J33" s="13">
        <v>245.0</v>
      </c>
      <c r="K33" s="13">
        <v>292.0</v>
      </c>
      <c r="L33" s="13">
        <v>199.0</v>
      </c>
      <c r="M33" s="6">
        <f t="shared" ref="M33:M36" si="10">SUM(E33:L33)</f>
        <v>2008</v>
      </c>
    </row>
    <row r="34" ht="12.75" customHeight="1">
      <c r="A34" s="13">
        <v>2.0</v>
      </c>
      <c r="B34" s="14" t="s">
        <v>28</v>
      </c>
      <c r="C34" s="8"/>
      <c r="D34" s="9"/>
      <c r="E34" s="6">
        <v>210.0</v>
      </c>
      <c r="F34" s="6">
        <v>205.0</v>
      </c>
      <c r="G34" s="6">
        <v>208.0</v>
      </c>
      <c r="H34" s="6">
        <v>220.0</v>
      </c>
      <c r="I34" s="6">
        <v>230.0</v>
      </c>
      <c r="J34" s="6">
        <v>216.0</v>
      </c>
      <c r="K34" s="6">
        <v>239.0</v>
      </c>
      <c r="L34" s="6">
        <v>163.0</v>
      </c>
      <c r="M34" s="6">
        <f t="shared" si="10"/>
        <v>1691</v>
      </c>
    </row>
    <row r="35" ht="12.75" customHeight="1">
      <c r="A35" s="13">
        <v>3.0</v>
      </c>
      <c r="B35" s="14" t="s">
        <v>29</v>
      </c>
      <c r="C35" s="8"/>
      <c r="D35" s="9"/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3">
        <v>0.0</v>
      </c>
      <c r="K35" s="13">
        <v>0.0</v>
      </c>
      <c r="L35" s="13">
        <v>0.0</v>
      </c>
      <c r="M35" s="6">
        <f t="shared" si="10"/>
        <v>0</v>
      </c>
    </row>
    <row r="36" ht="12.75" customHeight="1">
      <c r="A36" s="13">
        <v>4.0</v>
      </c>
      <c r="B36" s="14" t="s">
        <v>30</v>
      </c>
      <c r="C36" s="8"/>
      <c r="D36" s="9"/>
      <c r="E36" s="6">
        <f t="shared" ref="E36:L36" si="11">E33-(E34+E35)</f>
        <v>51</v>
      </c>
      <c r="F36" s="6">
        <f t="shared" si="11"/>
        <v>35</v>
      </c>
      <c r="G36" s="6">
        <f t="shared" si="11"/>
        <v>41</v>
      </c>
      <c r="H36" s="6">
        <f t="shared" si="11"/>
        <v>27</v>
      </c>
      <c r="I36" s="6">
        <f t="shared" si="11"/>
        <v>45</v>
      </c>
      <c r="J36" s="6">
        <f t="shared" si="11"/>
        <v>29</v>
      </c>
      <c r="K36" s="6">
        <f t="shared" si="11"/>
        <v>53</v>
      </c>
      <c r="L36" s="6">
        <f t="shared" si="11"/>
        <v>36</v>
      </c>
      <c r="M36" s="6">
        <f t="shared" si="10"/>
        <v>317</v>
      </c>
    </row>
    <row r="37" ht="12.75" customHeight="1">
      <c r="A37" s="21"/>
      <c r="B37" s="8"/>
      <c r="C37" s="8"/>
      <c r="D37" s="8"/>
      <c r="E37" s="21"/>
      <c r="F37" s="8"/>
      <c r="G37" s="8"/>
      <c r="H37" s="8"/>
      <c r="I37" s="9"/>
      <c r="J37" s="13"/>
      <c r="K37" s="13"/>
      <c r="L37" s="13"/>
      <c r="M37" s="6"/>
    </row>
    <row r="38" ht="12.75" customHeight="1">
      <c r="A38" s="44" t="s">
        <v>31</v>
      </c>
      <c r="B38" s="7" t="s">
        <v>32</v>
      </c>
      <c r="C38" s="8"/>
      <c r="D38" s="9"/>
      <c r="E38" s="6"/>
      <c r="F38" s="6"/>
      <c r="G38" s="6"/>
      <c r="H38" s="6"/>
      <c r="I38" s="6"/>
      <c r="J38" s="6"/>
      <c r="K38" s="6"/>
      <c r="L38" s="6"/>
      <c r="M38" s="6"/>
    </row>
    <row r="39" ht="12.75" customHeight="1">
      <c r="A39" s="32"/>
      <c r="B39" s="45" t="s">
        <v>33</v>
      </c>
      <c r="C39" s="20"/>
      <c r="D39" s="13" t="s">
        <v>12</v>
      </c>
      <c r="E39" s="13"/>
      <c r="F39" s="13"/>
      <c r="G39" s="13">
        <v>1.0</v>
      </c>
      <c r="H39" s="13"/>
      <c r="I39" s="13"/>
      <c r="J39" s="13"/>
      <c r="K39" s="13"/>
      <c r="L39" s="13"/>
      <c r="M39" s="6">
        <f t="shared" ref="M39:M41" si="12">SUM(E39:L39)</f>
        <v>1</v>
      </c>
    </row>
    <row r="40" ht="12.75" customHeight="1">
      <c r="A40" s="35"/>
      <c r="C40" s="26"/>
      <c r="D40" s="13" t="s">
        <v>13</v>
      </c>
      <c r="E40" s="13"/>
      <c r="F40" s="13"/>
      <c r="G40" s="13">
        <v>3.0</v>
      </c>
      <c r="H40" s="13"/>
      <c r="I40" s="13"/>
      <c r="J40" s="13"/>
      <c r="K40" s="13"/>
      <c r="L40" s="13">
        <v>1.0</v>
      </c>
      <c r="M40" s="6">
        <f t="shared" si="12"/>
        <v>4</v>
      </c>
    </row>
    <row r="41" ht="12.75" customHeight="1">
      <c r="A41" s="42"/>
      <c r="B41" s="46"/>
      <c r="C41" s="27"/>
      <c r="D41" s="6" t="s">
        <v>14</v>
      </c>
      <c r="E41" s="6">
        <f t="shared" ref="E41:L41" si="13">SUM(E39:E40)</f>
        <v>0</v>
      </c>
      <c r="F41" s="6">
        <f t="shared" si="13"/>
        <v>0</v>
      </c>
      <c r="G41" s="6">
        <f t="shared" si="13"/>
        <v>4</v>
      </c>
      <c r="H41" s="6">
        <f t="shared" si="13"/>
        <v>0</v>
      </c>
      <c r="I41" s="6">
        <f t="shared" si="13"/>
        <v>0</v>
      </c>
      <c r="J41" s="6">
        <f t="shared" si="13"/>
        <v>0</v>
      </c>
      <c r="K41" s="6">
        <f t="shared" si="13"/>
        <v>0</v>
      </c>
      <c r="L41" s="6">
        <f t="shared" si="13"/>
        <v>1</v>
      </c>
      <c r="M41" s="6">
        <f t="shared" si="12"/>
        <v>5</v>
      </c>
    </row>
    <row r="42" ht="12.75" customHeight="1">
      <c r="A42" s="47"/>
      <c r="B42" s="46"/>
      <c r="C42" s="46"/>
      <c r="D42" s="27"/>
      <c r="E42" s="21"/>
      <c r="F42" s="8"/>
      <c r="G42" s="8"/>
      <c r="H42" s="8"/>
      <c r="I42" s="9"/>
      <c r="J42" s="13"/>
      <c r="K42" s="13"/>
      <c r="L42" s="13"/>
      <c r="M42" s="6"/>
    </row>
    <row r="43" ht="12.75" customHeight="1">
      <c r="A43" s="44" t="s">
        <v>34</v>
      </c>
      <c r="B43" s="7" t="s">
        <v>35</v>
      </c>
      <c r="C43" s="8"/>
      <c r="D43" s="9"/>
      <c r="E43" s="28"/>
      <c r="F43" s="6"/>
      <c r="G43" s="6"/>
      <c r="H43" s="6"/>
      <c r="I43" s="6"/>
      <c r="J43" s="6"/>
      <c r="K43" s="6"/>
      <c r="L43" s="6"/>
      <c r="M43" s="6"/>
    </row>
    <row r="44" ht="12.75" customHeight="1">
      <c r="A44" s="45" t="s">
        <v>36</v>
      </c>
      <c r="B44" s="48"/>
      <c r="C44" s="48"/>
      <c r="D44" s="20"/>
      <c r="E44" s="21"/>
      <c r="F44" s="13"/>
      <c r="G44" s="13"/>
      <c r="H44" s="13"/>
      <c r="I44" s="13"/>
      <c r="J44" s="13"/>
      <c r="K44" s="13"/>
      <c r="L44" s="13"/>
      <c r="M44" s="6"/>
    </row>
    <row r="45" ht="12.75" customHeight="1">
      <c r="A45" s="32" t="s">
        <v>37</v>
      </c>
      <c r="B45" s="49" t="s">
        <v>17</v>
      </c>
      <c r="C45" s="50" t="s">
        <v>38</v>
      </c>
      <c r="D45" s="9"/>
      <c r="E45" s="13">
        <v>2.0</v>
      </c>
      <c r="F45" s="13">
        <v>7.0</v>
      </c>
      <c r="G45" s="13">
        <v>4.0</v>
      </c>
      <c r="H45" s="13">
        <v>4.0</v>
      </c>
      <c r="I45" s="13">
        <v>3.0</v>
      </c>
      <c r="J45" s="13">
        <v>4.0</v>
      </c>
      <c r="K45" s="13">
        <v>3.0</v>
      </c>
      <c r="L45" s="13">
        <v>1.0</v>
      </c>
      <c r="M45" s="6">
        <f t="shared" ref="M45:M52" si="14">SUM(E45:L45)</f>
        <v>28</v>
      </c>
    </row>
    <row r="46" ht="12.75" customHeight="1">
      <c r="A46" s="32" t="s">
        <v>39</v>
      </c>
      <c r="B46" s="51"/>
      <c r="C46" s="52" t="s">
        <v>40</v>
      </c>
      <c r="D46" s="53"/>
      <c r="E46" s="13">
        <v>1.0</v>
      </c>
      <c r="F46" s="13">
        <v>1.0</v>
      </c>
      <c r="G46" s="13">
        <v>3.0</v>
      </c>
      <c r="H46" s="13">
        <v>1.0</v>
      </c>
      <c r="I46" s="13">
        <v>2.0</v>
      </c>
      <c r="J46" s="13">
        <v>2.0</v>
      </c>
      <c r="K46" s="13">
        <v>2.0</v>
      </c>
      <c r="L46" s="13">
        <v>0.0</v>
      </c>
      <c r="M46" s="6">
        <f t="shared" si="14"/>
        <v>12</v>
      </c>
    </row>
    <row r="47" ht="12.75" customHeight="1">
      <c r="A47" s="18"/>
      <c r="B47" s="51"/>
      <c r="C47" s="52" t="s">
        <v>41</v>
      </c>
      <c r="D47" s="53"/>
      <c r="E47" s="13">
        <v>0.0</v>
      </c>
      <c r="F47" s="13">
        <v>3.0</v>
      </c>
      <c r="G47" s="13">
        <v>1.0</v>
      </c>
      <c r="H47" s="13">
        <v>1.0</v>
      </c>
      <c r="I47" s="13">
        <v>0.0</v>
      </c>
      <c r="J47" s="13">
        <v>1.0</v>
      </c>
      <c r="K47" s="13">
        <v>1.0</v>
      </c>
      <c r="L47" s="13">
        <v>0.0</v>
      </c>
      <c r="M47" s="6">
        <f t="shared" si="14"/>
        <v>7</v>
      </c>
    </row>
    <row r="48" ht="12.75" customHeight="1">
      <c r="A48" s="18"/>
      <c r="B48" s="51"/>
      <c r="C48" s="52" t="s">
        <v>42</v>
      </c>
      <c r="D48" s="53"/>
      <c r="E48" s="13">
        <v>0.0</v>
      </c>
      <c r="F48" s="13">
        <v>0.0</v>
      </c>
      <c r="G48" s="13">
        <v>2.0</v>
      </c>
      <c r="H48" s="13">
        <v>0.0</v>
      </c>
      <c r="I48" s="13">
        <v>0.0</v>
      </c>
      <c r="J48" s="13">
        <v>0.0</v>
      </c>
      <c r="K48" s="13">
        <v>5.0</v>
      </c>
      <c r="L48" s="13">
        <v>0.0</v>
      </c>
      <c r="M48" s="6">
        <f t="shared" si="14"/>
        <v>7</v>
      </c>
    </row>
    <row r="49" ht="12.75" customHeight="1">
      <c r="A49" s="18"/>
      <c r="B49" s="51"/>
      <c r="C49" s="52" t="s">
        <v>43</v>
      </c>
      <c r="D49" s="53"/>
      <c r="E49" s="13">
        <v>0.0</v>
      </c>
      <c r="F49" s="13">
        <v>0.0</v>
      </c>
      <c r="G49" s="13">
        <v>0.0</v>
      </c>
      <c r="H49" s="13">
        <v>0.0</v>
      </c>
      <c r="I49" s="13">
        <v>0.0</v>
      </c>
      <c r="J49" s="13">
        <v>0.0</v>
      </c>
      <c r="K49" s="13">
        <v>0.0</v>
      </c>
      <c r="L49" s="13">
        <v>0.0</v>
      </c>
      <c r="M49" s="6">
        <f t="shared" si="14"/>
        <v>0</v>
      </c>
    </row>
    <row r="50" ht="12.75" customHeight="1">
      <c r="A50" s="18"/>
      <c r="B50" s="51"/>
      <c r="C50" s="52" t="s">
        <v>44</v>
      </c>
      <c r="D50" s="53"/>
      <c r="E50" s="13">
        <v>0.0</v>
      </c>
      <c r="F50" s="13">
        <v>0.0</v>
      </c>
      <c r="G50" s="13">
        <v>0.0</v>
      </c>
      <c r="H50" s="13">
        <v>0.0</v>
      </c>
      <c r="I50" s="13">
        <v>0.0</v>
      </c>
      <c r="J50" s="13">
        <v>0.0</v>
      </c>
      <c r="K50" s="13">
        <v>0.0</v>
      </c>
      <c r="L50" s="13">
        <v>0.0</v>
      </c>
      <c r="M50" s="6">
        <f t="shared" si="14"/>
        <v>0</v>
      </c>
    </row>
    <row r="51" ht="12.75" customHeight="1">
      <c r="A51" s="18"/>
      <c r="B51" s="51"/>
      <c r="C51" s="52" t="s">
        <v>45</v>
      </c>
      <c r="D51" s="53"/>
      <c r="E51" s="13">
        <v>0.0</v>
      </c>
      <c r="F51" s="13">
        <v>0.0</v>
      </c>
      <c r="G51" s="13">
        <v>1.0</v>
      </c>
      <c r="H51" s="13">
        <v>3.0</v>
      </c>
      <c r="I51" s="13">
        <v>0.0</v>
      </c>
      <c r="J51" s="13">
        <v>0.0</v>
      </c>
      <c r="K51" s="13">
        <v>0.0</v>
      </c>
      <c r="L51" s="13">
        <v>0.0</v>
      </c>
      <c r="M51" s="6">
        <f t="shared" si="14"/>
        <v>4</v>
      </c>
    </row>
    <row r="52" ht="12.75" customHeight="1">
      <c r="A52" s="13" t="s">
        <v>15</v>
      </c>
      <c r="B52" s="49" t="s">
        <v>46</v>
      </c>
      <c r="C52" s="8"/>
      <c r="D52" s="9"/>
      <c r="E52" s="60">
        <f t="shared" ref="E52:L52" si="15">SUM(E45:E51)</f>
        <v>3</v>
      </c>
      <c r="F52" s="60">
        <f t="shared" si="15"/>
        <v>11</v>
      </c>
      <c r="G52" s="60">
        <f t="shared" si="15"/>
        <v>11</v>
      </c>
      <c r="H52" s="60">
        <f t="shared" si="15"/>
        <v>9</v>
      </c>
      <c r="I52" s="60">
        <f t="shared" si="15"/>
        <v>5</v>
      </c>
      <c r="J52" s="60">
        <f t="shared" si="15"/>
        <v>7</v>
      </c>
      <c r="K52" s="60">
        <f t="shared" si="15"/>
        <v>11</v>
      </c>
      <c r="L52" s="60">
        <f t="shared" si="15"/>
        <v>1</v>
      </c>
      <c r="M52" s="6">
        <f t="shared" si="14"/>
        <v>58</v>
      </c>
    </row>
    <row r="53" ht="12.75" customHeight="1">
      <c r="A53" s="5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6"/>
    </row>
    <row r="54" ht="12.75" customHeight="1">
      <c r="A54" s="32" t="s">
        <v>37</v>
      </c>
      <c r="B54" s="49" t="s">
        <v>19</v>
      </c>
      <c r="C54" s="50" t="s">
        <v>47</v>
      </c>
      <c r="D54" s="9"/>
      <c r="E54" s="13">
        <v>5.0</v>
      </c>
      <c r="F54" s="13">
        <v>7.0</v>
      </c>
      <c r="G54" s="13">
        <v>5.0</v>
      </c>
      <c r="H54" s="13">
        <v>3.0</v>
      </c>
      <c r="I54" s="13">
        <v>5.0</v>
      </c>
      <c r="J54" s="13">
        <v>9.0</v>
      </c>
      <c r="K54" s="13">
        <v>7.0</v>
      </c>
      <c r="L54" s="13">
        <v>2.0</v>
      </c>
      <c r="M54" s="6">
        <f t="shared" ref="M54:M61" si="16">SUM(E54:L54)</f>
        <v>43</v>
      </c>
    </row>
    <row r="55" ht="12.75" customHeight="1">
      <c r="A55" s="32" t="s">
        <v>39</v>
      </c>
      <c r="B55" s="51"/>
      <c r="C55" s="52" t="s">
        <v>48</v>
      </c>
      <c r="D55" s="53"/>
      <c r="E55" s="13">
        <v>3.0</v>
      </c>
      <c r="F55" s="13">
        <v>1.0</v>
      </c>
      <c r="G55" s="13">
        <v>1.0</v>
      </c>
      <c r="H55" s="13">
        <v>0.0</v>
      </c>
      <c r="I55" s="13">
        <v>7.0</v>
      </c>
      <c r="J55" s="13">
        <v>8.0</v>
      </c>
      <c r="K55" s="13">
        <v>5.0</v>
      </c>
      <c r="L55" s="13">
        <v>3.0</v>
      </c>
      <c r="M55" s="6">
        <f t="shared" si="16"/>
        <v>28</v>
      </c>
    </row>
    <row r="56" ht="12.75" customHeight="1">
      <c r="A56" s="18"/>
      <c r="B56" s="51"/>
      <c r="C56" s="52" t="s">
        <v>49</v>
      </c>
      <c r="D56" s="53"/>
      <c r="E56" s="13">
        <v>1.0</v>
      </c>
      <c r="F56" s="13">
        <v>3.0</v>
      </c>
      <c r="G56" s="13">
        <v>4.0</v>
      </c>
      <c r="H56" s="13">
        <v>1.0</v>
      </c>
      <c r="I56" s="13">
        <v>1.0</v>
      </c>
      <c r="J56" s="13">
        <v>3.0</v>
      </c>
      <c r="K56" s="13">
        <v>8.0</v>
      </c>
      <c r="L56" s="13">
        <v>1.0</v>
      </c>
      <c r="M56" s="6">
        <f t="shared" si="16"/>
        <v>22</v>
      </c>
    </row>
    <row r="57" ht="12.75" customHeight="1">
      <c r="A57" s="18"/>
      <c r="B57" s="51"/>
      <c r="C57" s="52" t="s">
        <v>50</v>
      </c>
      <c r="D57" s="53"/>
      <c r="E57" s="13">
        <v>1.0</v>
      </c>
      <c r="F57" s="13">
        <v>2.0</v>
      </c>
      <c r="G57" s="13">
        <v>1.0</v>
      </c>
      <c r="H57" s="13">
        <v>1.0</v>
      </c>
      <c r="I57" s="13">
        <v>0.0</v>
      </c>
      <c r="J57" s="13">
        <v>0.0</v>
      </c>
      <c r="K57" s="13">
        <v>0.0</v>
      </c>
      <c r="L57" s="13">
        <v>0.0</v>
      </c>
      <c r="M57" s="6">
        <f t="shared" si="16"/>
        <v>5</v>
      </c>
    </row>
    <row r="58" ht="12.75" customHeight="1">
      <c r="A58" s="18"/>
      <c r="B58" s="51"/>
      <c r="C58" s="52" t="s">
        <v>51</v>
      </c>
      <c r="D58" s="53"/>
      <c r="E58" s="13">
        <v>0.0</v>
      </c>
      <c r="F58" s="13">
        <v>0.0</v>
      </c>
      <c r="G58" s="13">
        <v>0.0</v>
      </c>
      <c r="H58" s="13">
        <v>1.0</v>
      </c>
      <c r="I58" s="13">
        <v>0.0</v>
      </c>
      <c r="J58" s="13">
        <v>0.0</v>
      </c>
      <c r="K58" s="13">
        <v>0.0</v>
      </c>
      <c r="L58" s="13">
        <v>0.0</v>
      </c>
      <c r="M58" s="6">
        <f t="shared" si="16"/>
        <v>1</v>
      </c>
    </row>
    <row r="59" ht="12.75" customHeight="1">
      <c r="A59" s="18"/>
      <c r="B59" s="51"/>
      <c r="C59" s="52" t="s">
        <v>52</v>
      </c>
      <c r="D59" s="53"/>
      <c r="E59" s="13">
        <v>0.0</v>
      </c>
      <c r="F59" s="13">
        <v>0.0</v>
      </c>
      <c r="G59" s="13">
        <v>0.0</v>
      </c>
      <c r="H59" s="13">
        <v>2.0</v>
      </c>
      <c r="I59" s="13">
        <v>0.0</v>
      </c>
      <c r="J59" s="13">
        <v>0.0</v>
      </c>
      <c r="K59" s="13">
        <v>0.0</v>
      </c>
      <c r="L59" s="13">
        <v>1.0</v>
      </c>
      <c r="M59" s="6">
        <f t="shared" si="16"/>
        <v>3</v>
      </c>
    </row>
    <row r="60" ht="12.75" customHeight="1">
      <c r="A60" s="18"/>
      <c r="B60" s="51"/>
      <c r="C60" s="52" t="s">
        <v>53</v>
      </c>
      <c r="D60" s="53"/>
      <c r="E60" s="13">
        <v>0.0</v>
      </c>
      <c r="F60" s="13">
        <v>1.0</v>
      </c>
      <c r="G60" s="13">
        <v>0.0</v>
      </c>
      <c r="H60" s="13">
        <v>0.0</v>
      </c>
      <c r="I60" s="13">
        <v>0.0</v>
      </c>
      <c r="J60" s="13">
        <v>0.0</v>
      </c>
      <c r="K60" s="13">
        <v>0.0</v>
      </c>
      <c r="L60" s="13">
        <v>0.0</v>
      </c>
      <c r="M60" s="6">
        <f t="shared" si="16"/>
        <v>1</v>
      </c>
    </row>
    <row r="61" ht="12.75" customHeight="1">
      <c r="A61" s="13" t="s">
        <v>15</v>
      </c>
      <c r="B61" s="49" t="s">
        <v>46</v>
      </c>
      <c r="C61" s="8"/>
      <c r="D61" s="9"/>
      <c r="E61" s="60">
        <f t="shared" ref="E61:L61" si="17">SUM(E54:E60)</f>
        <v>10</v>
      </c>
      <c r="F61" s="60">
        <f t="shared" si="17"/>
        <v>14</v>
      </c>
      <c r="G61" s="60">
        <f t="shared" si="17"/>
        <v>11</v>
      </c>
      <c r="H61" s="60">
        <f t="shared" si="17"/>
        <v>8</v>
      </c>
      <c r="I61" s="60">
        <f t="shared" si="17"/>
        <v>13</v>
      </c>
      <c r="J61" s="60">
        <f t="shared" si="17"/>
        <v>20</v>
      </c>
      <c r="K61" s="60">
        <f t="shared" si="17"/>
        <v>20</v>
      </c>
      <c r="L61" s="60">
        <f t="shared" si="17"/>
        <v>7</v>
      </c>
      <c r="M61" s="6">
        <f t="shared" si="16"/>
        <v>103</v>
      </c>
    </row>
    <row r="62" ht="12.75" customHeight="1">
      <c r="A62" s="54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6"/>
    </row>
    <row r="63" ht="12.75" customHeight="1">
      <c r="A63" s="32" t="s">
        <v>37</v>
      </c>
      <c r="B63" s="49" t="s">
        <v>21</v>
      </c>
      <c r="C63" s="50" t="s">
        <v>54</v>
      </c>
      <c r="D63" s="9"/>
      <c r="E63" s="13">
        <v>11.0</v>
      </c>
      <c r="F63" s="13">
        <v>12.0</v>
      </c>
      <c r="G63" s="13">
        <v>2.0</v>
      </c>
      <c r="H63" s="13">
        <v>6.0</v>
      </c>
      <c r="I63" s="13">
        <v>19.0</v>
      </c>
      <c r="J63" s="13">
        <v>13.0</v>
      </c>
      <c r="K63" s="13">
        <v>7.0</v>
      </c>
      <c r="L63" s="13">
        <v>8.0</v>
      </c>
      <c r="M63" s="6">
        <f t="shared" ref="M63:M70" si="18">SUM(E63:L63)</f>
        <v>78</v>
      </c>
    </row>
    <row r="64" ht="12.75" customHeight="1">
      <c r="A64" s="32" t="s">
        <v>39</v>
      </c>
      <c r="B64" s="51"/>
      <c r="C64" s="52" t="s">
        <v>55</v>
      </c>
      <c r="D64" s="53"/>
      <c r="E64" s="13">
        <v>14.0</v>
      </c>
      <c r="F64" s="13">
        <v>2.0</v>
      </c>
      <c r="G64" s="13">
        <v>4.0</v>
      </c>
      <c r="H64" s="13">
        <v>0.0</v>
      </c>
      <c r="I64" s="13">
        <v>0.0</v>
      </c>
      <c r="J64" s="13">
        <v>5.0</v>
      </c>
      <c r="K64" s="13">
        <v>6.0</v>
      </c>
      <c r="L64" s="13">
        <v>1.0</v>
      </c>
      <c r="M64" s="6">
        <f t="shared" si="18"/>
        <v>32</v>
      </c>
    </row>
    <row r="65" ht="12.75" customHeight="1">
      <c r="A65" s="18"/>
      <c r="B65" s="51"/>
      <c r="C65" s="52" t="s">
        <v>56</v>
      </c>
      <c r="D65" s="53"/>
      <c r="E65" s="13">
        <v>3.0</v>
      </c>
      <c r="F65" s="13">
        <v>14.0</v>
      </c>
      <c r="G65" s="13">
        <v>7.0</v>
      </c>
      <c r="H65" s="13">
        <v>1.0</v>
      </c>
      <c r="I65" s="13">
        <v>5.0</v>
      </c>
      <c r="J65" s="13">
        <v>4.0</v>
      </c>
      <c r="K65" s="13">
        <v>6.0</v>
      </c>
      <c r="L65" s="13">
        <v>9.0</v>
      </c>
      <c r="M65" s="6">
        <f t="shared" si="18"/>
        <v>49</v>
      </c>
    </row>
    <row r="66" ht="12.75" customHeight="1">
      <c r="A66" s="18"/>
      <c r="B66" s="51"/>
      <c r="C66" s="52" t="s">
        <v>57</v>
      </c>
      <c r="D66" s="53"/>
      <c r="E66" s="13">
        <v>6.0</v>
      </c>
      <c r="F66" s="13">
        <v>10.0</v>
      </c>
      <c r="G66" s="13">
        <v>14.0</v>
      </c>
      <c r="H66" s="72">
        <v>16.0</v>
      </c>
      <c r="I66" s="13">
        <v>9.0</v>
      </c>
      <c r="J66" s="13">
        <v>16.0</v>
      </c>
      <c r="K66" s="13">
        <v>5.0</v>
      </c>
      <c r="L66" s="13">
        <v>3.0</v>
      </c>
      <c r="M66" s="6">
        <f t="shared" si="18"/>
        <v>79</v>
      </c>
    </row>
    <row r="67" ht="12.75" customHeight="1">
      <c r="A67" s="18"/>
      <c r="B67" s="51"/>
      <c r="C67" s="52" t="s">
        <v>58</v>
      </c>
      <c r="D67" s="53"/>
      <c r="E67" s="13">
        <v>1.0</v>
      </c>
      <c r="F67" s="13">
        <v>1.0</v>
      </c>
      <c r="G67" s="13">
        <v>0.0</v>
      </c>
      <c r="H67" s="13">
        <v>0.0</v>
      </c>
      <c r="I67" s="13">
        <v>0.0</v>
      </c>
      <c r="J67" s="13">
        <v>0.0</v>
      </c>
      <c r="K67" s="13">
        <v>1.0</v>
      </c>
      <c r="L67" s="13">
        <v>0.0</v>
      </c>
      <c r="M67" s="6">
        <f t="shared" si="18"/>
        <v>3</v>
      </c>
    </row>
    <row r="68" ht="12.75" customHeight="1">
      <c r="A68" s="18"/>
      <c r="B68" s="51"/>
      <c r="C68" s="52" t="s">
        <v>59</v>
      </c>
      <c r="D68" s="53"/>
      <c r="E68" s="13">
        <v>3.0</v>
      </c>
      <c r="F68" s="13">
        <v>3.0</v>
      </c>
      <c r="G68" s="13">
        <v>3.0</v>
      </c>
      <c r="H68" s="13">
        <v>0.0</v>
      </c>
      <c r="I68" s="13">
        <v>0.0</v>
      </c>
      <c r="J68" s="13">
        <v>2.0</v>
      </c>
      <c r="K68" s="13">
        <v>3.0</v>
      </c>
      <c r="L68" s="13">
        <v>3.0</v>
      </c>
      <c r="M68" s="6">
        <f t="shared" si="18"/>
        <v>17</v>
      </c>
    </row>
    <row r="69" ht="12.75" customHeight="1">
      <c r="A69" s="18"/>
      <c r="B69" s="51"/>
      <c r="C69" s="52" t="s">
        <v>60</v>
      </c>
      <c r="D69" s="53"/>
      <c r="E69" s="13">
        <v>32.0</v>
      </c>
      <c r="F69" s="13">
        <v>41.0</v>
      </c>
      <c r="G69" s="13">
        <v>16.0</v>
      </c>
      <c r="H69" s="13">
        <v>7.0</v>
      </c>
      <c r="I69" s="13">
        <v>13.0</v>
      </c>
      <c r="J69" s="13">
        <v>12.0</v>
      </c>
      <c r="K69" s="13">
        <v>15.0</v>
      </c>
      <c r="L69" s="13">
        <v>6.0</v>
      </c>
      <c r="M69" s="6">
        <f t="shared" si="18"/>
        <v>142</v>
      </c>
    </row>
    <row r="70" ht="12.75" customHeight="1">
      <c r="A70" s="13" t="s">
        <v>15</v>
      </c>
      <c r="B70" s="49" t="s">
        <v>46</v>
      </c>
      <c r="C70" s="8"/>
      <c r="D70" s="9"/>
      <c r="E70" s="60">
        <f t="shared" ref="E70:L70" si="19">SUM(E63:E69)</f>
        <v>70</v>
      </c>
      <c r="F70" s="60">
        <f t="shared" si="19"/>
        <v>83</v>
      </c>
      <c r="G70" s="60">
        <f t="shared" si="19"/>
        <v>46</v>
      </c>
      <c r="H70" s="60">
        <f t="shared" si="19"/>
        <v>30</v>
      </c>
      <c r="I70" s="60">
        <f t="shared" si="19"/>
        <v>46</v>
      </c>
      <c r="J70" s="60">
        <f t="shared" si="19"/>
        <v>52</v>
      </c>
      <c r="K70" s="60">
        <f t="shared" si="19"/>
        <v>43</v>
      </c>
      <c r="L70" s="60">
        <f t="shared" si="19"/>
        <v>30</v>
      </c>
      <c r="M70" s="6">
        <f t="shared" si="18"/>
        <v>400</v>
      </c>
    </row>
    <row r="71" ht="12.75" customHeight="1">
      <c r="A71" s="54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6"/>
    </row>
    <row r="72" ht="12.75" customHeight="1">
      <c r="A72" s="32" t="s">
        <v>37</v>
      </c>
      <c r="B72" s="49" t="s">
        <v>23</v>
      </c>
      <c r="C72" s="50" t="s">
        <v>61</v>
      </c>
      <c r="D72" s="9"/>
      <c r="E72" s="13">
        <v>2.0</v>
      </c>
      <c r="F72" s="13">
        <v>2.0</v>
      </c>
      <c r="G72" s="13">
        <v>4.0</v>
      </c>
      <c r="H72" s="13">
        <v>5.0</v>
      </c>
      <c r="I72" s="13">
        <v>11.0</v>
      </c>
      <c r="J72" s="13">
        <v>8.0</v>
      </c>
      <c r="K72" s="13">
        <v>11.0</v>
      </c>
      <c r="L72" s="13">
        <v>0.0</v>
      </c>
      <c r="M72" s="6">
        <f t="shared" ref="M72:M79" si="20">SUM(E72:L72)</f>
        <v>43</v>
      </c>
    </row>
    <row r="73" ht="12.75" customHeight="1">
      <c r="A73" s="32" t="s">
        <v>39</v>
      </c>
      <c r="B73" s="51"/>
      <c r="C73" s="52" t="s">
        <v>62</v>
      </c>
      <c r="D73" s="53"/>
      <c r="E73" s="13">
        <v>3.0</v>
      </c>
      <c r="F73" s="13">
        <v>0.0</v>
      </c>
      <c r="G73" s="13">
        <v>4.0</v>
      </c>
      <c r="H73" s="13">
        <v>4.0</v>
      </c>
      <c r="I73" s="13">
        <v>27.0</v>
      </c>
      <c r="J73" s="13">
        <v>4.0</v>
      </c>
      <c r="K73" s="13">
        <v>8.0</v>
      </c>
      <c r="L73" s="13">
        <v>4.0</v>
      </c>
      <c r="M73" s="6">
        <f t="shared" si="20"/>
        <v>54</v>
      </c>
    </row>
    <row r="74" ht="12.75" customHeight="1">
      <c r="A74" s="18"/>
      <c r="B74" s="51"/>
      <c r="C74" s="52" t="s">
        <v>63</v>
      </c>
      <c r="D74" s="53"/>
      <c r="E74" s="13">
        <v>0.0</v>
      </c>
      <c r="F74" s="13">
        <v>0.0</v>
      </c>
      <c r="G74" s="13">
        <v>0.0</v>
      </c>
      <c r="H74" s="13">
        <v>1.0</v>
      </c>
      <c r="I74" s="13">
        <v>1.0</v>
      </c>
      <c r="J74" s="13">
        <v>0.0</v>
      </c>
      <c r="K74" s="13">
        <v>0.0</v>
      </c>
      <c r="L74" s="13">
        <v>0.0</v>
      </c>
      <c r="M74" s="6">
        <f t="shared" si="20"/>
        <v>2</v>
      </c>
    </row>
    <row r="75" ht="12.75" customHeight="1">
      <c r="A75" s="18"/>
      <c r="B75" s="51"/>
      <c r="C75" s="52" t="s">
        <v>64</v>
      </c>
      <c r="D75" s="53"/>
      <c r="E75" s="13">
        <v>0.0</v>
      </c>
      <c r="F75" s="13">
        <v>0.0</v>
      </c>
      <c r="G75" s="13">
        <v>0.0</v>
      </c>
      <c r="H75" s="13">
        <v>0.0</v>
      </c>
      <c r="I75" s="13">
        <v>3.0</v>
      </c>
      <c r="J75" s="13">
        <v>0.0</v>
      </c>
      <c r="K75" s="13">
        <v>0.0</v>
      </c>
      <c r="L75" s="13">
        <v>0.0</v>
      </c>
      <c r="M75" s="6">
        <f t="shared" si="20"/>
        <v>3</v>
      </c>
    </row>
    <row r="76" ht="12.75" customHeight="1">
      <c r="A76" s="18"/>
      <c r="B76" s="51"/>
      <c r="C76" s="52" t="s">
        <v>65</v>
      </c>
      <c r="D76" s="53"/>
      <c r="E76" s="13">
        <v>1.0</v>
      </c>
      <c r="F76" s="13">
        <v>4.0</v>
      </c>
      <c r="G76" s="13">
        <v>1.0</v>
      </c>
      <c r="H76" s="13">
        <v>1.0</v>
      </c>
      <c r="I76" s="13">
        <v>1.0</v>
      </c>
      <c r="J76" s="13">
        <v>1.0</v>
      </c>
      <c r="K76" s="13">
        <v>13.0</v>
      </c>
      <c r="L76" s="13">
        <v>1.0</v>
      </c>
      <c r="M76" s="6">
        <f t="shared" si="20"/>
        <v>23</v>
      </c>
    </row>
    <row r="77" ht="12.75" customHeight="1">
      <c r="A77" s="18"/>
      <c r="B77" s="51"/>
      <c r="C77" s="52" t="s">
        <v>66</v>
      </c>
      <c r="D77" s="53"/>
      <c r="E77" s="13">
        <v>0.0</v>
      </c>
      <c r="F77" s="13">
        <v>0.0</v>
      </c>
      <c r="G77" s="13">
        <v>0.0</v>
      </c>
      <c r="H77" s="13">
        <v>0.0</v>
      </c>
      <c r="I77" s="13">
        <v>0.0</v>
      </c>
      <c r="J77" s="13">
        <v>1.0</v>
      </c>
      <c r="K77" s="13">
        <v>0.0</v>
      </c>
      <c r="L77" s="13">
        <v>0.0</v>
      </c>
      <c r="M77" s="6">
        <f t="shared" si="20"/>
        <v>1</v>
      </c>
    </row>
    <row r="78" ht="12.75" customHeight="1">
      <c r="A78" s="18"/>
      <c r="B78" s="51"/>
      <c r="C78" s="52" t="s">
        <v>67</v>
      </c>
      <c r="D78" s="53"/>
      <c r="E78" s="13">
        <v>1.0</v>
      </c>
      <c r="F78" s="13">
        <v>0.0</v>
      </c>
      <c r="G78" s="13">
        <v>0.0</v>
      </c>
      <c r="H78" s="13">
        <v>1.0</v>
      </c>
      <c r="I78" s="13">
        <v>0.0</v>
      </c>
      <c r="J78" s="13">
        <v>1.0</v>
      </c>
      <c r="K78" s="13">
        <v>1.0</v>
      </c>
      <c r="L78" s="13">
        <v>0.0</v>
      </c>
      <c r="M78" s="6">
        <f t="shared" si="20"/>
        <v>4</v>
      </c>
    </row>
    <row r="79" ht="12.75" customHeight="1">
      <c r="A79" s="13" t="s">
        <v>15</v>
      </c>
      <c r="B79" s="49" t="s">
        <v>46</v>
      </c>
      <c r="C79" s="8"/>
      <c r="D79" s="9"/>
      <c r="E79" s="60">
        <f t="shared" ref="E79:L79" si="21">SUM(E72:E78)</f>
        <v>7</v>
      </c>
      <c r="F79" s="60">
        <f t="shared" si="21"/>
        <v>6</v>
      </c>
      <c r="G79" s="60">
        <f t="shared" si="21"/>
        <v>9</v>
      </c>
      <c r="H79" s="60">
        <f t="shared" si="21"/>
        <v>12</v>
      </c>
      <c r="I79" s="60">
        <f t="shared" si="21"/>
        <v>43</v>
      </c>
      <c r="J79" s="60">
        <f t="shared" si="21"/>
        <v>15</v>
      </c>
      <c r="K79" s="60">
        <f t="shared" si="21"/>
        <v>33</v>
      </c>
      <c r="L79" s="60">
        <f t="shared" si="21"/>
        <v>5</v>
      </c>
      <c r="M79" s="6">
        <f t="shared" si="20"/>
        <v>130</v>
      </c>
    </row>
    <row r="80" ht="12.75" customHeight="1">
      <c r="A80" s="54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6"/>
    </row>
    <row r="81" ht="12.75" customHeight="1">
      <c r="A81" s="32" t="s">
        <v>37</v>
      </c>
      <c r="B81" s="49" t="s">
        <v>68</v>
      </c>
      <c r="C81" s="50" t="s">
        <v>69</v>
      </c>
      <c r="D81" s="9"/>
      <c r="E81" s="13">
        <v>0.0</v>
      </c>
      <c r="F81" s="13">
        <v>0.0</v>
      </c>
      <c r="G81" s="13">
        <v>0.0</v>
      </c>
      <c r="H81" s="13">
        <v>0.0</v>
      </c>
      <c r="I81" s="13">
        <v>0.0</v>
      </c>
      <c r="J81" s="13">
        <v>5.0</v>
      </c>
      <c r="K81" s="13">
        <v>4.0</v>
      </c>
      <c r="L81" s="13">
        <v>3.0</v>
      </c>
      <c r="M81" s="6">
        <f t="shared" ref="M81:M88" si="22">SUM(E81:L81)</f>
        <v>12</v>
      </c>
    </row>
    <row r="82" ht="12.75" customHeight="1">
      <c r="A82" s="32" t="s">
        <v>39</v>
      </c>
      <c r="B82" s="51"/>
      <c r="C82" s="52" t="s">
        <v>70</v>
      </c>
      <c r="D82" s="53"/>
      <c r="E82" s="13">
        <v>14.0</v>
      </c>
      <c r="F82" s="13">
        <v>15.0</v>
      </c>
      <c r="G82" s="13">
        <v>23.0</v>
      </c>
      <c r="H82" s="13">
        <v>21.0</v>
      </c>
      <c r="I82" s="13">
        <v>19.0</v>
      </c>
      <c r="J82" s="13">
        <v>22.0</v>
      </c>
      <c r="K82" s="13">
        <v>58.0</v>
      </c>
      <c r="L82" s="13">
        <v>74.0</v>
      </c>
      <c r="M82" s="6">
        <f t="shared" si="22"/>
        <v>246</v>
      </c>
    </row>
    <row r="83" ht="12.75" customHeight="1">
      <c r="A83" s="18"/>
      <c r="B83" s="51"/>
      <c r="C83" s="52" t="s">
        <v>71</v>
      </c>
      <c r="D83" s="53"/>
      <c r="E83" s="13">
        <v>1.0</v>
      </c>
      <c r="F83" s="13">
        <v>1.0</v>
      </c>
      <c r="G83" s="13">
        <v>0.0</v>
      </c>
      <c r="H83" s="13">
        <v>1.0</v>
      </c>
      <c r="I83" s="13">
        <v>0.0</v>
      </c>
      <c r="J83" s="13">
        <v>0.0</v>
      </c>
      <c r="K83" s="13">
        <v>2.0</v>
      </c>
      <c r="L83" s="13">
        <v>0.0</v>
      </c>
      <c r="M83" s="6">
        <f t="shared" si="22"/>
        <v>5</v>
      </c>
    </row>
    <row r="84" ht="12.75" customHeight="1">
      <c r="A84" s="18"/>
      <c r="B84" s="51"/>
      <c r="C84" s="52" t="s">
        <v>72</v>
      </c>
      <c r="D84" s="53"/>
      <c r="E84" s="13">
        <v>0.0</v>
      </c>
      <c r="F84" s="13">
        <v>0.0</v>
      </c>
      <c r="G84" s="13">
        <v>0.0</v>
      </c>
      <c r="H84" s="13">
        <v>1.0</v>
      </c>
      <c r="I84" s="13">
        <v>3.0</v>
      </c>
      <c r="J84" s="13">
        <v>0.0</v>
      </c>
      <c r="K84" s="13">
        <v>2.0</v>
      </c>
      <c r="L84" s="13">
        <v>0.0</v>
      </c>
      <c r="M84" s="6">
        <f t="shared" si="22"/>
        <v>6</v>
      </c>
    </row>
    <row r="85" ht="12.75" customHeight="1">
      <c r="A85" s="18"/>
      <c r="B85" s="51"/>
      <c r="C85" s="52" t="s">
        <v>73</v>
      </c>
      <c r="D85" s="53"/>
      <c r="E85" s="13">
        <v>0.0</v>
      </c>
      <c r="F85" s="13">
        <v>0.0</v>
      </c>
      <c r="G85" s="13">
        <v>1.0</v>
      </c>
      <c r="H85" s="13">
        <v>0.0</v>
      </c>
      <c r="I85" s="13">
        <v>1.0</v>
      </c>
      <c r="J85" s="13">
        <v>0.0</v>
      </c>
      <c r="K85" s="13">
        <v>1.0</v>
      </c>
      <c r="L85" s="13">
        <v>0.0</v>
      </c>
      <c r="M85" s="6">
        <f t="shared" si="22"/>
        <v>3</v>
      </c>
    </row>
    <row r="86" ht="12.75" customHeight="1">
      <c r="A86" s="18"/>
      <c r="B86" s="51"/>
      <c r="C86" s="52" t="s">
        <v>74</v>
      </c>
      <c r="D86" s="53"/>
      <c r="E86" s="13">
        <v>0.0</v>
      </c>
      <c r="F86" s="13">
        <v>0.0</v>
      </c>
      <c r="G86" s="13">
        <v>3.0</v>
      </c>
      <c r="H86" s="13">
        <v>37.0</v>
      </c>
      <c r="I86" s="13">
        <v>6.0</v>
      </c>
      <c r="J86" s="13">
        <v>3.0</v>
      </c>
      <c r="K86" s="13">
        <v>1.0</v>
      </c>
      <c r="L86" s="13">
        <v>0.0</v>
      </c>
      <c r="M86" s="6">
        <f t="shared" si="22"/>
        <v>50</v>
      </c>
    </row>
    <row r="87" ht="12.75" customHeight="1">
      <c r="A87" s="18"/>
      <c r="B87" s="51"/>
      <c r="C87" s="52" t="s">
        <v>75</v>
      </c>
      <c r="D87" s="53"/>
      <c r="E87" s="13">
        <v>0.0</v>
      </c>
      <c r="F87" s="13">
        <v>0.0</v>
      </c>
      <c r="G87" s="13">
        <v>0.0</v>
      </c>
      <c r="H87" s="13">
        <v>1.0</v>
      </c>
      <c r="I87" s="13">
        <v>0.0</v>
      </c>
      <c r="J87" s="13">
        <v>0.0</v>
      </c>
      <c r="K87" s="13">
        <v>2.0</v>
      </c>
      <c r="L87" s="13">
        <v>0.0</v>
      </c>
      <c r="M87" s="6">
        <f t="shared" si="22"/>
        <v>3</v>
      </c>
    </row>
    <row r="88" ht="12.75" customHeight="1">
      <c r="A88" s="13" t="s">
        <v>15</v>
      </c>
      <c r="B88" s="49" t="s">
        <v>46</v>
      </c>
      <c r="C88" s="8"/>
      <c r="D88" s="9"/>
      <c r="E88" s="60">
        <f t="shared" ref="E88:L88" si="23">SUM(E81:E87)</f>
        <v>15</v>
      </c>
      <c r="F88" s="60">
        <f t="shared" si="23"/>
        <v>16</v>
      </c>
      <c r="G88" s="60">
        <f t="shared" si="23"/>
        <v>27</v>
      </c>
      <c r="H88" s="60">
        <f t="shared" si="23"/>
        <v>61</v>
      </c>
      <c r="I88" s="60">
        <f t="shared" si="23"/>
        <v>29</v>
      </c>
      <c r="J88" s="60">
        <f t="shared" si="23"/>
        <v>30</v>
      </c>
      <c r="K88" s="60">
        <f t="shared" si="23"/>
        <v>70</v>
      </c>
      <c r="L88" s="60">
        <f t="shared" si="23"/>
        <v>77</v>
      </c>
      <c r="M88" s="6">
        <f t="shared" si="22"/>
        <v>325</v>
      </c>
    </row>
    <row r="89" ht="12.75" customHeight="1">
      <c r="A89" s="54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6"/>
    </row>
    <row r="90" ht="12.75" customHeight="1">
      <c r="A90" s="32" t="s">
        <v>37</v>
      </c>
      <c r="B90" s="49" t="s">
        <v>76</v>
      </c>
      <c r="C90" s="50" t="s">
        <v>77</v>
      </c>
      <c r="D90" s="9"/>
      <c r="E90" s="13">
        <v>2.0</v>
      </c>
      <c r="F90" s="13">
        <v>5.0</v>
      </c>
      <c r="G90" s="13">
        <v>1.0</v>
      </c>
      <c r="H90" s="13">
        <v>3.0</v>
      </c>
      <c r="I90" s="13">
        <v>0.0</v>
      </c>
      <c r="J90" s="13">
        <v>0.0</v>
      </c>
      <c r="K90" s="13">
        <v>1.0</v>
      </c>
      <c r="L90" s="13">
        <v>1.0</v>
      </c>
      <c r="M90" s="6">
        <f t="shared" ref="M90:M92" si="24">SUM(E90:L90)</f>
        <v>13</v>
      </c>
    </row>
    <row r="91" ht="12.75" customHeight="1">
      <c r="A91" s="32" t="s">
        <v>39</v>
      </c>
      <c r="B91" s="51"/>
      <c r="C91" s="52" t="s">
        <v>78</v>
      </c>
      <c r="D91" s="61"/>
      <c r="E91" s="13">
        <v>0.0</v>
      </c>
      <c r="F91" s="13">
        <v>0.0</v>
      </c>
      <c r="G91" s="72">
        <v>2.0</v>
      </c>
      <c r="H91" s="13">
        <v>0.0</v>
      </c>
      <c r="I91" s="13">
        <v>0.0</v>
      </c>
      <c r="J91" s="13">
        <v>0.0</v>
      </c>
      <c r="K91" s="13">
        <v>0.0</v>
      </c>
      <c r="L91" s="13">
        <v>0.0</v>
      </c>
      <c r="M91" s="6">
        <f t="shared" si="24"/>
        <v>2</v>
      </c>
    </row>
    <row r="92" ht="12.75" customHeight="1">
      <c r="A92" s="13" t="s">
        <v>15</v>
      </c>
      <c r="B92" s="49" t="s">
        <v>46</v>
      </c>
      <c r="C92" s="8"/>
      <c r="D92" s="9"/>
      <c r="E92" s="60">
        <f t="shared" ref="E92:L92" si="25">SUM(E90:E91)</f>
        <v>2</v>
      </c>
      <c r="F92" s="60">
        <f t="shared" si="25"/>
        <v>5</v>
      </c>
      <c r="G92" s="60">
        <f t="shared" si="25"/>
        <v>3</v>
      </c>
      <c r="H92" s="60">
        <f t="shared" si="25"/>
        <v>3</v>
      </c>
      <c r="I92" s="60">
        <f t="shared" si="25"/>
        <v>0</v>
      </c>
      <c r="J92" s="60">
        <f t="shared" si="25"/>
        <v>0</v>
      </c>
      <c r="K92" s="60">
        <f t="shared" si="25"/>
        <v>1</v>
      </c>
      <c r="L92" s="60">
        <f t="shared" si="25"/>
        <v>1</v>
      </c>
      <c r="M92" s="6">
        <f t="shared" si="24"/>
        <v>15</v>
      </c>
    </row>
    <row r="93" ht="12.75" customHeight="1">
      <c r="A93" s="54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6"/>
    </row>
    <row r="94" ht="12.75" customHeight="1">
      <c r="A94" s="32" t="s">
        <v>37</v>
      </c>
      <c r="B94" s="49" t="s">
        <v>79</v>
      </c>
      <c r="C94" s="50" t="s">
        <v>80</v>
      </c>
      <c r="D94" s="9"/>
      <c r="E94" s="13">
        <v>3.0</v>
      </c>
      <c r="F94" s="13">
        <v>0.0</v>
      </c>
      <c r="G94" s="13">
        <v>3.0</v>
      </c>
      <c r="H94" s="13">
        <v>2.0</v>
      </c>
      <c r="I94" s="13">
        <v>4.0</v>
      </c>
      <c r="J94" s="13">
        <v>1.0</v>
      </c>
      <c r="K94" s="13">
        <v>0.0</v>
      </c>
      <c r="L94" s="13">
        <v>5.0</v>
      </c>
      <c r="M94" s="6">
        <f t="shared" ref="M94:M101" si="26">SUM(E94:L94)</f>
        <v>18</v>
      </c>
    </row>
    <row r="95" ht="12.75" customHeight="1">
      <c r="A95" s="32" t="s">
        <v>39</v>
      </c>
      <c r="B95" s="51"/>
      <c r="C95" s="52" t="s">
        <v>81</v>
      </c>
      <c r="D95" s="53"/>
      <c r="E95" s="13">
        <v>21.0</v>
      </c>
      <c r="F95" s="13">
        <v>4.0</v>
      </c>
      <c r="G95" s="13">
        <v>24.0</v>
      </c>
      <c r="H95" s="13">
        <v>5.0</v>
      </c>
      <c r="I95" s="13">
        <v>7.0</v>
      </c>
      <c r="J95" s="13">
        <v>6.0</v>
      </c>
      <c r="K95" s="13">
        <v>1.0</v>
      </c>
      <c r="L95" s="13">
        <v>12.0</v>
      </c>
      <c r="M95" s="6">
        <f t="shared" si="26"/>
        <v>80</v>
      </c>
    </row>
    <row r="96" ht="12.75" customHeight="1">
      <c r="A96" s="32"/>
      <c r="B96" s="51"/>
      <c r="C96" s="52" t="s">
        <v>82</v>
      </c>
      <c r="D96" s="53"/>
      <c r="E96" s="13">
        <v>0.0</v>
      </c>
      <c r="F96" s="13">
        <v>0.0</v>
      </c>
      <c r="G96" s="13">
        <v>0.0</v>
      </c>
      <c r="H96" s="13">
        <v>0.0</v>
      </c>
      <c r="I96" s="13">
        <v>0.0</v>
      </c>
      <c r="J96" s="13">
        <v>1.0</v>
      </c>
      <c r="K96" s="13">
        <v>0.0</v>
      </c>
      <c r="L96" s="13">
        <v>0.0</v>
      </c>
      <c r="M96" s="6">
        <f t="shared" si="26"/>
        <v>1</v>
      </c>
    </row>
    <row r="97" ht="12.75" customHeight="1">
      <c r="A97" s="32"/>
      <c r="B97" s="51"/>
      <c r="C97" s="52" t="s">
        <v>83</v>
      </c>
      <c r="D97" s="53"/>
      <c r="E97" s="13">
        <v>0.0</v>
      </c>
      <c r="F97" s="13">
        <v>0.0</v>
      </c>
      <c r="G97" s="13">
        <v>0.0</v>
      </c>
      <c r="H97" s="13">
        <v>0.0</v>
      </c>
      <c r="I97" s="13">
        <v>0.0</v>
      </c>
      <c r="J97" s="13">
        <v>0.0</v>
      </c>
      <c r="K97" s="13">
        <v>0.0</v>
      </c>
      <c r="L97" s="13">
        <v>0.0</v>
      </c>
      <c r="M97" s="6">
        <f t="shared" si="26"/>
        <v>0</v>
      </c>
    </row>
    <row r="98" ht="12.75" customHeight="1">
      <c r="A98" s="32"/>
      <c r="B98" s="51"/>
      <c r="C98" s="52" t="s">
        <v>84</v>
      </c>
      <c r="D98" s="53"/>
      <c r="E98" s="13">
        <v>0.0</v>
      </c>
      <c r="F98" s="13">
        <v>0.0</v>
      </c>
      <c r="G98" s="13">
        <v>0.0</v>
      </c>
      <c r="H98" s="13">
        <v>0.0</v>
      </c>
      <c r="I98" s="13">
        <v>0.0</v>
      </c>
      <c r="J98" s="13">
        <v>0.0</v>
      </c>
      <c r="K98" s="13">
        <v>0.0</v>
      </c>
      <c r="L98" s="13">
        <v>0.0</v>
      </c>
      <c r="M98" s="6">
        <f t="shared" si="26"/>
        <v>0</v>
      </c>
    </row>
    <row r="99" ht="12.75" customHeight="1">
      <c r="A99" s="32"/>
      <c r="B99" s="51"/>
      <c r="C99" s="52" t="s">
        <v>85</v>
      </c>
      <c r="D99" s="53"/>
      <c r="E99" s="13">
        <v>0.0</v>
      </c>
      <c r="F99" s="13">
        <v>0.0</v>
      </c>
      <c r="G99" s="13">
        <v>1.0</v>
      </c>
      <c r="H99" s="13">
        <v>0.0</v>
      </c>
      <c r="I99" s="13">
        <v>0.0</v>
      </c>
      <c r="J99" s="13">
        <v>1.0</v>
      </c>
      <c r="K99" s="13">
        <v>0.0</v>
      </c>
      <c r="L99" s="13">
        <v>0.0</v>
      </c>
      <c r="M99" s="6">
        <f t="shared" si="26"/>
        <v>2</v>
      </c>
    </row>
    <row r="100" ht="12.75" customHeight="1">
      <c r="A100" s="32"/>
      <c r="B100" s="51"/>
      <c r="C100" s="52" t="s">
        <v>86</v>
      </c>
      <c r="D100" s="53"/>
      <c r="E100" s="13">
        <v>0.0</v>
      </c>
      <c r="F100" s="13">
        <v>0.0</v>
      </c>
      <c r="G100" s="13">
        <v>0.0</v>
      </c>
      <c r="H100" s="13">
        <v>0.0</v>
      </c>
      <c r="I100" s="13">
        <v>0.0</v>
      </c>
      <c r="J100" s="13">
        <v>0.0</v>
      </c>
      <c r="K100" s="13">
        <v>0.0</v>
      </c>
      <c r="L100" s="13">
        <v>0.0</v>
      </c>
      <c r="M100" s="6">
        <f t="shared" si="26"/>
        <v>0</v>
      </c>
    </row>
    <row r="101" ht="12.75" customHeight="1">
      <c r="A101" s="13" t="s">
        <v>15</v>
      </c>
      <c r="B101" s="49" t="s">
        <v>46</v>
      </c>
      <c r="C101" s="8"/>
      <c r="D101" s="9"/>
      <c r="E101" s="60">
        <f t="shared" ref="E101:L101" si="27">SUM(E94:E100)</f>
        <v>24</v>
      </c>
      <c r="F101" s="60">
        <f t="shared" si="27"/>
        <v>4</v>
      </c>
      <c r="G101" s="60">
        <f t="shared" si="27"/>
        <v>28</v>
      </c>
      <c r="H101" s="60">
        <f t="shared" si="27"/>
        <v>7</v>
      </c>
      <c r="I101" s="60">
        <f t="shared" si="27"/>
        <v>11</v>
      </c>
      <c r="J101" s="60">
        <f t="shared" si="27"/>
        <v>9</v>
      </c>
      <c r="K101" s="60">
        <f t="shared" si="27"/>
        <v>1</v>
      </c>
      <c r="L101" s="60">
        <f t="shared" si="27"/>
        <v>17</v>
      </c>
      <c r="M101" s="6">
        <f t="shared" si="26"/>
        <v>101</v>
      </c>
    </row>
    <row r="102" ht="12.75" customHeight="1">
      <c r="A102" s="54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6"/>
    </row>
    <row r="103" ht="12.75" customHeight="1">
      <c r="A103" s="32" t="s">
        <v>37</v>
      </c>
      <c r="B103" s="49" t="s">
        <v>87</v>
      </c>
      <c r="C103" s="50" t="s">
        <v>88</v>
      </c>
      <c r="D103" s="9"/>
      <c r="E103" s="13">
        <v>0.0</v>
      </c>
      <c r="F103" s="13">
        <v>0.0</v>
      </c>
      <c r="G103" s="13">
        <v>0.0</v>
      </c>
      <c r="H103" s="13">
        <v>3.0</v>
      </c>
      <c r="I103" s="13">
        <v>1.0</v>
      </c>
      <c r="J103" s="13">
        <v>1.0</v>
      </c>
      <c r="K103" s="13">
        <v>2.0</v>
      </c>
      <c r="L103" s="13">
        <v>0.0</v>
      </c>
      <c r="M103" s="6">
        <f t="shared" ref="M103:M110" si="28">SUM(E103:L103)</f>
        <v>7</v>
      </c>
    </row>
    <row r="104" ht="12.75" customHeight="1">
      <c r="A104" s="32" t="s">
        <v>39</v>
      </c>
      <c r="B104" s="51"/>
      <c r="C104" s="52" t="s">
        <v>89</v>
      </c>
      <c r="D104" s="53"/>
      <c r="E104" s="13">
        <v>1.0</v>
      </c>
      <c r="F104" s="13">
        <v>2.0</v>
      </c>
      <c r="G104" s="13">
        <v>3.0</v>
      </c>
      <c r="H104" s="13">
        <v>18.0</v>
      </c>
      <c r="I104" s="13">
        <v>6.0</v>
      </c>
      <c r="J104" s="13">
        <v>2.0</v>
      </c>
      <c r="K104" s="13">
        <v>6.0</v>
      </c>
      <c r="L104" s="13">
        <v>3.0</v>
      </c>
      <c r="M104" s="6">
        <f t="shared" si="28"/>
        <v>41</v>
      </c>
    </row>
    <row r="105" ht="12.75" customHeight="1">
      <c r="A105" s="18"/>
      <c r="B105" s="51"/>
      <c r="C105" s="52" t="s">
        <v>90</v>
      </c>
      <c r="D105" s="53"/>
      <c r="E105" s="13">
        <v>0.0</v>
      </c>
      <c r="F105" s="13">
        <v>2.0</v>
      </c>
      <c r="G105" s="13">
        <v>0.0</v>
      </c>
      <c r="H105" s="13">
        <v>0.0</v>
      </c>
      <c r="I105" s="13">
        <v>0.0</v>
      </c>
      <c r="J105" s="13">
        <v>0.0</v>
      </c>
      <c r="K105" s="13">
        <v>0.0</v>
      </c>
      <c r="L105" s="13">
        <v>0.0</v>
      </c>
      <c r="M105" s="6">
        <f t="shared" si="28"/>
        <v>2</v>
      </c>
    </row>
    <row r="106" ht="12.75" customHeight="1">
      <c r="A106" s="18"/>
      <c r="B106" s="51"/>
      <c r="C106" s="52" t="s">
        <v>91</v>
      </c>
      <c r="D106" s="53"/>
      <c r="E106" s="13">
        <v>0.0</v>
      </c>
      <c r="F106" s="13">
        <v>0.0</v>
      </c>
      <c r="G106" s="13">
        <v>0.0</v>
      </c>
      <c r="H106" s="13">
        <v>0.0</v>
      </c>
      <c r="I106" s="13">
        <v>1.0</v>
      </c>
      <c r="J106" s="13">
        <v>0.0</v>
      </c>
      <c r="K106" s="13">
        <v>0.0</v>
      </c>
      <c r="L106" s="13">
        <v>0.0</v>
      </c>
      <c r="M106" s="6">
        <f t="shared" si="28"/>
        <v>1</v>
      </c>
    </row>
    <row r="107" ht="12.75" customHeight="1">
      <c r="A107" s="18"/>
      <c r="B107" s="51"/>
      <c r="C107" s="52" t="s">
        <v>92</v>
      </c>
      <c r="D107" s="53"/>
      <c r="E107" s="13">
        <v>0.0</v>
      </c>
      <c r="F107" s="13">
        <v>0.0</v>
      </c>
      <c r="G107" s="13">
        <v>2.0</v>
      </c>
      <c r="H107" s="13">
        <v>0.0</v>
      </c>
      <c r="I107" s="13">
        <v>12.0</v>
      </c>
      <c r="J107" s="13">
        <v>1.0</v>
      </c>
      <c r="K107" s="13">
        <v>1.0</v>
      </c>
      <c r="L107" s="13">
        <v>0.0</v>
      </c>
      <c r="M107" s="6">
        <f t="shared" si="28"/>
        <v>16</v>
      </c>
    </row>
    <row r="108" ht="12.75" customHeight="1">
      <c r="A108" s="18"/>
      <c r="B108" s="51"/>
      <c r="C108" s="52" t="s">
        <v>93</v>
      </c>
      <c r="D108" s="53"/>
      <c r="E108" s="13">
        <v>0.0</v>
      </c>
      <c r="F108" s="13">
        <v>0.0</v>
      </c>
      <c r="G108" s="13">
        <v>0.0</v>
      </c>
      <c r="H108" s="13">
        <v>0.0</v>
      </c>
      <c r="I108" s="13">
        <v>0.0</v>
      </c>
      <c r="J108" s="13">
        <v>0.0</v>
      </c>
      <c r="K108" s="13">
        <v>0.0</v>
      </c>
      <c r="L108" s="13">
        <v>0.0</v>
      </c>
      <c r="M108" s="6">
        <f t="shared" si="28"/>
        <v>0</v>
      </c>
    </row>
    <row r="109" ht="12.75" customHeight="1">
      <c r="A109" s="18"/>
      <c r="B109" s="51"/>
      <c r="C109" s="52" t="s">
        <v>94</v>
      </c>
      <c r="D109" s="53"/>
      <c r="E109" s="13">
        <v>3.0</v>
      </c>
      <c r="F109" s="13">
        <v>1.0</v>
      </c>
      <c r="G109" s="13">
        <v>0.0</v>
      </c>
      <c r="H109" s="13">
        <v>0.0</v>
      </c>
      <c r="I109" s="13">
        <v>0.0</v>
      </c>
      <c r="J109" s="13">
        <v>0.0</v>
      </c>
      <c r="K109" s="13">
        <v>1.0</v>
      </c>
      <c r="L109" s="13">
        <v>0.0</v>
      </c>
      <c r="M109" s="6">
        <f t="shared" si="28"/>
        <v>5</v>
      </c>
    </row>
    <row r="110" ht="12.75" customHeight="1">
      <c r="A110" s="13" t="s">
        <v>15</v>
      </c>
      <c r="B110" s="49" t="s">
        <v>46</v>
      </c>
      <c r="C110" s="8"/>
      <c r="D110" s="9"/>
      <c r="E110" s="60">
        <f t="shared" ref="E110:L110" si="29">SUM(E103:E109)</f>
        <v>4</v>
      </c>
      <c r="F110" s="60">
        <f t="shared" si="29"/>
        <v>5</v>
      </c>
      <c r="G110" s="60">
        <f t="shared" si="29"/>
        <v>5</v>
      </c>
      <c r="H110" s="60">
        <f t="shared" si="29"/>
        <v>21</v>
      </c>
      <c r="I110" s="60">
        <f t="shared" si="29"/>
        <v>20</v>
      </c>
      <c r="J110" s="60">
        <f t="shared" si="29"/>
        <v>4</v>
      </c>
      <c r="K110" s="60">
        <f t="shared" si="29"/>
        <v>10</v>
      </c>
      <c r="L110" s="60">
        <f t="shared" si="29"/>
        <v>3</v>
      </c>
      <c r="M110" s="6">
        <f t="shared" si="28"/>
        <v>72</v>
      </c>
    </row>
    <row r="111" ht="12.75" customHeight="1">
      <c r="A111" s="54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6"/>
    </row>
    <row r="112" ht="12.75" customHeight="1">
      <c r="A112" s="32" t="s">
        <v>37</v>
      </c>
      <c r="B112" s="49" t="s">
        <v>95</v>
      </c>
      <c r="C112" s="50" t="s">
        <v>96</v>
      </c>
      <c r="D112" s="9"/>
      <c r="E112" s="13"/>
      <c r="F112" s="13"/>
      <c r="G112" s="13"/>
      <c r="H112" s="13"/>
      <c r="I112" s="13"/>
      <c r="J112" s="13"/>
      <c r="K112" s="13"/>
      <c r="L112" s="13"/>
      <c r="M112" s="6">
        <f t="shared" ref="M112:M114" si="30">SUM(E112:L112)</f>
        <v>0</v>
      </c>
    </row>
    <row r="113" ht="12.75" customHeight="1">
      <c r="A113" s="32" t="s">
        <v>39</v>
      </c>
      <c r="B113" s="49"/>
      <c r="C113" s="52" t="s">
        <v>97</v>
      </c>
      <c r="D113" s="61"/>
      <c r="E113" s="13"/>
      <c r="F113" s="13"/>
      <c r="G113" s="13"/>
      <c r="H113" s="13"/>
      <c r="I113" s="13"/>
      <c r="J113" s="13"/>
      <c r="K113" s="13"/>
      <c r="L113" s="13"/>
      <c r="M113" s="6">
        <f t="shared" si="30"/>
        <v>0</v>
      </c>
    </row>
    <row r="114" ht="12.75" customHeight="1">
      <c r="A114" s="13" t="s">
        <v>15</v>
      </c>
      <c r="B114" s="49" t="s">
        <v>46</v>
      </c>
      <c r="C114" s="8"/>
      <c r="D114" s="9"/>
      <c r="E114" s="60">
        <f t="shared" ref="E114:L114" si="31">SUM(E112:E113)</f>
        <v>0</v>
      </c>
      <c r="F114" s="60">
        <f t="shared" si="31"/>
        <v>0</v>
      </c>
      <c r="G114" s="60">
        <f t="shared" si="31"/>
        <v>0</v>
      </c>
      <c r="H114" s="60">
        <f t="shared" si="31"/>
        <v>0</v>
      </c>
      <c r="I114" s="60">
        <f t="shared" si="31"/>
        <v>0</v>
      </c>
      <c r="J114" s="60">
        <f t="shared" si="31"/>
        <v>0</v>
      </c>
      <c r="K114" s="60">
        <f t="shared" si="31"/>
        <v>0</v>
      </c>
      <c r="L114" s="60">
        <f t="shared" si="31"/>
        <v>0</v>
      </c>
      <c r="M114" s="6">
        <f t="shared" si="30"/>
        <v>0</v>
      </c>
    </row>
    <row r="115" ht="12.75" customHeight="1">
      <c r="A115" s="54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6"/>
    </row>
    <row r="116" ht="12.75" customHeight="1">
      <c r="A116" s="32" t="s">
        <v>37</v>
      </c>
      <c r="B116" s="49" t="s">
        <v>98</v>
      </c>
      <c r="C116" s="50" t="s">
        <v>99</v>
      </c>
      <c r="D116" s="9"/>
      <c r="E116" s="13">
        <v>1.0</v>
      </c>
      <c r="F116" s="13">
        <v>2.0</v>
      </c>
      <c r="G116" s="13">
        <v>1.0</v>
      </c>
      <c r="H116" s="13">
        <v>0.0</v>
      </c>
      <c r="I116" s="13">
        <v>1.0</v>
      </c>
      <c r="J116" s="13">
        <v>0.0</v>
      </c>
      <c r="K116" s="13">
        <v>1.0</v>
      </c>
      <c r="L116" s="13">
        <v>0.0</v>
      </c>
      <c r="M116" s="6">
        <f t="shared" ref="M116:M123" si="32">SUM(E116:L116)</f>
        <v>6</v>
      </c>
    </row>
    <row r="117" ht="12.75" customHeight="1">
      <c r="A117" s="32" t="s">
        <v>39</v>
      </c>
      <c r="B117" s="51"/>
      <c r="C117" s="52" t="s">
        <v>100</v>
      </c>
      <c r="D117" s="53"/>
      <c r="E117" s="13">
        <v>8.0</v>
      </c>
      <c r="F117" s="13">
        <v>5.0</v>
      </c>
      <c r="G117" s="13">
        <v>2.0</v>
      </c>
      <c r="H117" s="13">
        <v>0.0</v>
      </c>
      <c r="I117" s="13">
        <v>1.0</v>
      </c>
      <c r="J117" s="13">
        <v>2.0</v>
      </c>
      <c r="K117" s="13">
        <v>8.0</v>
      </c>
      <c r="L117" s="13">
        <v>3.0</v>
      </c>
      <c r="M117" s="6">
        <f t="shared" si="32"/>
        <v>29</v>
      </c>
    </row>
    <row r="118" ht="12.75" customHeight="1">
      <c r="A118" s="18"/>
      <c r="B118" s="51"/>
      <c r="C118" s="52" t="s">
        <v>101</v>
      </c>
      <c r="D118" s="53"/>
      <c r="E118" s="13">
        <v>1.0</v>
      </c>
      <c r="F118" s="13">
        <v>0.0</v>
      </c>
      <c r="G118" s="13">
        <v>0.0</v>
      </c>
      <c r="H118" s="13">
        <v>0.0</v>
      </c>
      <c r="I118" s="13">
        <v>0.0</v>
      </c>
      <c r="J118" s="13">
        <v>0.0</v>
      </c>
      <c r="K118" s="13">
        <v>0.0</v>
      </c>
      <c r="L118" s="13">
        <v>0.0</v>
      </c>
      <c r="M118" s="6">
        <f t="shared" si="32"/>
        <v>1</v>
      </c>
    </row>
    <row r="119" ht="12.75" customHeight="1">
      <c r="A119" s="18"/>
      <c r="B119" s="51"/>
      <c r="C119" s="52" t="s">
        <v>102</v>
      </c>
      <c r="D119" s="53"/>
      <c r="E119" s="13">
        <v>4.0</v>
      </c>
      <c r="F119" s="13">
        <v>6.0</v>
      </c>
      <c r="G119" s="13">
        <v>0.0</v>
      </c>
      <c r="H119" s="13">
        <v>1.0</v>
      </c>
      <c r="I119" s="13">
        <v>10.0</v>
      </c>
      <c r="J119" s="13">
        <v>1.0</v>
      </c>
      <c r="K119" s="13">
        <v>0.0</v>
      </c>
      <c r="L119" s="13">
        <v>0.0</v>
      </c>
      <c r="M119" s="6">
        <f t="shared" si="32"/>
        <v>22</v>
      </c>
    </row>
    <row r="120" ht="12.75" customHeight="1">
      <c r="A120" s="18"/>
      <c r="B120" s="51"/>
      <c r="C120" s="52" t="s">
        <v>103</v>
      </c>
      <c r="D120" s="53"/>
      <c r="E120" s="13">
        <v>0.0</v>
      </c>
      <c r="F120" s="13">
        <v>0.0</v>
      </c>
      <c r="G120" s="13">
        <v>1.0</v>
      </c>
      <c r="H120" s="13">
        <v>0.0</v>
      </c>
      <c r="I120" s="13">
        <v>0.0</v>
      </c>
      <c r="J120" s="13">
        <v>0.0</v>
      </c>
      <c r="K120" s="13">
        <v>0.0</v>
      </c>
      <c r="L120" s="13">
        <v>0.0</v>
      </c>
      <c r="M120" s="6">
        <f t="shared" si="32"/>
        <v>1</v>
      </c>
    </row>
    <row r="121" ht="12.75" customHeight="1">
      <c r="A121" s="18"/>
      <c r="B121" s="51"/>
      <c r="C121" s="52" t="s">
        <v>104</v>
      </c>
      <c r="D121" s="53"/>
      <c r="E121" s="13">
        <v>0.0</v>
      </c>
      <c r="F121" s="13">
        <v>0.0</v>
      </c>
      <c r="G121" s="13">
        <v>0.0</v>
      </c>
      <c r="H121" s="13">
        <v>0.0</v>
      </c>
      <c r="I121" s="13">
        <v>0.0</v>
      </c>
      <c r="J121" s="13">
        <v>0.0</v>
      </c>
      <c r="K121" s="13">
        <v>0.0</v>
      </c>
      <c r="L121" s="13">
        <v>0.0</v>
      </c>
      <c r="M121" s="6">
        <f t="shared" si="32"/>
        <v>0</v>
      </c>
    </row>
    <row r="122" ht="12.75" customHeight="1">
      <c r="A122" s="18"/>
      <c r="B122" s="51"/>
      <c r="C122" s="52" t="s">
        <v>105</v>
      </c>
      <c r="D122" s="53"/>
      <c r="E122" s="13">
        <v>0.0</v>
      </c>
      <c r="F122" s="13">
        <v>2.0</v>
      </c>
      <c r="G122" s="13">
        <v>0.0</v>
      </c>
      <c r="H122" s="13">
        <v>2.0</v>
      </c>
      <c r="I122" s="13">
        <v>5.0</v>
      </c>
      <c r="J122" s="13">
        <v>1.0</v>
      </c>
      <c r="K122" s="13">
        <v>0.0</v>
      </c>
      <c r="L122" s="13">
        <v>0.0</v>
      </c>
      <c r="M122" s="6">
        <f t="shared" si="32"/>
        <v>10</v>
      </c>
    </row>
    <row r="123" ht="12.75" customHeight="1">
      <c r="A123" s="13" t="s">
        <v>15</v>
      </c>
      <c r="B123" s="49" t="s">
        <v>46</v>
      </c>
      <c r="C123" s="8"/>
      <c r="D123" s="9"/>
      <c r="E123" s="60">
        <f t="shared" ref="E123:L123" si="33">SUM(E116:E122)</f>
        <v>14</v>
      </c>
      <c r="F123" s="60">
        <f t="shared" si="33"/>
        <v>15</v>
      </c>
      <c r="G123" s="60">
        <f t="shared" si="33"/>
        <v>4</v>
      </c>
      <c r="H123" s="60">
        <f t="shared" si="33"/>
        <v>3</v>
      </c>
      <c r="I123" s="60">
        <f t="shared" si="33"/>
        <v>17</v>
      </c>
      <c r="J123" s="60">
        <f t="shared" si="33"/>
        <v>4</v>
      </c>
      <c r="K123" s="60">
        <f t="shared" si="33"/>
        <v>9</v>
      </c>
      <c r="L123" s="60">
        <f t="shared" si="33"/>
        <v>3</v>
      </c>
      <c r="M123" s="6">
        <f t="shared" si="32"/>
        <v>69</v>
      </c>
    </row>
    <row r="124" ht="12.75" customHeight="1">
      <c r="A124" s="54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6"/>
    </row>
    <row r="125" ht="12.75" customHeight="1">
      <c r="A125" s="32" t="s">
        <v>37</v>
      </c>
      <c r="B125" s="49" t="s">
        <v>106</v>
      </c>
      <c r="C125" s="50" t="s">
        <v>107</v>
      </c>
      <c r="D125" s="9"/>
      <c r="E125" s="13"/>
      <c r="F125" s="13"/>
      <c r="G125" s="13"/>
      <c r="H125" s="13"/>
      <c r="I125" s="13">
        <v>1.0</v>
      </c>
      <c r="J125" s="13"/>
      <c r="K125" s="13"/>
      <c r="L125" s="13"/>
      <c r="M125" s="6">
        <f t="shared" ref="M125:M127" si="34">SUM(E125:L125)</f>
        <v>1</v>
      </c>
    </row>
    <row r="126" ht="12.75" customHeight="1">
      <c r="A126" s="32" t="s">
        <v>39</v>
      </c>
      <c r="B126" s="51"/>
      <c r="C126" s="52" t="s">
        <v>108</v>
      </c>
      <c r="D126" s="53"/>
      <c r="E126" s="13"/>
      <c r="F126" s="13"/>
      <c r="G126" s="13"/>
      <c r="H126" s="13"/>
      <c r="I126" s="13"/>
      <c r="J126" s="13"/>
      <c r="K126" s="13"/>
      <c r="L126" s="13"/>
      <c r="M126" s="6">
        <f t="shared" si="34"/>
        <v>0</v>
      </c>
    </row>
    <row r="127" ht="12.75" customHeight="1">
      <c r="A127" s="13" t="s">
        <v>15</v>
      </c>
      <c r="B127" s="49" t="s">
        <v>46</v>
      </c>
      <c r="C127" s="8"/>
      <c r="D127" s="9"/>
      <c r="E127" s="60">
        <f t="shared" ref="E127:L127" si="35">SUM(E125:E126)</f>
        <v>0</v>
      </c>
      <c r="F127" s="60">
        <f t="shared" si="35"/>
        <v>0</v>
      </c>
      <c r="G127" s="60">
        <f t="shared" si="35"/>
        <v>0</v>
      </c>
      <c r="H127" s="60">
        <f t="shared" si="35"/>
        <v>0</v>
      </c>
      <c r="I127" s="60">
        <f t="shared" si="35"/>
        <v>1</v>
      </c>
      <c r="J127" s="60">
        <f t="shared" si="35"/>
        <v>0</v>
      </c>
      <c r="K127" s="60">
        <f t="shared" si="35"/>
        <v>0</v>
      </c>
      <c r="L127" s="60">
        <f t="shared" si="35"/>
        <v>0</v>
      </c>
      <c r="M127" s="6">
        <f t="shared" si="34"/>
        <v>1</v>
      </c>
    </row>
    <row r="128" ht="12.75" customHeight="1">
      <c r="A128" s="54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6"/>
    </row>
    <row r="129" ht="12.75" customHeight="1">
      <c r="A129" s="32" t="s">
        <v>37</v>
      </c>
      <c r="B129" s="49" t="s">
        <v>109</v>
      </c>
      <c r="C129" s="50" t="s">
        <v>110</v>
      </c>
      <c r="D129" s="9"/>
      <c r="E129" s="13">
        <v>0.0</v>
      </c>
      <c r="F129" s="13">
        <v>1.0</v>
      </c>
      <c r="G129" s="13">
        <v>0.0</v>
      </c>
      <c r="H129" s="13">
        <v>4.0</v>
      </c>
      <c r="I129" s="13">
        <v>0.0</v>
      </c>
      <c r="J129" s="13">
        <v>0.0</v>
      </c>
      <c r="K129" s="13">
        <v>0.0</v>
      </c>
      <c r="L129" s="13">
        <v>0.0</v>
      </c>
      <c r="M129" s="6">
        <f t="shared" ref="M129:M136" si="36">SUM(E129:L129)</f>
        <v>5</v>
      </c>
    </row>
    <row r="130" ht="12.75" customHeight="1">
      <c r="A130" s="32" t="s">
        <v>39</v>
      </c>
      <c r="B130" s="51"/>
      <c r="C130" s="52" t="s">
        <v>111</v>
      </c>
      <c r="D130" s="53"/>
      <c r="E130" s="13">
        <v>0.0</v>
      </c>
      <c r="F130" s="13">
        <v>1.0</v>
      </c>
      <c r="G130" s="13">
        <v>2.0</v>
      </c>
      <c r="H130" s="13">
        <v>6.0</v>
      </c>
      <c r="I130" s="13">
        <v>2.0</v>
      </c>
      <c r="J130" s="13">
        <v>1.0</v>
      </c>
      <c r="K130" s="13">
        <v>0.0</v>
      </c>
      <c r="L130" s="13">
        <v>0.0</v>
      </c>
      <c r="M130" s="6">
        <f t="shared" si="36"/>
        <v>12</v>
      </c>
    </row>
    <row r="131" ht="12.75" customHeight="1">
      <c r="A131" s="18"/>
      <c r="B131" s="51"/>
      <c r="C131" s="52" t="s">
        <v>112</v>
      </c>
      <c r="D131" s="53"/>
      <c r="E131" s="13">
        <v>0.0</v>
      </c>
      <c r="F131" s="13">
        <v>0.0</v>
      </c>
      <c r="G131" s="13">
        <v>0.0</v>
      </c>
      <c r="H131" s="13">
        <v>0.0</v>
      </c>
      <c r="I131" s="13">
        <v>0.0</v>
      </c>
      <c r="J131" s="13">
        <v>1.0</v>
      </c>
      <c r="K131" s="13">
        <v>1.0</v>
      </c>
      <c r="L131" s="13">
        <v>0.0</v>
      </c>
      <c r="M131" s="6">
        <f t="shared" si="36"/>
        <v>2</v>
      </c>
    </row>
    <row r="132" ht="12.75" customHeight="1">
      <c r="A132" s="18"/>
      <c r="B132" s="51"/>
      <c r="C132" s="52" t="s">
        <v>113</v>
      </c>
      <c r="D132" s="53"/>
      <c r="E132" s="13">
        <v>0.0</v>
      </c>
      <c r="F132" s="13">
        <v>0.0</v>
      </c>
      <c r="G132" s="13">
        <v>0.0</v>
      </c>
      <c r="H132" s="13">
        <v>0.0</v>
      </c>
      <c r="I132" s="13">
        <v>0.0</v>
      </c>
      <c r="J132" s="13">
        <v>0.0</v>
      </c>
      <c r="K132" s="13">
        <v>0.0</v>
      </c>
      <c r="L132" s="13">
        <v>0.0</v>
      </c>
      <c r="M132" s="6">
        <f t="shared" si="36"/>
        <v>0</v>
      </c>
    </row>
    <row r="133" ht="12.75" customHeight="1">
      <c r="A133" s="18"/>
      <c r="B133" s="51"/>
      <c r="C133" s="52" t="s">
        <v>114</v>
      </c>
      <c r="D133" s="53"/>
      <c r="E133" s="13">
        <v>0.0</v>
      </c>
      <c r="F133" s="13">
        <v>0.0</v>
      </c>
      <c r="G133" s="13">
        <v>0.0</v>
      </c>
      <c r="H133" s="13">
        <v>0.0</v>
      </c>
      <c r="I133" s="13">
        <v>0.0</v>
      </c>
      <c r="J133" s="13">
        <v>0.0</v>
      </c>
      <c r="K133" s="13">
        <v>0.0</v>
      </c>
      <c r="L133" s="13">
        <v>0.0</v>
      </c>
      <c r="M133" s="6">
        <f t="shared" si="36"/>
        <v>0</v>
      </c>
    </row>
    <row r="134" ht="12.75" customHeight="1">
      <c r="A134" s="18"/>
      <c r="B134" s="51"/>
      <c r="C134" s="52" t="s">
        <v>115</v>
      </c>
      <c r="D134" s="53"/>
      <c r="E134" s="13">
        <v>0.0</v>
      </c>
      <c r="F134" s="13">
        <v>1.0</v>
      </c>
      <c r="G134" s="13">
        <v>0.0</v>
      </c>
      <c r="H134" s="13">
        <v>1.0</v>
      </c>
      <c r="I134" s="13">
        <v>0.0</v>
      </c>
      <c r="J134" s="13">
        <v>0.0</v>
      </c>
      <c r="K134" s="13">
        <v>0.0</v>
      </c>
      <c r="L134" s="13">
        <v>0.0</v>
      </c>
      <c r="M134" s="6">
        <f t="shared" si="36"/>
        <v>2</v>
      </c>
    </row>
    <row r="135" ht="12.75" customHeight="1">
      <c r="A135" s="18"/>
      <c r="B135" s="51"/>
      <c r="C135" s="52" t="s">
        <v>116</v>
      </c>
      <c r="D135" s="53"/>
      <c r="E135" s="13">
        <v>0.0</v>
      </c>
      <c r="F135" s="13">
        <v>0.0</v>
      </c>
      <c r="G135" s="13">
        <v>0.0</v>
      </c>
      <c r="H135" s="13">
        <v>0.0</v>
      </c>
      <c r="I135" s="13">
        <v>0.0</v>
      </c>
      <c r="J135" s="13">
        <v>0.0</v>
      </c>
      <c r="K135" s="13">
        <v>0.0</v>
      </c>
      <c r="L135" s="13">
        <v>0.0</v>
      </c>
      <c r="M135" s="6">
        <f t="shared" si="36"/>
        <v>0</v>
      </c>
    </row>
    <row r="136" ht="12.75" customHeight="1">
      <c r="A136" s="13" t="s">
        <v>15</v>
      </c>
      <c r="B136" s="49" t="s">
        <v>46</v>
      </c>
      <c r="C136" s="8"/>
      <c r="D136" s="9"/>
      <c r="E136" s="60">
        <f t="shared" ref="E136:L136" si="37">SUM(E129:E135)</f>
        <v>0</v>
      </c>
      <c r="F136" s="60">
        <f t="shared" si="37"/>
        <v>3</v>
      </c>
      <c r="G136" s="60">
        <f t="shared" si="37"/>
        <v>2</v>
      </c>
      <c r="H136" s="60">
        <f t="shared" si="37"/>
        <v>11</v>
      </c>
      <c r="I136" s="60">
        <f t="shared" si="37"/>
        <v>2</v>
      </c>
      <c r="J136" s="60">
        <f t="shared" si="37"/>
        <v>2</v>
      </c>
      <c r="K136" s="60">
        <f t="shared" si="37"/>
        <v>1</v>
      </c>
      <c r="L136" s="60">
        <f t="shared" si="37"/>
        <v>0</v>
      </c>
      <c r="M136" s="6">
        <f t="shared" si="36"/>
        <v>21</v>
      </c>
    </row>
    <row r="137" ht="12.75" customHeight="1">
      <c r="A137" s="54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6"/>
    </row>
    <row r="138" ht="12.75" customHeight="1">
      <c r="A138" s="32" t="s">
        <v>37</v>
      </c>
      <c r="B138" s="49" t="s">
        <v>117</v>
      </c>
      <c r="C138" s="50" t="s">
        <v>118</v>
      </c>
      <c r="D138" s="9"/>
      <c r="E138" s="13"/>
      <c r="F138" s="13"/>
      <c r="G138" s="13"/>
      <c r="H138" s="13"/>
      <c r="I138" s="13"/>
      <c r="J138" s="13"/>
      <c r="K138" s="13"/>
      <c r="L138" s="13"/>
      <c r="M138" s="6">
        <f t="shared" ref="M138:M145" si="38">SUM(E138:L138)</f>
        <v>0</v>
      </c>
    </row>
    <row r="139" ht="12.75" customHeight="1">
      <c r="A139" s="32" t="s">
        <v>39</v>
      </c>
      <c r="B139" s="51"/>
      <c r="C139" s="52" t="s">
        <v>119</v>
      </c>
      <c r="D139" s="53"/>
      <c r="E139" s="13"/>
      <c r="F139" s="13"/>
      <c r="G139" s="13"/>
      <c r="H139" s="13"/>
      <c r="I139" s="13"/>
      <c r="J139" s="13"/>
      <c r="K139" s="13"/>
      <c r="L139" s="13"/>
      <c r="M139" s="6">
        <f t="shared" si="38"/>
        <v>0</v>
      </c>
    </row>
    <row r="140" ht="12.75" customHeight="1">
      <c r="A140" s="18"/>
      <c r="B140" s="51"/>
      <c r="C140" s="52" t="s">
        <v>120</v>
      </c>
      <c r="D140" s="53"/>
      <c r="E140" s="13"/>
      <c r="F140" s="13"/>
      <c r="G140" s="13"/>
      <c r="H140" s="13"/>
      <c r="I140" s="13"/>
      <c r="J140" s="13"/>
      <c r="K140" s="13"/>
      <c r="L140" s="13"/>
      <c r="M140" s="6">
        <f t="shared" si="38"/>
        <v>0</v>
      </c>
    </row>
    <row r="141" ht="12.75" customHeight="1">
      <c r="A141" s="18"/>
      <c r="B141" s="51"/>
      <c r="C141" s="52" t="s">
        <v>121</v>
      </c>
      <c r="D141" s="53"/>
      <c r="E141" s="13"/>
      <c r="F141" s="13"/>
      <c r="G141" s="13"/>
      <c r="H141" s="13"/>
      <c r="I141" s="13"/>
      <c r="J141" s="13"/>
      <c r="K141" s="13"/>
      <c r="L141" s="13"/>
      <c r="M141" s="6">
        <f t="shared" si="38"/>
        <v>0</v>
      </c>
    </row>
    <row r="142" ht="12.75" customHeight="1">
      <c r="A142" s="18"/>
      <c r="B142" s="51"/>
      <c r="C142" s="52" t="s">
        <v>122</v>
      </c>
      <c r="D142" s="53"/>
      <c r="E142" s="13"/>
      <c r="F142" s="13"/>
      <c r="G142" s="13"/>
      <c r="H142" s="13"/>
      <c r="I142" s="13"/>
      <c r="J142" s="13"/>
      <c r="K142" s="13"/>
      <c r="L142" s="13"/>
      <c r="M142" s="6">
        <f t="shared" si="38"/>
        <v>0</v>
      </c>
    </row>
    <row r="143" ht="12.75" customHeight="1">
      <c r="A143" s="18"/>
      <c r="B143" s="51"/>
      <c r="C143" s="52" t="s">
        <v>123</v>
      </c>
      <c r="D143" s="53"/>
      <c r="E143" s="13"/>
      <c r="F143" s="13"/>
      <c r="G143" s="13"/>
      <c r="H143" s="13"/>
      <c r="I143" s="13"/>
      <c r="J143" s="13"/>
      <c r="K143" s="13"/>
      <c r="L143" s="13"/>
      <c r="M143" s="6">
        <f t="shared" si="38"/>
        <v>0</v>
      </c>
    </row>
    <row r="144" ht="12.75" customHeight="1">
      <c r="A144" s="18"/>
      <c r="B144" s="51"/>
      <c r="C144" s="52" t="s">
        <v>124</v>
      </c>
      <c r="D144" s="53"/>
      <c r="E144" s="13"/>
      <c r="F144" s="13"/>
      <c r="G144" s="13"/>
      <c r="H144" s="13"/>
      <c r="I144" s="13"/>
      <c r="J144" s="13"/>
      <c r="K144" s="13"/>
      <c r="L144" s="13"/>
      <c r="M144" s="6">
        <f t="shared" si="38"/>
        <v>0</v>
      </c>
    </row>
    <row r="145" ht="12.75" customHeight="1">
      <c r="A145" s="13" t="s">
        <v>15</v>
      </c>
      <c r="B145" s="49" t="s">
        <v>46</v>
      </c>
      <c r="C145" s="8"/>
      <c r="D145" s="9"/>
      <c r="E145" s="60">
        <f t="shared" ref="E145:L145" si="39">SUM(E138:E144)</f>
        <v>0</v>
      </c>
      <c r="F145" s="60">
        <f t="shared" si="39"/>
        <v>0</v>
      </c>
      <c r="G145" s="60">
        <f t="shared" si="39"/>
        <v>0</v>
      </c>
      <c r="H145" s="60">
        <f t="shared" si="39"/>
        <v>0</v>
      </c>
      <c r="I145" s="60">
        <f t="shared" si="39"/>
        <v>0</v>
      </c>
      <c r="J145" s="60">
        <f t="shared" si="39"/>
        <v>0</v>
      </c>
      <c r="K145" s="60">
        <f t="shared" si="39"/>
        <v>0</v>
      </c>
      <c r="L145" s="60">
        <f t="shared" si="39"/>
        <v>0</v>
      </c>
      <c r="M145" s="6">
        <f t="shared" si="38"/>
        <v>0</v>
      </c>
    </row>
    <row r="146" ht="12.75" customHeight="1">
      <c r="A146" s="54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6"/>
    </row>
    <row r="147" ht="12.75" customHeight="1">
      <c r="A147" s="32" t="s">
        <v>37</v>
      </c>
      <c r="B147" s="49" t="s">
        <v>125</v>
      </c>
      <c r="C147" s="50" t="s">
        <v>126</v>
      </c>
      <c r="D147" s="9"/>
      <c r="E147" s="13">
        <v>3.0</v>
      </c>
      <c r="F147" s="13">
        <v>1.0</v>
      </c>
      <c r="G147" s="13">
        <v>3.0</v>
      </c>
      <c r="H147" s="13">
        <v>2.0</v>
      </c>
      <c r="I147" s="13">
        <v>5.0</v>
      </c>
      <c r="J147" s="13">
        <v>4.0</v>
      </c>
      <c r="K147" s="13">
        <v>0.0</v>
      </c>
      <c r="L147" s="13">
        <v>0.0</v>
      </c>
      <c r="M147" s="6">
        <f t="shared" ref="M147:M154" si="40">SUM(E147:L147)</f>
        <v>18</v>
      </c>
    </row>
    <row r="148" ht="12.75" customHeight="1">
      <c r="A148" s="32" t="s">
        <v>39</v>
      </c>
      <c r="B148" s="51"/>
      <c r="C148" s="52" t="s">
        <v>127</v>
      </c>
      <c r="D148" s="53"/>
      <c r="E148" s="13">
        <v>1.0</v>
      </c>
      <c r="F148" s="13">
        <v>2.0</v>
      </c>
      <c r="G148" s="13">
        <v>3.0</v>
      </c>
      <c r="H148" s="13">
        <v>1.0</v>
      </c>
      <c r="I148" s="13">
        <v>3.0</v>
      </c>
      <c r="J148" s="13">
        <v>4.0</v>
      </c>
      <c r="K148" s="13">
        <v>2.0</v>
      </c>
      <c r="L148" s="13">
        <v>7.0</v>
      </c>
      <c r="M148" s="6">
        <f t="shared" si="40"/>
        <v>23</v>
      </c>
    </row>
    <row r="149" ht="12.75" customHeight="1">
      <c r="A149" s="18"/>
      <c r="B149" s="51"/>
      <c r="C149" s="52" t="s">
        <v>128</v>
      </c>
      <c r="D149" s="53"/>
      <c r="E149" s="13">
        <v>10.0</v>
      </c>
      <c r="F149" s="13">
        <v>2.0</v>
      </c>
      <c r="G149" s="13">
        <v>3.0</v>
      </c>
      <c r="H149" s="13">
        <v>0.0</v>
      </c>
      <c r="I149" s="13">
        <v>0.0</v>
      </c>
      <c r="J149" s="13">
        <v>1.0</v>
      </c>
      <c r="K149" s="13">
        <v>1.0</v>
      </c>
      <c r="L149" s="13">
        <v>0.0</v>
      </c>
      <c r="M149" s="6">
        <f t="shared" si="40"/>
        <v>17</v>
      </c>
    </row>
    <row r="150" ht="12.75" customHeight="1">
      <c r="A150" s="18"/>
      <c r="B150" s="51"/>
      <c r="C150" s="52" t="s">
        <v>129</v>
      </c>
      <c r="D150" s="53"/>
      <c r="E150" s="13">
        <v>7.0</v>
      </c>
      <c r="F150" s="13">
        <v>13.0</v>
      </c>
      <c r="G150" s="13">
        <v>19.0</v>
      </c>
      <c r="H150" s="13">
        <v>15.0</v>
      </c>
      <c r="I150" s="13">
        <v>15.0</v>
      </c>
      <c r="J150" s="13">
        <v>22.0</v>
      </c>
      <c r="K150" s="13">
        <v>5.0</v>
      </c>
      <c r="L150" s="13">
        <v>0.0</v>
      </c>
      <c r="M150" s="6">
        <f t="shared" si="40"/>
        <v>96</v>
      </c>
    </row>
    <row r="151" ht="12.75" customHeight="1">
      <c r="A151" s="18"/>
      <c r="B151" s="51"/>
      <c r="C151" s="52" t="s">
        <v>130</v>
      </c>
      <c r="D151" s="53"/>
      <c r="E151" s="13">
        <v>0.0</v>
      </c>
      <c r="F151" s="13">
        <v>1.0</v>
      </c>
      <c r="G151" s="13">
        <v>0.0</v>
      </c>
      <c r="H151" s="13">
        <v>1.0</v>
      </c>
      <c r="I151" s="13">
        <v>0.0</v>
      </c>
      <c r="J151" s="13">
        <v>2.0</v>
      </c>
      <c r="K151" s="13">
        <v>0.0</v>
      </c>
      <c r="L151" s="13">
        <v>0.0</v>
      </c>
      <c r="M151" s="6">
        <f t="shared" si="40"/>
        <v>4</v>
      </c>
    </row>
    <row r="152" ht="12.75" customHeight="1">
      <c r="A152" s="18"/>
      <c r="B152" s="51"/>
      <c r="C152" s="52" t="s">
        <v>131</v>
      </c>
      <c r="D152" s="53"/>
      <c r="E152" s="13">
        <v>0.0</v>
      </c>
      <c r="F152" s="13">
        <v>0.0</v>
      </c>
      <c r="G152" s="13">
        <v>0.0</v>
      </c>
      <c r="H152" s="13">
        <v>1.0</v>
      </c>
      <c r="I152" s="13">
        <v>0.0</v>
      </c>
      <c r="J152" s="13">
        <v>0.0</v>
      </c>
      <c r="K152" s="13">
        <v>0.0</v>
      </c>
      <c r="L152" s="13">
        <v>0.0</v>
      </c>
      <c r="M152" s="6">
        <f t="shared" si="40"/>
        <v>1</v>
      </c>
    </row>
    <row r="153" ht="12.75" customHeight="1">
      <c r="A153" s="18"/>
      <c r="B153" s="51"/>
      <c r="C153" s="52" t="s">
        <v>132</v>
      </c>
      <c r="D153" s="53"/>
      <c r="E153" s="13">
        <v>0.0</v>
      </c>
      <c r="F153" s="13">
        <v>0.0</v>
      </c>
      <c r="G153" s="13">
        <v>0.0</v>
      </c>
      <c r="H153" s="13">
        <v>0.0</v>
      </c>
      <c r="I153" s="13">
        <v>1.0</v>
      </c>
      <c r="J153" s="13">
        <v>1.0</v>
      </c>
      <c r="K153" s="13">
        <v>1.0</v>
      </c>
      <c r="L153" s="13">
        <v>1.0</v>
      </c>
      <c r="M153" s="6">
        <f t="shared" si="40"/>
        <v>4</v>
      </c>
    </row>
    <row r="154" ht="12.75" customHeight="1">
      <c r="A154" s="13" t="s">
        <v>15</v>
      </c>
      <c r="B154" s="49" t="s">
        <v>46</v>
      </c>
      <c r="C154" s="8"/>
      <c r="D154" s="9"/>
      <c r="E154" s="60">
        <f t="shared" ref="E154:L154" si="41">SUM(E147:E153)</f>
        <v>21</v>
      </c>
      <c r="F154" s="60">
        <f t="shared" si="41"/>
        <v>19</v>
      </c>
      <c r="G154" s="60">
        <f t="shared" si="41"/>
        <v>28</v>
      </c>
      <c r="H154" s="60">
        <f t="shared" si="41"/>
        <v>20</v>
      </c>
      <c r="I154" s="60">
        <f t="shared" si="41"/>
        <v>24</v>
      </c>
      <c r="J154" s="60">
        <f t="shared" si="41"/>
        <v>34</v>
      </c>
      <c r="K154" s="60">
        <f t="shared" si="41"/>
        <v>9</v>
      </c>
      <c r="L154" s="60">
        <f t="shared" si="41"/>
        <v>8</v>
      </c>
      <c r="M154" s="6">
        <f t="shared" si="40"/>
        <v>163</v>
      </c>
    </row>
    <row r="155" ht="12.75" customHeight="1">
      <c r="A155" s="54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6"/>
    </row>
    <row r="156" ht="12.75" customHeight="1">
      <c r="A156" s="32" t="s">
        <v>37</v>
      </c>
      <c r="B156" s="49" t="s">
        <v>133</v>
      </c>
      <c r="C156" s="50" t="s">
        <v>134</v>
      </c>
      <c r="D156" s="9"/>
      <c r="E156" s="13">
        <v>2.0</v>
      </c>
      <c r="F156" s="13">
        <v>0.0</v>
      </c>
      <c r="G156" s="13">
        <v>0.0</v>
      </c>
      <c r="H156" s="13">
        <v>4.0</v>
      </c>
      <c r="I156" s="13">
        <v>1.0</v>
      </c>
      <c r="J156" s="13">
        <v>3.0</v>
      </c>
      <c r="K156" s="13">
        <v>3.0</v>
      </c>
      <c r="L156" s="13">
        <v>0.0</v>
      </c>
      <c r="M156" s="6">
        <f t="shared" ref="M156:M162" si="42">SUM(E156:L156)</f>
        <v>13</v>
      </c>
    </row>
    <row r="157" ht="12.75" customHeight="1">
      <c r="A157" s="32"/>
      <c r="B157" s="49"/>
      <c r="C157" s="52" t="s">
        <v>135</v>
      </c>
      <c r="D157" s="61"/>
      <c r="E157" s="13">
        <v>0.0</v>
      </c>
      <c r="F157" s="13">
        <v>1.0</v>
      </c>
      <c r="G157" s="13">
        <v>1.0</v>
      </c>
      <c r="H157" s="13">
        <v>0.0</v>
      </c>
      <c r="I157" s="13">
        <v>0.0</v>
      </c>
      <c r="J157" s="13">
        <v>0.0</v>
      </c>
      <c r="K157" s="13">
        <v>0.0</v>
      </c>
      <c r="L157" s="13">
        <v>1.0</v>
      </c>
      <c r="M157" s="6">
        <f t="shared" si="42"/>
        <v>3</v>
      </c>
    </row>
    <row r="158" ht="12.75" customHeight="1">
      <c r="A158" s="32"/>
      <c r="B158" s="49"/>
      <c r="C158" s="52" t="s">
        <v>136</v>
      </c>
      <c r="D158" s="61"/>
      <c r="E158" s="13">
        <v>1.0</v>
      </c>
      <c r="F158" s="13">
        <v>0.0</v>
      </c>
      <c r="G158" s="13">
        <v>0.0</v>
      </c>
      <c r="H158" s="13">
        <v>0.0</v>
      </c>
      <c r="I158" s="13">
        <v>1.0</v>
      </c>
      <c r="J158" s="13">
        <v>1.0</v>
      </c>
      <c r="K158" s="13">
        <v>0.0</v>
      </c>
      <c r="L158" s="13">
        <v>0.0</v>
      </c>
      <c r="M158" s="6">
        <f t="shared" si="42"/>
        <v>3</v>
      </c>
    </row>
    <row r="159" ht="12.75" customHeight="1">
      <c r="A159" s="32"/>
      <c r="B159" s="49"/>
      <c r="C159" s="52" t="s">
        <v>137</v>
      </c>
      <c r="D159" s="61"/>
      <c r="E159" s="13">
        <v>0.0</v>
      </c>
      <c r="F159" s="13">
        <v>0.0</v>
      </c>
      <c r="G159" s="13">
        <v>0.0</v>
      </c>
      <c r="H159" s="13">
        <v>0.0</v>
      </c>
      <c r="I159" s="13">
        <v>0.0</v>
      </c>
      <c r="J159" s="13">
        <v>0.0</v>
      </c>
      <c r="K159" s="13">
        <v>0.0</v>
      </c>
      <c r="L159" s="13">
        <v>0.0</v>
      </c>
      <c r="M159" s="6">
        <f t="shared" si="42"/>
        <v>0</v>
      </c>
    </row>
    <row r="160" ht="12.75" customHeight="1">
      <c r="A160" s="32" t="s">
        <v>39</v>
      </c>
      <c r="B160" s="51"/>
      <c r="C160" s="52" t="s">
        <v>138</v>
      </c>
      <c r="D160" s="53"/>
      <c r="E160" s="13">
        <v>0.0</v>
      </c>
      <c r="F160" s="13">
        <v>0.0</v>
      </c>
      <c r="G160" s="13">
        <v>0.0</v>
      </c>
      <c r="H160" s="13">
        <v>0.0</v>
      </c>
      <c r="I160" s="13">
        <v>0.0</v>
      </c>
      <c r="J160" s="13">
        <v>0.0</v>
      </c>
      <c r="K160" s="13">
        <v>0.0</v>
      </c>
      <c r="L160" s="13">
        <v>0.0</v>
      </c>
      <c r="M160" s="6">
        <f t="shared" si="42"/>
        <v>0</v>
      </c>
    </row>
    <row r="161" ht="12.75" customHeight="1">
      <c r="A161" s="32"/>
      <c r="B161" s="51"/>
      <c r="C161" s="52" t="s">
        <v>139</v>
      </c>
      <c r="D161" s="53"/>
      <c r="E161" s="13">
        <v>0.0</v>
      </c>
      <c r="F161" s="13">
        <v>0.0</v>
      </c>
      <c r="G161" s="13">
        <v>0.0</v>
      </c>
      <c r="H161" s="13">
        <v>0.0</v>
      </c>
      <c r="I161" s="13">
        <v>0.0</v>
      </c>
      <c r="J161" s="13">
        <v>0.0</v>
      </c>
      <c r="K161" s="13">
        <v>0.0</v>
      </c>
      <c r="L161" s="13">
        <v>0.0</v>
      </c>
      <c r="M161" s="6">
        <f t="shared" si="42"/>
        <v>0</v>
      </c>
    </row>
    <row r="162" ht="12.75" customHeight="1">
      <c r="A162" s="13" t="s">
        <v>15</v>
      </c>
      <c r="B162" s="49" t="s">
        <v>46</v>
      </c>
      <c r="C162" s="8"/>
      <c r="D162" s="9"/>
      <c r="E162" s="60">
        <f t="shared" ref="E162:L162" si="43">SUM(E156:E161)</f>
        <v>3</v>
      </c>
      <c r="F162" s="60">
        <f t="shared" si="43"/>
        <v>1</v>
      </c>
      <c r="G162" s="60">
        <f t="shared" si="43"/>
        <v>1</v>
      </c>
      <c r="H162" s="60">
        <f t="shared" si="43"/>
        <v>4</v>
      </c>
      <c r="I162" s="60">
        <f t="shared" si="43"/>
        <v>2</v>
      </c>
      <c r="J162" s="60">
        <f t="shared" si="43"/>
        <v>4</v>
      </c>
      <c r="K162" s="60">
        <f t="shared" si="43"/>
        <v>3</v>
      </c>
      <c r="L162" s="60">
        <f t="shared" si="43"/>
        <v>1</v>
      </c>
      <c r="M162" s="6">
        <f t="shared" si="42"/>
        <v>19</v>
      </c>
    </row>
    <row r="163" ht="12.75" customHeight="1">
      <c r="A163" s="54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6"/>
    </row>
    <row r="164" ht="12.75" customHeight="1">
      <c r="A164" s="32" t="s">
        <v>37</v>
      </c>
      <c r="B164" s="49" t="s">
        <v>140</v>
      </c>
      <c r="C164" s="50" t="s">
        <v>141</v>
      </c>
      <c r="D164" s="9"/>
      <c r="E164" s="13">
        <v>0.0</v>
      </c>
      <c r="F164" s="13">
        <v>0.0</v>
      </c>
      <c r="G164" s="13">
        <v>0.0</v>
      </c>
      <c r="H164" s="13">
        <v>0.0</v>
      </c>
      <c r="I164" s="13">
        <v>0.0</v>
      </c>
      <c r="J164" s="13">
        <v>1.0</v>
      </c>
      <c r="K164" s="13">
        <v>1.0</v>
      </c>
      <c r="L164" s="13">
        <v>1.0</v>
      </c>
      <c r="M164" s="6">
        <f t="shared" ref="M164:M171" si="44">SUM(E164:L164)</f>
        <v>3</v>
      </c>
    </row>
    <row r="165" ht="12.75" customHeight="1">
      <c r="A165" s="32"/>
      <c r="B165" s="49"/>
      <c r="C165" s="52" t="s">
        <v>142</v>
      </c>
      <c r="D165" s="61"/>
      <c r="E165" s="13">
        <v>0.0</v>
      </c>
      <c r="F165" s="13">
        <v>0.0</v>
      </c>
      <c r="G165" s="13">
        <v>0.0</v>
      </c>
      <c r="H165" s="13">
        <v>0.0</v>
      </c>
      <c r="I165" s="13">
        <v>0.0</v>
      </c>
      <c r="J165" s="13">
        <v>0.0</v>
      </c>
      <c r="K165" s="13">
        <v>0.0</v>
      </c>
      <c r="L165" s="13">
        <v>0.0</v>
      </c>
      <c r="M165" s="6">
        <f t="shared" si="44"/>
        <v>0</v>
      </c>
    </row>
    <row r="166" ht="12.75" customHeight="1">
      <c r="A166" s="32"/>
      <c r="B166" s="49"/>
      <c r="C166" s="52" t="s">
        <v>143</v>
      </c>
      <c r="D166" s="61"/>
      <c r="E166" s="13">
        <v>0.0</v>
      </c>
      <c r="F166" s="13">
        <v>0.0</v>
      </c>
      <c r="G166" s="13">
        <v>0.0</v>
      </c>
      <c r="H166" s="13">
        <v>0.0</v>
      </c>
      <c r="I166" s="13">
        <v>0.0</v>
      </c>
      <c r="J166" s="13">
        <v>0.0</v>
      </c>
      <c r="K166" s="13">
        <v>0.0</v>
      </c>
      <c r="L166" s="13">
        <v>0.0</v>
      </c>
      <c r="M166" s="6">
        <f t="shared" si="44"/>
        <v>0</v>
      </c>
    </row>
    <row r="167" ht="12.75" customHeight="1">
      <c r="A167" s="32"/>
      <c r="B167" s="49"/>
      <c r="C167" s="52" t="s">
        <v>144</v>
      </c>
      <c r="D167" s="61"/>
      <c r="E167" s="13">
        <v>0.0</v>
      </c>
      <c r="F167" s="13">
        <v>0.0</v>
      </c>
      <c r="G167" s="13">
        <v>0.0</v>
      </c>
      <c r="H167" s="13">
        <v>0.0</v>
      </c>
      <c r="I167" s="13">
        <v>0.0</v>
      </c>
      <c r="J167" s="13">
        <v>0.0</v>
      </c>
      <c r="K167" s="13">
        <v>0.0</v>
      </c>
      <c r="L167" s="13">
        <v>0.0</v>
      </c>
      <c r="M167" s="6">
        <f t="shared" si="44"/>
        <v>0</v>
      </c>
    </row>
    <row r="168" ht="12.75" customHeight="1">
      <c r="A168" s="32" t="s">
        <v>39</v>
      </c>
      <c r="B168" s="51"/>
      <c r="C168" s="52" t="s">
        <v>145</v>
      </c>
      <c r="D168" s="53"/>
      <c r="E168" s="13">
        <v>0.0</v>
      </c>
      <c r="F168" s="13">
        <v>0.0</v>
      </c>
      <c r="G168" s="13">
        <v>0.0</v>
      </c>
      <c r="H168" s="13">
        <v>0.0</v>
      </c>
      <c r="I168" s="13">
        <v>0.0</v>
      </c>
      <c r="J168" s="13">
        <v>0.0</v>
      </c>
      <c r="K168" s="13">
        <v>0.0</v>
      </c>
      <c r="L168" s="13">
        <v>0.0</v>
      </c>
      <c r="M168" s="6">
        <f t="shared" si="44"/>
        <v>0</v>
      </c>
    </row>
    <row r="169" ht="12.75" customHeight="1">
      <c r="A169" s="18"/>
      <c r="B169" s="51"/>
      <c r="C169" s="52" t="s">
        <v>146</v>
      </c>
      <c r="D169" s="53"/>
      <c r="E169" s="13">
        <v>0.0</v>
      </c>
      <c r="F169" s="13">
        <v>0.0</v>
      </c>
      <c r="G169" s="13">
        <v>0.0</v>
      </c>
      <c r="H169" s="13">
        <v>0.0</v>
      </c>
      <c r="I169" s="13">
        <v>0.0</v>
      </c>
      <c r="J169" s="13">
        <v>0.0</v>
      </c>
      <c r="K169" s="13">
        <v>0.0</v>
      </c>
      <c r="L169" s="13">
        <v>0.0</v>
      </c>
      <c r="M169" s="6">
        <f t="shared" si="44"/>
        <v>0</v>
      </c>
    </row>
    <row r="170" ht="12.75" customHeight="1">
      <c r="A170" s="18"/>
      <c r="B170" s="51"/>
      <c r="C170" s="52" t="s">
        <v>147</v>
      </c>
      <c r="D170" s="53"/>
      <c r="E170" s="13">
        <v>0.0</v>
      </c>
      <c r="F170" s="13">
        <v>0.0</v>
      </c>
      <c r="G170" s="13">
        <v>0.0</v>
      </c>
      <c r="H170" s="13">
        <v>0.0</v>
      </c>
      <c r="I170" s="13">
        <v>0.0</v>
      </c>
      <c r="J170" s="13">
        <v>0.0</v>
      </c>
      <c r="K170" s="13">
        <v>0.0</v>
      </c>
      <c r="L170" s="13">
        <v>0.0</v>
      </c>
      <c r="M170" s="6">
        <f t="shared" si="44"/>
        <v>0</v>
      </c>
    </row>
    <row r="171" ht="12.75" customHeight="1">
      <c r="A171" s="13" t="s">
        <v>15</v>
      </c>
      <c r="B171" s="49" t="s">
        <v>46</v>
      </c>
      <c r="C171" s="8"/>
      <c r="D171" s="9"/>
      <c r="E171" s="60">
        <f t="shared" ref="E171:L171" si="45">SUM(E164:E170)</f>
        <v>0</v>
      </c>
      <c r="F171" s="60">
        <f t="shared" si="45"/>
        <v>0</v>
      </c>
      <c r="G171" s="60">
        <f t="shared" si="45"/>
        <v>0</v>
      </c>
      <c r="H171" s="60">
        <f t="shared" si="45"/>
        <v>0</v>
      </c>
      <c r="I171" s="60">
        <f t="shared" si="45"/>
        <v>0</v>
      </c>
      <c r="J171" s="60">
        <f t="shared" si="45"/>
        <v>1</v>
      </c>
      <c r="K171" s="60">
        <f t="shared" si="45"/>
        <v>1</v>
      </c>
      <c r="L171" s="60">
        <f t="shared" si="45"/>
        <v>1</v>
      </c>
      <c r="M171" s="6">
        <f t="shared" si="44"/>
        <v>3</v>
      </c>
    </row>
    <row r="172" ht="12.75" customHeight="1">
      <c r="A172" s="54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6"/>
    </row>
    <row r="173" ht="12.75" customHeight="1">
      <c r="A173" s="32" t="s">
        <v>37</v>
      </c>
      <c r="B173" s="49" t="s">
        <v>148</v>
      </c>
      <c r="C173" s="50" t="s">
        <v>149</v>
      </c>
      <c r="D173" s="9"/>
      <c r="E173" s="13">
        <v>0.0</v>
      </c>
      <c r="F173" s="13">
        <v>1.0</v>
      </c>
      <c r="G173" s="13">
        <v>1.0</v>
      </c>
      <c r="H173" s="13">
        <v>0.0</v>
      </c>
      <c r="I173" s="13">
        <v>0.0</v>
      </c>
      <c r="J173" s="13">
        <v>1.0</v>
      </c>
      <c r="K173" s="13">
        <v>0.0</v>
      </c>
      <c r="L173" s="13">
        <v>0.0</v>
      </c>
      <c r="M173" s="6">
        <f t="shared" ref="M173:M180" si="46">SUM(E173:L173)</f>
        <v>3</v>
      </c>
    </row>
    <row r="174" ht="12.75" customHeight="1">
      <c r="A174" s="32" t="s">
        <v>39</v>
      </c>
      <c r="B174" s="51"/>
      <c r="C174" s="52" t="s">
        <v>150</v>
      </c>
      <c r="D174" s="53"/>
      <c r="E174" s="13">
        <v>0.0</v>
      </c>
      <c r="F174" s="13">
        <v>1.0</v>
      </c>
      <c r="G174" s="13">
        <v>1.0</v>
      </c>
      <c r="H174" s="13">
        <v>0.0</v>
      </c>
      <c r="I174" s="13">
        <v>1.0</v>
      </c>
      <c r="J174" s="13">
        <v>0.0</v>
      </c>
      <c r="K174" s="13">
        <v>2.0</v>
      </c>
      <c r="L174" s="13">
        <v>0.0</v>
      </c>
      <c r="M174" s="6">
        <f t="shared" si="46"/>
        <v>5</v>
      </c>
    </row>
    <row r="175" ht="12.75" customHeight="1">
      <c r="A175" s="18"/>
      <c r="B175" s="51"/>
      <c r="C175" s="52" t="s">
        <v>151</v>
      </c>
      <c r="D175" s="53"/>
      <c r="E175" s="13">
        <v>0.0</v>
      </c>
      <c r="F175" s="13">
        <v>0.0</v>
      </c>
      <c r="G175" s="13">
        <v>0.0</v>
      </c>
      <c r="H175" s="13">
        <v>0.0</v>
      </c>
      <c r="I175" s="13">
        <v>0.0</v>
      </c>
      <c r="J175" s="13">
        <v>2.0</v>
      </c>
      <c r="K175" s="13">
        <v>0.0</v>
      </c>
      <c r="L175" s="13">
        <v>0.0</v>
      </c>
      <c r="M175" s="6">
        <f t="shared" si="46"/>
        <v>2</v>
      </c>
    </row>
    <row r="176" ht="12.75" customHeight="1">
      <c r="A176" s="18"/>
      <c r="B176" s="51"/>
      <c r="C176" s="52" t="s">
        <v>152</v>
      </c>
      <c r="D176" s="53"/>
      <c r="E176" s="13">
        <v>1.0</v>
      </c>
      <c r="F176" s="13">
        <v>2.0</v>
      </c>
      <c r="G176" s="13">
        <v>0.0</v>
      </c>
      <c r="H176" s="13">
        <v>1.0</v>
      </c>
      <c r="I176" s="13">
        <v>3.0</v>
      </c>
      <c r="J176" s="13">
        <v>7.0</v>
      </c>
      <c r="K176" s="13">
        <v>2.0</v>
      </c>
      <c r="L176" s="13">
        <v>1.0</v>
      </c>
      <c r="M176" s="6">
        <f t="shared" si="46"/>
        <v>17</v>
      </c>
    </row>
    <row r="177" ht="12.75" customHeight="1">
      <c r="A177" s="18"/>
      <c r="B177" s="51"/>
      <c r="C177" s="52" t="s">
        <v>153</v>
      </c>
      <c r="D177" s="53"/>
      <c r="E177" s="13">
        <v>1.0</v>
      </c>
      <c r="F177" s="13">
        <v>2.0</v>
      </c>
      <c r="G177" s="13">
        <v>0.0</v>
      </c>
      <c r="H177" s="13">
        <v>0.0</v>
      </c>
      <c r="I177" s="13">
        <v>0.0</v>
      </c>
      <c r="J177" s="13">
        <v>0.0</v>
      </c>
      <c r="K177" s="13">
        <v>0.0</v>
      </c>
      <c r="L177" s="13">
        <v>0.0</v>
      </c>
      <c r="M177" s="6">
        <f t="shared" si="46"/>
        <v>3</v>
      </c>
    </row>
    <row r="178" ht="12.75" customHeight="1">
      <c r="A178" s="18"/>
      <c r="B178" s="51"/>
      <c r="C178" s="52" t="s">
        <v>154</v>
      </c>
      <c r="D178" s="53"/>
      <c r="E178" s="13">
        <v>0.0</v>
      </c>
      <c r="F178" s="13">
        <v>0.0</v>
      </c>
      <c r="G178" s="13">
        <v>0.0</v>
      </c>
      <c r="H178" s="13">
        <v>0.0</v>
      </c>
      <c r="I178" s="13">
        <v>0.0</v>
      </c>
      <c r="J178" s="13">
        <v>0.0</v>
      </c>
      <c r="K178" s="13">
        <v>0.0</v>
      </c>
      <c r="L178" s="13">
        <v>0.0</v>
      </c>
      <c r="M178" s="6">
        <f t="shared" si="46"/>
        <v>0</v>
      </c>
    </row>
    <row r="179" ht="12.75" customHeight="1">
      <c r="A179" s="18"/>
      <c r="B179" s="51"/>
      <c r="C179" s="52" t="s">
        <v>155</v>
      </c>
      <c r="D179" s="53"/>
      <c r="E179" s="13">
        <v>0.0</v>
      </c>
      <c r="F179" s="13">
        <v>0.0</v>
      </c>
      <c r="G179" s="13">
        <v>0.0</v>
      </c>
      <c r="H179" s="13">
        <v>0.0</v>
      </c>
      <c r="I179" s="13">
        <v>0.0</v>
      </c>
      <c r="J179" s="13">
        <v>0.0</v>
      </c>
      <c r="K179" s="13">
        <v>0.0</v>
      </c>
      <c r="L179" s="13">
        <v>0.0</v>
      </c>
      <c r="M179" s="6">
        <f t="shared" si="46"/>
        <v>0</v>
      </c>
    </row>
    <row r="180" ht="12.75" customHeight="1">
      <c r="A180" s="13" t="s">
        <v>15</v>
      </c>
      <c r="B180" s="49" t="s">
        <v>46</v>
      </c>
      <c r="C180" s="8"/>
      <c r="D180" s="9"/>
      <c r="E180" s="60">
        <f t="shared" ref="E180:L180" si="47">SUM(E173:E179)</f>
        <v>2</v>
      </c>
      <c r="F180" s="60">
        <f t="shared" si="47"/>
        <v>6</v>
      </c>
      <c r="G180" s="60">
        <f t="shared" si="47"/>
        <v>2</v>
      </c>
      <c r="H180" s="60">
        <f t="shared" si="47"/>
        <v>1</v>
      </c>
      <c r="I180" s="60">
        <f t="shared" si="47"/>
        <v>4</v>
      </c>
      <c r="J180" s="60">
        <f t="shared" si="47"/>
        <v>10</v>
      </c>
      <c r="K180" s="60">
        <f t="shared" si="47"/>
        <v>4</v>
      </c>
      <c r="L180" s="60">
        <f t="shared" si="47"/>
        <v>1</v>
      </c>
      <c r="M180" s="6">
        <f t="shared" si="46"/>
        <v>30</v>
      </c>
    </row>
    <row r="181" ht="12.75" customHeight="1">
      <c r="A181" s="54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6"/>
    </row>
    <row r="182" ht="12.75" customHeight="1">
      <c r="A182" s="32" t="s">
        <v>37</v>
      </c>
      <c r="B182" s="49" t="s">
        <v>156</v>
      </c>
      <c r="C182" s="50" t="s">
        <v>157</v>
      </c>
      <c r="D182" s="9"/>
      <c r="E182" s="13">
        <v>0.0</v>
      </c>
      <c r="F182" s="13">
        <v>0.0</v>
      </c>
      <c r="G182" s="13">
        <v>0.0</v>
      </c>
      <c r="H182" s="13">
        <v>0.0</v>
      </c>
      <c r="I182" s="13">
        <v>1.0</v>
      </c>
      <c r="J182" s="13">
        <v>0.0</v>
      </c>
      <c r="K182" s="13">
        <v>0.0</v>
      </c>
      <c r="L182" s="13">
        <v>0.0</v>
      </c>
      <c r="M182" s="6">
        <f t="shared" ref="M182:M187" si="48">SUM(E182:L182)</f>
        <v>1</v>
      </c>
    </row>
    <row r="183" ht="12.75" customHeight="1">
      <c r="A183" s="32"/>
      <c r="B183" s="49"/>
      <c r="C183" s="52" t="s">
        <v>158</v>
      </c>
      <c r="D183" s="61"/>
      <c r="E183" s="13">
        <v>0.0</v>
      </c>
      <c r="F183" s="13">
        <v>3.0</v>
      </c>
      <c r="G183" s="13">
        <v>0.0</v>
      </c>
      <c r="H183" s="13">
        <v>0.0</v>
      </c>
      <c r="I183" s="13">
        <v>0.0</v>
      </c>
      <c r="J183" s="13">
        <v>0.0</v>
      </c>
      <c r="K183" s="13">
        <v>0.0</v>
      </c>
      <c r="L183" s="13">
        <v>0.0</v>
      </c>
      <c r="M183" s="6">
        <f t="shared" si="48"/>
        <v>3</v>
      </c>
    </row>
    <row r="184" ht="12.75" customHeight="1">
      <c r="A184" s="32"/>
      <c r="B184" s="49"/>
      <c r="C184" s="52" t="s">
        <v>159</v>
      </c>
      <c r="D184" s="61"/>
      <c r="E184" s="13">
        <v>0.0</v>
      </c>
      <c r="F184" s="13">
        <v>0.0</v>
      </c>
      <c r="G184" s="13">
        <v>0.0</v>
      </c>
      <c r="H184" s="13">
        <v>1.0</v>
      </c>
      <c r="I184" s="13">
        <v>0.0</v>
      </c>
      <c r="J184" s="13">
        <v>8.0</v>
      </c>
      <c r="K184" s="13">
        <v>0.0</v>
      </c>
      <c r="L184" s="13">
        <v>0.0</v>
      </c>
      <c r="M184" s="6">
        <f t="shared" si="48"/>
        <v>9</v>
      </c>
    </row>
    <row r="185" ht="12.75" customHeight="1">
      <c r="A185" s="32"/>
      <c r="B185" s="49"/>
      <c r="C185" s="52" t="s">
        <v>160</v>
      </c>
      <c r="D185" s="61"/>
      <c r="E185" s="13">
        <v>0.0</v>
      </c>
      <c r="F185" s="13">
        <v>0.0</v>
      </c>
      <c r="G185" s="13">
        <v>0.0</v>
      </c>
      <c r="H185" s="13">
        <v>0.0</v>
      </c>
      <c r="I185" s="13">
        <v>0.0</v>
      </c>
      <c r="J185" s="13">
        <v>0.0</v>
      </c>
      <c r="K185" s="13">
        <v>0.0</v>
      </c>
      <c r="L185" s="13">
        <v>0.0</v>
      </c>
      <c r="M185" s="6">
        <f t="shared" si="48"/>
        <v>0</v>
      </c>
    </row>
    <row r="186" ht="12.75" customHeight="1">
      <c r="A186" s="32" t="s">
        <v>39</v>
      </c>
      <c r="B186" s="51"/>
      <c r="C186" s="52" t="s">
        <v>161</v>
      </c>
      <c r="D186" s="53"/>
      <c r="E186" s="13">
        <v>0.0</v>
      </c>
      <c r="F186" s="13">
        <v>0.0</v>
      </c>
      <c r="G186" s="13">
        <v>0.0</v>
      </c>
      <c r="H186" s="13">
        <v>0.0</v>
      </c>
      <c r="I186" s="13">
        <v>0.0</v>
      </c>
      <c r="J186" s="13">
        <v>0.0</v>
      </c>
      <c r="K186" s="13">
        <v>0.0</v>
      </c>
      <c r="L186" s="13">
        <v>0.0</v>
      </c>
      <c r="M186" s="6">
        <f t="shared" si="48"/>
        <v>0</v>
      </c>
    </row>
    <row r="187" ht="12.75" customHeight="1">
      <c r="A187" s="13" t="s">
        <v>15</v>
      </c>
      <c r="B187" s="49" t="s">
        <v>46</v>
      </c>
      <c r="C187" s="8"/>
      <c r="D187" s="9"/>
      <c r="E187" s="60">
        <f t="shared" ref="E187:L187" si="49">SUM(E182:E186)</f>
        <v>0</v>
      </c>
      <c r="F187" s="60">
        <f t="shared" si="49"/>
        <v>3</v>
      </c>
      <c r="G187" s="60">
        <f t="shared" si="49"/>
        <v>0</v>
      </c>
      <c r="H187" s="60">
        <f t="shared" si="49"/>
        <v>1</v>
      </c>
      <c r="I187" s="60">
        <f t="shared" si="49"/>
        <v>1</v>
      </c>
      <c r="J187" s="60">
        <f t="shared" si="49"/>
        <v>8</v>
      </c>
      <c r="K187" s="60">
        <f t="shared" si="49"/>
        <v>0</v>
      </c>
      <c r="L187" s="60">
        <f t="shared" si="49"/>
        <v>0</v>
      </c>
      <c r="M187" s="6">
        <f t="shared" si="48"/>
        <v>13</v>
      </c>
    </row>
    <row r="188" ht="12.75" customHeight="1">
      <c r="A188" s="21"/>
      <c r="B188" s="8"/>
      <c r="C188" s="8"/>
      <c r="D188" s="9"/>
      <c r="E188" s="21"/>
      <c r="F188" s="21"/>
      <c r="G188" s="21"/>
      <c r="H188" s="21"/>
      <c r="I188" s="21"/>
      <c r="J188" s="21"/>
      <c r="K188" s="21"/>
      <c r="L188" s="21"/>
      <c r="M188" s="6"/>
    </row>
    <row r="189" ht="12.75" customHeight="1">
      <c r="A189" s="47"/>
      <c r="B189" s="46"/>
      <c r="C189" s="46"/>
      <c r="D189" s="27"/>
      <c r="E189" s="13"/>
      <c r="F189" s="13"/>
      <c r="G189" s="13"/>
      <c r="H189" s="13"/>
      <c r="I189" s="13"/>
      <c r="J189" s="13"/>
      <c r="K189" s="13"/>
      <c r="L189" s="13"/>
      <c r="M189" s="6"/>
    </row>
    <row r="190" ht="12.75" customHeight="1">
      <c r="A190" s="44" t="s">
        <v>162</v>
      </c>
      <c r="B190" s="7" t="s">
        <v>163</v>
      </c>
      <c r="C190" s="8"/>
      <c r="D190" s="9"/>
      <c r="E190" s="6"/>
      <c r="F190" s="6"/>
      <c r="G190" s="6"/>
      <c r="H190" s="6"/>
      <c r="I190" s="6"/>
      <c r="J190" s="6"/>
      <c r="K190" s="6"/>
      <c r="L190" s="6"/>
      <c r="M190" s="6"/>
    </row>
    <row r="191" ht="12.75" customHeight="1">
      <c r="A191" s="44"/>
      <c r="B191" s="63" t="s">
        <v>164</v>
      </c>
      <c r="C191" s="64" t="s">
        <v>165</v>
      </c>
      <c r="D191" s="9"/>
      <c r="E191" s="13">
        <f t="shared" ref="E191:L191" si="50">E187+E180+E171+E162+E154+E145+E136+E127+E123+E114+E110+E101+E92+E88+E79+E70+E61+E52</f>
        <v>175</v>
      </c>
      <c r="F191" s="13">
        <f t="shared" si="50"/>
        <v>191</v>
      </c>
      <c r="G191" s="13">
        <f t="shared" si="50"/>
        <v>177</v>
      </c>
      <c r="H191" s="13">
        <f t="shared" si="50"/>
        <v>191</v>
      </c>
      <c r="I191" s="13">
        <f t="shared" si="50"/>
        <v>218</v>
      </c>
      <c r="J191" s="13">
        <f t="shared" si="50"/>
        <v>200</v>
      </c>
      <c r="K191" s="13">
        <f t="shared" si="50"/>
        <v>216</v>
      </c>
      <c r="L191" s="13">
        <f t="shared" si="50"/>
        <v>155</v>
      </c>
      <c r="M191" s="6">
        <f t="shared" ref="M191:M193" si="51">SUM(E191:L191)</f>
        <v>1523</v>
      </c>
    </row>
    <row r="192" ht="12.75" customHeight="1">
      <c r="A192" s="37"/>
      <c r="B192" s="63" t="s">
        <v>166</v>
      </c>
      <c r="C192" s="64" t="s">
        <v>167</v>
      </c>
      <c r="D192" s="9"/>
      <c r="E192" s="13">
        <v>35.0</v>
      </c>
      <c r="F192" s="13">
        <v>14.0</v>
      </c>
      <c r="G192" s="13">
        <v>31.0</v>
      </c>
      <c r="H192" s="13">
        <v>29.0</v>
      </c>
      <c r="I192" s="13">
        <v>12.0</v>
      </c>
      <c r="J192" s="13">
        <v>16.0</v>
      </c>
      <c r="K192" s="13">
        <v>23.0</v>
      </c>
      <c r="L192" s="13">
        <v>8.0</v>
      </c>
      <c r="M192" s="6">
        <f t="shared" si="51"/>
        <v>168</v>
      </c>
    </row>
    <row r="193" ht="12.75" customHeight="1">
      <c r="A193" s="42"/>
      <c r="B193" s="63" t="s">
        <v>168</v>
      </c>
      <c r="C193" s="64" t="s">
        <v>169</v>
      </c>
      <c r="D193" s="9"/>
      <c r="E193" s="6">
        <f t="shared" ref="E193:L193" si="52">SUM(E191:E192)</f>
        <v>210</v>
      </c>
      <c r="F193" s="6">
        <f t="shared" si="52"/>
        <v>205</v>
      </c>
      <c r="G193" s="6">
        <f t="shared" si="52"/>
        <v>208</v>
      </c>
      <c r="H193" s="6">
        <f t="shared" si="52"/>
        <v>220</v>
      </c>
      <c r="I193" s="6">
        <f t="shared" si="52"/>
        <v>230</v>
      </c>
      <c r="J193" s="6">
        <f t="shared" si="52"/>
        <v>216</v>
      </c>
      <c r="K193" s="6">
        <f t="shared" si="52"/>
        <v>239</v>
      </c>
      <c r="L193" s="6">
        <f t="shared" si="52"/>
        <v>163</v>
      </c>
      <c r="M193" s="6">
        <f t="shared" si="51"/>
        <v>1691</v>
      </c>
    </row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110:D110"/>
    <mergeCell ref="C112:D112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5:D145"/>
    <mergeCell ref="C147:D147"/>
    <mergeCell ref="B154:D154"/>
    <mergeCell ref="C156:D156"/>
    <mergeCell ref="A188:D188"/>
    <mergeCell ref="A189:D189"/>
    <mergeCell ref="B190:D190"/>
    <mergeCell ref="C191:D191"/>
    <mergeCell ref="C192:D192"/>
    <mergeCell ref="C193:D193"/>
    <mergeCell ref="B162:D162"/>
    <mergeCell ref="C164:D164"/>
    <mergeCell ref="B171:D171"/>
    <mergeCell ref="C173:D173"/>
    <mergeCell ref="B180:D180"/>
    <mergeCell ref="C182:D182"/>
    <mergeCell ref="B187:D187"/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101:D101"/>
    <mergeCell ref="C103:D103"/>
  </mergeCells>
  <conditionalFormatting sqref="E30:L30">
    <cfRule type="expression" dxfId="0" priority="1">
      <formula>E30&lt;&gt;E62</formula>
    </cfRule>
  </conditionalFormatting>
  <conditionalFormatting sqref="E34:L34">
    <cfRule type="expression" dxfId="0" priority="2">
      <formula>E34&lt;&gt;E62</formula>
    </cfRule>
  </conditionalFormatting>
  <conditionalFormatting sqref="E14:L15">
    <cfRule type="containsBlanks" dxfId="1" priority="3">
      <formula>LEN(TRIM(E14))=0</formula>
    </cfRule>
  </conditionalFormatting>
  <conditionalFormatting sqref="E19:L20">
    <cfRule type="containsBlanks" dxfId="1" priority="4">
      <formula>LEN(TRIM(E19))=0</formula>
    </cfRule>
  </conditionalFormatting>
  <conditionalFormatting sqref="E22:L23 E25:L26 E33:L33 E35:L35 E39:L40">
    <cfRule type="containsBlanks" dxfId="1" priority="5">
      <formula>LEN(TRIM(E22))=0</formula>
    </cfRule>
  </conditionalFormatting>
  <conditionalFormatting sqref="E30:L30">
    <cfRule type="expression" dxfId="0" priority="6">
      <formula>E30&lt;&gt;E34</formula>
    </cfRule>
  </conditionalFormatting>
  <conditionalFormatting sqref="E34:L34">
    <cfRule type="expression" dxfId="2" priority="7">
      <formula>E30&lt;&gt;E34</formula>
    </cfRule>
  </conditionalFormatting>
  <conditionalFormatting sqref="E34:L34">
    <cfRule type="expression" dxfId="3" priority="8">
      <formula>E30=E34</formula>
    </cfRule>
  </conditionalFormatting>
  <conditionalFormatting sqref="E34:L34">
    <cfRule type="expression" dxfId="0" priority="9">
      <formula>E34&lt;&gt;E30</formula>
    </cfRule>
  </conditionalFormatting>
  <conditionalFormatting sqref="E45:L51">
    <cfRule type="containsBlanks" dxfId="1" priority="10">
      <formula>LEN(TRIM(E45))=0</formula>
    </cfRule>
  </conditionalFormatting>
  <conditionalFormatting sqref="E54:L60">
    <cfRule type="containsBlanks" dxfId="1" priority="11">
      <formula>LEN(TRIM(E54))=0</formula>
    </cfRule>
  </conditionalFormatting>
  <conditionalFormatting sqref="E63:L69">
    <cfRule type="containsBlanks" dxfId="1" priority="12">
      <formula>LEN(TRIM(E63))=0</formula>
    </cfRule>
  </conditionalFormatting>
  <conditionalFormatting sqref="E72:L78">
    <cfRule type="containsBlanks" dxfId="1" priority="13">
      <formula>LEN(TRIM(E72))=0</formula>
    </cfRule>
  </conditionalFormatting>
  <conditionalFormatting sqref="E81:L87">
    <cfRule type="containsBlanks" dxfId="1" priority="14">
      <formula>LEN(TRIM(E81))=0</formula>
    </cfRule>
  </conditionalFormatting>
  <conditionalFormatting sqref="E90:L91">
    <cfRule type="containsBlanks" dxfId="1" priority="15">
      <formula>LEN(TRIM(E90))=0</formula>
    </cfRule>
  </conditionalFormatting>
  <conditionalFormatting sqref="E94:L100">
    <cfRule type="containsBlanks" dxfId="1" priority="16">
      <formula>LEN(TRIM(E94))=0</formula>
    </cfRule>
  </conditionalFormatting>
  <conditionalFormatting sqref="E103:L109">
    <cfRule type="containsBlanks" dxfId="1" priority="17">
      <formula>LEN(TRIM(E103))=0</formula>
    </cfRule>
  </conditionalFormatting>
  <conditionalFormatting sqref="E112:L113">
    <cfRule type="containsBlanks" dxfId="1" priority="18">
      <formula>LEN(TRIM(E112))=0</formula>
    </cfRule>
  </conditionalFormatting>
  <conditionalFormatting sqref="E116:L122">
    <cfRule type="containsBlanks" dxfId="1" priority="19">
      <formula>LEN(TRIM(E116))=0</formula>
    </cfRule>
  </conditionalFormatting>
  <conditionalFormatting sqref="E125:L126">
    <cfRule type="containsBlanks" dxfId="1" priority="20">
      <formula>LEN(TRIM(E125))=0</formula>
    </cfRule>
  </conditionalFormatting>
  <conditionalFormatting sqref="E129:L135">
    <cfRule type="containsBlanks" dxfId="1" priority="21">
      <formula>LEN(TRIM(E129))=0</formula>
    </cfRule>
  </conditionalFormatting>
  <conditionalFormatting sqref="E138:L144">
    <cfRule type="containsBlanks" dxfId="1" priority="22">
      <formula>LEN(TRIM(E138))=0</formula>
    </cfRule>
  </conditionalFormatting>
  <conditionalFormatting sqref="E147:L153">
    <cfRule type="containsBlanks" dxfId="1" priority="23">
      <formula>LEN(TRIM(E147))=0</formula>
    </cfRule>
  </conditionalFormatting>
  <conditionalFormatting sqref="E156:L161">
    <cfRule type="containsBlanks" dxfId="1" priority="24">
      <formula>LEN(TRIM(E156))=0</formula>
    </cfRule>
  </conditionalFormatting>
  <conditionalFormatting sqref="E164:L170">
    <cfRule type="containsBlanks" dxfId="1" priority="25">
      <formula>LEN(TRIM(E164))=0</formula>
    </cfRule>
  </conditionalFormatting>
  <conditionalFormatting sqref="E173:L179">
    <cfRule type="containsBlanks" dxfId="1" priority="26">
      <formula>LEN(TRIM(E173))=0</formula>
    </cfRule>
  </conditionalFormatting>
  <conditionalFormatting sqref="E182:L186">
    <cfRule type="containsBlanks" dxfId="1" priority="27">
      <formula>LEN(TRIM(E182))=0</formula>
    </cfRule>
  </conditionalFormatting>
  <conditionalFormatting sqref="E191:L192">
    <cfRule type="containsBlanks" dxfId="1" priority="28">
      <formula>LEN(TRIM(E191))=0</formula>
    </cfRule>
  </conditionalFormatting>
  <conditionalFormatting sqref="E193:L193">
    <cfRule type="expression" dxfId="0" priority="29">
      <formula>E193&lt;&gt;#REF!</formula>
    </cfRule>
  </conditionalFormatting>
  <conditionalFormatting sqref="E193:L193">
    <cfRule type="expression" dxfId="2" priority="30">
      <formula>#REF!&lt;&gt;E193</formula>
    </cfRule>
  </conditionalFormatting>
  <conditionalFormatting sqref="E193:L193">
    <cfRule type="expression" dxfId="3" priority="31">
      <formula>#REF!=E193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6" width="8.71"/>
  </cols>
  <sheetData>
    <row r="1" ht="12.75" customHeight="1"/>
    <row r="2" ht="12.75" customHeight="1">
      <c r="C2" s="1" t="s">
        <v>0</v>
      </c>
      <c r="D2" s="1" t="s">
        <v>1</v>
      </c>
    </row>
    <row r="3" ht="12.75" customHeight="1">
      <c r="C3" s="1" t="s">
        <v>2</v>
      </c>
      <c r="D3" s="1" t="s">
        <v>3</v>
      </c>
    </row>
    <row r="4" ht="12.75" customHeight="1">
      <c r="C4" s="1" t="s">
        <v>4</v>
      </c>
      <c r="D4" s="1" t="s">
        <v>5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170</v>
      </c>
      <c r="D9" s="1" t="s">
        <v>195</v>
      </c>
    </row>
    <row r="10" ht="12.75" customHeight="1"/>
    <row r="11" ht="12.75" customHeight="1"/>
    <row r="12" ht="12.75" customHeight="1">
      <c r="A12" s="6" t="s">
        <v>6</v>
      </c>
      <c r="B12" s="7" t="s">
        <v>7</v>
      </c>
      <c r="C12" s="8"/>
      <c r="D12" s="8"/>
      <c r="E12" s="28"/>
      <c r="F12" s="8"/>
      <c r="G12" s="8"/>
      <c r="H12" s="8"/>
      <c r="I12" s="8"/>
      <c r="J12" s="8"/>
      <c r="K12" s="8"/>
      <c r="L12" s="8"/>
      <c r="M12" s="8"/>
      <c r="N12" s="8"/>
      <c r="O12" s="9"/>
      <c r="P12" s="39" t="s">
        <v>8</v>
      </c>
    </row>
    <row r="13" ht="12.75" customHeight="1">
      <c r="A13" s="13" t="s">
        <v>9</v>
      </c>
      <c r="B13" s="14" t="s">
        <v>10</v>
      </c>
      <c r="C13" s="8"/>
      <c r="D13" s="9"/>
      <c r="E13" s="42" t="s">
        <v>172</v>
      </c>
      <c r="F13" s="42" t="s">
        <v>173</v>
      </c>
      <c r="G13" s="42" t="s">
        <v>174</v>
      </c>
      <c r="H13" s="42" t="s">
        <v>175</v>
      </c>
      <c r="I13" s="42" t="s">
        <v>176</v>
      </c>
      <c r="J13" s="42" t="s">
        <v>177</v>
      </c>
      <c r="K13" s="42" t="s">
        <v>178</v>
      </c>
      <c r="L13" s="42" t="s">
        <v>179</v>
      </c>
      <c r="M13" s="42" t="s">
        <v>180</v>
      </c>
      <c r="N13" s="42" t="s">
        <v>181</v>
      </c>
      <c r="O13" s="42" t="s">
        <v>182</v>
      </c>
      <c r="P13" s="27"/>
    </row>
    <row r="14" ht="12.75" customHeight="1">
      <c r="A14" s="18"/>
      <c r="B14" s="19" t="s">
        <v>11</v>
      </c>
      <c r="C14" s="20"/>
      <c r="D14" s="13" t="s">
        <v>12</v>
      </c>
      <c r="E14" s="13">
        <v>113.0</v>
      </c>
      <c r="F14" s="13">
        <v>114.0</v>
      </c>
      <c r="G14" s="13">
        <v>111.0</v>
      </c>
      <c r="H14" s="13">
        <v>115.0</v>
      </c>
      <c r="I14" s="13">
        <v>110.0</v>
      </c>
      <c r="J14" s="13">
        <v>116.0</v>
      </c>
      <c r="K14" s="13">
        <v>124.0</v>
      </c>
      <c r="L14" s="13">
        <v>125.0</v>
      </c>
      <c r="M14" s="13">
        <v>124.0</v>
      </c>
      <c r="N14" s="13">
        <v>122.0</v>
      </c>
      <c r="O14" s="13">
        <v>129.0</v>
      </c>
      <c r="P14" s="6">
        <f t="shared" ref="P14:P16" si="1">SUM(E14:O14)</f>
        <v>1303</v>
      </c>
    </row>
    <row r="15" ht="12.75" customHeight="1">
      <c r="A15" s="18"/>
      <c r="B15" s="25"/>
      <c r="C15" s="26"/>
      <c r="D15" s="13" t="s">
        <v>13</v>
      </c>
      <c r="E15" s="72">
        <v>109.0</v>
      </c>
      <c r="F15" s="13">
        <v>113.0</v>
      </c>
      <c r="G15" s="13">
        <v>111.0</v>
      </c>
      <c r="H15" s="13">
        <v>112.0</v>
      </c>
      <c r="I15" s="13">
        <v>112.0</v>
      </c>
      <c r="J15" s="13">
        <v>113.0</v>
      </c>
      <c r="K15" s="13">
        <v>112.0</v>
      </c>
      <c r="L15" s="72">
        <v>128.0</v>
      </c>
      <c r="M15" s="13">
        <v>102.0</v>
      </c>
      <c r="N15" s="13">
        <v>112.0</v>
      </c>
      <c r="O15" s="13">
        <v>129.0</v>
      </c>
      <c r="P15" s="6">
        <f t="shared" si="1"/>
        <v>1253</v>
      </c>
    </row>
    <row r="16" ht="12.75" customHeight="1">
      <c r="A16" s="16"/>
      <c r="B16" s="15"/>
      <c r="C16" s="27"/>
      <c r="D16" s="6" t="s">
        <v>14</v>
      </c>
      <c r="E16" s="6">
        <f t="shared" ref="E16:O16" si="2">SUM(E14:E15)</f>
        <v>222</v>
      </c>
      <c r="F16" s="6">
        <f t="shared" si="2"/>
        <v>227</v>
      </c>
      <c r="G16" s="6">
        <f t="shared" si="2"/>
        <v>222</v>
      </c>
      <c r="H16" s="6">
        <f t="shared" si="2"/>
        <v>227</v>
      </c>
      <c r="I16" s="6">
        <f t="shared" si="2"/>
        <v>222</v>
      </c>
      <c r="J16" s="6">
        <f t="shared" si="2"/>
        <v>229</v>
      </c>
      <c r="K16" s="6">
        <f t="shared" si="2"/>
        <v>236</v>
      </c>
      <c r="L16" s="6">
        <f t="shared" si="2"/>
        <v>253</v>
      </c>
      <c r="M16" s="6">
        <f t="shared" si="2"/>
        <v>226</v>
      </c>
      <c r="N16" s="6">
        <f t="shared" si="2"/>
        <v>234</v>
      </c>
      <c r="O16" s="6">
        <f t="shared" si="2"/>
        <v>258</v>
      </c>
      <c r="P16" s="6">
        <f t="shared" si="1"/>
        <v>2556</v>
      </c>
    </row>
    <row r="17" ht="12.75" customHeight="1">
      <c r="A17" s="21"/>
      <c r="B17" s="8"/>
      <c r="C17" s="8"/>
      <c r="D17" s="9"/>
      <c r="E17" s="13"/>
      <c r="F17" s="13"/>
      <c r="G17" s="13"/>
      <c r="H17" s="13"/>
      <c r="I17" s="13"/>
      <c r="J17" s="13"/>
      <c r="K17" s="13"/>
      <c r="L17" s="13"/>
      <c r="M17" s="13"/>
      <c r="N17" s="67"/>
      <c r="O17" s="67"/>
      <c r="P17" s="6"/>
    </row>
    <row r="18" ht="12.75" customHeight="1">
      <c r="A18" s="32" t="s">
        <v>15</v>
      </c>
      <c r="B18" s="14" t="s">
        <v>16</v>
      </c>
      <c r="C18" s="8"/>
      <c r="D18" s="9"/>
      <c r="E18" s="13"/>
      <c r="F18" s="13"/>
      <c r="G18" s="13"/>
      <c r="H18" s="13"/>
      <c r="I18" s="13"/>
      <c r="J18" s="13"/>
      <c r="K18" s="13"/>
      <c r="L18" s="13"/>
      <c r="M18" s="13"/>
      <c r="N18" s="67"/>
      <c r="O18" s="67"/>
      <c r="P18" s="6"/>
    </row>
    <row r="19" ht="12.75" customHeight="1">
      <c r="A19" s="32"/>
      <c r="B19" s="33" t="s">
        <v>17</v>
      </c>
      <c r="C19" s="34" t="s">
        <v>18</v>
      </c>
      <c r="D19" s="13" t="s">
        <v>12</v>
      </c>
      <c r="E19" s="72">
        <v>90.0</v>
      </c>
      <c r="F19" s="13">
        <v>100.0</v>
      </c>
      <c r="G19" s="13">
        <v>93.0</v>
      </c>
      <c r="H19" s="13">
        <v>97.0</v>
      </c>
      <c r="I19" s="13">
        <v>97.0</v>
      </c>
      <c r="J19" s="13">
        <v>97.0</v>
      </c>
      <c r="K19" s="13">
        <v>112.0</v>
      </c>
      <c r="L19" s="13">
        <v>105.0</v>
      </c>
      <c r="M19" s="13">
        <v>102.0</v>
      </c>
      <c r="N19" s="13">
        <v>97.0</v>
      </c>
      <c r="O19" s="13">
        <v>117.0</v>
      </c>
      <c r="P19" s="6">
        <f t="shared" ref="P19:P30" si="3">SUM(E19:O19)</f>
        <v>1107</v>
      </c>
    </row>
    <row r="20" ht="12.75" customHeight="1">
      <c r="A20" s="35"/>
      <c r="B20" s="26"/>
      <c r="C20" s="36"/>
      <c r="D20" s="13" t="s">
        <v>13</v>
      </c>
      <c r="E20" s="72">
        <v>99.0</v>
      </c>
      <c r="F20" s="13">
        <v>108.0</v>
      </c>
      <c r="G20" s="13">
        <v>99.0</v>
      </c>
      <c r="H20" s="13">
        <v>103.0</v>
      </c>
      <c r="I20" s="13">
        <v>110.0</v>
      </c>
      <c r="J20" s="13">
        <v>109.0</v>
      </c>
      <c r="K20" s="13">
        <v>103.0</v>
      </c>
      <c r="L20" s="13">
        <v>118.0</v>
      </c>
      <c r="M20" s="13">
        <v>88.0</v>
      </c>
      <c r="N20" s="13">
        <v>95.0</v>
      </c>
      <c r="O20" s="13">
        <v>117.0</v>
      </c>
      <c r="P20" s="6">
        <f t="shared" si="3"/>
        <v>1149</v>
      </c>
    </row>
    <row r="21" ht="12.75" customHeight="1">
      <c r="A21" s="37"/>
      <c r="B21" s="27"/>
      <c r="C21" s="38"/>
      <c r="D21" s="6" t="s">
        <v>14</v>
      </c>
      <c r="E21" s="6">
        <f t="shared" ref="E21:O21" si="4">SUM(E19:E20)</f>
        <v>189</v>
      </c>
      <c r="F21" s="6">
        <f t="shared" si="4"/>
        <v>208</v>
      </c>
      <c r="G21" s="6">
        <f t="shared" si="4"/>
        <v>192</v>
      </c>
      <c r="H21" s="6">
        <f t="shared" si="4"/>
        <v>200</v>
      </c>
      <c r="I21" s="6">
        <f t="shared" si="4"/>
        <v>207</v>
      </c>
      <c r="J21" s="6">
        <f t="shared" si="4"/>
        <v>206</v>
      </c>
      <c r="K21" s="6">
        <f t="shared" si="4"/>
        <v>215</v>
      </c>
      <c r="L21" s="6">
        <f t="shared" si="4"/>
        <v>223</v>
      </c>
      <c r="M21" s="6">
        <f t="shared" si="4"/>
        <v>190</v>
      </c>
      <c r="N21" s="6">
        <f t="shared" si="4"/>
        <v>192</v>
      </c>
      <c r="O21" s="6">
        <f t="shared" si="4"/>
        <v>234</v>
      </c>
      <c r="P21" s="6">
        <f t="shared" si="3"/>
        <v>2256</v>
      </c>
    </row>
    <row r="22" ht="12.75" customHeight="1">
      <c r="A22" s="35"/>
      <c r="B22" s="33" t="s">
        <v>19</v>
      </c>
      <c r="C22" s="34" t="s">
        <v>20</v>
      </c>
      <c r="D22" s="13" t="s">
        <v>12</v>
      </c>
      <c r="E22" s="13">
        <v>0.0</v>
      </c>
      <c r="F22" s="13">
        <v>0.0</v>
      </c>
      <c r="G22" s="13">
        <v>0.0</v>
      </c>
      <c r="H22" s="13">
        <v>0.0</v>
      </c>
      <c r="I22" s="13">
        <v>0.0</v>
      </c>
      <c r="J22" s="13">
        <v>0.0</v>
      </c>
      <c r="K22" s="13">
        <v>0.0</v>
      </c>
      <c r="L22" s="13">
        <v>0.0</v>
      </c>
      <c r="M22" s="13">
        <v>0.0</v>
      </c>
      <c r="N22" s="13">
        <v>0.0</v>
      </c>
      <c r="O22" s="13">
        <v>0.0</v>
      </c>
      <c r="P22" s="6">
        <f t="shared" si="3"/>
        <v>0</v>
      </c>
    </row>
    <row r="23" ht="12.75" customHeight="1">
      <c r="A23" s="35"/>
      <c r="B23" s="26"/>
      <c r="C23" s="36"/>
      <c r="D23" s="13" t="s">
        <v>13</v>
      </c>
      <c r="E23" s="13">
        <v>1.0</v>
      </c>
      <c r="F23" s="13">
        <v>0.0</v>
      </c>
      <c r="G23" s="13">
        <v>0.0</v>
      </c>
      <c r="H23" s="13">
        <v>0.0</v>
      </c>
      <c r="I23" s="13">
        <v>0.0</v>
      </c>
      <c r="J23" s="13">
        <v>0.0</v>
      </c>
      <c r="K23" s="13">
        <v>0.0</v>
      </c>
      <c r="L23" s="13">
        <v>0.0</v>
      </c>
      <c r="M23" s="13">
        <v>0.0</v>
      </c>
      <c r="N23" s="13">
        <v>1.0</v>
      </c>
      <c r="O23" s="13">
        <v>1.0</v>
      </c>
      <c r="P23" s="6">
        <f t="shared" si="3"/>
        <v>3</v>
      </c>
    </row>
    <row r="24" ht="12.75" customHeight="1">
      <c r="A24" s="37"/>
      <c r="B24" s="27"/>
      <c r="C24" s="38"/>
      <c r="D24" s="6" t="s">
        <v>14</v>
      </c>
      <c r="E24" s="6">
        <f t="shared" ref="E24:O24" si="5">SUM(E22:E23)</f>
        <v>1</v>
      </c>
      <c r="F24" s="6">
        <f t="shared" si="5"/>
        <v>0</v>
      </c>
      <c r="G24" s="6">
        <f t="shared" si="5"/>
        <v>0</v>
      </c>
      <c r="H24" s="6">
        <f t="shared" si="5"/>
        <v>0</v>
      </c>
      <c r="I24" s="6">
        <f t="shared" si="5"/>
        <v>0</v>
      </c>
      <c r="J24" s="6">
        <f t="shared" si="5"/>
        <v>0</v>
      </c>
      <c r="K24" s="6">
        <f t="shared" si="5"/>
        <v>0</v>
      </c>
      <c r="L24" s="6">
        <f t="shared" si="5"/>
        <v>0</v>
      </c>
      <c r="M24" s="6">
        <f t="shared" si="5"/>
        <v>0</v>
      </c>
      <c r="N24" s="6">
        <f t="shared" si="5"/>
        <v>1</v>
      </c>
      <c r="O24" s="6">
        <f t="shared" si="5"/>
        <v>1</v>
      </c>
      <c r="P24" s="6">
        <f t="shared" si="3"/>
        <v>3</v>
      </c>
    </row>
    <row r="25" ht="12.75" customHeight="1">
      <c r="A25" s="35"/>
      <c r="B25" s="33" t="s">
        <v>21</v>
      </c>
      <c r="C25" s="34" t="s">
        <v>22</v>
      </c>
      <c r="D25" s="13" t="s">
        <v>12</v>
      </c>
      <c r="E25" s="13">
        <v>0.0</v>
      </c>
      <c r="F25" s="13">
        <v>0.0</v>
      </c>
      <c r="G25" s="13">
        <v>0.0</v>
      </c>
      <c r="H25" s="13">
        <v>2.0</v>
      </c>
      <c r="I25" s="13">
        <v>0.0</v>
      </c>
      <c r="J25" s="13">
        <v>0.0</v>
      </c>
      <c r="K25" s="13">
        <v>0.0</v>
      </c>
      <c r="L25" s="13">
        <v>0.0</v>
      </c>
      <c r="M25" s="13">
        <v>0.0</v>
      </c>
      <c r="N25" s="13">
        <v>0.0</v>
      </c>
      <c r="O25" s="13">
        <v>1.0</v>
      </c>
      <c r="P25" s="6">
        <f t="shared" si="3"/>
        <v>3</v>
      </c>
    </row>
    <row r="26" ht="12.75" customHeight="1">
      <c r="A26" s="35"/>
      <c r="B26" s="26"/>
      <c r="C26" s="36"/>
      <c r="D26" s="13" t="s">
        <v>13</v>
      </c>
      <c r="E26" s="13">
        <v>0.0</v>
      </c>
      <c r="F26" s="13">
        <v>0.0</v>
      </c>
      <c r="G26" s="13">
        <v>0.0</v>
      </c>
      <c r="H26" s="13">
        <v>3.0</v>
      </c>
      <c r="I26" s="13">
        <v>2.0</v>
      </c>
      <c r="J26" s="13">
        <v>0.0</v>
      </c>
      <c r="K26" s="13">
        <v>0.0</v>
      </c>
      <c r="L26" s="13">
        <v>2.0</v>
      </c>
      <c r="M26" s="13">
        <v>0.0</v>
      </c>
      <c r="N26" s="13">
        <v>0.0</v>
      </c>
      <c r="O26" s="13">
        <v>1.0</v>
      </c>
      <c r="P26" s="6">
        <f t="shared" si="3"/>
        <v>8</v>
      </c>
    </row>
    <row r="27" ht="12.75" customHeight="1">
      <c r="A27" s="37"/>
      <c r="B27" s="27"/>
      <c r="C27" s="38"/>
      <c r="D27" s="6" t="s">
        <v>14</v>
      </c>
      <c r="E27" s="6">
        <f t="shared" ref="E27:O27" si="6">SUM(E25:E26)</f>
        <v>0</v>
      </c>
      <c r="F27" s="6">
        <f t="shared" si="6"/>
        <v>0</v>
      </c>
      <c r="G27" s="6">
        <f t="shared" si="6"/>
        <v>0</v>
      </c>
      <c r="H27" s="6">
        <f t="shared" si="6"/>
        <v>5</v>
      </c>
      <c r="I27" s="6">
        <f t="shared" si="6"/>
        <v>2</v>
      </c>
      <c r="J27" s="6">
        <f t="shared" si="6"/>
        <v>0</v>
      </c>
      <c r="K27" s="6">
        <f t="shared" si="6"/>
        <v>0</v>
      </c>
      <c r="L27" s="6">
        <f t="shared" si="6"/>
        <v>2</v>
      </c>
      <c r="M27" s="6">
        <f t="shared" si="6"/>
        <v>0</v>
      </c>
      <c r="N27" s="6">
        <f t="shared" si="6"/>
        <v>0</v>
      </c>
      <c r="O27" s="6">
        <f t="shared" si="6"/>
        <v>2</v>
      </c>
      <c r="P27" s="6">
        <f t="shared" si="3"/>
        <v>11</v>
      </c>
    </row>
    <row r="28" ht="12.75" customHeight="1">
      <c r="A28" s="37"/>
      <c r="B28" s="39" t="s">
        <v>23</v>
      </c>
      <c r="C28" s="40" t="s">
        <v>24</v>
      </c>
      <c r="D28" s="6" t="s">
        <v>12</v>
      </c>
      <c r="E28" s="6">
        <f t="shared" ref="E28:O28" si="7">SUM(E19,E22,E25)</f>
        <v>90</v>
      </c>
      <c r="F28" s="6">
        <f t="shared" si="7"/>
        <v>100</v>
      </c>
      <c r="G28" s="6">
        <f t="shared" si="7"/>
        <v>93</v>
      </c>
      <c r="H28" s="6">
        <f t="shared" si="7"/>
        <v>99</v>
      </c>
      <c r="I28" s="6">
        <f t="shared" si="7"/>
        <v>97</v>
      </c>
      <c r="J28" s="6">
        <f t="shared" si="7"/>
        <v>97</v>
      </c>
      <c r="K28" s="6">
        <f t="shared" si="7"/>
        <v>112</v>
      </c>
      <c r="L28" s="6">
        <f t="shared" si="7"/>
        <v>105</v>
      </c>
      <c r="M28" s="6">
        <f t="shared" si="7"/>
        <v>102</v>
      </c>
      <c r="N28" s="6">
        <f t="shared" si="7"/>
        <v>97</v>
      </c>
      <c r="O28" s="6">
        <f t="shared" si="7"/>
        <v>118</v>
      </c>
      <c r="P28" s="6">
        <f t="shared" si="3"/>
        <v>1110</v>
      </c>
    </row>
    <row r="29" ht="12.75" customHeight="1">
      <c r="A29" s="37"/>
      <c r="B29" s="26"/>
      <c r="C29" s="36"/>
      <c r="D29" s="6" t="s">
        <v>13</v>
      </c>
      <c r="E29" s="6">
        <f t="shared" ref="E29:O29" si="8">SUM(E20,E23,E26)</f>
        <v>100</v>
      </c>
      <c r="F29" s="6">
        <f t="shared" si="8"/>
        <v>108</v>
      </c>
      <c r="G29" s="6">
        <f t="shared" si="8"/>
        <v>99</v>
      </c>
      <c r="H29" s="6">
        <f t="shared" si="8"/>
        <v>106</v>
      </c>
      <c r="I29" s="6">
        <f t="shared" si="8"/>
        <v>112</v>
      </c>
      <c r="J29" s="6">
        <f t="shared" si="8"/>
        <v>109</v>
      </c>
      <c r="K29" s="6">
        <f t="shared" si="8"/>
        <v>103</v>
      </c>
      <c r="L29" s="6">
        <f t="shared" si="8"/>
        <v>120</v>
      </c>
      <c r="M29" s="6">
        <f t="shared" si="8"/>
        <v>88</v>
      </c>
      <c r="N29" s="6">
        <f t="shared" si="8"/>
        <v>96</v>
      </c>
      <c r="O29" s="6">
        <f t="shared" si="8"/>
        <v>119</v>
      </c>
      <c r="P29" s="6">
        <f t="shared" si="3"/>
        <v>1160</v>
      </c>
    </row>
    <row r="30" ht="12.75" customHeight="1">
      <c r="A30" s="37"/>
      <c r="B30" s="27"/>
      <c r="C30" s="38"/>
      <c r="D30" s="6" t="s">
        <v>14</v>
      </c>
      <c r="E30" s="6">
        <f t="shared" ref="E30:O30" si="9">SUM(E28:E29)</f>
        <v>190</v>
      </c>
      <c r="F30" s="6">
        <f t="shared" si="9"/>
        <v>208</v>
      </c>
      <c r="G30" s="6">
        <f t="shared" si="9"/>
        <v>192</v>
      </c>
      <c r="H30" s="6">
        <f t="shared" si="9"/>
        <v>205</v>
      </c>
      <c r="I30" s="6">
        <f t="shared" si="9"/>
        <v>209</v>
      </c>
      <c r="J30" s="6">
        <f t="shared" si="9"/>
        <v>206</v>
      </c>
      <c r="K30" s="6">
        <f t="shared" si="9"/>
        <v>215</v>
      </c>
      <c r="L30" s="6">
        <f t="shared" si="9"/>
        <v>225</v>
      </c>
      <c r="M30" s="6">
        <f t="shared" si="9"/>
        <v>190</v>
      </c>
      <c r="N30" s="6">
        <f t="shared" si="9"/>
        <v>193</v>
      </c>
      <c r="O30" s="6">
        <f t="shared" si="9"/>
        <v>237</v>
      </c>
      <c r="P30" s="6">
        <f t="shared" si="3"/>
        <v>2270</v>
      </c>
    </row>
    <row r="31" ht="12.75" customHeight="1">
      <c r="A31" s="21"/>
      <c r="B31" s="8"/>
      <c r="C31" s="8"/>
      <c r="D31" s="9"/>
      <c r="E31" s="13"/>
      <c r="F31" s="13"/>
      <c r="G31" s="13"/>
      <c r="H31" s="13"/>
      <c r="I31" s="13"/>
      <c r="J31" s="13"/>
      <c r="K31" s="13"/>
      <c r="L31" s="13"/>
      <c r="M31" s="13"/>
      <c r="N31" s="67"/>
      <c r="O31" s="67"/>
      <c r="P31" s="6"/>
    </row>
    <row r="32" ht="12.75" customHeight="1">
      <c r="A32" s="42" t="s">
        <v>25</v>
      </c>
      <c r="B32" s="7" t="s">
        <v>26</v>
      </c>
      <c r="C32" s="8"/>
      <c r="D32" s="9"/>
      <c r="E32" s="6"/>
      <c r="F32" s="6"/>
      <c r="G32" s="6"/>
      <c r="H32" s="6"/>
      <c r="I32" s="6"/>
      <c r="J32" s="6"/>
      <c r="K32" s="6"/>
      <c r="L32" s="6"/>
      <c r="M32" s="6"/>
      <c r="N32" s="68"/>
      <c r="O32" s="68"/>
      <c r="P32" s="6"/>
    </row>
    <row r="33" ht="12.75" customHeight="1">
      <c r="A33" s="13">
        <v>1.0</v>
      </c>
      <c r="B33" s="14" t="s">
        <v>27</v>
      </c>
      <c r="C33" s="8"/>
      <c r="D33" s="9"/>
      <c r="E33" s="13">
        <v>227.0</v>
      </c>
      <c r="F33" s="13">
        <v>232.0</v>
      </c>
      <c r="G33" s="13">
        <v>227.0</v>
      </c>
      <c r="H33" s="13">
        <v>232.0</v>
      </c>
      <c r="I33" s="13">
        <v>227.0</v>
      </c>
      <c r="J33" s="13">
        <v>234.0</v>
      </c>
      <c r="K33" s="13">
        <v>239.0</v>
      </c>
      <c r="L33" s="13">
        <v>259.0</v>
      </c>
      <c r="M33" s="72">
        <v>228.0</v>
      </c>
      <c r="N33" s="13">
        <v>239.0</v>
      </c>
      <c r="O33" s="13">
        <v>264.0</v>
      </c>
      <c r="P33" s="6">
        <f t="shared" ref="P33:P36" si="10">SUM(E33:O33)</f>
        <v>2608</v>
      </c>
    </row>
    <row r="34" ht="12.75" customHeight="1">
      <c r="A34" s="13">
        <v>2.0</v>
      </c>
      <c r="B34" s="14" t="s">
        <v>28</v>
      </c>
      <c r="C34" s="8"/>
      <c r="D34" s="9"/>
      <c r="E34" s="6">
        <v>190.0</v>
      </c>
      <c r="F34" s="6">
        <v>208.0</v>
      </c>
      <c r="G34" s="6">
        <v>192.0</v>
      </c>
      <c r="H34" s="6">
        <v>205.0</v>
      </c>
      <c r="I34" s="6">
        <v>209.0</v>
      </c>
      <c r="J34" s="6">
        <v>206.0</v>
      </c>
      <c r="K34" s="6">
        <v>215.0</v>
      </c>
      <c r="L34" s="6">
        <v>225.0</v>
      </c>
      <c r="M34" s="6">
        <v>190.0</v>
      </c>
      <c r="N34" s="6">
        <v>193.0</v>
      </c>
      <c r="O34" s="6">
        <v>237.0</v>
      </c>
      <c r="P34" s="6">
        <f t="shared" si="10"/>
        <v>2270</v>
      </c>
    </row>
    <row r="35" ht="12.75" customHeight="1">
      <c r="A35" s="13">
        <v>3.0</v>
      </c>
      <c r="B35" s="14" t="s">
        <v>29</v>
      </c>
      <c r="C35" s="8"/>
      <c r="D35" s="9"/>
      <c r="E35" s="13">
        <v>5.0</v>
      </c>
      <c r="F35" s="72">
        <v>1.0</v>
      </c>
      <c r="G35" s="13">
        <v>0.0</v>
      </c>
      <c r="H35" s="13">
        <v>0.0</v>
      </c>
      <c r="I35" s="13">
        <v>0.0</v>
      </c>
      <c r="J35" s="13">
        <v>0.0</v>
      </c>
      <c r="K35" s="13">
        <v>0.0</v>
      </c>
      <c r="L35" s="13">
        <v>0.0</v>
      </c>
      <c r="M35" s="13">
        <v>0.0</v>
      </c>
      <c r="N35" s="13">
        <v>0.0</v>
      </c>
      <c r="O35" s="13">
        <v>0.0</v>
      </c>
      <c r="P35" s="6">
        <f t="shared" si="10"/>
        <v>6</v>
      </c>
    </row>
    <row r="36" ht="12.75" customHeight="1">
      <c r="A36" s="13">
        <v>4.0</v>
      </c>
      <c r="B36" s="14" t="s">
        <v>30</v>
      </c>
      <c r="C36" s="8"/>
      <c r="D36" s="9"/>
      <c r="E36" s="6">
        <f t="shared" ref="E36:O36" si="11">E33-(E34+E35)</f>
        <v>32</v>
      </c>
      <c r="F36" s="6">
        <f t="shared" si="11"/>
        <v>23</v>
      </c>
      <c r="G36" s="6">
        <f t="shared" si="11"/>
        <v>35</v>
      </c>
      <c r="H36" s="6">
        <f t="shared" si="11"/>
        <v>27</v>
      </c>
      <c r="I36" s="6">
        <f t="shared" si="11"/>
        <v>18</v>
      </c>
      <c r="J36" s="6">
        <f t="shared" si="11"/>
        <v>28</v>
      </c>
      <c r="K36" s="6">
        <f t="shared" si="11"/>
        <v>24</v>
      </c>
      <c r="L36" s="6">
        <f t="shared" si="11"/>
        <v>34</v>
      </c>
      <c r="M36" s="6">
        <f t="shared" si="11"/>
        <v>38</v>
      </c>
      <c r="N36" s="6">
        <f t="shared" si="11"/>
        <v>46</v>
      </c>
      <c r="O36" s="6">
        <f t="shared" si="11"/>
        <v>27</v>
      </c>
      <c r="P36" s="6">
        <f t="shared" si="10"/>
        <v>332</v>
      </c>
    </row>
    <row r="37" ht="12.75" customHeight="1">
      <c r="A37" s="21"/>
      <c r="B37" s="8"/>
      <c r="C37" s="8"/>
      <c r="D37" s="8"/>
      <c r="E37" s="21"/>
      <c r="F37" s="8"/>
      <c r="G37" s="8"/>
      <c r="H37" s="8"/>
      <c r="I37" s="9"/>
      <c r="J37" s="13"/>
      <c r="K37" s="13"/>
      <c r="L37" s="13"/>
      <c r="M37" s="13"/>
      <c r="N37" s="67"/>
      <c r="O37" s="69"/>
      <c r="P37" s="6"/>
    </row>
    <row r="38" ht="12.75" customHeight="1">
      <c r="A38" s="44" t="s">
        <v>31</v>
      </c>
      <c r="B38" s="7" t="s">
        <v>32</v>
      </c>
      <c r="C38" s="8"/>
      <c r="D38" s="9"/>
      <c r="E38" s="6"/>
      <c r="F38" s="6"/>
      <c r="G38" s="6"/>
      <c r="H38" s="6"/>
      <c r="I38" s="6"/>
      <c r="J38" s="6"/>
      <c r="K38" s="6"/>
      <c r="L38" s="6"/>
      <c r="M38" s="6"/>
      <c r="N38" s="68"/>
      <c r="O38" s="68"/>
      <c r="P38" s="6"/>
    </row>
    <row r="39" ht="12.75" customHeight="1">
      <c r="A39" s="32"/>
      <c r="B39" s="45" t="s">
        <v>33</v>
      </c>
      <c r="C39" s="20"/>
      <c r="D39" s="13" t="s">
        <v>12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6">
        <f t="shared" ref="P39:P41" si="12">SUM(E39:O39)</f>
        <v>0</v>
      </c>
    </row>
    <row r="40" ht="12.75" customHeight="1">
      <c r="A40" s="35"/>
      <c r="C40" s="26"/>
      <c r="D40" s="13" t="s">
        <v>13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6">
        <f t="shared" si="12"/>
        <v>0</v>
      </c>
    </row>
    <row r="41" ht="12.75" customHeight="1">
      <c r="A41" s="42"/>
      <c r="B41" s="46"/>
      <c r="C41" s="27"/>
      <c r="D41" s="6" t="s">
        <v>14</v>
      </c>
      <c r="E41" s="6">
        <f t="shared" ref="E41:O41" si="13">SUM(E39:E40)</f>
        <v>0</v>
      </c>
      <c r="F41" s="6">
        <f t="shared" si="13"/>
        <v>0</v>
      </c>
      <c r="G41" s="6">
        <f t="shared" si="13"/>
        <v>0</v>
      </c>
      <c r="H41" s="6">
        <f t="shared" si="13"/>
        <v>0</v>
      </c>
      <c r="I41" s="6">
        <f t="shared" si="13"/>
        <v>0</v>
      </c>
      <c r="J41" s="6">
        <f t="shared" si="13"/>
        <v>0</v>
      </c>
      <c r="K41" s="6">
        <f t="shared" si="13"/>
        <v>0</v>
      </c>
      <c r="L41" s="6">
        <f t="shared" si="13"/>
        <v>0</v>
      </c>
      <c r="M41" s="6">
        <f t="shared" si="13"/>
        <v>0</v>
      </c>
      <c r="N41" s="6">
        <f t="shared" si="13"/>
        <v>0</v>
      </c>
      <c r="O41" s="6">
        <f t="shared" si="13"/>
        <v>0</v>
      </c>
      <c r="P41" s="6">
        <f t="shared" si="12"/>
        <v>0</v>
      </c>
    </row>
    <row r="42" ht="12.75" customHeight="1">
      <c r="A42" s="47"/>
      <c r="B42" s="46"/>
      <c r="C42" s="46"/>
      <c r="D42" s="27"/>
      <c r="E42" s="21"/>
      <c r="F42" s="8"/>
      <c r="G42" s="8"/>
      <c r="H42" s="8"/>
      <c r="I42" s="9"/>
      <c r="J42" s="13"/>
      <c r="K42" s="13"/>
      <c r="L42" s="13"/>
      <c r="M42" s="13"/>
      <c r="N42" s="67"/>
      <c r="P42" s="6"/>
    </row>
    <row r="43" ht="12.75" customHeight="1">
      <c r="A43" s="44" t="s">
        <v>34</v>
      </c>
      <c r="B43" s="7" t="s">
        <v>35</v>
      </c>
      <c r="C43" s="8"/>
      <c r="D43" s="9"/>
      <c r="E43" s="28"/>
      <c r="F43" s="6"/>
      <c r="G43" s="6"/>
      <c r="H43" s="6"/>
      <c r="I43" s="6"/>
      <c r="J43" s="6"/>
      <c r="K43" s="6"/>
      <c r="L43" s="6"/>
      <c r="M43" s="6"/>
      <c r="N43" s="68"/>
      <c r="P43" s="6"/>
    </row>
    <row r="44" ht="12.75" customHeight="1">
      <c r="A44" s="45" t="s">
        <v>36</v>
      </c>
      <c r="B44" s="48"/>
      <c r="C44" s="48"/>
      <c r="D44" s="20"/>
      <c r="E44" s="21"/>
      <c r="F44" s="13"/>
      <c r="G44" s="13"/>
      <c r="H44" s="13"/>
      <c r="I44" s="13"/>
      <c r="J44" s="13"/>
      <c r="K44" s="13"/>
      <c r="L44" s="13"/>
      <c r="M44" s="13"/>
      <c r="N44" s="67"/>
      <c r="P44" s="6"/>
    </row>
    <row r="45" ht="12.75" customHeight="1">
      <c r="A45" s="32" t="s">
        <v>37</v>
      </c>
      <c r="B45" s="49" t="s">
        <v>17</v>
      </c>
      <c r="C45" s="50" t="s">
        <v>38</v>
      </c>
      <c r="D45" s="9"/>
      <c r="E45" s="13">
        <v>10.0</v>
      </c>
      <c r="F45" s="13">
        <v>7.0</v>
      </c>
      <c r="G45" s="13">
        <v>6.0</v>
      </c>
      <c r="H45" s="13">
        <v>9.0</v>
      </c>
      <c r="I45" s="13">
        <v>3.0</v>
      </c>
      <c r="J45" s="13">
        <v>4.0</v>
      </c>
      <c r="K45" s="13">
        <v>2.0</v>
      </c>
      <c r="L45" s="13">
        <v>3.0</v>
      </c>
      <c r="M45" s="13">
        <v>1.0</v>
      </c>
      <c r="N45" s="13">
        <v>7.0</v>
      </c>
      <c r="O45" s="13">
        <v>2.0</v>
      </c>
      <c r="P45" s="6">
        <f t="shared" ref="P45:P52" si="14">SUM(E45:O45)</f>
        <v>54</v>
      </c>
    </row>
    <row r="46" ht="12.75" customHeight="1">
      <c r="A46" s="32" t="s">
        <v>39</v>
      </c>
      <c r="B46" s="51"/>
      <c r="C46" s="52" t="s">
        <v>40</v>
      </c>
      <c r="D46" s="53"/>
      <c r="E46" s="13">
        <v>7.0</v>
      </c>
      <c r="F46" s="13">
        <v>9.0</v>
      </c>
      <c r="G46" s="13">
        <v>10.0</v>
      </c>
      <c r="H46" s="13">
        <v>4.0</v>
      </c>
      <c r="I46" s="13">
        <v>0.0</v>
      </c>
      <c r="J46" s="13">
        <v>1.0</v>
      </c>
      <c r="K46" s="13">
        <v>3.0</v>
      </c>
      <c r="L46" s="13">
        <v>3.0</v>
      </c>
      <c r="M46" s="13">
        <v>4.0</v>
      </c>
      <c r="N46" s="13">
        <v>3.0</v>
      </c>
      <c r="O46" s="13">
        <v>3.0</v>
      </c>
      <c r="P46" s="6">
        <f t="shared" si="14"/>
        <v>47</v>
      </c>
    </row>
    <row r="47" ht="12.75" customHeight="1">
      <c r="A47" s="18"/>
      <c r="B47" s="51"/>
      <c r="C47" s="52" t="s">
        <v>41</v>
      </c>
      <c r="D47" s="53"/>
      <c r="E47" s="13">
        <v>4.0</v>
      </c>
      <c r="F47" s="13">
        <v>3.0</v>
      </c>
      <c r="G47" s="13">
        <v>5.0</v>
      </c>
      <c r="H47" s="13">
        <v>5.0</v>
      </c>
      <c r="I47" s="13">
        <v>2.0</v>
      </c>
      <c r="J47" s="13">
        <v>1.0</v>
      </c>
      <c r="K47" s="13">
        <v>0.0</v>
      </c>
      <c r="L47" s="13">
        <v>2.0</v>
      </c>
      <c r="M47" s="13">
        <v>0.0</v>
      </c>
      <c r="N47" s="13">
        <v>1.0</v>
      </c>
      <c r="O47" s="13">
        <v>5.0</v>
      </c>
      <c r="P47" s="6">
        <f t="shared" si="14"/>
        <v>28</v>
      </c>
    </row>
    <row r="48" ht="12.75" customHeight="1">
      <c r="A48" s="18"/>
      <c r="B48" s="51"/>
      <c r="C48" s="52" t="s">
        <v>42</v>
      </c>
      <c r="D48" s="53"/>
      <c r="E48" s="13">
        <v>1.0</v>
      </c>
      <c r="F48" s="13">
        <v>0.0</v>
      </c>
      <c r="G48" s="13">
        <v>0.0</v>
      </c>
      <c r="H48" s="13">
        <v>0.0</v>
      </c>
      <c r="I48" s="13">
        <v>0.0</v>
      </c>
      <c r="J48" s="13">
        <v>1.0</v>
      </c>
      <c r="K48" s="13">
        <v>0.0</v>
      </c>
      <c r="L48" s="13">
        <v>0.0</v>
      </c>
      <c r="M48" s="13">
        <v>1.0</v>
      </c>
      <c r="N48" s="13">
        <v>1.0</v>
      </c>
      <c r="O48" s="13">
        <v>1.0</v>
      </c>
      <c r="P48" s="6">
        <f t="shared" si="14"/>
        <v>5</v>
      </c>
    </row>
    <row r="49" ht="12.75" customHeight="1">
      <c r="A49" s="18"/>
      <c r="B49" s="51"/>
      <c r="C49" s="52" t="s">
        <v>43</v>
      </c>
      <c r="D49" s="53"/>
      <c r="E49" s="13">
        <v>0.0</v>
      </c>
      <c r="F49" s="13">
        <v>0.0</v>
      </c>
      <c r="G49" s="13">
        <v>0.0</v>
      </c>
      <c r="H49" s="13">
        <v>1.0</v>
      </c>
      <c r="I49" s="13">
        <v>0.0</v>
      </c>
      <c r="J49" s="13">
        <v>0.0</v>
      </c>
      <c r="K49" s="13">
        <v>0.0</v>
      </c>
      <c r="L49" s="13">
        <v>0.0</v>
      </c>
      <c r="M49" s="13">
        <v>0.0</v>
      </c>
      <c r="N49" s="13">
        <v>2.0</v>
      </c>
      <c r="O49" s="13">
        <v>0.0</v>
      </c>
      <c r="P49" s="6">
        <f t="shared" si="14"/>
        <v>3</v>
      </c>
    </row>
    <row r="50" ht="12.75" customHeight="1">
      <c r="A50" s="18"/>
      <c r="B50" s="51"/>
      <c r="C50" s="52" t="s">
        <v>44</v>
      </c>
      <c r="D50" s="53"/>
      <c r="E50" s="13">
        <v>0.0</v>
      </c>
      <c r="F50" s="13">
        <v>0.0</v>
      </c>
      <c r="G50" s="13">
        <v>1.0</v>
      </c>
      <c r="H50" s="13">
        <v>0.0</v>
      </c>
      <c r="I50" s="13">
        <v>0.0</v>
      </c>
      <c r="J50" s="13">
        <v>0.0</v>
      </c>
      <c r="K50" s="13">
        <v>1.0</v>
      </c>
      <c r="L50" s="13">
        <v>0.0</v>
      </c>
      <c r="M50" s="13">
        <v>0.0</v>
      </c>
      <c r="N50" s="13">
        <v>0.0</v>
      </c>
      <c r="O50" s="13">
        <v>0.0</v>
      </c>
      <c r="P50" s="6">
        <f t="shared" si="14"/>
        <v>2</v>
      </c>
    </row>
    <row r="51" ht="12.75" customHeight="1">
      <c r="A51" s="18"/>
      <c r="B51" s="51"/>
      <c r="C51" s="52" t="s">
        <v>45</v>
      </c>
      <c r="D51" s="53"/>
      <c r="E51" s="13">
        <v>2.0</v>
      </c>
      <c r="F51" s="13">
        <v>0.0</v>
      </c>
      <c r="G51" s="13">
        <v>0.0</v>
      </c>
      <c r="H51" s="13">
        <v>0.0</v>
      </c>
      <c r="I51" s="13">
        <v>0.0</v>
      </c>
      <c r="J51" s="13">
        <v>0.0</v>
      </c>
      <c r="K51" s="13">
        <v>0.0</v>
      </c>
      <c r="L51" s="13">
        <v>0.0</v>
      </c>
      <c r="M51" s="13">
        <v>0.0</v>
      </c>
      <c r="N51" s="13">
        <v>0.0</v>
      </c>
      <c r="O51" s="13">
        <v>0.0</v>
      </c>
      <c r="P51" s="6">
        <f t="shared" si="14"/>
        <v>2</v>
      </c>
    </row>
    <row r="52" ht="12.75" customHeight="1">
      <c r="A52" s="13" t="s">
        <v>15</v>
      </c>
      <c r="B52" s="49" t="s">
        <v>46</v>
      </c>
      <c r="C52" s="8"/>
      <c r="D52" s="9"/>
      <c r="E52" s="60">
        <f t="shared" ref="E52:O52" si="15">SUM(E45:E51)</f>
        <v>24</v>
      </c>
      <c r="F52" s="60">
        <f t="shared" si="15"/>
        <v>19</v>
      </c>
      <c r="G52" s="60">
        <f t="shared" si="15"/>
        <v>22</v>
      </c>
      <c r="H52" s="60">
        <f t="shared" si="15"/>
        <v>19</v>
      </c>
      <c r="I52" s="60">
        <f t="shared" si="15"/>
        <v>5</v>
      </c>
      <c r="J52" s="60">
        <f t="shared" si="15"/>
        <v>7</v>
      </c>
      <c r="K52" s="60">
        <f t="shared" si="15"/>
        <v>6</v>
      </c>
      <c r="L52" s="60">
        <f t="shared" si="15"/>
        <v>8</v>
      </c>
      <c r="M52" s="60">
        <f t="shared" si="15"/>
        <v>6</v>
      </c>
      <c r="N52" s="60">
        <f t="shared" si="15"/>
        <v>14</v>
      </c>
      <c r="O52" s="60">
        <f t="shared" si="15"/>
        <v>11</v>
      </c>
      <c r="P52" s="6">
        <f t="shared" si="14"/>
        <v>141</v>
      </c>
    </row>
    <row r="53" ht="12.75" customHeight="1">
      <c r="A53" s="5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6"/>
    </row>
    <row r="54" ht="12.75" customHeight="1">
      <c r="A54" s="32" t="s">
        <v>37</v>
      </c>
      <c r="B54" s="49" t="s">
        <v>19</v>
      </c>
      <c r="C54" s="50" t="s">
        <v>47</v>
      </c>
      <c r="D54" s="9"/>
      <c r="E54" s="13">
        <v>5.0</v>
      </c>
      <c r="F54" s="13">
        <v>7.0</v>
      </c>
      <c r="G54" s="13">
        <v>3.0</v>
      </c>
      <c r="H54" s="72">
        <v>10.0</v>
      </c>
      <c r="I54" s="13">
        <v>4.0</v>
      </c>
      <c r="J54" s="13">
        <v>4.0</v>
      </c>
      <c r="K54" s="13">
        <v>3.0</v>
      </c>
      <c r="L54" s="13">
        <v>2.0</v>
      </c>
      <c r="M54" s="13">
        <v>5.0</v>
      </c>
      <c r="N54" s="13">
        <v>2.0</v>
      </c>
      <c r="O54" s="13">
        <v>0.0</v>
      </c>
      <c r="P54" s="6">
        <f t="shared" ref="P54:P61" si="16">SUM(E54:O54)</f>
        <v>45</v>
      </c>
    </row>
    <row r="55" ht="12.75" customHeight="1">
      <c r="A55" s="32" t="s">
        <v>39</v>
      </c>
      <c r="B55" s="51"/>
      <c r="C55" s="52" t="s">
        <v>48</v>
      </c>
      <c r="D55" s="53"/>
      <c r="E55" s="13">
        <v>2.0</v>
      </c>
      <c r="F55" s="13">
        <v>4.0</v>
      </c>
      <c r="G55" s="13">
        <v>2.0</v>
      </c>
      <c r="H55" s="13">
        <v>4.0</v>
      </c>
      <c r="I55" s="13">
        <v>1.0</v>
      </c>
      <c r="J55" s="13">
        <v>2.0</v>
      </c>
      <c r="K55" s="13">
        <v>2.0</v>
      </c>
      <c r="L55" s="13">
        <v>0.0</v>
      </c>
      <c r="M55" s="13">
        <v>1.0</v>
      </c>
      <c r="N55" s="13">
        <v>1.0</v>
      </c>
      <c r="O55" s="13">
        <v>1.0</v>
      </c>
      <c r="P55" s="6">
        <f t="shared" si="16"/>
        <v>20</v>
      </c>
    </row>
    <row r="56" ht="12.75" customHeight="1">
      <c r="A56" s="18"/>
      <c r="B56" s="51"/>
      <c r="C56" s="52" t="s">
        <v>49</v>
      </c>
      <c r="D56" s="53"/>
      <c r="E56" s="13">
        <v>6.0</v>
      </c>
      <c r="F56" s="13">
        <v>4.0</v>
      </c>
      <c r="G56" s="13">
        <v>1.0</v>
      </c>
      <c r="H56" s="13">
        <v>4.0</v>
      </c>
      <c r="I56" s="13">
        <v>2.0</v>
      </c>
      <c r="J56" s="13">
        <v>3.0</v>
      </c>
      <c r="K56" s="13">
        <v>1.0</v>
      </c>
      <c r="L56" s="13">
        <v>2.0</v>
      </c>
      <c r="M56" s="13">
        <v>0.0</v>
      </c>
      <c r="N56" s="13">
        <v>1.0</v>
      </c>
      <c r="O56" s="13">
        <v>0.0</v>
      </c>
      <c r="P56" s="6">
        <f t="shared" si="16"/>
        <v>24</v>
      </c>
    </row>
    <row r="57" ht="12.75" customHeight="1">
      <c r="A57" s="18"/>
      <c r="B57" s="51"/>
      <c r="C57" s="52" t="s">
        <v>50</v>
      </c>
      <c r="D57" s="53"/>
      <c r="E57" s="13">
        <v>0.0</v>
      </c>
      <c r="F57" s="13">
        <v>0.0</v>
      </c>
      <c r="G57" s="13">
        <v>0.0</v>
      </c>
      <c r="H57" s="13">
        <v>2.0</v>
      </c>
      <c r="I57" s="13">
        <v>0.0</v>
      </c>
      <c r="J57" s="13">
        <v>1.0</v>
      </c>
      <c r="K57" s="13">
        <v>1.0</v>
      </c>
      <c r="L57" s="13">
        <v>1.0</v>
      </c>
      <c r="M57" s="13">
        <v>0.0</v>
      </c>
      <c r="N57" s="13">
        <v>0.0</v>
      </c>
      <c r="O57" s="13">
        <v>0.0</v>
      </c>
      <c r="P57" s="6">
        <f t="shared" si="16"/>
        <v>5</v>
      </c>
    </row>
    <row r="58" ht="12.75" customHeight="1">
      <c r="A58" s="18"/>
      <c r="B58" s="51"/>
      <c r="C58" s="52" t="s">
        <v>51</v>
      </c>
      <c r="D58" s="53"/>
      <c r="E58" s="13">
        <v>0.0</v>
      </c>
      <c r="F58" s="13">
        <v>0.0</v>
      </c>
      <c r="G58" s="13">
        <v>0.0</v>
      </c>
      <c r="H58" s="13">
        <v>1.0</v>
      </c>
      <c r="I58" s="13">
        <v>1.0</v>
      </c>
      <c r="J58" s="13">
        <v>0.0</v>
      </c>
      <c r="K58" s="13">
        <v>0.0</v>
      </c>
      <c r="L58" s="13">
        <v>0.0</v>
      </c>
      <c r="M58" s="13">
        <v>0.0</v>
      </c>
      <c r="N58" s="13">
        <v>0.0</v>
      </c>
      <c r="O58" s="13">
        <v>0.0</v>
      </c>
      <c r="P58" s="6">
        <f t="shared" si="16"/>
        <v>2</v>
      </c>
    </row>
    <row r="59" ht="12.75" customHeight="1">
      <c r="A59" s="18"/>
      <c r="B59" s="51"/>
      <c r="C59" s="52" t="s">
        <v>52</v>
      </c>
      <c r="D59" s="53"/>
      <c r="E59" s="13">
        <v>1.0</v>
      </c>
      <c r="F59" s="13">
        <v>0.0</v>
      </c>
      <c r="G59" s="13">
        <v>0.0</v>
      </c>
      <c r="H59" s="13">
        <v>7.0</v>
      </c>
      <c r="I59" s="13">
        <v>11.0</v>
      </c>
      <c r="J59" s="13">
        <v>1.0</v>
      </c>
      <c r="K59" s="13">
        <v>0.0</v>
      </c>
      <c r="L59" s="13">
        <v>0.0</v>
      </c>
      <c r="M59" s="13">
        <v>1.0</v>
      </c>
      <c r="N59" s="13">
        <v>4.0</v>
      </c>
      <c r="O59" s="13">
        <v>1.0</v>
      </c>
      <c r="P59" s="6">
        <f t="shared" si="16"/>
        <v>26</v>
      </c>
    </row>
    <row r="60" ht="12.75" customHeight="1">
      <c r="A60" s="18"/>
      <c r="B60" s="51"/>
      <c r="C60" s="52" t="s">
        <v>53</v>
      </c>
      <c r="D60" s="53"/>
      <c r="E60" s="13">
        <v>0.0</v>
      </c>
      <c r="F60" s="13">
        <v>0.0</v>
      </c>
      <c r="G60" s="13">
        <v>0.0</v>
      </c>
      <c r="H60" s="13">
        <v>0.0</v>
      </c>
      <c r="I60" s="13">
        <v>0.0</v>
      </c>
      <c r="J60" s="13">
        <v>1.0</v>
      </c>
      <c r="K60" s="13">
        <v>0.0</v>
      </c>
      <c r="L60" s="13">
        <v>0.0</v>
      </c>
      <c r="M60" s="13">
        <v>0.0</v>
      </c>
      <c r="N60" s="13">
        <v>0.0</v>
      </c>
      <c r="O60" s="13">
        <v>0.0</v>
      </c>
      <c r="P60" s="6">
        <f t="shared" si="16"/>
        <v>1</v>
      </c>
    </row>
    <row r="61" ht="12.75" customHeight="1">
      <c r="A61" s="13" t="s">
        <v>15</v>
      </c>
      <c r="B61" s="49" t="s">
        <v>46</v>
      </c>
      <c r="C61" s="8"/>
      <c r="D61" s="9"/>
      <c r="E61" s="60">
        <f t="shared" ref="E61:O61" si="17">SUM(E54:E60)</f>
        <v>14</v>
      </c>
      <c r="F61" s="60">
        <f t="shared" si="17"/>
        <v>15</v>
      </c>
      <c r="G61" s="60">
        <f t="shared" si="17"/>
        <v>6</v>
      </c>
      <c r="H61" s="60">
        <f t="shared" si="17"/>
        <v>28</v>
      </c>
      <c r="I61" s="60">
        <f t="shared" si="17"/>
        <v>19</v>
      </c>
      <c r="J61" s="60">
        <f t="shared" si="17"/>
        <v>12</v>
      </c>
      <c r="K61" s="60">
        <f t="shared" si="17"/>
        <v>7</v>
      </c>
      <c r="L61" s="60">
        <f t="shared" si="17"/>
        <v>5</v>
      </c>
      <c r="M61" s="60">
        <f t="shared" si="17"/>
        <v>7</v>
      </c>
      <c r="N61" s="60">
        <f t="shared" si="17"/>
        <v>8</v>
      </c>
      <c r="O61" s="60">
        <f t="shared" si="17"/>
        <v>2</v>
      </c>
      <c r="P61" s="6">
        <f t="shared" si="16"/>
        <v>123</v>
      </c>
    </row>
    <row r="62" ht="12.75" customHeight="1">
      <c r="A62" s="54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6"/>
    </row>
    <row r="63" ht="12.75" customHeight="1">
      <c r="A63" s="32" t="s">
        <v>37</v>
      </c>
      <c r="B63" s="49" t="s">
        <v>21</v>
      </c>
      <c r="C63" s="50" t="s">
        <v>54</v>
      </c>
      <c r="D63" s="9"/>
      <c r="E63" s="13">
        <v>2.0</v>
      </c>
      <c r="F63" s="13">
        <v>3.0</v>
      </c>
      <c r="G63" s="13">
        <v>3.0</v>
      </c>
      <c r="H63" s="13">
        <v>7.0</v>
      </c>
      <c r="I63" s="13">
        <v>9.0</v>
      </c>
      <c r="J63" s="13">
        <v>3.0</v>
      </c>
      <c r="K63" s="13">
        <v>8.0</v>
      </c>
      <c r="L63" s="13">
        <v>6.0</v>
      </c>
      <c r="M63" s="13">
        <v>6.0</v>
      </c>
      <c r="N63" s="13">
        <v>4.0</v>
      </c>
      <c r="O63" s="13">
        <v>1.0</v>
      </c>
      <c r="P63" s="6">
        <f t="shared" ref="P63:P70" si="18">SUM(E63:O63)</f>
        <v>52</v>
      </c>
    </row>
    <row r="64" ht="12.75" customHeight="1">
      <c r="A64" s="32" t="s">
        <v>39</v>
      </c>
      <c r="B64" s="51"/>
      <c r="C64" s="52" t="s">
        <v>55</v>
      </c>
      <c r="D64" s="53"/>
      <c r="E64" s="13">
        <v>2.0</v>
      </c>
      <c r="F64" s="13">
        <v>3.0</v>
      </c>
      <c r="G64" s="13">
        <v>1.0</v>
      </c>
      <c r="H64" s="13">
        <v>0.0</v>
      </c>
      <c r="I64" s="13">
        <v>7.0</v>
      </c>
      <c r="J64" s="13">
        <v>1.0</v>
      </c>
      <c r="K64" s="13">
        <v>1.0</v>
      </c>
      <c r="L64" s="13">
        <v>0.0</v>
      </c>
      <c r="M64" s="13">
        <v>0.0</v>
      </c>
      <c r="N64" s="13">
        <v>0.0</v>
      </c>
      <c r="O64" s="13">
        <v>1.0</v>
      </c>
      <c r="P64" s="6">
        <f t="shared" si="18"/>
        <v>16</v>
      </c>
    </row>
    <row r="65" ht="12.75" customHeight="1">
      <c r="A65" s="18"/>
      <c r="B65" s="51"/>
      <c r="C65" s="52" t="s">
        <v>56</v>
      </c>
      <c r="D65" s="53"/>
      <c r="E65" s="13">
        <v>4.0</v>
      </c>
      <c r="F65" s="13">
        <v>0.0</v>
      </c>
      <c r="G65" s="13">
        <v>0.0</v>
      </c>
      <c r="H65" s="13">
        <v>5.0</v>
      </c>
      <c r="I65" s="13">
        <v>4.0</v>
      </c>
      <c r="J65" s="13">
        <v>0.0</v>
      </c>
      <c r="K65" s="13">
        <v>0.0</v>
      </c>
      <c r="L65" s="13">
        <v>0.0</v>
      </c>
      <c r="M65" s="13">
        <v>0.0</v>
      </c>
      <c r="N65" s="13">
        <v>0.0</v>
      </c>
      <c r="O65" s="13">
        <v>1.0</v>
      </c>
      <c r="P65" s="6">
        <f t="shared" si="18"/>
        <v>14</v>
      </c>
    </row>
    <row r="66" ht="12.75" customHeight="1">
      <c r="A66" s="18"/>
      <c r="B66" s="51"/>
      <c r="C66" s="52" t="s">
        <v>57</v>
      </c>
      <c r="D66" s="53"/>
      <c r="E66" s="13">
        <v>6.0</v>
      </c>
      <c r="F66" s="13">
        <v>3.0</v>
      </c>
      <c r="G66" s="13">
        <v>0.0</v>
      </c>
      <c r="H66" s="13">
        <v>4.0</v>
      </c>
      <c r="I66" s="13">
        <v>6.0</v>
      </c>
      <c r="J66" s="13">
        <v>3.0</v>
      </c>
      <c r="K66" s="13">
        <v>0.0</v>
      </c>
      <c r="L66" s="13">
        <v>4.0</v>
      </c>
      <c r="M66" s="13">
        <v>1.0</v>
      </c>
      <c r="N66" s="13">
        <v>1.0</v>
      </c>
      <c r="O66" s="13">
        <v>2.0</v>
      </c>
      <c r="P66" s="6">
        <f t="shared" si="18"/>
        <v>30</v>
      </c>
    </row>
    <row r="67" ht="12.75" customHeight="1">
      <c r="A67" s="18"/>
      <c r="B67" s="51"/>
      <c r="C67" s="52" t="s">
        <v>58</v>
      </c>
      <c r="D67" s="53"/>
      <c r="E67" s="13">
        <v>1.0</v>
      </c>
      <c r="F67" s="13">
        <v>0.0</v>
      </c>
      <c r="G67" s="13">
        <v>0.0</v>
      </c>
      <c r="H67" s="13">
        <v>0.0</v>
      </c>
      <c r="I67" s="13">
        <v>3.0</v>
      </c>
      <c r="J67" s="13">
        <v>0.0</v>
      </c>
      <c r="K67" s="13">
        <v>3.0</v>
      </c>
      <c r="L67" s="13">
        <v>1.0</v>
      </c>
      <c r="M67" s="13">
        <v>0.0</v>
      </c>
      <c r="N67" s="13">
        <v>0.0</v>
      </c>
      <c r="O67" s="13">
        <v>0.0</v>
      </c>
      <c r="P67" s="6">
        <f t="shared" si="18"/>
        <v>8</v>
      </c>
    </row>
    <row r="68" ht="12.75" customHeight="1">
      <c r="A68" s="18"/>
      <c r="B68" s="51"/>
      <c r="C68" s="52" t="s">
        <v>59</v>
      </c>
      <c r="D68" s="53"/>
      <c r="E68" s="13">
        <v>13.0</v>
      </c>
      <c r="F68" s="13">
        <v>8.0</v>
      </c>
      <c r="G68" s="13">
        <v>7.0</v>
      </c>
      <c r="H68" s="13">
        <v>7.0</v>
      </c>
      <c r="I68" s="13">
        <v>6.0</v>
      </c>
      <c r="J68" s="13">
        <v>26.0</v>
      </c>
      <c r="K68" s="13">
        <v>8.0</v>
      </c>
      <c r="L68" s="13">
        <v>3.0</v>
      </c>
      <c r="M68" s="13">
        <v>1.0</v>
      </c>
      <c r="N68" s="13">
        <v>10.0</v>
      </c>
      <c r="O68" s="13">
        <v>7.0</v>
      </c>
      <c r="P68" s="6">
        <f t="shared" si="18"/>
        <v>96</v>
      </c>
    </row>
    <row r="69" ht="12.75" customHeight="1">
      <c r="A69" s="18"/>
      <c r="B69" s="51"/>
      <c r="C69" s="52" t="s">
        <v>60</v>
      </c>
      <c r="D69" s="53"/>
      <c r="E69" s="13">
        <v>3.0</v>
      </c>
      <c r="F69" s="13">
        <v>3.0</v>
      </c>
      <c r="G69" s="13">
        <v>1.0</v>
      </c>
      <c r="H69" s="13">
        <v>3.0</v>
      </c>
      <c r="I69" s="13">
        <v>21.0</v>
      </c>
      <c r="J69" s="13">
        <v>2.0</v>
      </c>
      <c r="K69" s="13">
        <v>1.0</v>
      </c>
      <c r="L69" s="13">
        <v>1.0</v>
      </c>
      <c r="M69" s="13">
        <v>1.0</v>
      </c>
      <c r="N69" s="13">
        <v>0.0</v>
      </c>
      <c r="O69" s="13">
        <v>0.0</v>
      </c>
      <c r="P69" s="6">
        <f t="shared" si="18"/>
        <v>36</v>
      </c>
    </row>
    <row r="70" ht="12.75" customHeight="1">
      <c r="A70" s="13" t="s">
        <v>15</v>
      </c>
      <c r="B70" s="49" t="s">
        <v>46</v>
      </c>
      <c r="C70" s="8"/>
      <c r="D70" s="9"/>
      <c r="E70" s="60">
        <f t="shared" ref="E70:O70" si="19">SUM(E63:E69)</f>
        <v>31</v>
      </c>
      <c r="F70" s="60">
        <f t="shared" si="19"/>
        <v>20</v>
      </c>
      <c r="G70" s="60">
        <f t="shared" si="19"/>
        <v>12</v>
      </c>
      <c r="H70" s="60">
        <f t="shared" si="19"/>
        <v>26</v>
      </c>
      <c r="I70" s="60">
        <f t="shared" si="19"/>
        <v>56</v>
      </c>
      <c r="J70" s="60">
        <f t="shared" si="19"/>
        <v>35</v>
      </c>
      <c r="K70" s="60">
        <f t="shared" si="19"/>
        <v>21</v>
      </c>
      <c r="L70" s="60">
        <f t="shared" si="19"/>
        <v>15</v>
      </c>
      <c r="M70" s="60">
        <f t="shared" si="19"/>
        <v>9</v>
      </c>
      <c r="N70" s="60">
        <f t="shared" si="19"/>
        <v>15</v>
      </c>
      <c r="O70" s="60">
        <f t="shared" si="19"/>
        <v>12</v>
      </c>
      <c r="P70" s="6">
        <f t="shared" si="18"/>
        <v>252</v>
      </c>
    </row>
    <row r="71" ht="12.75" customHeight="1">
      <c r="A71" s="54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6"/>
    </row>
    <row r="72" ht="12.75" customHeight="1">
      <c r="A72" s="32" t="s">
        <v>37</v>
      </c>
      <c r="B72" s="49" t="s">
        <v>23</v>
      </c>
      <c r="C72" s="50" t="s">
        <v>61</v>
      </c>
      <c r="D72" s="9"/>
      <c r="E72" s="13">
        <v>4.0</v>
      </c>
      <c r="F72" s="13">
        <v>3.0</v>
      </c>
      <c r="G72" s="13">
        <v>2.0</v>
      </c>
      <c r="H72" s="13">
        <v>1.0</v>
      </c>
      <c r="I72" s="13">
        <v>1.0</v>
      </c>
      <c r="J72" s="13">
        <v>1.0</v>
      </c>
      <c r="K72" s="13">
        <v>1.0</v>
      </c>
      <c r="L72" s="13">
        <v>3.0</v>
      </c>
      <c r="M72" s="13">
        <v>2.0</v>
      </c>
      <c r="N72" s="13">
        <v>3.0</v>
      </c>
      <c r="O72" s="13">
        <v>1.0</v>
      </c>
      <c r="P72" s="6">
        <f t="shared" ref="P72:P79" si="20">SUM(E72:O72)</f>
        <v>22</v>
      </c>
    </row>
    <row r="73" ht="12.75" customHeight="1">
      <c r="A73" s="32" t="s">
        <v>39</v>
      </c>
      <c r="B73" s="51"/>
      <c r="C73" s="52" t="s">
        <v>62</v>
      </c>
      <c r="D73" s="53"/>
      <c r="E73" s="13">
        <v>6.0</v>
      </c>
      <c r="F73" s="13">
        <v>8.0</v>
      </c>
      <c r="G73" s="13">
        <v>1.0</v>
      </c>
      <c r="H73" s="13">
        <v>5.0</v>
      </c>
      <c r="I73" s="13">
        <v>12.0</v>
      </c>
      <c r="J73" s="13">
        <v>0.0</v>
      </c>
      <c r="K73" s="13">
        <v>1.0</v>
      </c>
      <c r="L73" s="13">
        <v>5.0</v>
      </c>
      <c r="M73" s="13">
        <v>4.0</v>
      </c>
      <c r="N73" s="13">
        <v>5.0</v>
      </c>
      <c r="O73" s="13">
        <v>2.0</v>
      </c>
      <c r="P73" s="6">
        <f t="shared" si="20"/>
        <v>49</v>
      </c>
    </row>
    <row r="74" ht="12.75" customHeight="1">
      <c r="A74" s="18"/>
      <c r="B74" s="51"/>
      <c r="C74" s="52" t="s">
        <v>63</v>
      </c>
      <c r="D74" s="53"/>
      <c r="E74" s="13">
        <v>0.0</v>
      </c>
      <c r="F74" s="13">
        <v>0.0</v>
      </c>
      <c r="G74" s="13">
        <v>1.0</v>
      </c>
      <c r="H74" s="13">
        <v>1.0</v>
      </c>
      <c r="I74" s="13">
        <v>0.0</v>
      </c>
      <c r="J74" s="13">
        <v>0.0</v>
      </c>
      <c r="K74" s="13">
        <v>1.0</v>
      </c>
      <c r="L74" s="13">
        <v>0.0</v>
      </c>
      <c r="M74" s="13">
        <v>0.0</v>
      </c>
      <c r="N74" s="13">
        <v>0.0</v>
      </c>
      <c r="O74" s="13">
        <v>0.0</v>
      </c>
      <c r="P74" s="6">
        <f t="shared" si="20"/>
        <v>3</v>
      </c>
    </row>
    <row r="75" ht="12.75" customHeight="1">
      <c r="A75" s="18"/>
      <c r="B75" s="51"/>
      <c r="C75" s="52" t="s">
        <v>64</v>
      </c>
      <c r="D75" s="53"/>
      <c r="E75" s="13">
        <v>0.0</v>
      </c>
      <c r="F75" s="13">
        <v>1.0</v>
      </c>
      <c r="G75" s="13">
        <v>0.0</v>
      </c>
      <c r="H75" s="13">
        <v>0.0</v>
      </c>
      <c r="I75" s="13">
        <v>0.0</v>
      </c>
      <c r="J75" s="13">
        <v>1.0</v>
      </c>
      <c r="K75" s="13">
        <v>0.0</v>
      </c>
      <c r="L75" s="13">
        <v>0.0</v>
      </c>
      <c r="M75" s="13">
        <v>0.0</v>
      </c>
      <c r="N75" s="13">
        <v>0.0</v>
      </c>
      <c r="O75" s="13">
        <v>0.0</v>
      </c>
      <c r="P75" s="6">
        <f t="shared" si="20"/>
        <v>2</v>
      </c>
    </row>
    <row r="76" ht="12.75" customHeight="1">
      <c r="A76" s="18"/>
      <c r="B76" s="51"/>
      <c r="C76" s="52" t="s">
        <v>65</v>
      </c>
      <c r="D76" s="53"/>
      <c r="E76" s="72">
        <v>6.0</v>
      </c>
      <c r="F76" s="13">
        <v>10.0</v>
      </c>
      <c r="G76" s="13">
        <v>7.0</v>
      </c>
      <c r="H76" s="13">
        <v>2.0</v>
      </c>
      <c r="I76" s="13">
        <v>2.0</v>
      </c>
      <c r="J76" s="13">
        <v>0.0</v>
      </c>
      <c r="K76" s="13">
        <v>0.0</v>
      </c>
      <c r="L76" s="13">
        <v>0.0</v>
      </c>
      <c r="M76" s="13">
        <v>0.0</v>
      </c>
      <c r="N76" s="13">
        <v>0.0</v>
      </c>
      <c r="O76" s="13">
        <v>0.0</v>
      </c>
      <c r="P76" s="6">
        <f t="shared" si="20"/>
        <v>27</v>
      </c>
    </row>
    <row r="77" ht="12.75" customHeight="1">
      <c r="A77" s="18"/>
      <c r="B77" s="51"/>
      <c r="C77" s="52" t="s">
        <v>66</v>
      </c>
      <c r="D77" s="53"/>
      <c r="E77" s="13">
        <v>1.0</v>
      </c>
      <c r="F77" s="13">
        <v>0.0</v>
      </c>
      <c r="G77" s="13">
        <v>0.0</v>
      </c>
      <c r="H77" s="13">
        <v>0.0</v>
      </c>
      <c r="I77" s="13">
        <v>0.0</v>
      </c>
      <c r="J77" s="13">
        <v>0.0</v>
      </c>
      <c r="K77" s="13">
        <v>0.0</v>
      </c>
      <c r="L77" s="13">
        <v>0.0</v>
      </c>
      <c r="M77" s="13">
        <v>0.0</v>
      </c>
      <c r="N77" s="13">
        <v>0.0</v>
      </c>
      <c r="O77" s="13">
        <v>0.0</v>
      </c>
      <c r="P77" s="6">
        <f t="shared" si="20"/>
        <v>1</v>
      </c>
    </row>
    <row r="78" ht="12.75" customHeight="1">
      <c r="A78" s="18"/>
      <c r="B78" s="51"/>
      <c r="C78" s="52" t="s">
        <v>67</v>
      </c>
      <c r="D78" s="53"/>
      <c r="E78" s="13">
        <v>0.0</v>
      </c>
      <c r="F78" s="13">
        <v>0.0</v>
      </c>
      <c r="G78" s="13">
        <v>0.0</v>
      </c>
      <c r="H78" s="13">
        <v>0.0</v>
      </c>
      <c r="I78" s="13">
        <v>1.0</v>
      </c>
      <c r="J78" s="13">
        <v>0.0</v>
      </c>
      <c r="K78" s="13">
        <v>0.0</v>
      </c>
      <c r="L78" s="13">
        <v>0.0</v>
      </c>
      <c r="M78" s="13">
        <v>0.0</v>
      </c>
      <c r="N78" s="13">
        <v>0.0</v>
      </c>
      <c r="O78" s="13">
        <v>0.0</v>
      </c>
      <c r="P78" s="6">
        <f t="shared" si="20"/>
        <v>1</v>
      </c>
    </row>
    <row r="79" ht="12.75" customHeight="1">
      <c r="A79" s="13" t="s">
        <v>15</v>
      </c>
      <c r="B79" s="49" t="s">
        <v>46</v>
      </c>
      <c r="C79" s="8"/>
      <c r="D79" s="9"/>
      <c r="E79" s="60">
        <f t="shared" ref="E79:O79" si="21">SUM(E72:E78)</f>
        <v>17</v>
      </c>
      <c r="F79" s="60">
        <f t="shared" si="21"/>
        <v>22</v>
      </c>
      <c r="G79" s="60">
        <f t="shared" si="21"/>
        <v>11</v>
      </c>
      <c r="H79" s="60">
        <f t="shared" si="21"/>
        <v>9</v>
      </c>
      <c r="I79" s="60">
        <f t="shared" si="21"/>
        <v>16</v>
      </c>
      <c r="J79" s="60">
        <f t="shared" si="21"/>
        <v>2</v>
      </c>
      <c r="K79" s="60">
        <f t="shared" si="21"/>
        <v>3</v>
      </c>
      <c r="L79" s="60">
        <f t="shared" si="21"/>
        <v>8</v>
      </c>
      <c r="M79" s="60">
        <f t="shared" si="21"/>
        <v>6</v>
      </c>
      <c r="N79" s="60">
        <f t="shared" si="21"/>
        <v>8</v>
      </c>
      <c r="O79" s="60">
        <f t="shared" si="21"/>
        <v>3</v>
      </c>
      <c r="P79" s="6">
        <f t="shared" si="20"/>
        <v>105</v>
      </c>
    </row>
    <row r="80" ht="12.75" customHeight="1">
      <c r="A80" s="54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6"/>
    </row>
    <row r="81" ht="12.75" customHeight="1">
      <c r="A81" s="32" t="s">
        <v>37</v>
      </c>
      <c r="B81" s="49" t="s">
        <v>68</v>
      </c>
      <c r="C81" s="50" t="s">
        <v>69</v>
      </c>
      <c r="D81" s="9"/>
      <c r="E81" s="13">
        <v>2.0</v>
      </c>
      <c r="F81" s="13">
        <v>1.0</v>
      </c>
      <c r="G81" s="13">
        <v>1.0</v>
      </c>
      <c r="H81" s="13">
        <v>4.0</v>
      </c>
      <c r="I81" s="13">
        <v>3.0</v>
      </c>
      <c r="J81" s="13">
        <v>2.0</v>
      </c>
      <c r="K81" s="13">
        <v>9.0</v>
      </c>
      <c r="L81" s="13">
        <v>10.0</v>
      </c>
      <c r="M81" s="13">
        <v>4.0</v>
      </c>
      <c r="N81" s="13">
        <v>2.0</v>
      </c>
      <c r="O81" s="13">
        <v>9.0</v>
      </c>
      <c r="P81" s="6">
        <f t="shared" ref="P81:P88" si="22">SUM(E81:O81)</f>
        <v>47</v>
      </c>
    </row>
    <row r="82" ht="12.75" customHeight="1">
      <c r="A82" s="32" t="s">
        <v>39</v>
      </c>
      <c r="B82" s="51"/>
      <c r="C82" s="52" t="s">
        <v>70</v>
      </c>
      <c r="D82" s="53"/>
      <c r="E82" s="13">
        <v>13.0</v>
      </c>
      <c r="F82" s="13">
        <v>21.0</v>
      </c>
      <c r="G82" s="13">
        <v>0.0</v>
      </c>
      <c r="H82" s="13">
        <v>20.0</v>
      </c>
      <c r="I82" s="13">
        <v>8.0</v>
      </c>
      <c r="J82" s="13">
        <v>16.0</v>
      </c>
      <c r="K82" s="13">
        <v>21.0</v>
      </c>
      <c r="L82" s="13">
        <v>35.0</v>
      </c>
      <c r="M82" s="13">
        <v>20.0</v>
      </c>
      <c r="N82" s="13">
        <v>10.0</v>
      </c>
      <c r="O82" s="13">
        <v>68.0</v>
      </c>
      <c r="P82" s="6">
        <f t="shared" si="22"/>
        <v>232</v>
      </c>
    </row>
    <row r="83" ht="12.75" customHeight="1">
      <c r="A83" s="18"/>
      <c r="B83" s="51"/>
      <c r="C83" s="52" t="s">
        <v>71</v>
      </c>
      <c r="D83" s="53"/>
      <c r="E83" s="13">
        <v>0.0</v>
      </c>
      <c r="F83" s="13">
        <v>1.0</v>
      </c>
      <c r="G83" s="13">
        <v>0.0</v>
      </c>
      <c r="H83" s="13">
        <v>0.0</v>
      </c>
      <c r="I83" s="13">
        <v>0.0</v>
      </c>
      <c r="J83" s="13">
        <v>0.0</v>
      </c>
      <c r="K83" s="13">
        <v>0.0</v>
      </c>
      <c r="L83" s="13">
        <v>1.0</v>
      </c>
      <c r="M83" s="13">
        <v>1.0</v>
      </c>
      <c r="N83" s="13">
        <v>0.0</v>
      </c>
      <c r="O83" s="13">
        <v>3.0</v>
      </c>
      <c r="P83" s="6">
        <f t="shared" si="22"/>
        <v>6</v>
      </c>
    </row>
    <row r="84" ht="12.75" customHeight="1">
      <c r="A84" s="18"/>
      <c r="B84" s="51"/>
      <c r="C84" s="52" t="s">
        <v>72</v>
      </c>
      <c r="D84" s="53"/>
      <c r="E84" s="13">
        <v>0.0</v>
      </c>
      <c r="F84" s="13">
        <v>0.0</v>
      </c>
      <c r="G84" s="13">
        <v>0.0</v>
      </c>
      <c r="H84" s="13">
        <v>0.0</v>
      </c>
      <c r="I84" s="13">
        <v>2.0</v>
      </c>
      <c r="J84" s="13">
        <v>0.0</v>
      </c>
      <c r="K84" s="13">
        <v>0.0</v>
      </c>
      <c r="L84" s="13">
        <v>1.0</v>
      </c>
      <c r="M84" s="13">
        <v>0.0</v>
      </c>
      <c r="N84" s="13">
        <v>0.0</v>
      </c>
      <c r="O84" s="13">
        <v>1.0</v>
      </c>
      <c r="P84" s="6">
        <f t="shared" si="22"/>
        <v>4</v>
      </c>
    </row>
    <row r="85" ht="12.75" customHeight="1">
      <c r="A85" s="18"/>
      <c r="B85" s="51"/>
      <c r="C85" s="52" t="s">
        <v>73</v>
      </c>
      <c r="D85" s="53"/>
      <c r="E85" s="13">
        <v>0.0</v>
      </c>
      <c r="F85" s="13">
        <v>0.0</v>
      </c>
      <c r="G85" s="13">
        <v>0.0</v>
      </c>
      <c r="H85" s="13">
        <v>1.0</v>
      </c>
      <c r="I85" s="13">
        <v>0.0</v>
      </c>
      <c r="J85" s="13">
        <v>0.0</v>
      </c>
      <c r="K85" s="13">
        <v>0.0</v>
      </c>
      <c r="L85" s="13">
        <v>0.0</v>
      </c>
      <c r="M85" s="13">
        <v>2.0</v>
      </c>
      <c r="N85" s="13">
        <v>0.0</v>
      </c>
      <c r="O85" s="13">
        <v>0.0</v>
      </c>
      <c r="P85" s="6">
        <f t="shared" si="22"/>
        <v>3</v>
      </c>
    </row>
    <row r="86" ht="12.75" customHeight="1">
      <c r="A86" s="18"/>
      <c r="B86" s="51"/>
      <c r="C86" s="52" t="s">
        <v>74</v>
      </c>
      <c r="D86" s="53"/>
      <c r="E86" s="13">
        <v>3.0</v>
      </c>
      <c r="F86" s="13">
        <v>2.0</v>
      </c>
      <c r="G86" s="13">
        <v>2.0</v>
      </c>
      <c r="H86" s="13">
        <v>1.0</v>
      </c>
      <c r="I86" s="13">
        <v>1.0</v>
      </c>
      <c r="J86" s="13">
        <v>0.0</v>
      </c>
      <c r="K86" s="13">
        <v>36.0</v>
      </c>
      <c r="L86" s="13">
        <v>62.0</v>
      </c>
      <c r="M86" s="13">
        <v>56.0</v>
      </c>
      <c r="N86" s="13">
        <v>55.0</v>
      </c>
      <c r="O86" s="13">
        <v>33.0</v>
      </c>
      <c r="P86" s="6">
        <f t="shared" si="22"/>
        <v>251</v>
      </c>
    </row>
    <row r="87" ht="12.75" customHeight="1">
      <c r="A87" s="18"/>
      <c r="B87" s="51"/>
      <c r="C87" s="52" t="s">
        <v>75</v>
      </c>
      <c r="D87" s="53"/>
      <c r="E87" s="13">
        <v>0.0</v>
      </c>
      <c r="F87" s="13">
        <v>0.0</v>
      </c>
      <c r="G87" s="13">
        <v>0.0</v>
      </c>
      <c r="H87" s="13">
        <v>0.0</v>
      </c>
      <c r="I87" s="13">
        <v>0.0</v>
      </c>
      <c r="J87" s="13">
        <v>0.0</v>
      </c>
      <c r="K87" s="13">
        <v>1.0</v>
      </c>
      <c r="L87" s="13">
        <v>0.0</v>
      </c>
      <c r="M87" s="13">
        <v>0.0</v>
      </c>
      <c r="N87" s="13">
        <v>0.0</v>
      </c>
      <c r="O87" s="13">
        <v>0.0</v>
      </c>
      <c r="P87" s="6">
        <f t="shared" si="22"/>
        <v>1</v>
      </c>
    </row>
    <row r="88" ht="12.75" customHeight="1">
      <c r="A88" s="13" t="s">
        <v>15</v>
      </c>
      <c r="B88" s="49" t="s">
        <v>46</v>
      </c>
      <c r="C88" s="8"/>
      <c r="D88" s="9"/>
      <c r="E88" s="60">
        <f t="shared" ref="E88:O88" si="23">SUM(E81:E87)</f>
        <v>18</v>
      </c>
      <c r="F88" s="60">
        <f t="shared" si="23"/>
        <v>25</v>
      </c>
      <c r="G88" s="60">
        <f t="shared" si="23"/>
        <v>3</v>
      </c>
      <c r="H88" s="60">
        <f t="shared" si="23"/>
        <v>26</v>
      </c>
      <c r="I88" s="60">
        <f t="shared" si="23"/>
        <v>14</v>
      </c>
      <c r="J88" s="60">
        <f t="shared" si="23"/>
        <v>18</v>
      </c>
      <c r="K88" s="60">
        <f t="shared" si="23"/>
        <v>67</v>
      </c>
      <c r="L88" s="60">
        <f t="shared" si="23"/>
        <v>109</v>
      </c>
      <c r="M88" s="60">
        <f t="shared" si="23"/>
        <v>83</v>
      </c>
      <c r="N88" s="60">
        <f t="shared" si="23"/>
        <v>67</v>
      </c>
      <c r="O88" s="60">
        <f t="shared" si="23"/>
        <v>114</v>
      </c>
      <c r="P88" s="6">
        <f t="shared" si="22"/>
        <v>544</v>
      </c>
    </row>
    <row r="89" ht="12.75" customHeight="1">
      <c r="A89" s="54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6"/>
    </row>
    <row r="90" ht="12.75" customHeight="1">
      <c r="A90" s="32" t="s">
        <v>37</v>
      </c>
      <c r="B90" s="49" t="s">
        <v>76</v>
      </c>
      <c r="C90" s="50" t="s">
        <v>77</v>
      </c>
      <c r="D90" s="9"/>
      <c r="E90" s="13">
        <v>0.0</v>
      </c>
      <c r="F90" s="13">
        <v>0.0</v>
      </c>
      <c r="G90" s="13">
        <v>1.0</v>
      </c>
      <c r="H90" s="13">
        <v>1.0</v>
      </c>
      <c r="I90" s="13">
        <v>3.0</v>
      </c>
      <c r="J90" s="13">
        <v>2.0</v>
      </c>
      <c r="K90" s="13">
        <v>0.0</v>
      </c>
      <c r="L90" s="13">
        <v>0.0</v>
      </c>
      <c r="M90" s="13">
        <v>0.0</v>
      </c>
      <c r="N90" s="13">
        <v>0.0</v>
      </c>
      <c r="O90" s="13">
        <v>0.0</v>
      </c>
      <c r="P90" s="6">
        <f t="shared" ref="P90:P92" si="24">SUM(E90:O90)</f>
        <v>7</v>
      </c>
    </row>
    <row r="91" ht="12.75" customHeight="1">
      <c r="A91" s="32" t="s">
        <v>39</v>
      </c>
      <c r="B91" s="51"/>
      <c r="C91" s="52" t="s">
        <v>78</v>
      </c>
      <c r="D91" s="61"/>
      <c r="E91" s="13">
        <v>0.0</v>
      </c>
      <c r="F91" s="13">
        <v>1.0</v>
      </c>
      <c r="G91" s="13">
        <v>0.0</v>
      </c>
      <c r="H91" s="13">
        <v>0.0</v>
      </c>
      <c r="I91" s="13">
        <v>1.0</v>
      </c>
      <c r="J91" s="13">
        <v>0.0</v>
      </c>
      <c r="K91" s="13">
        <v>0.0</v>
      </c>
      <c r="L91" s="13">
        <v>2.0</v>
      </c>
      <c r="M91" s="13">
        <v>0.0</v>
      </c>
      <c r="N91" s="13">
        <v>0.0</v>
      </c>
      <c r="O91" s="13">
        <v>0.0</v>
      </c>
      <c r="P91" s="6">
        <f t="shared" si="24"/>
        <v>4</v>
      </c>
    </row>
    <row r="92" ht="12.75" customHeight="1">
      <c r="A92" s="13" t="s">
        <v>15</v>
      </c>
      <c r="B92" s="49" t="s">
        <v>46</v>
      </c>
      <c r="C92" s="8"/>
      <c r="D92" s="9"/>
      <c r="E92" s="60">
        <f t="shared" ref="E92:O92" si="25">SUM(E90:E91)</f>
        <v>0</v>
      </c>
      <c r="F92" s="60">
        <f t="shared" si="25"/>
        <v>1</v>
      </c>
      <c r="G92" s="60">
        <f t="shared" si="25"/>
        <v>1</v>
      </c>
      <c r="H92" s="60">
        <f t="shared" si="25"/>
        <v>1</v>
      </c>
      <c r="I92" s="60">
        <f t="shared" si="25"/>
        <v>4</v>
      </c>
      <c r="J92" s="60">
        <f t="shared" si="25"/>
        <v>2</v>
      </c>
      <c r="K92" s="60">
        <f t="shared" si="25"/>
        <v>0</v>
      </c>
      <c r="L92" s="60">
        <f t="shared" si="25"/>
        <v>2</v>
      </c>
      <c r="M92" s="60">
        <f t="shared" si="25"/>
        <v>0</v>
      </c>
      <c r="N92" s="60">
        <f t="shared" si="25"/>
        <v>0</v>
      </c>
      <c r="O92" s="60">
        <f t="shared" si="25"/>
        <v>0</v>
      </c>
      <c r="P92" s="6">
        <f t="shared" si="24"/>
        <v>11</v>
      </c>
    </row>
    <row r="93" ht="12.75" customHeight="1">
      <c r="A93" s="54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6"/>
    </row>
    <row r="94" ht="12.75" customHeight="1">
      <c r="A94" s="32" t="s">
        <v>37</v>
      </c>
      <c r="B94" s="49" t="s">
        <v>79</v>
      </c>
      <c r="C94" s="50" t="s">
        <v>80</v>
      </c>
      <c r="D94" s="9"/>
      <c r="E94" s="13">
        <v>2.0</v>
      </c>
      <c r="F94" s="13">
        <v>0.0</v>
      </c>
      <c r="G94" s="13">
        <v>4.0</v>
      </c>
      <c r="H94" s="13">
        <v>3.0</v>
      </c>
      <c r="I94" s="13">
        <v>1.0</v>
      </c>
      <c r="J94" s="13">
        <v>0.0</v>
      </c>
      <c r="K94" s="13">
        <v>8.0</v>
      </c>
      <c r="L94" s="13">
        <v>5.0</v>
      </c>
      <c r="M94" s="13">
        <v>4.0</v>
      </c>
      <c r="N94" s="13">
        <v>1.0</v>
      </c>
      <c r="O94" s="13">
        <v>4.0</v>
      </c>
      <c r="P94" s="6">
        <f t="shared" ref="P94:P101" si="26">SUM(E94:O94)</f>
        <v>32</v>
      </c>
    </row>
    <row r="95" ht="12.75" customHeight="1">
      <c r="A95" s="32" t="s">
        <v>39</v>
      </c>
      <c r="B95" s="51"/>
      <c r="C95" s="52" t="s">
        <v>81</v>
      </c>
      <c r="D95" s="53"/>
      <c r="E95" s="13">
        <v>5.0</v>
      </c>
      <c r="F95" s="13">
        <v>0.0</v>
      </c>
      <c r="G95" s="13">
        <v>10.0</v>
      </c>
      <c r="H95" s="13">
        <v>12.0</v>
      </c>
      <c r="I95" s="13">
        <v>4.0</v>
      </c>
      <c r="J95" s="13">
        <v>9.0</v>
      </c>
      <c r="K95" s="13">
        <v>15.0</v>
      </c>
      <c r="L95" s="13">
        <v>13.0</v>
      </c>
      <c r="M95" s="13">
        <v>6.0</v>
      </c>
      <c r="N95" s="13">
        <v>6.0</v>
      </c>
      <c r="O95" s="13">
        <v>17.0</v>
      </c>
      <c r="P95" s="6">
        <f t="shared" si="26"/>
        <v>97</v>
      </c>
    </row>
    <row r="96" ht="12.75" customHeight="1">
      <c r="A96" s="32"/>
      <c r="B96" s="51"/>
      <c r="C96" s="52" t="s">
        <v>82</v>
      </c>
      <c r="D96" s="53"/>
      <c r="E96" s="13">
        <v>0.0</v>
      </c>
      <c r="F96" s="13">
        <v>1.0</v>
      </c>
      <c r="G96" s="13">
        <v>0.0</v>
      </c>
      <c r="H96" s="13">
        <v>0.0</v>
      </c>
      <c r="I96" s="13">
        <v>0.0</v>
      </c>
      <c r="J96" s="13">
        <v>0.0</v>
      </c>
      <c r="K96" s="13">
        <v>1.0</v>
      </c>
      <c r="L96" s="13">
        <v>2.0</v>
      </c>
      <c r="M96" s="13">
        <v>0.0</v>
      </c>
      <c r="N96" s="13">
        <v>0.0</v>
      </c>
      <c r="O96" s="13">
        <v>0.0</v>
      </c>
      <c r="P96" s="6">
        <f t="shared" si="26"/>
        <v>4</v>
      </c>
    </row>
    <row r="97" ht="12.75" customHeight="1">
      <c r="A97" s="32"/>
      <c r="B97" s="51"/>
      <c r="C97" s="52" t="s">
        <v>83</v>
      </c>
      <c r="D97" s="53"/>
      <c r="E97" s="13">
        <v>0.0</v>
      </c>
      <c r="F97" s="13">
        <v>0.0</v>
      </c>
      <c r="G97" s="13">
        <v>0.0</v>
      </c>
      <c r="H97" s="13">
        <v>1.0</v>
      </c>
      <c r="I97" s="13">
        <v>1.0</v>
      </c>
      <c r="J97" s="13">
        <v>1.0</v>
      </c>
      <c r="K97" s="13">
        <v>1.0</v>
      </c>
      <c r="L97" s="13">
        <v>1.0</v>
      </c>
      <c r="M97" s="13">
        <v>0.0</v>
      </c>
      <c r="N97" s="13">
        <v>0.0</v>
      </c>
      <c r="O97" s="13">
        <v>0.0</v>
      </c>
      <c r="P97" s="6">
        <f t="shared" si="26"/>
        <v>5</v>
      </c>
    </row>
    <row r="98" ht="12.75" customHeight="1">
      <c r="A98" s="32"/>
      <c r="B98" s="51"/>
      <c r="C98" s="52" t="s">
        <v>84</v>
      </c>
      <c r="D98" s="53"/>
      <c r="E98" s="13">
        <v>0.0</v>
      </c>
      <c r="F98" s="13">
        <v>0.0</v>
      </c>
      <c r="G98" s="13">
        <v>0.0</v>
      </c>
      <c r="H98" s="13">
        <v>0.0</v>
      </c>
      <c r="I98" s="13">
        <v>1.0</v>
      </c>
      <c r="J98" s="13">
        <v>0.0</v>
      </c>
      <c r="K98" s="13">
        <v>0.0</v>
      </c>
      <c r="L98" s="13">
        <v>0.0</v>
      </c>
      <c r="M98" s="13">
        <v>0.0</v>
      </c>
      <c r="N98" s="13">
        <v>0.0</v>
      </c>
      <c r="O98" s="13">
        <v>0.0</v>
      </c>
      <c r="P98" s="6">
        <f t="shared" si="26"/>
        <v>1</v>
      </c>
    </row>
    <row r="99" ht="12.75" customHeight="1">
      <c r="A99" s="32"/>
      <c r="B99" s="51"/>
      <c r="C99" s="52" t="s">
        <v>85</v>
      </c>
      <c r="D99" s="53"/>
      <c r="E99" s="13">
        <v>0.0</v>
      </c>
      <c r="F99" s="13">
        <v>0.0</v>
      </c>
      <c r="G99" s="13">
        <v>0.0</v>
      </c>
      <c r="H99" s="13">
        <v>0.0</v>
      </c>
      <c r="I99" s="13">
        <v>0.0</v>
      </c>
      <c r="J99" s="13">
        <v>0.0</v>
      </c>
      <c r="K99" s="13">
        <v>1.0</v>
      </c>
      <c r="L99" s="13">
        <v>0.0</v>
      </c>
      <c r="M99" s="13">
        <v>0.0</v>
      </c>
      <c r="N99" s="13">
        <v>0.0</v>
      </c>
      <c r="O99" s="13">
        <v>0.0</v>
      </c>
      <c r="P99" s="6">
        <f t="shared" si="26"/>
        <v>1</v>
      </c>
    </row>
    <row r="100" ht="12.75" customHeight="1">
      <c r="A100" s="32"/>
      <c r="B100" s="51"/>
      <c r="C100" s="52" t="s">
        <v>86</v>
      </c>
      <c r="D100" s="53"/>
      <c r="E100" s="13">
        <v>0.0</v>
      </c>
      <c r="F100" s="13">
        <v>0.0</v>
      </c>
      <c r="G100" s="13">
        <v>0.0</v>
      </c>
      <c r="H100" s="13">
        <v>0.0</v>
      </c>
      <c r="I100" s="13">
        <v>0.0</v>
      </c>
      <c r="J100" s="13">
        <v>0.0</v>
      </c>
      <c r="K100" s="13">
        <v>0.0</v>
      </c>
      <c r="L100" s="13">
        <v>0.0</v>
      </c>
      <c r="M100" s="13">
        <v>0.0</v>
      </c>
      <c r="N100" s="13">
        <v>0.0</v>
      </c>
      <c r="O100" s="13">
        <v>0.0</v>
      </c>
      <c r="P100" s="6">
        <f t="shared" si="26"/>
        <v>0</v>
      </c>
    </row>
    <row r="101" ht="12.75" customHeight="1">
      <c r="A101" s="13" t="s">
        <v>15</v>
      </c>
      <c r="B101" s="49" t="s">
        <v>46</v>
      </c>
      <c r="C101" s="8"/>
      <c r="D101" s="9"/>
      <c r="E101" s="60">
        <f t="shared" ref="E101:O101" si="27">SUM(E94:E100)</f>
        <v>7</v>
      </c>
      <c r="F101" s="60">
        <f t="shared" si="27"/>
        <v>1</v>
      </c>
      <c r="G101" s="60">
        <f t="shared" si="27"/>
        <v>14</v>
      </c>
      <c r="H101" s="60">
        <f t="shared" si="27"/>
        <v>16</v>
      </c>
      <c r="I101" s="60">
        <f t="shared" si="27"/>
        <v>7</v>
      </c>
      <c r="J101" s="60">
        <f t="shared" si="27"/>
        <v>10</v>
      </c>
      <c r="K101" s="60">
        <f t="shared" si="27"/>
        <v>26</v>
      </c>
      <c r="L101" s="60">
        <f t="shared" si="27"/>
        <v>21</v>
      </c>
      <c r="M101" s="60">
        <f t="shared" si="27"/>
        <v>10</v>
      </c>
      <c r="N101" s="60">
        <f t="shared" si="27"/>
        <v>7</v>
      </c>
      <c r="O101" s="60">
        <f t="shared" si="27"/>
        <v>21</v>
      </c>
      <c r="P101" s="6">
        <f t="shared" si="26"/>
        <v>140</v>
      </c>
    </row>
    <row r="102" ht="12.75" customHeight="1">
      <c r="A102" s="54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6"/>
    </row>
    <row r="103" ht="12.75" customHeight="1">
      <c r="A103" s="32" t="s">
        <v>37</v>
      </c>
      <c r="B103" s="49" t="s">
        <v>87</v>
      </c>
      <c r="C103" s="50" t="s">
        <v>88</v>
      </c>
      <c r="D103" s="9"/>
      <c r="E103" s="13">
        <v>1.0</v>
      </c>
      <c r="F103" s="13">
        <v>0.0</v>
      </c>
      <c r="G103" s="13">
        <v>0.0</v>
      </c>
      <c r="H103" s="13">
        <v>1.0</v>
      </c>
      <c r="I103" s="13">
        <v>0.0</v>
      </c>
      <c r="J103" s="13">
        <v>3.0</v>
      </c>
      <c r="K103" s="13">
        <v>2.0</v>
      </c>
      <c r="L103" s="13">
        <v>0.0</v>
      </c>
      <c r="M103" s="13">
        <v>1.0</v>
      </c>
      <c r="N103" s="13">
        <v>1.0</v>
      </c>
      <c r="O103" s="13">
        <v>0.0</v>
      </c>
      <c r="P103" s="6">
        <f t="shared" ref="P103:P110" si="28">SUM(E103:O103)</f>
        <v>9</v>
      </c>
    </row>
    <row r="104" ht="12.75" customHeight="1">
      <c r="A104" s="32" t="s">
        <v>39</v>
      </c>
      <c r="B104" s="51"/>
      <c r="C104" s="52" t="s">
        <v>89</v>
      </c>
      <c r="D104" s="53"/>
      <c r="E104" s="13">
        <v>0.0</v>
      </c>
      <c r="F104" s="13">
        <v>0.0</v>
      </c>
      <c r="G104" s="13">
        <v>0.0</v>
      </c>
      <c r="H104" s="13">
        <v>1.0</v>
      </c>
      <c r="I104" s="13">
        <v>9.0</v>
      </c>
      <c r="J104" s="13">
        <v>11.0</v>
      </c>
      <c r="K104" s="13">
        <v>0.0</v>
      </c>
      <c r="L104" s="13">
        <v>0.0</v>
      </c>
      <c r="M104" s="13">
        <v>0.0</v>
      </c>
      <c r="N104" s="13">
        <v>2.0</v>
      </c>
      <c r="O104" s="13">
        <v>0.0</v>
      </c>
      <c r="P104" s="6">
        <f t="shared" si="28"/>
        <v>23</v>
      </c>
    </row>
    <row r="105" ht="12.75" customHeight="1">
      <c r="A105" s="18"/>
      <c r="B105" s="51"/>
      <c r="C105" s="52" t="s">
        <v>90</v>
      </c>
      <c r="D105" s="53"/>
      <c r="E105" s="13">
        <v>0.0</v>
      </c>
      <c r="F105" s="13">
        <v>0.0</v>
      </c>
      <c r="G105" s="13">
        <v>0.0</v>
      </c>
      <c r="H105" s="13">
        <v>0.0</v>
      </c>
      <c r="I105" s="13">
        <v>0.0</v>
      </c>
      <c r="J105" s="13">
        <v>0.0</v>
      </c>
      <c r="K105" s="13">
        <v>0.0</v>
      </c>
      <c r="L105" s="13">
        <v>0.0</v>
      </c>
      <c r="M105" s="13">
        <v>0.0</v>
      </c>
      <c r="N105" s="13">
        <v>0.0</v>
      </c>
      <c r="O105" s="13">
        <v>0.0</v>
      </c>
      <c r="P105" s="6">
        <f t="shared" si="28"/>
        <v>0</v>
      </c>
    </row>
    <row r="106" ht="12.75" customHeight="1">
      <c r="A106" s="18"/>
      <c r="B106" s="51"/>
      <c r="C106" s="52" t="s">
        <v>91</v>
      </c>
      <c r="D106" s="53"/>
      <c r="E106" s="13">
        <v>0.0</v>
      </c>
      <c r="F106" s="13">
        <v>0.0</v>
      </c>
      <c r="G106" s="13">
        <v>0.0</v>
      </c>
      <c r="H106" s="13">
        <v>0.0</v>
      </c>
      <c r="I106" s="13">
        <v>0.0</v>
      </c>
      <c r="J106" s="13">
        <v>0.0</v>
      </c>
      <c r="K106" s="13">
        <v>0.0</v>
      </c>
      <c r="L106" s="13">
        <v>0.0</v>
      </c>
      <c r="M106" s="13">
        <v>0.0</v>
      </c>
      <c r="N106" s="13">
        <v>0.0</v>
      </c>
      <c r="O106" s="13">
        <v>0.0</v>
      </c>
      <c r="P106" s="6">
        <f t="shared" si="28"/>
        <v>0</v>
      </c>
    </row>
    <row r="107" ht="12.75" customHeight="1">
      <c r="A107" s="18"/>
      <c r="B107" s="51"/>
      <c r="C107" s="52" t="s">
        <v>92</v>
      </c>
      <c r="D107" s="53"/>
      <c r="E107" s="13">
        <v>0.0</v>
      </c>
      <c r="F107" s="13">
        <v>0.0</v>
      </c>
      <c r="G107" s="13">
        <v>0.0</v>
      </c>
      <c r="H107" s="13">
        <v>0.0</v>
      </c>
      <c r="I107" s="13">
        <v>0.0</v>
      </c>
      <c r="J107" s="13">
        <v>0.0</v>
      </c>
      <c r="K107" s="13">
        <v>0.0</v>
      </c>
      <c r="L107" s="13">
        <v>0.0</v>
      </c>
      <c r="M107" s="13">
        <v>1.0</v>
      </c>
      <c r="N107" s="13">
        <v>0.0</v>
      </c>
      <c r="O107" s="13">
        <v>0.0</v>
      </c>
      <c r="P107" s="6">
        <f t="shared" si="28"/>
        <v>1</v>
      </c>
    </row>
    <row r="108" ht="12.75" customHeight="1">
      <c r="A108" s="18"/>
      <c r="B108" s="51"/>
      <c r="C108" s="52" t="s">
        <v>93</v>
      </c>
      <c r="D108" s="53"/>
      <c r="E108" s="13">
        <v>0.0</v>
      </c>
      <c r="F108" s="13">
        <v>0.0</v>
      </c>
      <c r="G108" s="13">
        <v>0.0</v>
      </c>
      <c r="H108" s="13">
        <v>0.0</v>
      </c>
      <c r="I108" s="13">
        <v>0.0</v>
      </c>
      <c r="J108" s="13">
        <v>0.0</v>
      </c>
      <c r="K108" s="13">
        <v>0.0</v>
      </c>
      <c r="L108" s="13">
        <v>0.0</v>
      </c>
      <c r="M108" s="13">
        <v>0.0</v>
      </c>
      <c r="N108" s="13">
        <v>0.0</v>
      </c>
      <c r="O108" s="13">
        <v>0.0</v>
      </c>
      <c r="P108" s="6">
        <f t="shared" si="28"/>
        <v>0</v>
      </c>
    </row>
    <row r="109" ht="12.75" customHeight="1">
      <c r="A109" s="18"/>
      <c r="B109" s="51"/>
      <c r="C109" s="52" t="s">
        <v>94</v>
      </c>
      <c r="D109" s="53"/>
      <c r="E109" s="13">
        <v>0.0</v>
      </c>
      <c r="F109" s="13">
        <v>0.0</v>
      </c>
      <c r="G109" s="13">
        <v>0.0</v>
      </c>
      <c r="H109" s="13">
        <v>0.0</v>
      </c>
      <c r="I109" s="13">
        <v>0.0</v>
      </c>
      <c r="J109" s="13">
        <v>0.0</v>
      </c>
      <c r="K109" s="13">
        <v>4.0</v>
      </c>
      <c r="L109" s="13">
        <v>0.0</v>
      </c>
      <c r="M109" s="13">
        <v>0.0</v>
      </c>
      <c r="N109" s="13">
        <v>2.0</v>
      </c>
      <c r="O109" s="13">
        <v>2.0</v>
      </c>
      <c r="P109" s="6">
        <f t="shared" si="28"/>
        <v>8</v>
      </c>
    </row>
    <row r="110" ht="12.75" customHeight="1">
      <c r="A110" s="13" t="s">
        <v>15</v>
      </c>
      <c r="B110" s="49" t="s">
        <v>46</v>
      </c>
      <c r="C110" s="8"/>
      <c r="D110" s="9"/>
      <c r="E110" s="60">
        <f t="shared" ref="E110:O110" si="29">SUM(E103:E109)</f>
        <v>1</v>
      </c>
      <c r="F110" s="60">
        <f t="shared" si="29"/>
        <v>0</v>
      </c>
      <c r="G110" s="60">
        <f t="shared" si="29"/>
        <v>0</v>
      </c>
      <c r="H110" s="60">
        <f t="shared" si="29"/>
        <v>2</v>
      </c>
      <c r="I110" s="60">
        <f t="shared" si="29"/>
        <v>9</v>
      </c>
      <c r="J110" s="60">
        <f t="shared" si="29"/>
        <v>14</v>
      </c>
      <c r="K110" s="60">
        <f t="shared" si="29"/>
        <v>6</v>
      </c>
      <c r="L110" s="60">
        <f t="shared" si="29"/>
        <v>0</v>
      </c>
      <c r="M110" s="60">
        <f t="shared" si="29"/>
        <v>2</v>
      </c>
      <c r="N110" s="60">
        <f t="shared" si="29"/>
        <v>5</v>
      </c>
      <c r="O110" s="60">
        <f t="shared" si="29"/>
        <v>2</v>
      </c>
      <c r="P110" s="6">
        <f t="shared" si="28"/>
        <v>41</v>
      </c>
    </row>
    <row r="111" ht="12.75" customHeight="1">
      <c r="A111" s="54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6"/>
    </row>
    <row r="112" ht="12.75" customHeight="1">
      <c r="A112" s="32" t="s">
        <v>37</v>
      </c>
      <c r="B112" s="49" t="s">
        <v>95</v>
      </c>
      <c r="C112" s="50" t="s">
        <v>96</v>
      </c>
      <c r="D112" s="9"/>
      <c r="E112" s="13">
        <v>0.0</v>
      </c>
      <c r="F112" s="72">
        <v>1.0</v>
      </c>
      <c r="G112" s="13">
        <v>0.0</v>
      </c>
      <c r="H112" s="13">
        <v>0.0</v>
      </c>
      <c r="I112" s="13">
        <v>0.0</v>
      </c>
      <c r="J112" s="13">
        <v>0.0</v>
      </c>
      <c r="K112" s="13">
        <v>0.0</v>
      </c>
      <c r="L112" s="13">
        <v>0.0</v>
      </c>
      <c r="M112" s="13">
        <v>0.0</v>
      </c>
      <c r="N112" s="13">
        <v>0.0</v>
      </c>
      <c r="O112" s="13">
        <v>0.0</v>
      </c>
      <c r="P112" s="6">
        <f t="shared" ref="P112:P114" si="30">SUM(E112:O112)</f>
        <v>1</v>
      </c>
    </row>
    <row r="113" ht="12.75" customHeight="1">
      <c r="A113" s="32" t="s">
        <v>39</v>
      </c>
      <c r="B113" s="49"/>
      <c r="C113" s="52" t="s">
        <v>97</v>
      </c>
      <c r="D113" s="61"/>
      <c r="E113" s="13">
        <v>0.0</v>
      </c>
      <c r="F113" s="13">
        <v>0.0</v>
      </c>
      <c r="G113" s="13">
        <v>0.0</v>
      </c>
      <c r="H113" s="13">
        <v>0.0</v>
      </c>
      <c r="I113" s="13">
        <v>0.0</v>
      </c>
      <c r="J113" s="13">
        <v>0.0</v>
      </c>
      <c r="K113" s="13">
        <v>0.0</v>
      </c>
      <c r="L113" s="13">
        <v>0.0</v>
      </c>
      <c r="M113" s="13">
        <v>0.0</v>
      </c>
      <c r="N113" s="13">
        <v>0.0</v>
      </c>
      <c r="O113" s="13">
        <v>0.0</v>
      </c>
      <c r="P113" s="6">
        <f t="shared" si="30"/>
        <v>0</v>
      </c>
    </row>
    <row r="114" ht="12.75" customHeight="1">
      <c r="A114" s="13" t="s">
        <v>15</v>
      </c>
      <c r="B114" s="49" t="s">
        <v>46</v>
      </c>
      <c r="C114" s="8"/>
      <c r="D114" s="9"/>
      <c r="E114" s="60">
        <f t="shared" ref="E114:O114" si="31">SUM(E112:E113)</f>
        <v>0</v>
      </c>
      <c r="F114" s="60">
        <f t="shared" si="31"/>
        <v>1</v>
      </c>
      <c r="G114" s="60">
        <f t="shared" si="31"/>
        <v>0</v>
      </c>
      <c r="H114" s="60">
        <f t="shared" si="31"/>
        <v>0</v>
      </c>
      <c r="I114" s="60">
        <f t="shared" si="31"/>
        <v>0</v>
      </c>
      <c r="J114" s="60">
        <f t="shared" si="31"/>
        <v>0</v>
      </c>
      <c r="K114" s="60">
        <f t="shared" si="31"/>
        <v>0</v>
      </c>
      <c r="L114" s="60">
        <f t="shared" si="31"/>
        <v>0</v>
      </c>
      <c r="M114" s="60">
        <f t="shared" si="31"/>
        <v>0</v>
      </c>
      <c r="N114" s="60">
        <f t="shared" si="31"/>
        <v>0</v>
      </c>
      <c r="O114" s="60">
        <f t="shared" si="31"/>
        <v>0</v>
      </c>
      <c r="P114" s="6">
        <f t="shared" si="30"/>
        <v>1</v>
      </c>
    </row>
    <row r="115" ht="12.75" customHeight="1">
      <c r="A115" s="54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6"/>
    </row>
    <row r="116" ht="12.75" customHeight="1">
      <c r="A116" s="32" t="s">
        <v>37</v>
      </c>
      <c r="B116" s="49" t="s">
        <v>98</v>
      </c>
      <c r="C116" s="50" t="s">
        <v>99</v>
      </c>
      <c r="D116" s="9"/>
      <c r="E116" s="13">
        <v>6.0</v>
      </c>
      <c r="F116" s="13">
        <v>4.0</v>
      </c>
      <c r="G116" s="13">
        <v>3.0</v>
      </c>
      <c r="H116" s="13">
        <v>2.0</v>
      </c>
      <c r="I116" s="13">
        <v>3.0</v>
      </c>
      <c r="J116" s="13">
        <v>1.0</v>
      </c>
      <c r="K116" s="13">
        <v>0.0</v>
      </c>
      <c r="L116" s="13">
        <v>1.0</v>
      </c>
      <c r="M116" s="13">
        <v>2.0</v>
      </c>
      <c r="N116" s="13">
        <v>0.0</v>
      </c>
      <c r="O116" s="13">
        <v>0.0</v>
      </c>
      <c r="P116" s="6">
        <f t="shared" ref="P116:P123" si="32">SUM(E116:O116)</f>
        <v>22</v>
      </c>
    </row>
    <row r="117" ht="12.75" customHeight="1">
      <c r="A117" s="32" t="s">
        <v>39</v>
      </c>
      <c r="B117" s="51"/>
      <c r="C117" s="52" t="s">
        <v>100</v>
      </c>
      <c r="D117" s="53"/>
      <c r="E117" s="13">
        <v>16.0</v>
      </c>
      <c r="F117" s="13">
        <v>11.0</v>
      </c>
      <c r="G117" s="13">
        <v>25.0</v>
      </c>
      <c r="H117" s="13">
        <v>19.0</v>
      </c>
      <c r="I117" s="13">
        <v>20.0</v>
      </c>
      <c r="J117" s="13">
        <v>1.0</v>
      </c>
      <c r="K117" s="13">
        <v>1.0</v>
      </c>
      <c r="L117" s="13">
        <v>2.0</v>
      </c>
      <c r="M117" s="13">
        <v>13.0</v>
      </c>
      <c r="N117" s="13">
        <v>0.0</v>
      </c>
      <c r="O117" s="13">
        <v>0.0</v>
      </c>
      <c r="P117" s="6">
        <f t="shared" si="32"/>
        <v>108</v>
      </c>
    </row>
    <row r="118" ht="12.75" customHeight="1">
      <c r="A118" s="18"/>
      <c r="B118" s="51"/>
      <c r="C118" s="52" t="s">
        <v>101</v>
      </c>
      <c r="D118" s="53"/>
      <c r="E118" s="13">
        <v>0.0</v>
      </c>
      <c r="F118" s="13">
        <v>0.0</v>
      </c>
      <c r="G118" s="13">
        <v>0.0</v>
      </c>
      <c r="H118" s="13">
        <v>0.0</v>
      </c>
      <c r="I118" s="13">
        <v>0.0</v>
      </c>
      <c r="J118" s="13">
        <v>0.0</v>
      </c>
      <c r="K118" s="13">
        <v>0.0</v>
      </c>
      <c r="L118" s="13">
        <v>0.0</v>
      </c>
      <c r="M118" s="13">
        <v>0.0</v>
      </c>
      <c r="N118" s="13">
        <v>0.0</v>
      </c>
      <c r="O118" s="13">
        <v>1.0</v>
      </c>
      <c r="P118" s="6">
        <f t="shared" si="32"/>
        <v>1</v>
      </c>
    </row>
    <row r="119" ht="12.75" customHeight="1">
      <c r="A119" s="18"/>
      <c r="B119" s="51"/>
      <c r="C119" s="52" t="s">
        <v>102</v>
      </c>
      <c r="D119" s="53"/>
      <c r="E119" s="13">
        <v>0.0</v>
      </c>
      <c r="F119" s="13">
        <v>8.0</v>
      </c>
      <c r="G119" s="13">
        <v>0.0</v>
      </c>
      <c r="H119" s="13">
        <v>0.0</v>
      </c>
      <c r="I119" s="13">
        <v>23.0</v>
      </c>
      <c r="J119" s="13">
        <v>0.0</v>
      </c>
      <c r="K119" s="13">
        <v>0.0</v>
      </c>
      <c r="L119" s="13">
        <v>0.0</v>
      </c>
      <c r="M119" s="13">
        <v>0.0</v>
      </c>
      <c r="N119" s="13">
        <v>0.0</v>
      </c>
      <c r="O119" s="13">
        <v>0.0</v>
      </c>
      <c r="P119" s="6">
        <f t="shared" si="32"/>
        <v>31</v>
      </c>
    </row>
    <row r="120" ht="12.75" customHeight="1">
      <c r="A120" s="18"/>
      <c r="B120" s="51"/>
      <c r="C120" s="52" t="s">
        <v>103</v>
      </c>
      <c r="D120" s="53"/>
      <c r="E120" s="13">
        <v>2.0</v>
      </c>
      <c r="F120" s="13">
        <v>0.0</v>
      </c>
      <c r="G120" s="13">
        <v>1.0</v>
      </c>
      <c r="H120" s="13">
        <v>0.0</v>
      </c>
      <c r="I120" s="13">
        <v>0.0</v>
      </c>
      <c r="J120" s="13">
        <v>0.0</v>
      </c>
      <c r="K120" s="13">
        <v>0.0</v>
      </c>
      <c r="L120" s="13">
        <v>0.0</v>
      </c>
      <c r="M120" s="13">
        <v>0.0</v>
      </c>
      <c r="N120" s="13">
        <v>0.0</v>
      </c>
      <c r="O120" s="13">
        <v>0.0</v>
      </c>
      <c r="P120" s="6">
        <f t="shared" si="32"/>
        <v>3</v>
      </c>
    </row>
    <row r="121" ht="12.75" customHeight="1">
      <c r="A121" s="18"/>
      <c r="B121" s="51"/>
      <c r="C121" s="52" t="s">
        <v>104</v>
      </c>
      <c r="D121" s="53"/>
      <c r="E121" s="13">
        <v>0.0</v>
      </c>
      <c r="F121" s="13">
        <v>0.0</v>
      </c>
      <c r="G121" s="13">
        <v>0.0</v>
      </c>
      <c r="H121" s="13">
        <v>0.0</v>
      </c>
      <c r="I121" s="13">
        <v>1.0</v>
      </c>
      <c r="J121" s="13">
        <v>0.0</v>
      </c>
      <c r="K121" s="13">
        <v>0.0</v>
      </c>
      <c r="L121" s="13">
        <v>0.0</v>
      </c>
      <c r="M121" s="13">
        <v>0.0</v>
      </c>
      <c r="N121" s="13">
        <v>0.0</v>
      </c>
      <c r="O121" s="13">
        <v>0.0</v>
      </c>
      <c r="P121" s="6">
        <f t="shared" si="32"/>
        <v>1</v>
      </c>
    </row>
    <row r="122" ht="12.75" customHeight="1">
      <c r="A122" s="18"/>
      <c r="B122" s="51"/>
      <c r="C122" s="52" t="s">
        <v>105</v>
      </c>
      <c r="D122" s="53"/>
      <c r="E122" s="13">
        <v>1.0</v>
      </c>
      <c r="F122" s="13">
        <v>2.0</v>
      </c>
      <c r="G122" s="13">
        <v>0.0</v>
      </c>
      <c r="H122" s="13">
        <v>0.0</v>
      </c>
      <c r="I122" s="13">
        <v>4.0</v>
      </c>
      <c r="J122" s="13">
        <v>16.0</v>
      </c>
      <c r="K122" s="13">
        <v>0.0</v>
      </c>
      <c r="L122" s="13">
        <v>0.0</v>
      </c>
      <c r="M122" s="13">
        <v>0.0</v>
      </c>
      <c r="N122" s="13">
        <v>0.0</v>
      </c>
      <c r="O122" s="13">
        <v>0.0</v>
      </c>
      <c r="P122" s="6">
        <f t="shared" si="32"/>
        <v>23</v>
      </c>
    </row>
    <row r="123" ht="12.75" customHeight="1">
      <c r="A123" s="13" t="s">
        <v>15</v>
      </c>
      <c r="B123" s="49" t="s">
        <v>46</v>
      </c>
      <c r="C123" s="8"/>
      <c r="D123" s="9"/>
      <c r="E123" s="60">
        <f t="shared" ref="E123:O123" si="33">SUM(E116:E122)</f>
        <v>25</v>
      </c>
      <c r="F123" s="60">
        <f t="shared" si="33"/>
        <v>25</v>
      </c>
      <c r="G123" s="60">
        <f t="shared" si="33"/>
        <v>29</v>
      </c>
      <c r="H123" s="60">
        <f t="shared" si="33"/>
        <v>21</v>
      </c>
      <c r="I123" s="60">
        <f t="shared" si="33"/>
        <v>51</v>
      </c>
      <c r="J123" s="60">
        <f t="shared" si="33"/>
        <v>18</v>
      </c>
      <c r="K123" s="60">
        <f t="shared" si="33"/>
        <v>1</v>
      </c>
      <c r="L123" s="60">
        <f t="shared" si="33"/>
        <v>3</v>
      </c>
      <c r="M123" s="60">
        <f t="shared" si="33"/>
        <v>15</v>
      </c>
      <c r="N123" s="60">
        <f t="shared" si="33"/>
        <v>0</v>
      </c>
      <c r="O123" s="60">
        <f t="shared" si="33"/>
        <v>1</v>
      </c>
      <c r="P123" s="6">
        <f t="shared" si="32"/>
        <v>189</v>
      </c>
    </row>
    <row r="124" ht="12.75" customHeight="1">
      <c r="A124" s="54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6"/>
    </row>
    <row r="125" ht="12.75" customHeight="1">
      <c r="A125" s="32" t="s">
        <v>37</v>
      </c>
      <c r="B125" s="49" t="s">
        <v>106</v>
      </c>
      <c r="C125" s="50" t="s">
        <v>107</v>
      </c>
      <c r="D125" s="9"/>
      <c r="E125" s="13">
        <v>0.0</v>
      </c>
      <c r="F125" s="13">
        <v>1.0</v>
      </c>
      <c r="G125" s="13">
        <v>0.0</v>
      </c>
      <c r="H125" s="13">
        <v>0.0</v>
      </c>
      <c r="I125" s="13">
        <v>0.0</v>
      </c>
      <c r="J125" s="13">
        <v>0.0</v>
      </c>
      <c r="K125" s="13">
        <v>2.0</v>
      </c>
      <c r="L125" s="13">
        <v>0.0</v>
      </c>
      <c r="M125" s="13">
        <v>0.0</v>
      </c>
      <c r="N125" s="13">
        <v>1.0</v>
      </c>
      <c r="O125" s="13">
        <v>0.0</v>
      </c>
      <c r="P125" s="6">
        <f t="shared" ref="P125:P127" si="34">SUM(E125:O125)</f>
        <v>4</v>
      </c>
    </row>
    <row r="126" ht="12.75" customHeight="1">
      <c r="A126" s="32" t="s">
        <v>39</v>
      </c>
      <c r="B126" s="51"/>
      <c r="C126" s="52" t="s">
        <v>108</v>
      </c>
      <c r="D126" s="5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6">
        <f t="shared" si="34"/>
        <v>0</v>
      </c>
    </row>
    <row r="127" ht="12.75" customHeight="1">
      <c r="A127" s="13" t="s">
        <v>15</v>
      </c>
      <c r="B127" s="49" t="s">
        <v>46</v>
      </c>
      <c r="C127" s="8"/>
      <c r="D127" s="9"/>
      <c r="E127" s="60">
        <f t="shared" ref="E127:O127" si="35">SUM(E125:E126)</f>
        <v>0</v>
      </c>
      <c r="F127" s="60">
        <f t="shared" si="35"/>
        <v>1</v>
      </c>
      <c r="G127" s="60">
        <f t="shared" si="35"/>
        <v>0</v>
      </c>
      <c r="H127" s="60">
        <f t="shared" si="35"/>
        <v>0</v>
      </c>
      <c r="I127" s="60">
        <f t="shared" si="35"/>
        <v>0</v>
      </c>
      <c r="J127" s="60">
        <f t="shared" si="35"/>
        <v>0</v>
      </c>
      <c r="K127" s="60">
        <f t="shared" si="35"/>
        <v>2</v>
      </c>
      <c r="L127" s="60">
        <f t="shared" si="35"/>
        <v>0</v>
      </c>
      <c r="M127" s="60">
        <f t="shared" si="35"/>
        <v>0</v>
      </c>
      <c r="N127" s="60">
        <f t="shared" si="35"/>
        <v>1</v>
      </c>
      <c r="O127" s="60">
        <f t="shared" si="35"/>
        <v>0</v>
      </c>
      <c r="P127" s="6">
        <f t="shared" si="34"/>
        <v>4</v>
      </c>
    </row>
    <row r="128" ht="12.75" customHeight="1">
      <c r="A128" s="54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6"/>
    </row>
    <row r="129" ht="12.75" customHeight="1">
      <c r="A129" s="32" t="s">
        <v>37</v>
      </c>
      <c r="B129" s="49" t="s">
        <v>109</v>
      </c>
      <c r="C129" s="50" t="s">
        <v>110</v>
      </c>
      <c r="D129" s="9"/>
      <c r="E129" s="13">
        <v>1.0</v>
      </c>
      <c r="F129" s="13">
        <v>1.0</v>
      </c>
      <c r="G129" s="13">
        <v>0.0</v>
      </c>
      <c r="H129" s="13">
        <v>0.0</v>
      </c>
      <c r="I129" s="13">
        <v>0.0</v>
      </c>
      <c r="J129" s="13">
        <v>1.0</v>
      </c>
      <c r="K129" s="13">
        <v>0.0</v>
      </c>
      <c r="L129" s="13">
        <v>2.0</v>
      </c>
      <c r="M129" s="13">
        <v>0.0</v>
      </c>
      <c r="N129" s="13">
        <v>1.0</v>
      </c>
      <c r="O129" s="13">
        <v>1.0</v>
      </c>
      <c r="P129" s="6">
        <f t="shared" ref="P129:P136" si="36">SUM(E129:O129)</f>
        <v>7</v>
      </c>
    </row>
    <row r="130" ht="12.75" customHeight="1">
      <c r="A130" s="32" t="s">
        <v>39</v>
      </c>
      <c r="B130" s="51"/>
      <c r="C130" s="52" t="s">
        <v>111</v>
      </c>
      <c r="D130" s="53"/>
      <c r="E130" s="13">
        <v>1.0</v>
      </c>
      <c r="F130" s="13">
        <v>0.0</v>
      </c>
      <c r="G130" s="13">
        <v>2.0</v>
      </c>
      <c r="H130" s="13">
        <v>0.0</v>
      </c>
      <c r="I130" s="13">
        <v>1.0</v>
      </c>
      <c r="J130" s="13">
        <v>1.0</v>
      </c>
      <c r="K130" s="13">
        <v>0.0</v>
      </c>
      <c r="L130" s="13">
        <v>2.0</v>
      </c>
      <c r="M130" s="13">
        <v>1.0</v>
      </c>
      <c r="N130" s="13">
        <v>0.0</v>
      </c>
      <c r="O130" s="13">
        <v>9.0</v>
      </c>
      <c r="P130" s="6">
        <f t="shared" si="36"/>
        <v>17</v>
      </c>
    </row>
    <row r="131" ht="12.75" customHeight="1">
      <c r="A131" s="18"/>
      <c r="B131" s="51"/>
      <c r="C131" s="52" t="s">
        <v>112</v>
      </c>
      <c r="D131" s="53"/>
      <c r="E131" s="13">
        <v>0.0</v>
      </c>
      <c r="F131" s="13">
        <v>2.0</v>
      </c>
      <c r="G131" s="13">
        <v>3.0</v>
      </c>
      <c r="H131" s="13">
        <v>0.0</v>
      </c>
      <c r="I131" s="13">
        <v>0.0</v>
      </c>
      <c r="J131" s="13">
        <v>0.0</v>
      </c>
      <c r="K131" s="13">
        <v>0.0</v>
      </c>
      <c r="L131" s="13">
        <v>1.0</v>
      </c>
      <c r="M131" s="13">
        <v>0.0</v>
      </c>
      <c r="N131" s="13">
        <v>0.0</v>
      </c>
      <c r="O131" s="13">
        <v>0.0</v>
      </c>
      <c r="P131" s="6">
        <f t="shared" si="36"/>
        <v>6</v>
      </c>
    </row>
    <row r="132" ht="12.75" customHeight="1">
      <c r="A132" s="18"/>
      <c r="B132" s="51"/>
      <c r="C132" s="52" t="s">
        <v>113</v>
      </c>
      <c r="D132" s="53"/>
      <c r="E132" s="13">
        <v>0.0</v>
      </c>
      <c r="F132" s="13">
        <v>0.0</v>
      </c>
      <c r="G132" s="13">
        <v>0.0</v>
      </c>
      <c r="H132" s="13">
        <v>0.0</v>
      </c>
      <c r="I132" s="13">
        <v>0.0</v>
      </c>
      <c r="J132" s="13">
        <v>1.0</v>
      </c>
      <c r="K132" s="13">
        <v>0.0</v>
      </c>
      <c r="L132" s="13">
        <v>0.0</v>
      </c>
      <c r="M132" s="13">
        <v>0.0</v>
      </c>
      <c r="N132" s="13">
        <v>0.0</v>
      </c>
      <c r="O132" s="13">
        <v>0.0</v>
      </c>
      <c r="P132" s="6">
        <f t="shared" si="36"/>
        <v>1</v>
      </c>
    </row>
    <row r="133" ht="12.75" customHeight="1">
      <c r="A133" s="18"/>
      <c r="B133" s="51"/>
      <c r="C133" s="52" t="s">
        <v>114</v>
      </c>
      <c r="D133" s="53"/>
      <c r="E133" s="13">
        <v>2.0</v>
      </c>
      <c r="F133" s="13">
        <v>0.0</v>
      </c>
      <c r="G133" s="13">
        <v>0.0</v>
      </c>
      <c r="H133" s="13">
        <v>0.0</v>
      </c>
      <c r="I133" s="13">
        <v>0.0</v>
      </c>
      <c r="J133" s="13">
        <v>0.0</v>
      </c>
      <c r="K133" s="13">
        <v>0.0</v>
      </c>
      <c r="L133" s="13">
        <v>0.0</v>
      </c>
      <c r="M133" s="13">
        <v>0.0</v>
      </c>
      <c r="N133" s="13">
        <v>0.0</v>
      </c>
      <c r="O133" s="13">
        <v>0.0</v>
      </c>
      <c r="P133" s="6">
        <f t="shared" si="36"/>
        <v>2</v>
      </c>
    </row>
    <row r="134" ht="12.75" customHeight="1">
      <c r="A134" s="18"/>
      <c r="B134" s="51"/>
      <c r="C134" s="52" t="s">
        <v>115</v>
      </c>
      <c r="D134" s="53"/>
      <c r="E134" s="13">
        <v>0.0</v>
      </c>
      <c r="F134" s="13">
        <v>0.0</v>
      </c>
      <c r="G134" s="13">
        <v>0.0</v>
      </c>
      <c r="H134" s="13">
        <v>0.0</v>
      </c>
      <c r="I134" s="13">
        <v>0.0</v>
      </c>
      <c r="J134" s="13">
        <v>0.0</v>
      </c>
      <c r="K134" s="13">
        <v>0.0</v>
      </c>
      <c r="L134" s="13">
        <v>0.0</v>
      </c>
      <c r="M134" s="13">
        <v>0.0</v>
      </c>
      <c r="N134" s="13">
        <v>0.0</v>
      </c>
      <c r="O134" s="13">
        <v>0.0</v>
      </c>
      <c r="P134" s="6">
        <f t="shared" si="36"/>
        <v>0</v>
      </c>
    </row>
    <row r="135" ht="12.75" customHeight="1">
      <c r="A135" s="18"/>
      <c r="B135" s="51"/>
      <c r="C135" s="52" t="s">
        <v>116</v>
      </c>
      <c r="D135" s="53"/>
      <c r="E135" s="13">
        <v>0.0</v>
      </c>
      <c r="F135" s="13">
        <v>0.0</v>
      </c>
      <c r="G135" s="13">
        <v>0.0</v>
      </c>
      <c r="H135" s="13">
        <v>0.0</v>
      </c>
      <c r="I135" s="13">
        <v>0.0</v>
      </c>
      <c r="J135" s="13">
        <v>0.0</v>
      </c>
      <c r="K135" s="13">
        <v>0.0</v>
      </c>
      <c r="L135" s="13">
        <v>0.0</v>
      </c>
      <c r="M135" s="13">
        <v>0.0</v>
      </c>
      <c r="N135" s="13">
        <v>0.0</v>
      </c>
      <c r="O135" s="13">
        <v>0.0</v>
      </c>
      <c r="P135" s="6">
        <f t="shared" si="36"/>
        <v>0</v>
      </c>
    </row>
    <row r="136" ht="12.75" customHeight="1">
      <c r="A136" s="13" t="s">
        <v>15</v>
      </c>
      <c r="B136" s="49" t="s">
        <v>46</v>
      </c>
      <c r="C136" s="8"/>
      <c r="D136" s="9"/>
      <c r="E136" s="60">
        <f t="shared" ref="E136:O136" si="37">SUM(E129:E135)</f>
        <v>4</v>
      </c>
      <c r="F136" s="60">
        <f t="shared" si="37"/>
        <v>3</v>
      </c>
      <c r="G136" s="60">
        <f t="shared" si="37"/>
        <v>5</v>
      </c>
      <c r="H136" s="60">
        <f t="shared" si="37"/>
        <v>0</v>
      </c>
      <c r="I136" s="60">
        <f t="shared" si="37"/>
        <v>1</v>
      </c>
      <c r="J136" s="60">
        <f t="shared" si="37"/>
        <v>3</v>
      </c>
      <c r="K136" s="60">
        <f t="shared" si="37"/>
        <v>0</v>
      </c>
      <c r="L136" s="60">
        <f t="shared" si="37"/>
        <v>5</v>
      </c>
      <c r="M136" s="60">
        <f t="shared" si="37"/>
        <v>1</v>
      </c>
      <c r="N136" s="60">
        <f t="shared" si="37"/>
        <v>1</v>
      </c>
      <c r="O136" s="60">
        <f t="shared" si="37"/>
        <v>10</v>
      </c>
      <c r="P136" s="6">
        <f t="shared" si="36"/>
        <v>33</v>
      </c>
    </row>
    <row r="137" ht="12.75" customHeight="1">
      <c r="A137" s="54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6"/>
    </row>
    <row r="138" ht="12.75" customHeight="1">
      <c r="A138" s="32" t="s">
        <v>37</v>
      </c>
      <c r="B138" s="49" t="s">
        <v>117</v>
      </c>
      <c r="C138" s="50" t="s">
        <v>118</v>
      </c>
      <c r="D138" s="9"/>
      <c r="E138" s="13">
        <v>0.0</v>
      </c>
      <c r="F138" s="13">
        <v>1.0</v>
      </c>
      <c r="G138" s="13">
        <v>0.0</v>
      </c>
      <c r="H138" s="13">
        <v>0.0</v>
      </c>
      <c r="I138" s="13">
        <v>0.0</v>
      </c>
      <c r="J138" s="13">
        <v>0.0</v>
      </c>
      <c r="K138" s="13">
        <v>1.0</v>
      </c>
      <c r="L138" s="13">
        <v>0.0</v>
      </c>
      <c r="M138" s="13">
        <v>0.0</v>
      </c>
      <c r="N138" s="13">
        <v>0.0</v>
      </c>
      <c r="O138" s="13">
        <v>0.0</v>
      </c>
      <c r="P138" s="6">
        <f t="shared" ref="P138:P145" si="38">SUM(E138:O138)</f>
        <v>2</v>
      </c>
    </row>
    <row r="139" ht="12.75" customHeight="1">
      <c r="A139" s="32" t="s">
        <v>39</v>
      </c>
      <c r="B139" s="51"/>
      <c r="C139" s="52" t="s">
        <v>119</v>
      </c>
      <c r="D139" s="53"/>
      <c r="E139" s="13">
        <v>0.0</v>
      </c>
      <c r="F139" s="13">
        <v>0.0</v>
      </c>
      <c r="G139" s="13">
        <v>0.0</v>
      </c>
      <c r="H139" s="13">
        <v>0.0</v>
      </c>
      <c r="I139" s="13">
        <v>0.0</v>
      </c>
      <c r="J139" s="13">
        <v>0.0</v>
      </c>
      <c r="K139" s="13">
        <v>0.0</v>
      </c>
      <c r="L139" s="13">
        <v>0.0</v>
      </c>
      <c r="M139" s="13">
        <v>1.0</v>
      </c>
      <c r="N139" s="13">
        <v>0.0</v>
      </c>
      <c r="O139" s="13">
        <v>0.0</v>
      </c>
      <c r="P139" s="6">
        <f t="shared" si="38"/>
        <v>1</v>
      </c>
    </row>
    <row r="140" ht="12.75" customHeight="1">
      <c r="A140" s="18"/>
      <c r="B140" s="51"/>
      <c r="C140" s="52" t="s">
        <v>120</v>
      </c>
      <c r="D140" s="53"/>
      <c r="E140" s="13">
        <v>0.0</v>
      </c>
      <c r="F140" s="13">
        <v>0.0</v>
      </c>
      <c r="G140" s="13">
        <v>1.0</v>
      </c>
      <c r="H140" s="13">
        <v>0.0</v>
      </c>
      <c r="I140" s="13">
        <v>0.0</v>
      </c>
      <c r="J140" s="13">
        <v>0.0</v>
      </c>
      <c r="K140" s="13">
        <v>0.0</v>
      </c>
      <c r="L140" s="13">
        <v>0.0</v>
      </c>
      <c r="M140" s="13">
        <v>0.0</v>
      </c>
      <c r="N140" s="13">
        <v>0.0</v>
      </c>
      <c r="O140" s="13">
        <v>0.0</v>
      </c>
      <c r="P140" s="6">
        <f t="shared" si="38"/>
        <v>1</v>
      </c>
    </row>
    <row r="141" ht="12.75" customHeight="1">
      <c r="A141" s="18"/>
      <c r="B141" s="51"/>
      <c r="C141" s="52" t="s">
        <v>121</v>
      </c>
      <c r="D141" s="53"/>
      <c r="E141" s="13">
        <v>0.0</v>
      </c>
      <c r="F141" s="13">
        <v>0.0</v>
      </c>
      <c r="G141" s="13">
        <v>0.0</v>
      </c>
      <c r="H141" s="13">
        <v>0.0</v>
      </c>
      <c r="I141" s="13">
        <v>0.0</v>
      </c>
      <c r="J141" s="13">
        <v>0.0</v>
      </c>
      <c r="K141" s="13">
        <v>0.0</v>
      </c>
      <c r="L141" s="13">
        <v>0.0</v>
      </c>
      <c r="M141" s="13">
        <v>0.0</v>
      </c>
      <c r="N141" s="13">
        <v>0.0</v>
      </c>
      <c r="O141" s="13">
        <v>0.0</v>
      </c>
      <c r="P141" s="6">
        <f t="shared" si="38"/>
        <v>0</v>
      </c>
    </row>
    <row r="142" ht="12.75" customHeight="1">
      <c r="A142" s="18"/>
      <c r="B142" s="51"/>
      <c r="C142" s="52" t="s">
        <v>122</v>
      </c>
      <c r="D142" s="53"/>
      <c r="E142" s="13">
        <v>0.0</v>
      </c>
      <c r="F142" s="13">
        <v>0.0</v>
      </c>
      <c r="G142" s="13">
        <v>0.0</v>
      </c>
      <c r="H142" s="13">
        <v>0.0</v>
      </c>
      <c r="I142" s="13">
        <v>0.0</v>
      </c>
      <c r="J142" s="13">
        <v>0.0</v>
      </c>
      <c r="K142" s="13">
        <v>0.0</v>
      </c>
      <c r="L142" s="13">
        <v>0.0</v>
      </c>
      <c r="M142" s="13">
        <v>0.0</v>
      </c>
      <c r="N142" s="13">
        <v>0.0</v>
      </c>
      <c r="O142" s="13">
        <v>0.0</v>
      </c>
      <c r="P142" s="6">
        <f t="shared" si="38"/>
        <v>0</v>
      </c>
    </row>
    <row r="143" ht="12.75" customHeight="1">
      <c r="A143" s="18"/>
      <c r="B143" s="51"/>
      <c r="C143" s="52" t="s">
        <v>123</v>
      </c>
      <c r="D143" s="53"/>
      <c r="E143" s="13">
        <v>0.0</v>
      </c>
      <c r="F143" s="13">
        <v>0.0</v>
      </c>
      <c r="G143" s="13">
        <v>0.0</v>
      </c>
      <c r="H143" s="13">
        <v>0.0</v>
      </c>
      <c r="I143" s="13">
        <v>0.0</v>
      </c>
      <c r="J143" s="13">
        <v>0.0</v>
      </c>
      <c r="K143" s="13">
        <v>1.0</v>
      </c>
      <c r="L143" s="13">
        <v>0.0</v>
      </c>
      <c r="M143" s="13">
        <v>1.0</v>
      </c>
      <c r="N143" s="13">
        <v>0.0</v>
      </c>
      <c r="O143" s="13">
        <v>0.0</v>
      </c>
      <c r="P143" s="6">
        <f t="shared" si="38"/>
        <v>2</v>
      </c>
    </row>
    <row r="144" ht="12.75" customHeight="1">
      <c r="A144" s="18"/>
      <c r="B144" s="51"/>
      <c r="C144" s="52" t="s">
        <v>124</v>
      </c>
      <c r="D144" s="53"/>
      <c r="E144" s="13">
        <v>0.0</v>
      </c>
      <c r="F144" s="13">
        <v>0.0</v>
      </c>
      <c r="G144" s="13">
        <v>0.0</v>
      </c>
      <c r="H144" s="13">
        <v>4.0</v>
      </c>
      <c r="I144" s="13">
        <v>0.0</v>
      </c>
      <c r="J144" s="13">
        <v>0.0</v>
      </c>
      <c r="K144" s="13">
        <v>0.0</v>
      </c>
      <c r="L144" s="13">
        <v>0.0</v>
      </c>
      <c r="M144" s="13">
        <v>1.0</v>
      </c>
      <c r="N144" s="13">
        <v>0.0</v>
      </c>
      <c r="O144" s="13">
        <v>0.0</v>
      </c>
      <c r="P144" s="6">
        <f t="shared" si="38"/>
        <v>5</v>
      </c>
    </row>
    <row r="145" ht="12.75" customHeight="1">
      <c r="A145" s="13" t="s">
        <v>15</v>
      </c>
      <c r="B145" s="49" t="s">
        <v>46</v>
      </c>
      <c r="C145" s="8"/>
      <c r="D145" s="9"/>
      <c r="E145" s="60">
        <f t="shared" ref="E145:O145" si="39">SUM(E138:E144)</f>
        <v>0</v>
      </c>
      <c r="F145" s="60">
        <f t="shared" si="39"/>
        <v>1</v>
      </c>
      <c r="G145" s="60">
        <f t="shared" si="39"/>
        <v>1</v>
      </c>
      <c r="H145" s="60">
        <f t="shared" si="39"/>
        <v>4</v>
      </c>
      <c r="I145" s="60">
        <f t="shared" si="39"/>
        <v>0</v>
      </c>
      <c r="J145" s="60">
        <f t="shared" si="39"/>
        <v>0</v>
      </c>
      <c r="K145" s="60">
        <f t="shared" si="39"/>
        <v>2</v>
      </c>
      <c r="L145" s="60">
        <f t="shared" si="39"/>
        <v>0</v>
      </c>
      <c r="M145" s="60">
        <f t="shared" si="39"/>
        <v>3</v>
      </c>
      <c r="N145" s="60">
        <f t="shared" si="39"/>
        <v>0</v>
      </c>
      <c r="O145" s="60">
        <f t="shared" si="39"/>
        <v>0</v>
      </c>
      <c r="P145" s="6">
        <f t="shared" si="38"/>
        <v>11</v>
      </c>
    </row>
    <row r="146" ht="12.75" customHeight="1">
      <c r="A146" s="54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6"/>
    </row>
    <row r="147" ht="12.75" customHeight="1">
      <c r="A147" s="32" t="s">
        <v>37</v>
      </c>
      <c r="B147" s="49" t="s">
        <v>125</v>
      </c>
      <c r="C147" s="50" t="s">
        <v>126</v>
      </c>
      <c r="D147" s="9"/>
      <c r="E147" s="13">
        <v>2.0</v>
      </c>
      <c r="F147" s="13">
        <v>4.0</v>
      </c>
      <c r="G147" s="13">
        <v>1.0</v>
      </c>
      <c r="H147" s="13">
        <v>3.0</v>
      </c>
      <c r="I147" s="13">
        <v>1.0</v>
      </c>
      <c r="J147" s="13">
        <v>2.0</v>
      </c>
      <c r="K147" s="13">
        <v>4.0</v>
      </c>
      <c r="L147" s="13">
        <v>1.0</v>
      </c>
      <c r="M147" s="13">
        <v>2.0</v>
      </c>
      <c r="N147" s="13">
        <v>2.0</v>
      </c>
      <c r="O147" s="13">
        <v>3.0</v>
      </c>
      <c r="P147" s="6">
        <f t="shared" ref="P147:P154" si="40">SUM(E147:O147)</f>
        <v>25</v>
      </c>
    </row>
    <row r="148" ht="12.75" customHeight="1">
      <c r="A148" s="32" t="s">
        <v>39</v>
      </c>
      <c r="B148" s="51"/>
      <c r="C148" s="52" t="s">
        <v>127</v>
      </c>
      <c r="D148" s="53"/>
      <c r="E148" s="13">
        <v>1.0</v>
      </c>
      <c r="F148" s="13">
        <v>3.0</v>
      </c>
      <c r="G148" s="13">
        <v>3.0</v>
      </c>
      <c r="H148" s="13">
        <v>1.0</v>
      </c>
      <c r="I148" s="13">
        <v>1.0</v>
      </c>
      <c r="J148" s="13">
        <v>1.0</v>
      </c>
      <c r="K148" s="13">
        <v>3.0</v>
      </c>
      <c r="L148" s="13">
        <v>2.0</v>
      </c>
      <c r="M148" s="13">
        <v>2.0</v>
      </c>
      <c r="N148" s="13">
        <v>2.0</v>
      </c>
      <c r="O148" s="13">
        <v>0.0</v>
      </c>
      <c r="P148" s="6">
        <f t="shared" si="40"/>
        <v>19</v>
      </c>
    </row>
    <row r="149" ht="12.75" customHeight="1">
      <c r="A149" s="18"/>
      <c r="B149" s="51"/>
      <c r="C149" s="52" t="s">
        <v>128</v>
      </c>
      <c r="D149" s="53"/>
      <c r="E149" s="13">
        <v>3.0</v>
      </c>
      <c r="F149" s="72">
        <v>11.0</v>
      </c>
      <c r="G149" s="13">
        <v>22.0</v>
      </c>
      <c r="H149" s="13">
        <v>4.0</v>
      </c>
      <c r="I149" s="13">
        <v>0.0</v>
      </c>
      <c r="J149" s="13">
        <v>8.0</v>
      </c>
      <c r="K149" s="13">
        <v>4.0</v>
      </c>
      <c r="L149" s="13">
        <v>0.0</v>
      </c>
      <c r="M149" s="13">
        <v>0.0</v>
      </c>
      <c r="N149" s="13">
        <v>0.0</v>
      </c>
      <c r="O149" s="13">
        <v>0.0</v>
      </c>
      <c r="P149" s="6">
        <f t="shared" si="40"/>
        <v>52</v>
      </c>
    </row>
    <row r="150" ht="12.75" customHeight="1">
      <c r="A150" s="18"/>
      <c r="B150" s="51"/>
      <c r="C150" s="52" t="s">
        <v>129</v>
      </c>
      <c r="D150" s="53"/>
      <c r="E150" s="13">
        <v>3.0</v>
      </c>
      <c r="F150" s="13">
        <v>6.0</v>
      </c>
      <c r="G150" s="13">
        <v>4.0</v>
      </c>
      <c r="H150" s="13">
        <v>4.0</v>
      </c>
      <c r="I150" s="13">
        <v>2.0</v>
      </c>
      <c r="J150" s="13">
        <v>11.0</v>
      </c>
      <c r="K150" s="13">
        <v>33.0</v>
      </c>
      <c r="L150" s="13">
        <v>30.0</v>
      </c>
      <c r="M150" s="13">
        <v>28.0</v>
      </c>
      <c r="N150" s="13">
        <v>45.0</v>
      </c>
      <c r="O150" s="13">
        <v>17.0</v>
      </c>
      <c r="P150" s="6">
        <f t="shared" si="40"/>
        <v>183</v>
      </c>
    </row>
    <row r="151" ht="12.75" customHeight="1">
      <c r="A151" s="18"/>
      <c r="B151" s="51"/>
      <c r="C151" s="52" t="s">
        <v>130</v>
      </c>
      <c r="D151" s="53"/>
      <c r="E151" s="13">
        <v>0.0</v>
      </c>
      <c r="F151" s="13">
        <v>1.0</v>
      </c>
      <c r="G151" s="13">
        <v>0.0</v>
      </c>
      <c r="H151" s="13">
        <v>0.0</v>
      </c>
      <c r="I151" s="13">
        <v>1.0</v>
      </c>
      <c r="J151" s="13">
        <v>0.0</v>
      </c>
      <c r="K151" s="13">
        <v>0.0</v>
      </c>
      <c r="L151" s="13">
        <v>0.0</v>
      </c>
      <c r="M151" s="13">
        <v>1.0</v>
      </c>
      <c r="N151" s="13">
        <v>1.0</v>
      </c>
      <c r="O151" s="13">
        <v>0.0</v>
      </c>
      <c r="P151" s="6">
        <f t="shared" si="40"/>
        <v>4</v>
      </c>
    </row>
    <row r="152" ht="12.75" customHeight="1">
      <c r="A152" s="18"/>
      <c r="B152" s="51"/>
      <c r="C152" s="52" t="s">
        <v>131</v>
      </c>
      <c r="D152" s="53"/>
      <c r="E152" s="13">
        <v>0.0</v>
      </c>
      <c r="F152" s="13">
        <v>0.0</v>
      </c>
      <c r="G152" s="13">
        <v>1.0</v>
      </c>
      <c r="H152" s="13">
        <v>0.0</v>
      </c>
      <c r="I152" s="13">
        <v>1.0</v>
      </c>
      <c r="J152" s="13">
        <v>0.0</v>
      </c>
      <c r="K152" s="13">
        <v>1.0</v>
      </c>
      <c r="L152" s="13">
        <v>0.0</v>
      </c>
      <c r="M152" s="13">
        <v>0.0</v>
      </c>
      <c r="N152" s="13">
        <v>0.0</v>
      </c>
      <c r="O152" s="13">
        <v>0.0</v>
      </c>
      <c r="P152" s="6">
        <f t="shared" si="40"/>
        <v>3</v>
      </c>
    </row>
    <row r="153" ht="12.75" customHeight="1">
      <c r="A153" s="18"/>
      <c r="B153" s="51"/>
      <c r="C153" s="52" t="s">
        <v>132</v>
      </c>
      <c r="D153" s="53"/>
      <c r="E153" s="13">
        <v>0.0</v>
      </c>
      <c r="F153" s="13">
        <v>1.0</v>
      </c>
      <c r="G153" s="13">
        <v>3.0</v>
      </c>
      <c r="H153" s="13">
        <v>0.0</v>
      </c>
      <c r="I153" s="13">
        <v>0.0</v>
      </c>
      <c r="J153" s="13">
        <v>0.0</v>
      </c>
      <c r="K153" s="13">
        <v>1.0</v>
      </c>
      <c r="L153" s="13">
        <v>0.0</v>
      </c>
      <c r="M153" s="13">
        <v>0.0</v>
      </c>
      <c r="N153" s="13">
        <v>0.0</v>
      </c>
      <c r="O153" s="13">
        <v>0.0</v>
      </c>
      <c r="P153" s="6">
        <f t="shared" si="40"/>
        <v>5</v>
      </c>
    </row>
    <row r="154" ht="12.75" customHeight="1">
      <c r="A154" s="13" t="s">
        <v>15</v>
      </c>
      <c r="B154" s="49" t="s">
        <v>46</v>
      </c>
      <c r="C154" s="8"/>
      <c r="D154" s="9"/>
      <c r="E154" s="60">
        <f t="shared" ref="E154:O154" si="41">SUM(E147:E153)</f>
        <v>9</v>
      </c>
      <c r="F154" s="60">
        <f t="shared" si="41"/>
        <v>26</v>
      </c>
      <c r="G154" s="60">
        <f t="shared" si="41"/>
        <v>34</v>
      </c>
      <c r="H154" s="60">
        <f t="shared" si="41"/>
        <v>12</v>
      </c>
      <c r="I154" s="60">
        <f t="shared" si="41"/>
        <v>6</v>
      </c>
      <c r="J154" s="60">
        <f t="shared" si="41"/>
        <v>22</v>
      </c>
      <c r="K154" s="60">
        <f t="shared" si="41"/>
        <v>46</v>
      </c>
      <c r="L154" s="60">
        <f t="shared" si="41"/>
        <v>33</v>
      </c>
      <c r="M154" s="60">
        <f t="shared" si="41"/>
        <v>33</v>
      </c>
      <c r="N154" s="60">
        <f t="shared" si="41"/>
        <v>50</v>
      </c>
      <c r="O154" s="60">
        <f t="shared" si="41"/>
        <v>20</v>
      </c>
      <c r="P154" s="6">
        <f t="shared" si="40"/>
        <v>291</v>
      </c>
    </row>
    <row r="155" ht="12.75" customHeight="1">
      <c r="A155" s="54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6"/>
    </row>
    <row r="156" ht="12.75" customHeight="1">
      <c r="A156" s="32" t="s">
        <v>37</v>
      </c>
      <c r="B156" s="49" t="s">
        <v>133</v>
      </c>
      <c r="C156" s="50" t="s">
        <v>134</v>
      </c>
      <c r="D156" s="9"/>
      <c r="E156" s="13">
        <v>3.0</v>
      </c>
      <c r="F156" s="13">
        <v>1.0</v>
      </c>
      <c r="G156" s="13">
        <v>0.0</v>
      </c>
      <c r="H156" s="13">
        <v>0.0</v>
      </c>
      <c r="I156" s="13">
        <v>3.0</v>
      </c>
      <c r="J156" s="13">
        <v>0.0</v>
      </c>
      <c r="K156" s="13">
        <v>1.0</v>
      </c>
      <c r="L156" s="13">
        <v>0.0</v>
      </c>
      <c r="M156" s="13">
        <v>0.0</v>
      </c>
      <c r="N156" s="13">
        <v>0.0</v>
      </c>
      <c r="O156" s="13">
        <v>0.0</v>
      </c>
      <c r="P156" s="6">
        <f t="shared" ref="P156:P162" si="42">SUM(E156:O156)</f>
        <v>8</v>
      </c>
    </row>
    <row r="157" ht="12.75" customHeight="1">
      <c r="A157" s="32"/>
      <c r="B157" s="49"/>
      <c r="C157" s="52" t="s">
        <v>135</v>
      </c>
      <c r="D157" s="61"/>
      <c r="E157" s="13">
        <v>1.0</v>
      </c>
      <c r="F157" s="13">
        <v>0.0</v>
      </c>
      <c r="G157" s="13">
        <v>0.0</v>
      </c>
      <c r="H157" s="13">
        <v>0.0</v>
      </c>
      <c r="I157" s="13">
        <v>0.0</v>
      </c>
      <c r="J157" s="13">
        <v>0.0</v>
      </c>
      <c r="K157" s="13">
        <v>0.0</v>
      </c>
      <c r="L157" s="13">
        <v>0.0</v>
      </c>
      <c r="M157" s="13">
        <v>0.0</v>
      </c>
      <c r="N157" s="13">
        <v>0.0</v>
      </c>
      <c r="O157" s="13">
        <v>0.0</v>
      </c>
      <c r="P157" s="6">
        <f t="shared" si="42"/>
        <v>1</v>
      </c>
    </row>
    <row r="158" ht="12.75" customHeight="1">
      <c r="A158" s="32"/>
      <c r="B158" s="49"/>
      <c r="C158" s="52" t="s">
        <v>136</v>
      </c>
      <c r="D158" s="61"/>
      <c r="E158" s="13">
        <v>0.0</v>
      </c>
      <c r="F158" s="13">
        <v>0.0</v>
      </c>
      <c r="G158" s="13">
        <v>0.0</v>
      </c>
      <c r="H158" s="13">
        <v>0.0</v>
      </c>
      <c r="I158" s="13">
        <v>0.0</v>
      </c>
      <c r="J158" s="13">
        <v>0.0</v>
      </c>
      <c r="K158" s="13">
        <v>0.0</v>
      </c>
      <c r="L158" s="13">
        <v>0.0</v>
      </c>
      <c r="M158" s="13">
        <v>0.0</v>
      </c>
      <c r="N158" s="13">
        <v>0.0</v>
      </c>
      <c r="O158" s="13">
        <v>0.0</v>
      </c>
      <c r="P158" s="6">
        <f t="shared" si="42"/>
        <v>0</v>
      </c>
    </row>
    <row r="159" ht="12.75" customHeight="1">
      <c r="A159" s="32"/>
      <c r="B159" s="49"/>
      <c r="C159" s="52" t="s">
        <v>137</v>
      </c>
      <c r="D159" s="61"/>
      <c r="E159" s="13">
        <v>0.0</v>
      </c>
      <c r="F159" s="13">
        <v>0.0</v>
      </c>
      <c r="G159" s="13">
        <v>0.0</v>
      </c>
      <c r="H159" s="13">
        <v>0.0</v>
      </c>
      <c r="I159" s="13">
        <v>0.0</v>
      </c>
      <c r="J159" s="13">
        <v>0.0</v>
      </c>
      <c r="K159" s="13">
        <v>0.0</v>
      </c>
      <c r="L159" s="13">
        <v>0.0</v>
      </c>
      <c r="M159" s="13">
        <v>0.0</v>
      </c>
      <c r="N159" s="13">
        <v>0.0</v>
      </c>
      <c r="O159" s="13">
        <v>0.0</v>
      </c>
      <c r="P159" s="6">
        <f t="shared" si="42"/>
        <v>0</v>
      </c>
    </row>
    <row r="160" ht="12.75" customHeight="1">
      <c r="A160" s="32" t="s">
        <v>39</v>
      </c>
      <c r="B160" s="51"/>
      <c r="C160" s="52" t="s">
        <v>138</v>
      </c>
      <c r="D160" s="53"/>
      <c r="E160" s="13">
        <v>0.0</v>
      </c>
      <c r="F160" s="13">
        <v>0.0</v>
      </c>
      <c r="G160" s="13">
        <v>0.0</v>
      </c>
      <c r="H160" s="13">
        <v>0.0</v>
      </c>
      <c r="I160" s="13">
        <v>0.0</v>
      </c>
      <c r="J160" s="13">
        <v>0.0</v>
      </c>
      <c r="K160" s="13">
        <v>0.0</v>
      </c>
      <c r="L160" s="13">
        <v>0.0</v>
      </c>
      <c r="M160" s="13">
        <v>0.0</v>
      </c>
      <c r="N160" s="13">
        <v>0.0</v>
      </c>
      <c r="O160" s="13">
        <v>0.0</v>
      </c>
      <c r="P160" s="6">
        <f t="shared" si="42"/>
        <v>0</v>
      </c>
    </row>
    <row r="161" ht="12.75" customHeight="1">
      <c r="A161" s="32"/>
      <c r="B161" s="51"/>
      <c r="C161" s="52" t="s">
        <v>139</v>
      </c>
      <c r="D161" s="53"/>
      <c r="E161" s="13">
        <v>0.0</v>
      </c>
      <c r="F161" s="13">
        <v>0.0</v>
      </c>
      <c r="G161" s="13">
        <v>0.0</v>
      </c>
      <c r="H161" s="13">
        <v>0.0</v>
      </c>
      <c r="I161" s="13">
        <v>0.0</v>
      </c>
      <c r="J161" s="13">
        <v>0.0</v>
      </c>
      <c r="K161" s="13">
        <v>0.0</v>
      </c>
      <c r="L161" s="13">
        <v>0.0</v>
      </c>
      <c r="M161" s="13">
        <v>0.0</v>
      </c>
      <c r="N161" s="13">
        <v>0.0</v>
      </c>
      <c r="O161" s="13">
        <v>0.0</v>
      </c>
      <c r="P161" s="6">
        <f t="shared" si="42"/>
        <v>0</v>
      </c>
    </row>
    <row r="162" ht="12.75" customHeight="1">
      <c r="A162" s="13" t="s">
        <v>15</v>
      </c>
      <c r="B162" s="49" t="s">
        <v>46</v>
      </c>
      <c r="C162" s="8"/>
      <c r="D162" s="9"/>
      <c r="E162" s="60">
        <f t="shared" ref="E162:O162" si="43">SUM(E156:E161)</f>
        <v>4</v>
      </c>
      <c r="F162" s="60">
        <f t="shared" si="43"/>
        <v>1</v>
      </c>
      <c r="G162" s="60">
        <f t="shared" si="43"/>
        <v>0</v>
      </c>
      <c r="H162" s="60">
        <f t="shared" si="43"/>
        <v>0</v>
      </c>
      <c r="I162" s="60">
        <f t="shared" si="43"/>
        <v>3</v>
      </c>
      <c r="J162" s="60">
        <f t="shared" si="43"/>
        <v>0</v>
      </c>
      <c r="K162" s="60">
        <f t="shared" si="43"/>
        <v>1</v>
      </c>
      <c r="L162" s="60">
        <f t="shared" si="43"/>
        <v>0</v>
      </c>
      <c r="M162" s="60">
        <f t="shared" si="43"/>
        <v>0</v>
      </c>
      <c r="N162" s="60">
        <f t="shared" si="43"/>
        <v>0</v>
      </c>
      <c r="O162" s="60">
        <f t="shared" si="43"/>
        <v>0</v>
      </c>
      <c r="P162" s="6">
        <f t="shared" si="42"/>
        <v>9</v>
      </c>
    </row>
    <row r="163" ht="12.75" customHeight="1">
      <c r="A163" s="54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6"/>
    </row>
    <row r="164" ht="12.75" customHeight="1">
      <c r="A164" s="32" t="s">
        <v>37</v>
      </c>
      <c r="B164" s="49" t="s">
        <v>140</v>
      </c>
      <c r="C164" s="50" t="s">
        <v>141</v>
      </c>
      <c r="D164" s="9"/>
      <c r="E164" s="13">
        <v>0.0</v>
      </c>
      <c r="F164" s="13">
        <v>0.0</v>
      </c>
      <c r="G164" s="13">
        <v>0.0</v>
      </c>
      <c r="H164" s="13">
        <v>1.0</v>
      </c>
      <c r="I164" s="13">
        <v>0.0</v>
      </c>
      <c r="J164" s="13">
        <v>0.0</v>
      </c>
      <c r="K164" s="13">
        <v>0.0</v>
      </c>
      <c r="L164" s="13">
        <v>0.0</v>
      </c>
      <c r="M164" s="13">
        <v>0.0</v>
      </c>
      <c r="N164" s="13">
        <v>0.0</v>
      </c>
      <c r="O164" s="13">
        <v>0.0</v>
      </c>
      <c r="P164" s="6">
        <f t="shared" ref="P164:P171" si="44">SUM(E164:O164)</f>
        <v>1</v>
      </c>
    </row>
    <row r="165" ht="12.75" customHeight="1">
      <c r="A165" s="32"/>
      <c r="B165" s="49"/>
      <c r="C165" s="52" t="s">
        <v>142</v>
      </c>
      <c r="D165" s="61"/>
      <c r="E165" s="13">
        <v>1.0</v>
      </c>
      <c r="F165" s="13">
        <v>0.0</v>
      </c>
      <c r="G165" s="13">
        <v>0.0</v>
      </c>
      <c r="H165" s="13">
        <v>1.0</v>
      </c>
      <c r="I165" s="13">
        <v>0.0</v>
      </c>
      <c r="J165" s="13">
        <v>0.0</v>
      </c>
      <c r="K165" s="13">
        <v>0.0</v>
      </c>
      <c r="L165" s="13">
        <v>0.0</v>
      </c>
      <c r="M165" s="13">
        <v>0.0</v>
      </c>
      <c r="N165" s="13">
        <v>0.0</v>
      </c>
      <c r="O165" s="13">
        <v>0.0</v>
      </c>
      <c r="P165" s="6">
        <f t="shared" si="44"/>
        <v>2</v>
      </c>
    </row>
    <row r="166" ht="12.75" customHeight="1">
      <c r="A166" s="32"/>
      <c r="B166" s="49"/>
      <c r="C166" s="52" t="s">
        <v>143</v>
      </c>
      <c r="D166" s="61"/>
      <c r="E166" s="13">
        <v>0.0</v>
      </c>
      <c r="F166" s="13">
        <v>0.0</v>
      </c>
      <c r="G166" s="13">
        <v>0.0</v>
      </c>
      <c r="H166" s="13">
        <v>0.0</v>
      </c>
      <c r="I166" s="13">
        <v>0.0</v>
      </c>
      <c r="J166" s="13">
        <v>0.0</v>
      </c>
      <c r="K166" s="13">
        <v>0.0</v>
      </c>
      <c r="L166" s="13">
        <v>0.0</v>
      </c>
      <c r="M166" s="13">
        <v>0.0</v>
      </c>
      <c r="N166" s="13">
        <v>0.0</v>
      </c>
      <c r="O166" s="13">
        <v>0.0</v>
      </c>
      <c r="P166" s="6">
        <f t="shared" si="44"/>
        <v>0</v>
      </c>
    </row>
    <row r="167" ht="12.75" customHeight="1">
      <c r="A167" s="32"/>
      <c r="B167" s="49"/>
      <c r="C167" s="52" t="s">
        <v>144</v>
      </c>
      <c r="D167" s="61"/>
      <c r="E167" s="13">
        <v>0.0</v>
      </c>
      <c r="F167" s="13">
        <v>0.0</v>
      </c>
      <c r="G167" s="13">
        <v>0.0</v>
      </c>
      <c r="H167" s="13">
        <v>0.0</v>
      </c>
      <c r="I167" s="13">
        <v>0.0</v>
      </c>
      <c r="J167" s="13">
        <v>0.0</v>
      </c>
      <c r="K167" s="13">
        <v>0.0</v>
      </c>
      <c r="L167" s="13">
        <v>0.0</v>
      </c>
      <c r="M167" s="13">
        <v>0.0</v>
      </c>
      <c r="N167" s="13">
        <v>0.0</v>
      </c>
      <c r="O167" s="13">
        <v>0.0</v>
      </c>
      <c r="P167" s="6">
        <f t="shared" si="44"/>
        <v>0</v>
      </c>
    </row>
    <row r="168" ht="12.75" customHeight="1">
      <c r="A168" s="32" t="s">
        <v>39</v>
      </c>
      <c r="B168" s="51"/>
      <c r="C168" s="52" t="s">
        <v>145</v>
      </c>
      <c r="D168" s="53"/>
      <c r="E168" s="13">
        <v>0.0</v>
      </c>
      <c r="F168" s="13">
        <v>0.0</v>
      </c>
      <c r="G168" s="13">
        <v>0.0</v>
      </c>
      <c r="H168" s="13">
        <v>0.0</v>
      </c>
      <c r="I168" s="13">
        <v>0.0</v>
      </c>
      <c r="J168" s="13">
        <v>0.0</v>
      </c>
      <c r="K168" s="13">
        <v>0.0</v>
      </c>
      <c r="L168" s="13">
        <v>0.0</v>
      </c>
      <c r="M168" s="13">
        <v>0.0</v>
      </c>
      <c r="N168" s="13">
        <v>0.0</v>
      </c>
      <c r="O168" s="13">
        <v>0.0</v>
      </c>
      <c r="P168" s="6">
        <f t="shared" si="44"/>
        <v>0</v>
      </c>
    </row>
    <row r="169" ht="12.75" customHeight="1">
      <c r="A169" s="18"/>
      <c r="B169" s="51"/>
      <c r="C169" s="52" t="s">
        <v>146</v>
      </c>
      <c r="D169" s="53"/>
      <c r="E169" s="13">
        <v>0.0</v>
      </c>
      <c r="F169" s="13">
        <v>0.0</v>
      </c>
      <c r="G169" s="13">
        <v>1.0</v>
      </c>
      <c r="H169" s="13">
        <v>0.0</v>
      </c>
      <c r="I169" s="13">
        <v>0.0</v>
      </c>
      <c r="J169" s="13">
        <v>0.0</v>
      </c>
      <c r="K169" s="13">
        <v>0.0</v>
      </c>
      <c r="L169" s="13">
        <v>0.0</v>
      </c>
      <c r="M169" s="13">
        <v>0.0</v>
      </c>
      <c r="N169" s="13">
        <v>0.0</v>
      </c>
      <c r="O169" s="13">
        <v>0.0</v>
      </c>
      <c r="P169" s="6">
        <f t="shared" si="44"/>
        <v>1</v>
      </c>
    </row>
    <row r="170" ht="12.75" customHeight="1">
      <c r="A170" s="18"/>
      <c r="B170" s="51"/>
      <c r="C170" s="52" t="s">
        <v>147</v>
      </c>
      <c r="D170" s="53"/>
      <c r="E170" s="13">
        <v>0.0</v>
      </c>
      <c r="F170" s="13">
        <v>0.0</v>
      </c>
      <c r="G170" s="13">
        <v>0.0</v>
      </c>
      <c r="H170" s="13">
        <v>0.0</v>
      </c>
      <c r="I170" s="13">
        <v>0.0</v>
      </c>
      <c r="J170" s="13">
        <v>0.0</v>
      </c>
      <c r="K170" s="13">
        <v>0.0</v>
      </c>
      <c r="L170" s="13">
        <v>0.0</v>
      </c>
      <c r="M170" s="13">
        <v>0.0</v>
      </c>
      <c r="N170" s="13">
        <v>0.0</v>
      </c>
      <c r="O170" s="13">
        <v>0.0</v>
      </c>
      <c r="P170" s="6">
        <f t="shared" si="44"/>
        <v>0</v>
      </c>
    </row>
    <row r="171" ht="12.75" customHeight="1">
      <c r="A171" s="13" t="s">
        <v>15</v>
      </c>
      <c r="B171" s="49" t="s">
        <v>46</v>
      </c>
      <c r="C171" s="8"/>
      <c r="D171" s="9"/>
      <c r="E171" s="60">
        <f t="shared" ref="E171:O171" si="45">SUM(E164:E170)</f>
        <v>1</v>
      </c>
      <c r="F171" s="60">
        <f t="shared" si="45"/>
        <v>0</v>
      </c>
      <c r="G171" s="60">
        <f t="shared" si="45"/>
        <v>1</v>
      </c>
      <c r="H171" s="60">
        <f t="shared" si="45"/>
        <v>2</v>
      </c>
      <c r="I171" s="60">
        <f t="shared" si="45"/>
        <v>0</v>
      </c>
      <c r="J171" s="60">
        <f t="shared" si="45"/>
        <v>0</v>
      </c>
      <c r="K171" s="60">
        <f t="shared" si="45"/>
        <v>0</v>
      </c>
      <c r="L171" s="60">
        <f t="shared" si="45"/>
        <v>0</v>
      </c>
      <c r="M171" s="60">
        <f t="shared" si="45"/>
        <v>0</v>
      </c>
      <c r="N171" s="60">
        <f t="shared" si="45"/>
        <v>0</v>
      </c>
      <c r="O171" s="60">
        <f t="shared" si="45"/>
        <v>0</v>
      </c>
      <c r="P171" s="6">
        <f t="shared" si="44"/>
        <v>4</v>
      </c>
    </row>
    <row r="172" ht="12.75" customHeight="1">
      <c r="A172" s="54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6"/>
    </row>
    <row r="173" ht="12.75" customHeight="1">
      <c r="A173" s="32" t="s">
        <v>37</v>
      </c>
      <c r="B173" s="49" t="s">
        <v>148</v>
      </c>
      <c r="C173" s="50" t="s">
        <v>149</v>
      </c>
      <c r="D173" s="9"/>
      <c r="E173" s="13">
        <v>3.0</v>
      </c>
      <c r="F173" s="13">
        <v>2.0</v>
      </c>
      <c r="G173" s="13">
        <v>4.0</v>
      </c>
      <c r="H173" s="13">
        <v>5.0</v>
      </c>
      <c r="I173" s="13">
        <v>0.0</v>
      </c>
      <c r="J173" s="13">
        <v>3.0</v>
      </c>
      <c r="K173" s="13">
        <v>1.0</v>
      </c>
      <c r="L173" s="13">
        <v>1.0</v>
      </c>
      <c r="M173" s="13">
        <v>1.0</v>
      </c>
      <c r="N173" s="13">
        <v>3.0</v>
      </c>
      <c r="O173" s="13">
        <v>2.0</v>
      </c>
      <c r="P173" s="6">
        <f t="shared" ref="P173:P180" si="46">SUM(E173:O173)</f>
        <v>25</v>
      </c>
    </row>
    <row r="174" ht="12.75" customHeight="1">
      <c r="A174" s="32" t="s">
        <v>39</v>
      </c>
      <c r="B174" s="51"/>
      <c r="C174" s="52" t="s">
        <v>150</v>
      </c>
      <c r="D174" s="53"/>
      <c r="E174" s="13">
        <v>10.0</v>
      </c>
      <c r="F174" s="13">
        <v>6.0</v>
      </c>
      <c r="G174" s="13">
        <v>26.0</v>
      </c>
      <c r="H174" s="13">
        <v>14.0</v>
      </c>
      <c r="I174" s="13">
        <v>0.0</v>
      </c>
      <c r="J174" s="13">
        <v>4.0</v>
      </c>
      <c r="K174" s="13">
        <v>8.0</v>
      </c>
      <c r="L174" s="13">
        <v>3.0</v>
      </c>
      <c r="M174" s="13">
        <v>1.0</v>
      </c>
      <c r="N174" s="13">
        <v>5.0</v>
      </c>
      <c r="O174" s="13">
        <v>17.0</v>
      </c>
      <c r="P174" s="6">
        <f t="shared" si="46"/>
        <v>94</v>
      </c>
    </row>
    <row r="175" ht="12.75" customHeight="1">
      <c r="A175" s="18"/>
      <c r="B175" s="51"/>
      <c r="C175" s="52" t="s">
        <v>151</v>
      </c>
      <c r="D175" s="53"/>
      <c r="E175" s="13">
        <v>1.0</v>
      </c>
      <c r="F175" s="13">
        <v>0.0</v>
      </c>
      <c r="G175" s="13">
        <v>0.0</v>
      </c>
      <c r="H175" s="13">
        <v>1.0</v>
      </c>
      <c r="I175" s="13">
        <v>0.0</v>
      </c>
      <c r="J175" s="13">
        <v>4.0</v>
      </c>
      <c r="K175" s="13">
        <v>0.0</v>
      </c>
      <c r="L175" s="13">
        <v>0.0</v>
      </c>
      <c r="M175" s="13">
        <v>0.0</v>
      </c>
      <c r="N175" s="13">
        <v>0.0</v>
      </c>
      <c r="O175" s="13">
        <v>0.0</v>
      </c>
      <c r="P175" s="6">
        <f t="shared" si="46"/>
        <v>6</v>
      </c>
    </row>
    <row r="176" ht="12.75" customHeight="1">
      <c r="A176" s="18"/>
      <c r="B176" s="51"/>
      <c r="C176" s="52" t="s">
        <v>152</v>
      </c>
      <c r="D176" s="53"/>
      <c r="E176" s="13">
        <v>2.0</v>
      </c>
      <c r="F176" s="13">
        <v>5.0</v>
      </c>
      <c r="G176" s="13">
        <v>1.0</v>
      </c>
      <c r="H176" s="13">
        <v>1.0</v>
      </c>
      <c r="I176" s="13">
        <v>1.0</v>
      </c>
      <c r="J176" s="13">
        <v>37.0</v>
      </c>
      <c r="K176" s="13">
        <v>0.0</v>
      </c>
      <c r="L176" s="13">
        <v>0.0</v>
      </c>
      <c r="M176" s="13">
        <v>2.0</v>
      </c>
      <c r="N176" s="13">
        <v>0.0</v>
      </c>
      <c r="O176" s="13">
        <v>1.0</v>
      </c>
      <c r="P176" s="6">
        <f t="shared" si="46"/>
        <v>50</v>
      </c>
    </row>
    <row r="177" ht="12.75" customHeight="1">
      <c r="A177" s="18"/>
      <c r="B177" s="51"/>
      <c r="C177" s="52" t="s">
        <v>153</v>
      </c>
      <c r="D177" s="53"/>
      <c r="E177" s="13">
        <v>0.0</v>
      </c>
      <c r="F177" s="13">
        <v>0.0</v>
      </c>
      <c r="G177" s="13">
        <v>0.0</v>
      </c>
      <c r="H177" s="13">
        <v>0.0</v>
      </c>
      <c r="I177" s="13">
        <v>0.0</v>
      </c>
      <c r="J177" s="13">
        <v>0.0</v>
      </c>
      <c r="K177" s="13">
        <v>0.0</v>
      </c>
      <c r="L177" s="13">
        <v>0.0</v>
      </c>
      <c r="M177" s="13">
        <v>0.0</v>
      </c>
      <c r="N177" s="13">
        <v>0.0</v>
      </c>
      <c r="O177" s="13">
        <v>0.0</v>
      </c>
      <c r="P177" s="6">
        <f t="shared" si="46"/>
        <v>0</v>
      </c>
    </row>
    <row r="178" ht="12.75" customHeight="1">
      <c r="A178" s="18"/>
      <c r="B178" s="51"/>
      <c r="C178" s="52" t="s">
        <v>154</v>
      </c>
      <c r="D178" s="53"/>
      <c r="E178" s="13">
        <v>0.0</v>
      </c>
      <c r="F178" s="13">
        <v>0.0</v>
      </c>
      <c r="G178" s="13">
        <v>0.0</v>
      </c>
      <c r="H178" s="13">
        <v>0.0</v>
      </c>
      <c r="I178" s="13">
        <v>0.0</v>
      </c>
      <c r="J178" s="13">
        <v>1.0</v>
      </c>
      <c r="K178" s="13">
        <v>0.0</v>
      </c>
      <c r="L178" s="13">
        <v>0.0</v>
      </c>
      <c r="M178" s="13">
        <v>0.0</v>
      </c>
      <c r="N178" s="13">
        <v>0.0</v>
      </c>
      <c r="O178" s="13">
        <v>0.0</v>
      </c>
      <c r="P178" s="6">
        <f t="shared" si="46"/>
        <v>1</v>
      </c>
    </row>
    <row r="179" ht="12.75" customHeight="1">
      <c r="A179" s="18"/>
      <c r="B179" s="51"/>
      <c r="C179" s="52" t="s">
        <v>155</v>
      </c>
      <c r="D179" s="53"/>
      <c r="E179" s="13">
        <v>0.0</v>
      </c>
      <c r="F179" s="13">
        <v>0.0</v>
      </c>
      <c r="G179" s="13">
        <v>0.0</v>
      </c>
      <c r="H179" s="13">
        <v>1.0</v>
      </c>
      <c r="I179" s="13">
        <v>0.0</v>
      </c>
      <c r="J179" s="13">
        <v>3.0</v>
      </c>
      <c r="K179" s="13">
        <v>0.0</v>
      </c>
      <c r="L179" s="13">
        <v>0.0</v>
      </c>
      <c r="M179" s="13">
        <v>0.0</v>
      </c>
      <c r="N179" s="13">
        <v>0.0</v>
      </c>
      <c r="O179" s="13">
        <v>0.0</v>
      </c>
      <c r="P179" s="6">
        <f t="shared" si="46"/>
        <v>4</v>
      </c>
    </row>
    <row r="180" ht="12.75" customHeight="1">
      <c r="A180" s="13" t="s">
        <v>15</v>
      </c>
      <c r="B180" s="49" t="s">
        <v>46</v>
      </c>
      <c r="C180" s="8"/>
      <c r="D180" s="9"/>
      <c r="E180" s="60">
        <f t="shared" ref="E180:O180" si="47">SUM(E173:E179)</f>
        <v>16</v>
      </c>
      <c r="F180" s="60">
        <f t="shared" si="47"/>
        <v>13</v>
      </c>
      <c r="G180" s="60">
        <f t="shared" si="47"/>
        <v>31</v>
      </c>
      <c r="H180" s="60">
        <f t="shared" si="47"/>
        <v>22</v>
      </c>
      <c r="I180" s="60">
        <f t="shared" si="47"/>
        <v>1</v>
      </c>
      <c r="J180" s="60">
        <f t="shared" si="47"/>
        <v>52</v>
      </c>
      <c r="K180" s="60">
        <f t="shared" si="47"/>
        <v>9</v>
      </c>
      <c r="L180" s="60">
        <f t="shared" si="47"/>
        <v>4</v>
      </c>
      <c r="M180" s="60">
        <f t="shared" si="47"/>
        <v>4</v>
      </c>
      <c r="N180" s="60">
        <f t="shared" si="47"/>
        <v>8</v>
      </c>
      <c r="O180" s="60">
        <f t="shared" si="47"/>
        <v>20</v>
      </c>
      <c r="P180" s="6">
        <f t="shared" si="46"/>
        <v>180</v>
      </c>
    </row>
    <row r="181" ht="12.75" customHeight="1">
      <c r="A181" s="54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6"/>
    </row>
    <row r="182" ht="12.75" customHeight="1">
      <c r="A182" s="32" t="s">
        <v>37</v>
      </c>
      <c r="B182" s="49" t="s">
        <v>156</v>
      </c>
      <c r="C182" s="50" t="s">
        <v>157</v>
      </c>
      <c r="D182" s="9"/>
      <c r="E182" s="13">
        <v>0.0</v>
      </c>
      <c r="F182" s="13">
        <v>0.0</v>
      </c>
      <c r="G182" s="13">
        <v>2.0</v>
      </c>
      <c r="H182" s="13">
        <v>0.0</v>
      </c>
      <c r="I182" s="13">
        <v>0.0</v>
      </c>
      <c r="J182" s="13">
        <v>0.0</v>
      </c>
      <c r="K182" s="13">
        <v>0.0</v>
      </c>
      <c r="L182" s="13">
        <v>0.0</v>
      </c>
      <c r="M182" s="13">
        <v>0.0</v>
      </c>
      <c r="N182" s="13">
        <v>0.0</v>
      </c>
      <c r="O182" s="13">
        <v>0.0</v>
      </c>
      <c r="P182" s="6">
        <f t="shared" ref="P182:P187" si="48">SUM(E182:O182)</f>
        <v>2</v>
      </c>
    </row>
    <row r="183" ht="12.75" customHeight="1">
      <c r="A183" s="32"/>
      <c r="B183" s="49"/>
      <c r="C183" s="52" t="s">
        <v>158</v>
      </c>
      <c r="D183" s="61"/>
      <c r="E183" s="13">
        <v>0.0</v>
      </c>
      <c r="F183" s="13">
        <v>0.0</v>
      </c>
      <c r="G183" s="13">
        <v>0.0</v>
      </c>
      <c r="H183" s="13">
        <v>0.0</v>
      </c>
      <c r="I183" s="13">
        <v>0.0</v>
      </c>
      <c r="J183" s="13">
        <v>0.0</v>
      </c>
      <c r="K183" s="13">
        <v>0.0</v>
      </c>
      <c r="L183" s="13">
        <v>1.0</v>
      </c>
      <c r="M183" s="13">
        <v>0.0</v>
      </c>
      <c r="N183" s="13">
        <v>0.0</v>
      </c>
      <c r="O183" s="13">
        <v>0.0</v>
      </c>
      <c r="P183" s="6">
        <f t="shared" si="48"/>
        <v>1</v>
      </c>
    </row>
    <row r="184" ht="12.75" customHeight="1">
      <c r="A184" s="32"/>
      <c r="B184" s="49"/>
      <c r="C184" s="52" t="s">
        <v>159</v>
      </c>
      <c r="D184" s="61"/>
      <c r="E184" s="13">
        <v>0.0</v>
      </c>
      <c r="F184" s="13">
        <v>4.0</v>
      </c>
      <c r="G184" s="13">
        <v>1.0</v>
      </c>
      <c r="H184" s="13">
        <v>1.0</v>
      </c>
      <c r="I184" s="13">
        <v>0.0</v>
      </c>
      <c r="J184" s="13">
        <v>0.0</v>
      </c>
      <c r="K184" s="13">
        <v>0.0</v>
      </c>
      <c r="L184" s="13">
        <v>3.0</v>
      </c>
      <c r="M184" s="13">
        <v>2.0</v>
      </c>
      <c r="N184" s="13">
        <v>0.0</v>
      </c>
      <c r="O184" s="13">
        <v>3.0</v>
      </c>
      <c r="P184" s="6">
        <f t="shared" si="48"/>
        <v>14</v>
      </c>
    </row>
    <row r="185" ht="12.75" customHeight="1">
      <c r="A185" s="32"/>
      <c r="B185" s="49"/>
      <c r="C185" s="52" t="s">
        <v>160</v>
      </c>
      <c r="D185" s="61"/>
      <c r="E185" s="13">
        <v>0.0</v>
      </c>
      <c r="F185" s="13">
        <v>0.0</v>
      </c>
      <c r="G185" s="13">
        <v>0.0</v>
      </c>
      <c r="H185" s="13">
        <v>0.0</v>
      </c>
      <c r="I185" s="13">
        <v>0.0</v>
      </c>
      <c r="J185" s="13">
        <v>0.0</v>
      </c>
      <c r="K185" s="13">
        <v>0.0</v>
      </c>
      <c r="L185" s="13">
        <v>0.0</v>
      </c>
      <c r="M185" s="13">
        <v>0.0</v>
      </c>
      <c r="N185" s="13">
        <v>0.0</v>
      </c>
      <c r="O185" s="13">
        <v>0.0</v>
      </c>
      <c r="P185" s="6">
        <f t="shared" si="48"/>
        <v>0</v>
      </c>
    </row>
    <row r="186" ht="12.75" customHeight="1">
      <c r="A186" s="32" t="s">
        <v>39</v>
      </c>
      <c r="B186" s="51"/>
      <c r="C186" s="52" t="s">
        <v>161</v>
      </c>
      <c r="D186" s="53"/>
      <c r="E186" s="13">
        <v>0.0</v>
      </c>
      <c r="F186" s="13">
        <v>0.0</v>
      </c>
      <c r="G186" s="13">
        <v>0.0</v>
      </c>
      <c r="H186" s="13">
        <v>0.0</v>
      </c>
      <c r="I186" s="13">
        <v>0.0</v>
      </c>
      <c r="J186" s="13">
        <v>0.0</v>
      </c>
      <c r="K186" s="13">
        <v>0.0</v>
      </c>
      <c r="L186" s="13">
        <v>0.0</v>
      </c>
      <c r="M186" s="13">
        <v>0.0</v>
      </c>
      <c r="N186" s="13">
        <v>0.0</v>
      </c>
      <c r="O186" s="13">
        <v>0.0</v>
      </c>
      <c r="P186" s="6">
        <f t="shared" si="48"/>
        <v>0</v>
      </c>
    </row>
    <row r="187" ht="12.75" customHeight="1">
      <c r="A187" s="13" t="s">
        <v>15</v>
      </c>
      <c r="B187" s="49" t="s">
        <v>46</v>
      </c>
      <c r="C187" s="8"/>
      <c r="D187" s="9"/>
      <c r="E187" s="60">
        <f t="shared" ref="E187:O187" si="49">SUM(E182:E186)</f>
        <v>0</v>
      </c>
      <c r="F187" s="60">
        <f t="shared" si="49"/>
        <v>4</v>
      </c>
      <c r="G187" s="60">
        <f t="shared" si="49"/>
        <v>3</v>
      </c>
      <c r="H187" s="60">
        <f t="shared" si="49"/>
        <v>1</v>
      </c>
      <c r="I187" s="60">
        <f t="shared" si="49"/>
        <v>0</v>
      </c>
      <c r="J187" s="60">
        <f t="shared" si="49"/>
        <v>0</v>
      </c>
      <c r="K187" s="60">
        <f t="shared" si="49"/>
        <v>0</v>
      </c>
      <c r="L187" s="60">
        <f t="shared" si="49"/>
        <v>4</v>
      </c>
      <c r="M187" s="60">
        <f t="shared" si="49"/>
        <v>2</v>
      </c>
      <c r="N187" s="60">
        <f t="shared" si="49"/>
        <v>0</v>
      </c>
      <c r="O187" s="60">
        <f t="shared" si="49"/>
        <v>3</v>
      </c>
      <c r="P187" s="6">
        <f t="shared" si="48"/>
        <v>17</v>
      </c>
    </row>
    <row r="188" ht="12.75" customHeight="1">
      <c r="A188" s="21"/>
      <c r="B188" s="8"/>
      <c r="C188" s="8"/>
      <c r="D188" s="9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6"/>
    </row>
    <row r="189" ht="12.75" customHeight="1">
      <c r="A189" s="47"/>
      <c r="B189" s="46"/>
      <c r="C189" s="46"/>
      <c r="D189" s="27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6"/>
    </row>
    <row r="190" ht="12.75" customHeight="1">
      <c r="A190" s="44" t="s">
        <v>162</v>
      </c>
      <c r="B190" s="7" t="s">
        <v>163</v>
      </c>
      <c r="C190" s="8"/>
      <c r="D190" s="9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ht="12.75" customHeight="1">
      <c r="A191" s="44"/>
      <c r="B191" s="63" t="s">
        <v>164</v>
      </c>
      <c r="C191" s="64" t="s">
        <v>165</v>
      </c>
      <c r="D191" s="9"/>
      <c r="E191" s="13">
        <f t="shared" ref="E191:O191" si="50">E187+E180+E171+E162+E154+E145+E136+E127+E123+E114+E110+E101+E92+E88+E79+E70+E61+E52</f>
        <v>171</v>
      </c>
      <c r="F191" s="13">
        <f t="shared" si="50"/>
        <v>178</v>
      </c>
      <c r="G191" s="13">
        <f t="shared" si="50"/>
        <v>173</v>
      </c>
      <c r="H191" s="13">
        <f t="shared" si="50"/>
        <v>189</v>
      </c>
      <c r="I191" s="13">
        <f t="shared" si="50"/>
        <v>192</v>
      </c>
      <c r="J191" s="13">
        <f t="shared" si="50"/>
        <v>195</v>
      </c>
      <c r="K191" s="13">
        <f t="shared" si="50"/>
        <v>197</v>
      </c>
      <c r="L191" s="13">
        <f t="shared" si="50"/>
        <v>217</v>
      </c>
      <c r="M191" s="13">
        <f t="shared" si="50"/>
        <v>181</v>
      </c>
      <c r="N191" s="13">
        <f t="shared" si="50"/>
        <v>184</v>
      </c>
      <c r="O191" s="13">
        <f t="shared" si="50"/>
        <v>219</v>
      </c>
      <c r="P191" s="6">
        <f t="shared" ref="P191:P193" si="51">SUM(E191:O191)</f>
        <v>2096</v>
      </c>
    </row>
    <row r="192" ht="12.75" customHeight="1">
      <c r="A192" s="37"/>
      <c r="B192" s="63" t="s">
        <v>166</v>
      </c>
      <c r="C192" s="64" t="s">
        <v>167</v>
      </c>
      <c r="D192" s="9"/>
      <c r="E192" s="13">
        <v>19.0</v>
      </c>
      <c r="F192" s="13">
        <v>30.0</v>
      </c>
      <c r="G192" s="13">
        <v>19.0</v>
      </c>
      <c r="H192" s="13">
        <v>16.0</v>
      </c>
      <c r="I192" s="13">
        <v>17.0</v>
      </c>
      <c r="J192" s="13">
        <v>11.0</v>
      </c>
      <c r="K192" s="13">
        <v>18.0</v>
      </c>
      <c r="L192" s="13">
        <v>8.0</v>
      </c>
      <c r="M192" s="13">
        <v>9.0</v>
      </c>
      <c r="N192" s="13">
        <v>9.0</v>
      </c>
      <c r="O192" s="13">
        <v>18.0</v>
      </c>
      <c r="P192" s="6">
        <f t="shared" si="51"/>
        <v>174</v>
      </c>
    </row>
    <row r="193" ht="12.75" customHeight="1">
      <c r="A193" s="42"/>
      <c r="B193" s="63" t="s">
        <v>168</v>
      </c>
      <c r="C193" s="64" t="s">
        <v>169</v>
      </c>
      <c r="D193" s="9"/>
      <c r="E193" s="6">
        <f t="shared" ref="E193:O193" si="52">SUM(E191:E192)</f>
        <v>190</v>
      </c>
      <c r="F193" s="6">
        <f t="shared" si="52"/>
        <v>208</v>
      </c>
      <c r="G193" s="6">
        <f t="shared" si="52"/>
        <v>192</v>
      </c>
      <c r="H193" s="6">
        <f t="shared" si="52"/>
        <v>205</v>
      </c>
      <c r="I193" s="6">
        <f t="shared" si="52"/>
        <v>209</v>
      </c>
      <c r="J193" s="6">
        <f t="shared" si="52"/>
        <v>206</v>
      </c>
      <c r="K193" s="6">
        <f t="shared" si="52"/>
        <v>215</v>
      </c>
      <c r="L193" s="6">
        <f t="shared" si="52"/>
        <v>225</v>
      </c>
      <c r="M193" s="6">
        <f t="shared" si="52"/>
        <v>190</v>
      </c>
      <c r="N193" s="6">
        <f t="shared" si="52"/>
        <v>193</v>
      </c>
      <c r="O193" s="6">
        <f t="shared" si="52"/>
        <v>237</v>
      </c>
      <c r="P193" s="6">
        <f t="shared" si="51"/>
        <v>2270</v>
      </c>
    </row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110:D110"/>
    <mergeCell ref="C112:D112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5:D145"/>
    <mergeCell ref="C147:D147"/>
    <mergeCell ref="B154:D154"/>
    <mergeCell ref="C156:D156"/>
    <mergeCell ref="A188:D188"/>
    <mergeCell ref="A189:D189"/>
    <mergeCell ref="B190:D190"/>
    <mergeCell ref="C191:D191"/>
    <mergeCell ref="C192:D192"/>
    <mergeCell ref="C193:D193"/>
    <mergeCell ref="B162:D162"/>
    <mergeCell ref="C164:D164"/>
    <mergeCell ref="B171:D171"/>
    <mergeCell ref="C173:D173"/>
    <mergeCell ref="B180:D180"/>
    <mergeCell ref="C182:D182"/>
    <mergeCell ref="B187:D187"/>
    <mergeCell ref="B12:D12"/>
    <mergeCell ref="E12:O12"/>
    <mergeCell ref="P12: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101:D101"/>
    <mergeCell ref="C103:D103"/>
  </mergeCells>
  <conditionalFormatting sqref="E30:O30">
    <cfRule type="expression" dxfId="0" priority="1">
      <formula>E30&lt;&gt;E62</formula>
    </cfRule>
  </conditionalFormatting>
  <conditionalFormatting sqref="E34:O34">
    <cfRule type="expression" dxfId="0" priority="2">
      <formula>E34&lt;&gt;E62</formula>
    </cfRule>
  </conditionalFormatting>
  <conditionalFormatting sqref="E14:O15">
    <cfRule type="containsBlanks" dxfId="1" priority="3">
      <formula>LEN(TRIM(E14))=0</formula>
    </cfRule>
  </conditionalFormatting>
  <conditionalFormatting sqref="E19:O20">
    <cfRule type="containsBlanks" dxfId="1" priority="4">
      <formula>LEN(TRIM(E19))=0</formula>
    </cfRule>
  </conditionalFormatting>
  <conditionalFormatting sqref="E22:O23 E25:O26 E33:O33 E35:O35 E39:O40">
    <cfRule type="containsBlanks" dxfId="1" priority="5">
      <formula>LEN(TRIM(E22))=0</formula>
    </cfRule>
  </conditionalFormatting>
  <conditionalFormatting sqref="E30:O30">
    <cfRule type="expression" dxfId="0" priority="6">
      <formula>E30&lt;&gt;E34</formula>
    </cfRule>
  </conditionalFormatting>
  <conditionalFormatting sqref="E34:O34">
    <cfRule type="expression" dxfId="2" priority="7">
      <formula>E30&lt;&gt;E34</formula>
    </cfRule>
  </conditionalFormatting>
  <conditionalFormatting sqref="E34:O34">
    <cfRule type="expression" dxfId="3" priority="8">
      <formula>E30=E34</formula>
    </cfRule>
  </conditionalFormatting>
  <conditionalFormatting sqref="E34:O34">
    <cfRule type="expression" dxfId="0" priority="9">
      <formula>E34&lt;&gt;E30</formula>
    </cfRule>
  </conditionalFormatting>
  <conditionalFormatting sqref="E45:O51">
    <cfRule type="containsBlanks" dxfId="1" priority="10">
      <formula>LEN(TRIM(E45))=0</formula>
    </cfRule>
  </conditionalFormatting>
  <conditionalFormatting sqref="E54:O60">
    <cfRule type="containsBlanks" dxfId="1" priority="11">
      <formula>LEN(TRIM(E54))=0</formula>
    </cfRule>
  </conditionalFormatting>
  <conditionalFormatting sqref="E63:O69">
    <cfRule type="containsBlanks" dxfId="1" priority="12">
      <formula>LEN(TRIM(E63))=0</formula>
    </cfRule>
  </conditionalFormatting>
  <conditionalFormatting sqref="E72:O78">
    <cfRule type="containsBlanks" dxfId="1" priority="13">
      <formula>LEN(TRIM(E72))=0</formula>
    </cfRule>
  </conditionalFormatting>
  <conditionalFormatting sqref="E81:O87">
    <cfRule type="containsBlanks" dxfId="1" priority="14">
      <formula>LEN(TRIM(E81))=0</formula>
    </cfRule>
  </conditionalFormatting>
  <conditionalFormatting sqref="E90:O91">
    <cfRule type="containsBlanks" dxfId="1" priority="15">
      <formula>LEN(TRIM(E90))=0</formula>
    </cfRule>
  </conditionalFormatting>
  <conditionalFormatting sqref="E94:O100">
    <cfRule type="containsBlanks" dxfId="1" priority="16">
      <formula>LEN(TRIM(E94))=0</formula>
    </cfRule>
  </conditionalFormatting>
  <conditionalFormatting sqref="E103:O109">
    <cfRule type="containsBlanks" dxfId="1" priority="17">
      <formula>LEN(TRIM(E103))=0</formula>
    </cfRule>
  </conditionalFormatting>
  <conditionalFormatting sqref="E112:O113">
    <cfRule type="containsBlanks" dxfId="1" priority="18">
      <formula>LEN(TRIM(E112))=0</formula>
    </cfRule>
  </conditionalFormatting>
  <conditionalFormatting sqref="E116:O122">
    <cfRule type="containsBlanks" dxfId="1" priority="19">
      <formula>LEN(TRIM(E116))=0</formula>
    </cfRule>
  </conditionalFormatting>
  <conditionalFormatting sqref="E125:O126">
    <cfRule type="containsBlanks" dxfId="1" priority="20">
      <formula>LEN(TRIM(E125))=0</formula>
    </cfRule>
  </conditionalFormatting>
  <conditionalFormatting sqref="E129:O135">
    <cfRule type="containsBlanks" dxfId="1" priority="21">
      <formula>LEN(TRIM(E129))=0</formula>
    </cfRule>
  </conditionalFormatting>
  <conditionalFormatting sqref="E138:O144">
    <cfRule type="containsBlanks" dxfId="1" priority="22">
      <formula>LEN(TRIM(E138))=0</formula>
    </cfRule>
  </conditionalFormatting>
  <conditionalFormatting sqref="E147:O153">
    <cfRule type="containsBlanks" dxfId="1" priority="23">
      <formula>LEN(TRIM(E147))=0</formula>
    </cfRule>
  </conditionalFormatting>
  <conditionalFormatting sqref="E156:O161">
    <cfRule type="containsBlanks" dxfId="1" priority="24">
      <formula>LEN(TRIM(E156))=0</formula>
    </cfRule>
  </conditionalFormatting>
  <conditionalFormatting sqref="E164:O170">
    <cfRule type="containsBlanks" dxfId="1" priority="25">
      <formula>LEN(TRIM(E164))=0</formula>
    </cfRule>
  </conditionalFormatting>
  <conditionalFormatting sqref="E173:O179">
    <cfRule type="containsBlanks" dxfId="1" priority="26">
      <formula>LEN(TRIM(E173))=0</formula>
    </cfRule>
  </conditionalFormatting>
  <conditionalFormatting sqref="E182:O186">
    <cfRule type="containsBlanks" dxfId="1" priority="27">
      <formula>LEN(TRIM(E182))=0</formula>
    </cfRule>
  </conditionalFormatting>
  <conditionalFormatting sqref="E191:O192">
    <cfRule type="containsBlanks" dxfId="1" priority="28">
      <formula>LEN(TRIM(E191))=0</formula>
    </cfRule>
  </conditionalFormatting>
  <conditionalFormatting sqref="E193:O193">
    <cfRule type="expression" dxfId="0" priority="29">
      <formula>E193&lt;&gt;#REF!</formula>
    </cfRule>
  </conditionalFormatting>
  <conditionalFormatting sqref="E193:O193">
    <cfRule type="expression" dxfId="2" priority="30">
      <formula>#REF!&lt;&gt;E193</formula>
    </cfRule>
  </conditionalFormatting>
  <conditionalFormatting sqref="E193:O193">
    <cfRule type="expression" dxfId="3" priority="31">
      <formula>#REF!=E193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</cols>
  <sheetData>
    <row r="1" ht="12.75" customHeight="1"/>
    <row r="2" ht="12.75" customHeight="1">
      <c r="C2" s="1" t="s">
        <v>0</v>
      </c>
      <c r="D2" s="1" t="s">
        <v>1</v>
      </c>
    </row>
    <row r="3" ht="12.75" customHeight="1">
      <c r="C3" s="1" t="s">
        <v>2</v>
      </c>
      <c r="D3" s="1" t="s">
        <v>3</v>
      </c>
    </row>
    <row r="4" ht="12.75" customHeight="1">
      <c r="C4" s="1" t="s">
        <v>4</v>
      </c>
      <c r="D4" s="1" t="s">
        <v>5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170</v>
      </c>
      <c r="D9" s="1" t="s">
        <v>196</v>
      </c>
    </row>
    <row r="10" ht="12.75" customHeight="1"/>
    <row r="11" ht="12.75" customHeight="1"/>
    <row r="12" ht="12.75" customHeight="1">
      <c r="A12" s="6" t="s">
        <v>6</v>
      </c>
      <c r="B12" s="7" t="s">
        <v>7</v>
      </c>
      <c r="C12" s="8"/>
      <c r="D12" s="8"/>
      <c r="E12" s="2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9"/>
      <c r="S12" s="39" t="s">
        <v>8</v>
      </c>
    </row>
    <row r="13" ht="12.75" customHeight="1">
      <c r="A13" s="13" t="s">
        <v>9</v>
      </c>
      <c r="B13" s="14" t="s">
        <v>10</v>
      </c>
      <c r="C13" s="8"/>
      <c r="D13" s="9"/>
      <c r="E13" s="42" t="s">
        <v>172</v>
      </c>
      <c r="F13" s="42" t="s">
        <v>173</v>
      </c>
      <c r="G13" s="42" t="s">
        <v>174</v>
      </c>
      <c r="H13" s="42" t="s">
        <v>175</v>
      </c>
      <c r="I13" s="42" t="s">
        <v>176</v>
      </c>
      <c r="J13" s="42" t="s">
        <v>177</v>
      </c>
      <c r="K13" s="42" t="s">
        <v>178</v>
      </c>
      <c r="L13" s="42" t="s">
        <v>179</v>
      </c>
      <c r="M13" s="42" t="s">
        <v>180</v>
      </c>
      <c r="N13" s="42" t="s">
        <v>181</v>
      </c>
      <c r="O13" s="42" t="s">
        <v>182</v>
      </c>
      <c r="P13" s="42" t="s">
        <v>183</v>
      </c>
      <c r="Q13" s="42" t="s">
        <v>184</v>
      </c>
      <c r="R13" s="42" t="s">
        <v>185</v>
      </c>
      <c r="S13" s="27"/>
    </row>
    <row r="14" ht="12.75" customHeight="1">
      <c r="A14" s="18"/>
      <c r="B14" s="19" t="s">
        <v>11</v>
      </c>
      <c r="C14" s="20"/>
      <c r="D14" s="13" t="s">
        <v>12</v>
      </c>
      <c r="E14" s="13">
        <v>101.0</v>
      </c>
      <c r="F14" s="13">
        <v>113.0</v>
      </c>
      <c r="G14" s="13">
        <v>135.0</v>
      </c>
      <c r="H14" s="13">
        <v>101.0</v>
      </c>
      <c r="I14" s="13">
        <v>113.0</v>
      </c>
      <c r="J14" s="13">
        <v>120.0</v>
      </c>
      <c r="K14" s="13">
        <v>126.0</v>
      </c>
      <c r="L14" s="13">
        <v>142.0</v>
      </c>
      <c r="M14" s="13">
        <v>130.0</v>
      </c>
      <c r="N14" s="13">
        <v>136.0</v>
      </c>
      <c r="O14" s="13">
        <v>120.0</v>
      </c>
      <c r="P14" s="13">
        <v>135.0</v>
      </c>
      <c r="Q14" s="13">
        <v>102.0</v>
      </c>
      <c r="R14" s="13">
        <v>105.0</v>
      </c>
      <c r="S14" s="6">
        <f t="shared" ref="S14:S16" si="1">SUM(E14:R14)</f>
        <v>1679</v>
      </c>
    </row>
    <row r="15" ht="12.75" customHeight="1">
      <c r="A15" s="18"/>
      <c r="B15" s="25"/>
      <c r="C15" s="26"/>
      <c r="D15" s="13" t="s">
        <v>13</v>
      </c>
      <c r="E15" s="13">
        <v>113.0</v>
      </c>
      <c r="F15" s="13">
        <v>124.0</v>
      </c>
      <c r="G15" s="13">
        <v>140.0</v>
      </c>
      <c r="H15" s="13">
        <v>124.0</v>
      </c>
      <c r="I15" s="13">
        <v>132.0</v>
      </c>
      <c r="J15" s="13">
        <v>121.0</v>
      </c>
      <c r="K15" s="13">
        <v>143.0</v>
      </c>
      <c r="L15" s="13">
        <v>143.0</v>
      </c>
      <c r="M15" s="13">
        <v>153.0</v>
      </c>
      <c r="N15" s="13">
        <v>141.0</v>
      </c>
      <c r="O15" s="13">
        <v>123.0</v>
      </c>
      <c r="P15" s="13">
        <v>158.0</v>
      </c>
      <c r="Q15" s="13">
        <v>96.0</v>
      </c>
      <c r="R15" s="13">
        <v>106.0</v>
      </c>
      <c r="S15" s="6">
        <f t="shared" si="1"/>
        <v>1817</v>
      </c>
    </row>
    <row r="16" ht="12.75" customHeight="1">
      <c r="A16" s="16"/>
      <c r="B16" s="15"/>
      <c r="C16" s="27"/>
      <c r="D16" s="6" t="s">
        <v>14</v>
      </c>
      <c r="E16" s="6">
        <f t="shared" ref="E16:R16" si="2">SUM(E14:E15)</f>
        <v>214</v>
      </c>
      <c r="F16" s="6">
        <f t="shared" si="2"/>
        <v>237</v>
      </c>
      <c r="G16" s="6">
        <f t="shared" si="2"/>
        <v>275</v>
      </c>
      <c r="H16" s="6">
        <f t="shared" si="2"/>
        <v>225</v>
      </c>
      <c r="I16" s="6">
        <f t="shared" si="2"/>
        <v>245</v>
      </c>
      <c r="J16" s="6">
        <f t="shared" si="2"/>
        <v>241</v>
      </c>
      <c r="K16" s="6">
        <f t="shared" si="2"/>
        <v>269</v>
      </c>
      <c r="L16" s="6">
        <f t="shared" si="2"/>
        <v>285</v>
      </c>
      <c r="M16" s="6">
        <f t="shared" si="2"/>
        <v>283</v>
      </c>
      <c r="N16" s="6">
        <f t="shared" si="2"/>
        <v>277</v>
      </c>
      <c r="O16" s="6">
        <f t="shared" si="2"/>
        <v>243</v>
      </c>
      <c r="P16" s="6">
        <f t="shared" si="2"/>
        <v>293</v>
      </c>
      <c r="Q16" s="6">
        <f t="shared" si="2"/>
        <v>198</v>
      </c>
      <c r="R16" s="6">
        <f t="shared" si="2"/>
        <v>211</v>
      </c>
      <c r="S16" s="6">
        <f t="shared" si="1"/>
        <v>3496</v>
      </c>
    </row>
    <row r="17" ht="12.75" customHeight="1">
      <c r="A17" s="21"/>
      <c r="B17" s="8"/>
      <c r="C17" s="8"/>
      <c r="D17" s="9"/>
      <c r="E17" s="13"/>
      <c r="F17" s="13"/>
      <c r="G17" s="13"/>
      <c r="H17" s="13"/>
      <c r="I17" s="13"/>
      <c r="J17" s="13"/>
      <c r="K17" s="13"/>
      <c r="L17" s="13"/>
      <c r="M17" s="13"/>
      <c r="N17" s="67"/>
      <c r="O17" s="67"/>
      <c r="P17" s="67"/>
      <c r="Q17" s="67"/>
      <c r="R17" s="67"/>
      <c r="S17" s="6"/>
    </row>
    <row r="18" ht="12.75" customHeight="1">
      <c r="A18" s="32" t="s">
        <v>15</v>
      </c>
      <c r="B18" s="14" t="s">
        <v>16</v>
      </c>
      <c r="C18" s="8"/>
      <c r="D18" s="9"/>
      <c r="E18" s="13"/>
      <c r="F18" s="13"/>
      <c r="G18" s="13"/>
      <c r="H18" s="13"/>
      <c r="I18" s="13"/>
      <c r="J18" s="13"/>
      <c r="K18" s="13"/>
      <c r="L18" s="13"/>
      <c r="M18" s="13"/>
      <c r="N18" s="67"/>
      <c r="O18" s="67"/>
      <c r="P18" s="67"/>
      <c r="Q18" s="67"/>
      <c r="R18" s="67"/>
      <c r="S18" s="6"/>
    </row>
    <row r="19" ht="12.75" customHeight="1">
      <c r="A19" s="32"/>
      <c r="B19" s="33" t="s">
        <v>17</v>
      </c>
      <c r="C19" s="34" t="s">
        <v>18</v>
      </c>
      <c r="D19" s="13" t="s">
        <v>12</v>
      </c>
      <c r="E19" s="13">
        <v>97.0</v>
      </c>
      <c r="F19" s="13">
        <v>101.0</v>
      </c>
      <c r="G19" s="13">
        <v>113.0</v>
      </c>
      <c r="H19" s="13">
        <v>85.0</v>
      </c>
      <c r="I19" s="13">
        <v>92.0</v>
      </c>
      <c r="J19" s="13">
        <v>102.0</v>
      </c>
      <c r="K19" s="13">
        <v>91.0</v>
      </c>
      <c r="L19" s="13">
        <v>107.0</v>
      </c>
      <c r="M19" s="13">
        <v>102.0</v>
      </c>
      <c r="N19" s="13">
        <v>112.0</v>
      </c>
      <c r="O19" s="13">
        <v>91.0</v>
      </c>
      <c r="P19" s="13">
        <v>121.0</v>
      </c>
      <c r="Q19" s="13">
        <v>92.0</v>
      </c>
      <c r="R19" s="13">
        <v>83.0</v>
      </c>
      <c r="S19" s="6">
        <f t="shared" ref="S19:S30" si="3">SUM(E19:R19)</f>
        <v>1389</v>
      </c>
    </row>
    <row r="20" ht="12.75" customHeight="1">
      <c r="A20" s="35"/>
      <c r="B20" s="26"/>
      <c r="C20" s="36"/>
      <c r="D20" s="13" t="s">
        <v>13</v>
      </c>
      <c r="E20" s="13">
        <v>105.0</v>
      </c>
      <c r="F20" s="13">
        <v>103.0</v>
      </c>
      <c r="G20" s="13">
        <v>125.0</v>
      </c>
      <c r="H20" s="13">
        <v>107.0</v>
      </c>
      <c r="I20" s="13">
        <v>113.0</v>
      </c>
      <c r="J20" s="13">
        <v>103.0</v>
      </c>
      <c r="K20" s="13">
        <v>113.0</v>
      </c>
      <c r="L20" s="13">
        <v>115.0</v>
      </c>
      <c r="M20" s="13">
        <v>128.0</v>
      </c>
      <c r="N20" s="13">
        <v>122.0</v>
      </c>
      <c r="O20" s="13">
        <v>105.0</v>
      </c>
      <c r="P20" s="13">
        <v>138.0</v>
      </c>
      <c r="Q20" s="13">
        <v>90.0</v>
      </c>
      <c r="R20" s="13">
        <v>93.0</v>
      </c>
      <c r="S20" s="6">
        <f t="shared" si="3"/>
        <v>1560</v>
      </c>
    </row>
    <row r="21" ht="12.75" customHeight="1">
      <c r="A21" s="37"/>
      <c r="B21" s="27"/>
      <c r="C21" s="38"/>
      <c r="D21" s="6" t="s">
        <v>14</v>
      </c>
      <c r="E21" s="6">
        <f t="shared" ref="E21:R21" si="4">SUM(E19:E20)</f>
        <v>202</v>
      </c>
      <c r="F21" s="6">
        <f t="shared" si="4"/>
        <v>204</v>
      </c>
      <c r="G21" s="6">
        <f t="shared" si="4"/>
        <v>238</v>
      </c>
      <c r="H21" s="6">
        <f t="shared" si="4"/>
        <v>192</v>
      </c>
      <c r="I21" s="6">
        <f t="shared" si="4"/>
        <v>205</v>
      </c>
      <c r="J21" s="6">
        <f t="shared" si="4"/>
        <v>205</v>
      </c>
      <c r="K21" s="6">
        <f t="shared" si="4"/>
        <v>204</v>
      </c>
      <c r="L21" s="6">
        <f t="shared" si="4"/>
        <v>222</v>
      </c>
      <c r="M21" s="6">
        <f t="shared" si="4"/>
        <v>230</v>
      </c>
      <c r="N21" s="6">
        <f t="shared" si="4"/>
        <v>234</v>
      </c>
      <c r="O21" s="6">
        <f t="shared" si="4"/>
        <v>196</v>
      </c>
      <c r="P21" s="6">
        <f t="shared" si="4"/>
        <v>259</v>
      </c>
      <c r="Q21" s="6">
        <f t="shared" si="4"/>
        <v>182</v>
      </c>
      <c r="R21" s="6">
        <f t="shared" si="4"/>
        <v>176</v>
      </c>
      <c r="S21" s="6">
        <f t="shared" si="3"/>
        <v>2949</v>
      </c>
    </row>
    <row r="22" ht="12.75" customHeight="1">
      <c r="A22" s="35"/>
      <c r="B22" s="33" t="s">
        <v>19</v>
      </c>
      <c r="C22" s="34" t="s">
        <v>20</v>
      </c>
      <c r="D22" s="13" t="s">
        <v>12</v>
      </c>
      <c r="E22" s="13">
        <v>0.0</v>
      </c>
      <c r="F22" s="13">
        <v>0.0</v>
      </c>
      <c r="G22" s="13">
        <v>0.0</v>
      </c>
      <c r="H22" s="13">
        <v>0.0</v>
      </c>
      <c r="I22" s="13">
        <v>1.0</v>
      </c>
      <c r="J22" s="13">
        <v>0.0</v>
      </c>
      <c r="K22" s="13">
        <v>0.0</v>
      </c>
      <c r="L22" s="13">
        <v>0.0</v>
      </c>
      <c r="M22" s="13">
        <v>0.0</v>
      </c>
      <c r="N22" s="13">
        <v>0.0</v>
      </c>
      <c r="O22" s="13">
        <v>0.0</v>
      </c>
      <c r="P22" s="13">
        <v>0.0</v>
      </c>
      <c r="Q22" s="13">
        <v>0.0</v>
      </c>
      <c r="R22" s="13">
        <v>1.0</v>
      </c>
      <c r="S22" s="6">
        <f t="shared" si="3"/>
        <v>2</v>
      </c>
    </row>
    <row r="23" ht="12.75" customHeight="1">
      <c r="A23" s="35"/>
      <c r="B23" s="26"/>
      <c r="C23" s="36"/>
      <c r="D23" s="13" t="s">
        <v>13</v>
      </c>
      <c r="E23" s="13">
        <v>0.0</v>
      </c>
      <c r="F23" s="13">
        <v>0.0</v>
      </c>
      <c r="G23" s="13">
        <v>0.0</v>
      </c>
      <c r="H23" s="13">
        <v>0.0</v>
      </c>
      <c r="I23" s="13">
        <v>1.0</v>
      </c>
      <c r="J23" s="13">
        <v>0.0</v>
      </c>
      <c r="K23" s="13">
        <v>3.0</v>
      </c>
      <c r="L23" s="13">
        <v>0.0</v>
      </c>
      <c r="M23" s="13">
        <v>0.0</v>
      </c>
      <c r="N23" s="13">
        <v>0.0</v>
      </c>
      <c r="O23" s="13">
        <v>0.0</v>
      </c>
      <c r="P23" s="13">
        <v>0.0</v>
      </c>
      <c r="Q23" s="13">
        <v>0.0</v>
      </c>
      <c r="R23" s="13">
        <v>0.0</v>
      </c>
      <c r="S23" s="6">
        <f t="shared" si="3"/>
        <v>4</v>
      </c>
    </row>
    <row r="24" ht="12.75" customHeight="1">
      <c r="A24" s="37"/>
      <c r="B24" s="27"/>
      <c r="C24" s="38"/>
      <c r="D24" s="6" t="s">
        <v>14</v>
      </c>
      <c r="E24" s="6">
        <f t="shared" ref="E24:R24" si="5">SUM(E22:E23)</f>
        <v>0</v>
      </c>
      <c r="F24" s="6">
        <f t="shared" si="5"/>
        <v>0</v>
      </c>
      <c r="G24" s="6">
        <f t="shared" si="5"/>
        <v>0</v>
      </c>
      <c r="H24" s="6">
        <f t="shared" si="5"/>
        <v>0</v>
      </c>
      <c r="I24" s="6">
        <f t="shared" si="5"/>
        <v>2</v>
      </c>
      <c r="J24" s="6">
        <f t="shared" si="5"/>
        <v>0</v>
      </c>
      <c r="K24" s="6">
        <f t="shared" si="5"/>
        <v>3</v>
      </c>
      <c r="L24" s="6">
        <f t="shared" si="5"/>
        <v>0</v>
      </c>
      <c r="M24" s="6">
        <f t="shared" si="5"/>
        <v>0</v>
      </c>
      <c r="N24" s="6">
        <f t="shared" si="5"/>
        <v>0</v>
      </c>
      <c r="O24" s="6">
        <f t="shared" si="5"/>
        <v>0</v>
      </c>
      <c r="P24" s="6">
        <f t="shared" si="5"/>
        <v>0</v>
      </c>
      <c r="Q24" s="6">
        <f t="shared" si="5"/>
        <v>0</v>
      </c>
      <c r="R24" s="6">
        <f t="shared" si="5"/>
        <v>1</v>
      </c>
      <c r="S24" s="6">
        <f t="shared" si="3"/>
        <v>6</v>
      </c>
    </row>
    <row r="25" ht="12.75" customHeight="1">
      <c r="A25" s="35"/>
      <c r="B25" s="33" t="s">
        <v>21</v>
      </c>
      <c r="C25" s="34" t="s">
        <v>22</v>
      </c>
      <c r="D25" s="13" t="s">
        <v>12</v>
      </c>
      <c r="E25" s="13">
        <v>0.0</v>
      </c>
      <c r="F25" s="13">
        <v>0.0</v>
      </c>
      <c r="G25" s="13">
        <v>0.0</v>
      </c>
      <c r="H25" s="13">
        <v>0.0</v>
      </c>
      <c r="I25" s="13">
        <v>0.0</v>
      </c>
      <c r="J25" s="13">
        <v>1.0</v>
      </c>
      <c r="K25" s="13">
        <v>1.0</v>
      </c>
      <c r="L25" s="13">
        <v>0.0</v>
      </c>
      <c r="M25" s="13">
        <v>1.0</v>
      </c>
      <c r="N25" s="13">
        <v>0.0</v>
      </c>
      <c r="O25" s="13">
        <v>0.0</v>
      </c>
      <c r="P25" s="13">
        <v>0.0</v>
      </c>
      <c r="Q25" s="13">
        <v>0.0</v>
      </c>
      <c r="R25" s="13">
        <v>0.0</v>
      </c>
      <c r="S25" s="6">
        <f t="shared" si="3"/>
        <v>3</v>
      </c>
    </row>
    <row r="26" ht="12.75" customHeight="1">
      <c r="A26" s="35"/>
      <c r="B26" s="26"/>
      <c r="C26" s="36"/>
      <c r="D26" s="13" t="s">
        <v>13</v>
      </c>
      <c r="E26" s="13">
        <v>0.0</v>
      </c>
      <c r="F26" s="13">
        <v>0.0</v>
      </c>
      <c r="G26" s="13">
        <v>0.0</v>
      </c>
      <c r="H26" s="13">
        <v>0.0</v>
      </c>
      <c r="I26" s="13">
        <v>0.0</v>
      </c>
      <c r="J26" s="13">
        <v>2.0</v>
      </c>
      <c r="K26" s="13">
        <v>2.0</v>
      </c>
      <c r="L26" s="13">
        <v>0.0</v>
      </c>
      <c r="M26" s="13">
        <v>4.0</v>
      </c>
      <c r="N26" s="13">
        <v>0.0</v>
      </c>
      <c r="O26" s="13">
        <v>0.0</v>
      </c>
      <c r="P26" s="13">
        <v>0.0</v>
      </c>
      <c r="Q26" s="13">
        <v>0.0</v>
      </c>
      <c r="R26" s="13">
        <v>0.0</v>
      </c>
      <c r="S26" s="6">
        <f t="shared" si="3"/>
        <v>8</v>
      </c>
    </row>
    <row r="27" ht="12.75" customHeight="1">
      <c r="A27" s="37"/>
      <c r="B27" s="27"/>
      <c r="C27" s="38"/>
      <c r="D27" s="6" t="s">
        <v>14</v>
      </c>
      <c r="E27" s="6">
        <f t="shared" ref="E27:R27" si="6">SUM(E25:E26)</f>
        <v>0</v>
      </c>
      <c r="F27" s="6">
        <f t="shared" si="6"/>
        <v>0</v>
      </c>
      <c r="G27" s="6">
        <f t="shared" si="6"/>
        <v>0</v>
      </c>
      <c r="H27" s="6">
        <f t="shared" si="6"/>
        <v>0</v>
      </c>
      <c r="I27" s="6">
        <f t="shared" si="6"/>
        <v>0</v>
      </c>
      <c r="J27" s="6">
        <f t="shared" si="6"/>
        <v>3</v>
      </c>
      <c r="K27" s="6">
        <f t="shared" si="6"/>
        <v>3</v>
      </c>
      <c r="L27" s="6">
        <f t="shared" si="6"/>
        <v>0</v>
      </c>
      <c r="M27" s="6">
        <f t="shared" si="6"/>
        <v>5</v>
      </c>
      <c r="N27" s="6">
        <f t="shared" si="6"/>
        <v>0</v>
      </c>
      <c r="O27" s="6">
        <f t="shared" si="6"/>
        <v>0</v>
      </c>
      <c r="P27" s="6">
        <f t="shared" si="6"/>
        <v>0</v>
      </c>
      <c r="Q27" s="6">
        <f t="shared" si="6"/>
        <v>0</v>
      </c>
      <c r="R27" s="6">
        <f t="shared" si="6"/>
        <v>0</v>
      </c>
      <c r="S27" s="6">
        <f t="shared" si="3"/>
        <v>11</v>
      </c>
    </row>
    <row r="28" ht="12.75" customHeight="1">
      <c r="A28" s="37"/>
      <c r="B28" s="39" t="s">
        <v>23</v>
      </c>
      <c r="C28" s="40" t="s">
        <v>24</v>
      </c>
      <c r="D28" s="6" t="s">
        <v>12</v>
      </c>
      <c r="E28" s="6">
        <f t="shared" ref="E28:R28" si="7">SUM(E19,E22,E25)</f>
        <v>97</v>
      </c>
      <c r="F28" s="6">
        <f t="shared" si="7"/>
        <v>101</v>
      </c>
      <c r="G28" s="6">
        <f t="shared" si="7"/>
        <v>113</v>
      </c>
      <c r="H28" s="6">
        <f t="shared" si="7"/>
        <v>85</v>
      </c>
      <c r="I28" s="6">
        <f t="shared" si="7"/>
        <v>93</v>
      </c>
      <c r="J28" s="6">
        <f t="shared" si="7"/>
        <v>103</v>
      </c>
      <c r="K28" s="6">
        <f t="shared" si="7"/>
        <v>92</v>
      </c>
      <c r="L28" s="6">
        <f t="shared" si="7"/>
        <v>107</v>
      </c>
      <c r="M28" s="6">
        <f t="shared" si="7"/>
        <v>103</v>
      </c>
      <c r="N28" s="6">
        <f t="shared" si="7"/>
        <v>112</v>
      </c>
      <c r="O28" s="6">
        <f t="shared" si="7"/>
        <v>91</v>
      </c>
      <c r="P28" s="6">
        <f t="shared" si="7"/>
        <v>121</v>
      </c>
      <c r="Q28" s="6">
        <f t="shared" si="7"/>
        <v>92</v>
      </c>
      <c r="R28" s="6">
        <f t="shared" si="7"/>
        <v>84</v>
      </c>
      <c r="S28" s="6">
        <f t="shared" si="3"/>
        <v>1394</v>
      </c>
    </row>
    <row r="29" ht="12.75" customHeight="1">
      <c r="A29" s="37"/>
      <c r="B29" s="26"/>
      <c r="C29" s="36"/>
      <c r="D29" s="6" t="s">
        <v>13</v>
      </c>
      <c r="E29" s="6">
        <f t="shared" ref="E29:R29" si="8">SUM(E20,E23,E26)</f>
        <v>105</v>
      </c>
      <c r="F29" s="6">
        <f t="shared" si="8"/>
        <v>103</v>
      </c>
      <c r="G29" s="6">
        <f t="shared" si="8"/>
        <v>125</v>
      </c>
      <c r="H29" s="6">
        <f t="shared" si="8"/>
        <v>107</v>
      </c>
      <c r="I29" s="6">
        <f t="shared" si="8"/>
        <v>114</v>
      </c>
      <c r="J29" s="6">
        <f t="shared" si="8"/>
        <v>105</v>
      </c>
      <c r="K29" s="6">
        <f t="shared" si="8"/>
        <v>118</v>
      </c>
      <c r="L29" s="6">
        <f t="shared" si="8"/>
        <v>115</v>
      </c>
      <c r="M29" s="6">
        <f t="shared" si="8"/>
        <v>132</v>
      </c>
      <c r="N29" s="6">
        <f t="shared" si="8"/>
        <v>122</v>
      </c>
      <c r="O29" s="6">
        <f t="shared" si="8"/>
        <v>105</v>
      </c>
      <c r="P29" s="6">
        <f t="shared" si="8"/>
        <v>138</v>
      </c>
      <c r="Q29" s="6">
        <f t="shared" si="8"/>
        <v>90</v>
      </c>
      <c r="R29" s="6">
        <f t="shared" si="8"/>
        <v>93</v>
      </c>
      <c r="S29" s="6">
        <f t="shared" si="3"/>
        <v>1572</v>
      </c>
    </row>
    <row r="30" ht="12.75" customHeight="1">
      <c r="A30" s="37"/>
      <c r="B30" s="27"/>
      <c r="C30" s="38"/>
      <c r="D30" s="6" t="s">
        <v>14</v>
      </c>
      <c r="E30" s="6">
        <f t="shared" ref="E30:R30" si="9">SUM(E28:E29)</f>
        <v>202</v>
      </c>
      <c r="F30" s="6">
        <f t="shared" si="9"/>
        <v>204</v>
      </c>
      <c r="G30" s="6">
        <f t="shared" si="9"/>
        <v>238</v>
      </c>
      <c r="H30" s="6">
        <f t="shared" si="9"/>
        <v>192</v>
      </c>
      <c r="I30" s="6">
        <f t="shared" si="9"/>
        <v>207</v>
      </c>
      <c r="J30" s="6">
        <f t="shared" si="9"/>
        <v>208</v>
      </c>
      <c r="K30" s="6">
        <f t="shared" si="9"/>
        <v>210</v>
      </c>
      <c r="L30" s="6">
        <f t="shared" si="9"/>
        <v>222</v>
      </c>
      <c r="M30" s="6">
        <f t="shared" si="9"/>
        <v>235</v>
      </c>
      <c r="N30" s="6">
        <f t="shared" si="9"/>
        <v>234</v>
      </c>
      <c r="O30" s="6">
        <f t="shared" si="9"/>
        <v>196</v>
      </c>
      <c r="P30" s="6">
        <f t="shared" si="9"/>
        <v>259</v>
      </c>
      <c r="Q30" s="6">
        <f t="shared" si="9"/>
        <v>182</v>
      </c>
      <c r="R30" s="6">
        <f t="shared" si="9"/>
        <v>177</v>
      </c>
      <c r="S30" s="6">
        <f t="shared" si="3"/>
        <v>2966</v>
      </c>
    </row>
    <row r="31" ht="12.75" customHeight="1">
      <c r="A31" s="21"/>
      <c r="B31" s="8"/>
      <c r="C31" s="8"/>
      <c r="D31" s="9"/>
      <c r="E31" s="13"/>
      <c r="F31" s="13"/>
      <c r="G31" s="13"/>
      <c r="H31" s="13"/>
      <c r="I31" s="13"/>
      <c r="J31" s="13"/>
      <c r="K31" s="13"/>
      <c r="L31" s="13"/>
      <c r="M31" s="13"/>
      <c r="N31" s="67"/>
      <c r="O31" s="67"/>
      <c r="P31" s="67"/>
      <c r="Q31" s="67"/>
      <c r="R31" s="67"/>
      <c r="S31" s="6"/>
    </row>
    <row r="32" ht="12.75" customHeight="1">
      <c r="A32" s="42" t="s">
        <v>25</v>
      </c>
      <c r="B32" s="7" t="s">
        <v>26</v>
      </c>
      <c r="C32" s="8"/>
      <c r="D32" s="9"/>
      <c r="E32" s="6"/>
      <c r="F32" s="6"/>
      <c r="G32" s="6"/>
      <c r="H32" s="6"/>
      <c r="I32" s="6"/>
      <c r="J32" s="6"/>
      <c r="K32" s="6"/>
      <c r="L32" s="6"/>
      <c r="M32" s="6"/>
      <c r="N32" s="68"/>
      <c r="O32" s="68"/>
      <c r="P32" s="68"/>
      <c r="Q32" s="68"/>
      <c r="R32" s="68"/>
      <c r="S32" s="6"/>
    </row>
    <row r="33" ht="12.75" customHeight="1">
      <c r="A33" s="13">
        <v>1.0</v>
      </c>
      <c r="B33" s="14" t="s">
        <v>27</v>
      </c>
      <c r="C33" s="8"/>
      <c r="D33" s="9"/>
      <c r="E33" s="13">
        <v>219.0</v>
      </c>
      <c r="F33" s="13">
        <v>244.0</v>
      </c>
      <c r="G33" s="13">
        <v>281.0</v>
      </c>
      <c r="H33" s="13">
        <v>230.0</v>
      </c>
      <c r="I33" s="13">
        <v>250.0</v>
      </c>
      <c r="J33" s="13">
        <v>246.0</v>
      </c>
      <c r="K33" s="13">
        <v>275.0</v>
      </c>
      <c r="L33" s="13">
        <v>291.0</v>
      </c>
      <c r="M33" s="13">
        <v>289.0</v>
      </c>
      <c r="N33" s="13">
        <v>284.0</v>
      </c>
      <c r="O33" s="13">
        <v>250.0</v>
      </c>
      <c r="P33" s="13">
        <v>299.0</v>
      </c>
      <c r="Q33" s="13">
        <v>212.0</v>
      </c>
      <c r="R33" s="13">
        <v>226.0</v>
      </c>
      <c r="S33" s="6">
        <f t="shared" ref="S33:S36" si="10">SUM(E33:R33)</f>
        <v>3596</v>
      </c>
    </row>
    <row r="34" ht="12.75" customHeight="1">
      <c r="A34" s="13">
        <v>2.0</v>
      </c>
      <c r="B34" s="14" t="s">
        <v>28</v>
      </c>
      <c r="C34" s="8"/>
      <c r="D34" s="9"/>
      <c r="E34" s="6">
        <v>202.0</v>
      </c>
      <c r="F34" s="6">
        <v>204.0</v>
      </c>
      <c r="G34" s="6">
        <v>238.0</v>
      </c>
      <c r="H34" s="6">
        <v>192.0</v>
      </c>
      <c r="I34" s="6">
        <v>207.0</v>
      </c>
      <c r="J34" s="6">
        <v>208.0</v>
      </c>
      <c r="K34" s="6">
        <v>210.0</v>
      </c>
      <c r="L34" s="6">
        <v>222.0</v>
      </c>
      <c r="M34" s="6">
        <v>235.0</v>
      </c>
      <c r="N34" s="6">
        <v>234.0</v>
      </c>
      <c r="O34" s="6">
        <v>196.0</v>
      </c>
      <c r="P34" s="6">
        <v>259.0</v>
      </c>
      <c r="Q34" s="6">
        <v>182.0</v>
      </c>
      <c r="R34" s="6">
        <v>177.0</v>
      </c>
      <c r="S34" s="6">
        <f t="shared" si="10"/>
        <v>2966</v>
      </c>
    </row>
    <row r="35" ht="12.75" customHeight="1">
      <c r="A35" s="13">
        <v>3.0</v>
      </c>
      <c r="B35" s="14" t="s">
        <v>29</v>
      </c>
      <c r="C35" s="8"/>
      <c r="D35" s="9"/>
      <c r="E35" s="13">
        <v>0.0</v>
      </c>
      <c r="F35" s="13">
        <v>0.0</v>
      </c>
      <c r="G35" s="13">
        <v>0.0</v>
      </c>
      <c r="H35" s="13">
        <v>1.0</v>
      </c>
      <c r="I35" s="13">
        <v>1.0</v>
      </c>
      <c r="J35" s="13">
        <v>0.0</v>
      </c>
      <c r="K35" s="13">
        <v>2.0</v>
      </c>
      <c r="L35" s="13">
        <v>0.0</v>
      </c>
      <c r="M35" s="13">
        <v>0.0</v>
      </c>
      <c r="N35" s="13">
        <v>0.0</v>
      </c>
      <c r="O35" s="13">
        <v>0.0</v>
      </c>
      <c r="P35" s="13">
        <v>0.0</v>
      </c>
      <c r="Q35" s="13">
        <v>0.0</v>
      </c>
      <c r="R35" s="13">
        <v>0.0</v>
      </c>
      <c r="S35" s="6">
        <f t="shared" si="10"/>
        <v>4</v>
      </c>
    </row>
    <row r="36" ht="12.75" customHeight="1">
      <c r="A36" s="13">
        <v>4.0</v>
      </c>
      <c r="B36" s="14" t="s">
        <v>30</v>
      </c>
      <c r="C36" s="8"/>
      <c r="D36" s="9"/>
      <c r="E36" s="6">
        <f t="shared" ref="E36:R36" si="11">E33-(E34+E35)</f>
        <v>17</v>
      </c>
      <c r="F36" s="6">
        <f t="shared" si="11"/>
        <v>40</v>
      </c>
      <c r="G36" s="6">
        <f t="shared" si="11"/>
        <v>43</v>
      </c>
      <c r="H36" s="6">
        <f t="shared" si="11"/>
        <v>37</v>
      </c>
      <c r="I36" s="6">
        <f t="shared" si="11"/>
        <v>42</v>
      </c>
      <c r="J36" s="6">
        <f t="shared" si="11"/>
        <v>38</v>
      </c>
      <c r="K36" s="6">
        <f t="shared" si="11"/>
        <v>63</v>
      </c>
      <c r="L36" s="6">
        <f t="shared" si="11"/>
        <v>69</v>
      </c>
      <c r="M36" s="6">
        <f t="shared" si="11"/>
        <v>54</v>
      </c>
      <c r="N36" s="6">
        <f t="shared" si="11"/>
        <v>50</v>
      </c>
      <c r="O36" s="6">
        <f t="shared" si="11"/>
        <v>54</v>
      </c>
      <c r="P36" s="6">
        <f t="shared" si="11"/>
        <v>40</v>
      </c>
      <c r="Q36" s="6">
        <f t="shared" si="11"/>
        <v>30</v>
      </c>
      <c r="R36" s="6">
        <f t="shared" si="11"/>
        <v>49</v>
      </c>
      <c r="S36" s="6">
        <f t="shared" si="10"/>
        <v>626</v>
      </c>
    </row>
    <row r="37" ht="12.75" customHeight="1">
      <c r="A37" s="21"/>
      <c r="B37" s="8"/>
      <c r="C37" s="8"/>
      <c r="D37" s="8"/>
      <c r="E37" s="21"/>
      <c r="F37" s="8"/>
      <c r="G37" s="8"/>
      <c r="H37" s="8"/>
      <c r="I37" s="9"/>
      <c r="J37" s="13"/>
      <c r="K37" s="13"/>
      <c r="L37" s="13"/>
      <c r="M37" s="13"/>
      <c r="N37" s="67"/>
      <c r="O37" s="69"/>
      <c r="P37" s="69"/>
      <c r="Q37" s="69"/>
      <c r="R37" s="69"/>
      <c r="S37" s="6"/>
    </row>
    <row r="38" ht="12.75" customHeight="1">
      <c r="A38" s="44" t="s">
        <v>31</v>
      </c>
      <c r="B38" s="7" t="s">
        <v>32</v>
      </c>
      <c r="C38" s="8"/>
      <c r="D38" s="9"/>
      <c r="E38" s="6"/>
      <c r="F38" s="6"/>
      <c r="G38" s="6"/>
      <c r="H38" s="6"/>
      <c r="I38" s="6"/>
      <c r="J38" s="6"/>
      <c r="K38" s="6"/>
      <c r="L38" s="6"/>
      <c r="M38" s="6"/>
      <c r="N38" s="68"/>
      <c r="O38" s="68"/>
      <c r="P38" s="68"/>
      <c r="Q38" s="68"/>
      <c r="R38" s="68"/>
      <c r="S38" s="6"/>
    </row>
    <row r="39" ht="12.75" customHeight="1">
      <c r="A39" s="32"/>
      <c r="B39" s="45" t="s">
        <v>33</v>
      </c>
      <c r="C39" s="20"/>
      <c r="D39" s="13" t="s">
        <v>12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6">
        <f t="shared" ref="S39:S41" si="12">SUM(E39:R39)</f>
        <v>0</v>
      </c>
    </row>
    <row r="40" ht="12.75" customHeight="1">
      <c r="A40" s="35"/>
      <c r="C40" s="26"/>
      <c r="D40" s="13" t="s">
        <v>13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6">
        <f t="shared" si="12"/>
        <v>0</v>
      </c>
    </row>
    <row r="41" ht="12.75" customHeight="1">
      <c r="A41" s="42"/>
      <c r="B41" s="46"/>
      <c r="C41" s="27"/>
      <c r="D41" s="6" t="s">
        <v>14</v>
      </c>
      <c r="E41" s="6">
        <f t="shared" ref="E41:R41" si="13">SUM(E39:E40)</f>
        <v>0</v>
      </c>
      <c r="F41" s="6">
        <f t="shared" si="13"/>
        <v>0</v>
      </c>
      <c r="G41" s="6">
        <f t="shared" si="13"/>
        <v>0</v>
      </c>
      <c r="H41" s="6">
        <f t="shared" si="13"/>
        <v>0</v>
      </c>
      <c r="I41" s="6">
        <f t="shared" si="13"/>
        <v>0</v>
      </c>
      <c r="J41" s="6">
        <f t="shared" si="13"/>
        <v>0</v>
      </c>
      <c r="K41" s="6">
        <f t="shared" si="13"/>
        <v>0</v>
      </c>
      <c r="L41" s="6">
        <f t="shared" si="13"/>
        <v>0</v>
      </c>
      <c r="M41" s="6">
        <f t="shared" si="13"/>
        <v>0</v>
      </c>
      <c r="N41" s="6">
        <f t="shared" si="13"/>
        <v>0</v>
      </c>
      <c r="O41" s="6">
        <f t="shared" si="13"/>
        <v>0</v>
      </c>
      <c r="P41" s="6">
        <f t="shared" si="13"/>
        <v>0</v>
      </c>
      <c r="Q41" s="6">
        <f t="shared" si="13"/>
        <v>0</v>
      </c>
      <c r="R41" s="6">
        <f t="shared" si="13"/>
        <v>0</v>
      </c>
      <c r="S41" s="6">
        <f t="shared" si="12"/>
        <v>0</v>
      </c>
    </row>
    <row r="42" ht="12.75" customHeight="1">
      <c r="A42" s="47"/>
      <c r="B42" s="46"/>
      <c r="C42" s="46"/>
      <c r="D42" s="27"/>
      <c r="E42" s="21"/>
      <c r="F42" s="8"/>
      <c r="G42" s="8"/>
      <c r="H42" s="8"/>
      <c r="I42" s="9"/>
      <c r="J42" s="13"/>
      <c r="K42" s="13"/>
      <c r="L42" s="13"/>
      <c r="M42" s="13"/>
      <c r="N42" s="67"/>
      <c r="S42" s="6"/>
    </row>
    <row r="43" ht="12.75" customHeight="1">
      <c r="A43" s="44" t="s">
        <v>34</v>
      </c>
      <c r="B43" s="7" t="s">
        <v>35</v>
      </c>
      <c r="C43" s="8"/>
      <c r="D43" s="9"/>
      <c r="E43" s="28"/>
      <c r="F43" s="6"/>
      <c r="G43" s="6"/>
      <c r="H43" s="6"/>
      <c r="I43" s="6"/>
      <c r="J43" s="6"/>
      <c r="K43" s="6"/>
      <c r="L43" s="6"/>
      <c r="M43" s="6"/>
      <c r="N43" s="68"/>
      <c r="S43" s="6"/>
    </row>
    <row r="44" ht="12.75" customHeight="1">
      <c r="A44" s="45" t="s">
        <v>36</v>
      </c>
      <c r="B44" s="48"/>
      <c r="C44" s="48"/>
      <c r="D44" s="20"/>
      <c r="E44" s="21"/>
      <c r="F44" s="13"/>
      <c r="G44" s="13"/>
      <c r="H44" s="13"/>
      <c r="I44" s="13"/>
      <c r="J44" s="13"/>
      <c r="K44" s="13"/>
      <c r="L44" s="13"/>
      <c r="M44" s="13"/>
      <c r="N44" s="67"/>
      <c r="S44" s="6"/>
    </row>
    <row r="45" ht="12.75" customHeight="1">
      <c r="A45" s="32" t="s">
        <v>37</v>
      </c>
      <c r="B45" s="49" t="s">
        <v>17</v>
      </c>
      <c r="C45" s="50" t="s">
        <v>38</v>
      </c>
      <c r="D45" s="9"/>
      <c r="E45" s="13">
        <v>25.0</v>
      </c>
      <c r="F45" s="13">
        <v>16.0</v>
      </c>
      <c r="G45" s="13">
        <v>14.0</v>
      </c>
      <c r="H45" s="13">
        <v>17.0</v>
      </c>
      <c r="I45" s="13">
        <v>10.0</v>
      </c>
      <c r="J45" s="13">
        <v>4.0</v>
      </c>
      <c r="K45" s="13">
        <v>12.0</v>
      </c>
      <c r="L45" s="13">
        <v>8.0</v>
      </c>
      <c r="M45" s="13">
        <v>7.0</v>
      </c>
      <c r="N45" s="13">
        <v>10.0</v>
      </c>
      <c r="O45" s="13">
        <v>12.0</v>
      </c>
      <c r="P45" s="13">
        <v>10.0</v>
      </c>
      <c r="Q45" s="13">
        <v>9.0</v>
      </c>
      <c r="R45" s="13">
        <v>12.0</v>
      </c>
      <c r="S45" s="6">
        <f t="shared" ref="S45:S52" si="14">SUM(E45:R45)</f>
        <v>166</v>
      </c>
    </row>
    <row r="46" ht="12.75" customHeight="1">
      <c r="A46" s="32" t="s">
        <v>39</v>
      </c>
      <c r="B46" s="51"/>
      <c r="C46" s="52" t="s">
        <v>40</v>
      </c>
      <c r="D46" s="53"/>
      <c r="E46" s="13">
        <v>18.0</v>
      </c>
      <c r="F46" s="13">
        <v>20.0</v>
      </c>
      <c r="G46" s="13">
        <v>27.0</v>
      </c>
      <c r="H46" s="13">
        <v>22.0</v>
      </c>
      <c r="I46" s="13">
        <v>11.0</v>
      </c>
      <c r="J46" s="13">
        <v>19.0</v>
      </c>
      <c r="K46" s="13">
        <v>13.0</v>
      </c>
      <c r="L46" s="13">
        <v>17.0</v>
      </c>
      <c r="M46" s="13">
        <v>4.0</v>
      </c>
      <c r="N46" s="13">
        <v>12.0</v>
      </c>
      <c r="O46" s="13">
        <v>28.0</v>
      </c>
      <c r="P46" s="13">
        <v>4.0</v>
      </c>
      <c r="Q46" s="13">
        <v>5.0</v>
      </c>
      <c r="R46" s="13">
        <v>3.0</v>
      </c>
      <c r="S46" s="6">
        <f t="shared" si="14"/>
        <v>203</v>
      </c>
    </row>
    <row r="47" ht="12.75" customHeight="1">
      <c r="A47" s="18"/>
      <c r="B47" s="51"/>
      <c r="C47" s="52" t="s">
        <v>41</v>
      </c>
      <c r="D47" s="53"/>
      <c r="E47" s="13">
        <v>7.0</v>
      </c>
      <c r="F47" s="13">
        <v>20.0</v>
      </c>
      <c r="G47" s="13">
        <v>6.0</v>
      </c>
      <c r="H47" s="13">
        <v>9.0</v>
      </c>
      <c r="I47" s="13">
        <v>1.0</v>
      </c>
      <c r="J47" s="13">
        <v>0.0</v>
      </c>
      <c r="K47" s="72">
        <v>4.0</v>
      </c>
      <c r="L47" s="13">
        <v>1.0</v>
      </c>
      <c r="M47" s="13">
        <v>0.0</v>
      </c>
      <c r="N47" s="13">
        <v>3.0</v>
      </c>
      <c r="O47" s="13">
        <v>0.0</v>
      </c>
      <c r="P47" s="13">
        <v>1.0</v>
      </c>
      <c r="Q47" s="13">
        <v>1.0</v>
      </c>
      <c r="R47" s="13">
        <v>2.0</v>
      </c>
      <c r="S47" s="6">
        <f t="shared" si="14"/>
        <v>55</v>
      </c>
    </row>
    <row r="48" ht="12.75" customHeight="1">
      <c r="A48" s="18"/>
      <c r="B48" s="51"/>
      <c r="C48" s="52" t="s">
        <v>42</v>
      </c>
      <c r="D48" s="53"/>
      <c r="E48" s="13">
        <v>14.0</v>
      </c>
      <c r="F48" s="13">
        <v>5.0</v>
      </c>
      <c r="G48" s="13">
        <v>3.0</v>
      </c>
      <c r="H48" s="13">
        <v>2.0</v>
      </c>
      <c r="I48" s="13">
        <v>6.0</v>
      </c>
      <c r="J48" s="13">
        <v>8.0</v>
      </c>
      <c r="K48" s="13">
        <v>0.0</v>
      </c>
      <c r="L48" s="13">
        <v>2.0</v>
      </c>
      <c r="M48" s="13">
        <v>0.0</v>
      </c>
      <c r="N48" s="13">
        <v>0.0</v>
      </c>
      <c r="O48" s="13">
        <v>2.0</v>
      </c>
      <c r="P48" s="13">
        <v>1.0</v>
      </c>
      <c r="Q48" s="13">
        <v>0.0</v>
      </c>
      <c r="R48" s="13">
        <v>0.0</v>
      </c>
      <c r="S48" s="6">
        <f t="shared" si="14"/>
        <v>43</v>
      </c>
    </row>
    <row r="49" ht="12.75" customHeight="1">
      <c r="A49" s="18"/>
      <c r="B49" s="51"/>
      <c r="C49" s="52" t="s">
        <v>43</v>
      </c>
      <c r="D49" s="53"/>
      <c r="E49" s="13">
        <v>0.0</v>
      </c>
      <c r="F49" s="13">
        <v>0.0</v>
      </c>
      <c r="G49" s="13">
        <v>0.0</v>
      </c>
      <c r="H49" s="13">
        <v>1.0</v>
      </c>
      <c r="I49" s="13">
        <v>0.0</v>
      </c>
      <c r="J49" s="13">
        <v>0.0</v>
      </c>
      <c r="K49" s="13">
        <v>1.0</v>
      </c>
      <c r="L49" s="13">
        <v>1.0</v>
      </c>
      <c r="M49" s="13">
        <v>0.0</v>
      </c>
      <c r="N49" s="13">
        <v>0.0</v>
      </c>
      <c r="O49" s="13">
        <v>0.0</v>
      </c>
      <c r="P49" s="13">
        <v>0.0</v>
      </c>
      <c r="Q49" s="13">
        <v>0.0</v>
      </c>
      <c r="R49" s="13">
        <v>0.0</v>
      </c>
      <c r="S49" s="6">
        <f t="shared" si="14"/>
        <v>3</v>
      </c>
    </row>
    <row r="50" ht="12.75" customHeight="1">
      <c r="A50" s="18"/>
      <c r="B50" s="51"/>
      <c r="C50" s="52" t="s">
        <v>44</v>
      </c>
      <c r="D50" s="53"/>
      <c r="E50" s="13">
        <v>0.0</v>
      </c>
      <c r="F50" s="13">
        <v>1.0</v>
      </c>
      <c r="G50" s="13">
        <v>0.0</v>
      </c>
      <c r="H50" s="13">
        <v>0.0</v>
      </c>
      <c r="I50" s="13">
        <v>1.0</v>
      </c>
      <c r="J50" s="13">
        <v>0.0</v>
      </c>
      <c r="K50" s="13">
        <v>0.0</v>
      </c>
      <c r="L50" s="13">
        <v>0.0</v>
      </c>
      <c r="M50" s="13">
        <v>0.0</v>
      </c>
      <c r="N50" s="13">
        <v>0.0</v>
      </c>
      <c r="O50" s="13">
        <v>2.0</v>
      </c>
      <c r="P50" s="13">
        <v>0.0</v>
      </c>
      <c r="Q50" s="13">
        <v>0.0</v>
      </c>
      <c r="R50" s="13">
        <v>0.0</v>
      </c>
      <c r="S50" s="6">
        <f t="shared" si="14"/>
        <v>4</v>
      </c>
    </row>
    <row r="51" ht="12.75" customHeight="1">
      <c r="A51" s="18"/>
      <c r="B51" s="51"/>
      <c r="C51" s="52" t="s">
        <v>45</v>
      </c>
      <c r="D51" s="53"/>
      <c r="E51" s="13">
        <v>0.0</v>
      </c>
      <c r="F51" s="13">
        <v>1.0</v>
      </c>
      <c r="G51" s="13">
        <v>1.0</v>
      </c>
      <c r="H51" s="13">
        <v>2.0</v>
      </c>
      <c r="I51" s="13">
        <v>10.0</v>
      </c>
      <c r="J51" s="13">
        <v>4.0</v>
      </c>
      <c r="K51" s="13">
        <v>2.0</v>
      </c>
      <c r="L51" s="13">
        <v>3.0</v>
      </c>
      <c r="M51" s="13">
        <v>1.0</v>
      </c>
      <c r="N51" s="13">
        <v>5.0</v>
      </c>
      <c r="O51" s="13">
        <v>0.0</v>
      </c>
      <c r="P51" s="13">
        <v>0.0</v>
      </c>
      <c r="Q51" s="13">
        <v>14.0</v>
      </c>
      <c r="R51" s="13">
        <v>14.0</v>
      </c>
      <c r="S51" s="6">
        <f t="shared" si="14"/>
        <v>57</v>
      </c>
    </row>
    <row r="52" ht="12.75" customHeight="1">
      <c r="A52" s="13" t="s">
        <v>15</v>
      </c>
      <c r="B52" s="49" t="s">
        <v>46</v>
      </c>
      <c r="C52" s="8"/>
      <c r="D52" s="9"/>
      <c r="E52" s="60">
        <f t="shared" ref="E52:R52" si="15">SUM(E45:E51)</f>
        <v>64</v>
      </c>
      <c r="F52" s="60">
        <f t="shared" si="15"/>
        <v>63</v>
      </c>
      <c r="G52" s="60">
        <f t="shared" si="15"/>
        <v>51</v>
      </c>
      <c r="H52" s="60">
        <f t="shared" si="15"/>
        <v>53</v>
      </c>
      <c r="I52" s="60">
        <f t="shared" si="15"/>
        <v>39</v>
      </c>
      <c r="J52" s="60">
        <f t="shared" si="15"/>
        <v>35</v>
      </c>
      <c r="K52" s="60">
        <f t="shared" si="15"/>
        <v>32</v>
      </c>
      <c r="L52" s="60">
        <f t="shared" si="15"/>
        <v>32</v>
      </c>
      <c r="M52" s="60">
        <f t="shared" si="15"/>
        <v>12</v>
      </c>
      <c r="N52" s="60">
        <f t="shared" si="15"/>
        <v>30</v>
      </c>
      <c r="O52" s="60">
        <f t="shared" si="15"/>
        <v>44</v>
      </c>
      <c r="P52" s="60">
        <f t="shared" si="15"/>
        <v>16</v>
      </c>
      <c r="Q52" s="60">
        <f t="shared" si="15"/>
        <v>29</v>
      </c>
      <c r="R52" s="60">
        <f t="shared" si="15"/>
        <v>31</v>
      </c>
      <c r="S52" s="6">
        <f t="shared" si="14"/>
        <v>531</v>
      </c>
    </row>
    <row r="53" ht="12.75" customHeight="1">
      <c r="A53" s="5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6"/>
    </row>
    <row r="54" ht="12.75" customHeight="1">
      <c r="A54" s="32" t="s">
        <v>37</v>
      </c>
      <c r="B54" s="49" t="s">
        <v>19</v>
      </c>
      <c r="C54" s="50" t="s">
        <v>47</v>
      </c>
      <c r="D54" s="9"/>
      <c r="E54" s="13">
        <v>6.0</v>
      </c>
      <c r="F54" s="13">
        <v>10.0</v>
      </c>
      <c r="G54" s="13">
        <v>12.0</v>
      </c>
      <c r="H54" s="13">
        <v>12.0</v>
      </c>
      <c r="I54" s="13">
        <v>11.0</v>
      </c>
      <c r="J54" s="13">
        <v>14.0</v>
      </c>
      <c r="K54" s="13">
        <v>12.0</v>
      </c>
      <c r="L54" s="13">
        <v>6.0</v>
      </c>
      <c r="M54" s="13">
        <v>17.0</v>
      </c>
      <c r="N54" s="13">
        <v>8.0</v>
      </c>
      <c r="O54" s="72">
        <v>4.0</v>
      </c>
      <c r="P54" s="13">
        <v>14.0</v>
      </c>
      <c r="Q54" s="13">
        <v>3.0</v>
      </c>
      <c r="R54" s="13">
        <v>9.0</v>
      </c>
      <c r="S54" s="6">
        <f t="shared" ref="S54:S61" si="16">SUM(E54:R54)</f>
        <v>138</v>
      </c>
    </row>
    <row r="55" ht="12.75" customHeight="1">
      <c r="A55" s="32" t="s">
        <v>39</v>
      </c>
      <c r="B55" s="51"/>
      <c r="C55" s="52" t="s">
        <v>48</v>
      </c>
      <c r="D55" s="53"/>
      <c r="E55" s="13">
        <v>0.0</v>
      </c>
      <c r="F55" s="13">
        <v>3.0</v>
      </c>
      <c r="G55" s="13">
        <v>5.0</v>
      </c>
      <c r="H55" s="13">
        <v>1.0</v>
      </c>
      <c r="I55" s="13">
        <v>3.0</v>
      </c>
      <c r="J55" s="13">
        <v>2.0</v>
      </c>
      <c r="K55" s="13">
        <v>4.0</v>
      </c>
      <c r="L55" s="13">
        <v>1.0</v>
      </c>
      <c r="M55" s="13">
        <v>2.0</v>
      </c>
      <c r="N55" s="13">
        <v>4.0</v>
      </c>
      <c r="O55" s="13">
        <v>2.0</v>
      </c>
      <c r="P55" s="13">
        <v>3.0</v>
      </c>
      <c r="Q55" s="13">
        <v>3.0</v>
      </c>
      <c r="R55" s="13">
        <v>2.0</v>
      </c>
      <c r="S55" s="6">
        <f t="shared" si="16"/>
        <v>35</v>
      </c>
    </row>
    <row r="56" ht="12.75" customHeight="1">
      <c r="A56" s="18"/>
      <c r="B56" s="51"/>
      <c r="C56" s="52" t="s">
        <v>49</v>
      </c>
      <c r="D56" s="53"/>
      <c r="E56" s="13">
        <v>0.0</v>
      </c>
      <c r="F56" s="13">
        <v>2.0</v>
      </c>
      <c r="G56" s="13">
        <v>6.0</v>
      </c>
      <c r="H56" s="13">
        <v>2.0</v>
      </c>
      <c r="I56" s="13">
        <v>4.0</v>
      </c>
      <c r="J56" s="13">
        <v>1.0</v>
      </c>
      <c r="K56" s="13">
        <v>6.0</v>
      </c>
      <c r="L56" s="13">
        <v>3.0</v>
      </c>
      <c r="M56" s="13">
        <v>4.0</v>
      </c>
      <c r="N56" s="13">
        <v>3.0</v>
      </c>
      <c r="O56" s="13">
        <v>2.0</v>
      </c>
      <c r="P56" s="13">
        <v>14.0</v>
      </c>
      <c r="Q56" s="13">
        <v>3.0</v>
      </c>
      <c r="R56" s="13">
        <v>2.0</v>
      </c>
      <c r="S56" s="6">
        <f t="shared" si="16"/>
        <v>52</v>
      </c>
    </row>
    <row r="57" ht="12.75" customHeight="1">
      <c r="A57" s="18"/>
      <c r="B57" s="51"/>
      <c r="C57" s="52" t="s">
        <v>50</v>
      </c>
      <c r="D57" s="53"/>
      <c r="E57" s="13">
        <v>1.0</v>
      </c>
      <c r="F57" s="13">
        <v>0.0</v>
      </c>
      <c r="G57" s="13">
        <v>0.0</v>
      </c>
      <c r="H57" s="13">
        <v>0.0</v>
      </c>
      <c r="I57" s="13">
        <v>1.0</v>
      </c>
      <c r="J57" s="13">
        <v>1.0</v>
      </c>
      <c r="K57" s="72">
        <v>1.0</v>
      </c>
      <c r="L57" s="13">
        <v>1.0</v>
      </c>
      <c r="M57" s="13">
        <v>0.0</v>
      </c>
      <c r="N57" s="13">
        <v>0.0</v>
      </c>
      <c r="O57" s="13">
        <v>3.0</v>
      </c>
      <c r="P57" s="13">
        <v>2.0</v>
      </c>
      <c r="Q57" s="13">
        <v>0.0</v>
      </c>
      <c r="R57" s="13">
        <v>0.0</v>
      </c>
      <c r="S57" s="6">
        <f t="shared" si="16"/>
        <v>10</v>
      </c>
    </row>
    <row r="58" ht="12.75" customHeight="1">
      <c r="A58" s="18"/>
      <c r="B58" s="51"/>
      <c r="C58" s="52" t="s">
        <v>51</v>
      </c>
      <c r="D58" s="53"/>
      <c r="E58" s="13">
        <v>0.0</v>
      </c>
      <c r="F58" s="13">
        <v>0.0</v>
      </c>
      <c r="G58" s="13">
        <v>0.0</v>
      </c>
      <c r="H58" s="13">
        <v>0.0</v>
      </c>
      <c r="I58" s="13">
        <v>0.0</v>
      </c>
      <c r="J58" s="13">
        <v>0.0</v>
      </c>
      <c r="K58" s="13">
        <v>0.0</v>
      </c>
      <c r="L58" s="13">
        <v>0.0</v>
      </c>
      <c r="M58" s="13">
        <v>0.0</v>
      </c>
      <c r="N58" s="13">
        <v>2.0</v>
      </c>
      <c r="O58" s="13">
        <v>1.0</v>
      </c>
      <c r="P58" s="13">
        <v>3.0</v>
      </c>
      <c r="Q58" s="13">
        <v>0.0</v>
      </c>
      <c r="R58" s="13">
        <v>1.0</v>
      </c>
      <c r="S58" s="6">
        <f t="shared" si="16"/>
        <v>7</v>
      </c>
    </row>
    <row r="59" ht="12.75" customHeight="1">
      <c r="A59" s="18"/>
      <c r="B59" s="51"/>
      <c r="C59" s="52" t="s">
        <v>52</v>
      </c>
      <c r="D59" s="53"/>
      <c r="E59" s="13">
        <v>0.0</v>
      </c>
      <c r="F59" s="13">
        <v>0.0</v>
      </c>
      <c r="G59" s="13">
        <v>1.0</v>
      </c>
      <c r="H59" s="13">
        <v>2.0</v>
      </c>
      <c r="I59" s="13">
        <v>0.0</v>
      </c>
      <c r="J59" s="13">
        <v>0.0</v>
      </c>
      <c r="K59" s="72">
        <v>1.0</v>
      </c>
      <c r="L59" s="13">
        <v>1.0</v>
      </c>
      <c r="M59" s="13">
        <v>0.0</v>
      </c>
      <c r="N59" s="13">
        <v>0.0</v>
      </c>
      <c r="O59" s="13">
        <v>2.0</v>
      </c>
      <c r="P59" s="13">
        <v>0.0</v>
      </c>
      <c r="Q59" s="13">
        <v>0.0</v>
      </c>
      <c r="R59" s="13">
        <v>0.0</v>
      </c>
      <c r="S59" s="6">
        <f t="shared" si="16"/>
        <v>7</v>
      </c>
    </row>
    <row r="60" ht="12.75" customHeight="1">
      <c r="A60" s="18"/>
      <c r="B60" s="51"/>
      <c r="C60" s="52" t="s">
        <v>53</v>
      </c>
      <c r="D60" s="53"/>
      <c r="E60" s="13">
        <v>0.0</v>
      </c>
      <c r="F60" s="13">
        <v>0.0</v>
      </c>
      <c r="G60" s="13">
        <v>0.0</v>
      </c>
      <c r="H60" s="13">
        <v>0.0</v>
      </c>
      <c r="I60" s="13">
        <v>0.0</v>
      </c>
      <c r="J60" s="13">
        <v>1.0</v>
      </c>
      <c r="K60" s="13">
        <v>0.0</v>
      </c>
      <c r="L60" s="13">
        <v>1.0</v>
      </c>
      <c r="M60" s="13">
        <v>1.0</v>
      </c>
      <c r="N60" s="13">
        <v>0.0</v>
      </c>
      <c r="O60" s="13">
        <v>0.0</v>
      </c>
      <c r="P60" s="13">
        <v>0.0</v>
      </c>
      <c r="Q60" s="13">
        <v>0.0</v>
      </c>
      <c r="R60" s="13">
        <v>0.0</v>
      </c>
      <c r="S60" s="6">
        <f t="shared" si="16"/>
        <v>3</v>
      </c>
    </row>
    <row r="61" ht="12.75" customHeight="1">
      <c r="A61" s="13" t="s">
        <v>15</v>
      </c>
      <c r="B61" s="49" t="s">
        <v>46</v>
      </c>
      <c r="C61" s="8"/>
      <c r="D61" s="9"/>
      <c r="E61" s="60">
        <f t="shared" ref="E61:R61" si="17">SUM(E54:E60)</f>
        <v>7</v>
      </c>
      <c r="F61" s="60">
        <f t="shared" si="17"/>
        <v>15</v>
      </c>
      <c r="G61" s="60">
        <f t="shared" si="17"/>
        <v>24</v>
      </c>
      <c r="H61" s="60">
        <f t="shared" si="17"/>
        <v>17</v>
      </c>
      <c r="I61" s="60">
        <f t="shared" si="17"/>
        <v>19</v>
      </c>
      <c r="J61" s="60">
        <f t="shared" si="17"/>
        <v>19</v>
      </c>
      <c r="K61" s="60">
        <f t="shared" si="17"/>
        <v>24</v>
      </c>
      <c r="L61" s="60">
        <f t="shared" si="17"/>
        <v>13</v>
      </c>
      <c r="M61" s="60">
        <f t="shared" si="17"/>
        <v>24</v>
      </c>
      <c r="N61" s="60">
        <f t="shared" si="17"/>
        <v>17</v>
      </c>
      <c r="O61" s="60">
        <f t="shared" si="17"/>
        <v>14</v>
      </c>
      <c r="P61" s="60">
        <f t="shared" si="17"/>
        <v>36</v>
      </c>
      <c r="Q61" s="60">
        <f t="shared" si="17"/>
        <v>9</v>
      </c>
      <c r="R61" s="60">
        <f t="shared" si="17"/>
        <v>14</v>
      </c>
      <c r="S61" s="6">
        <f t="shared" si="16"/>
        <v>252</v>
      </c>
    </row>
    <row r="62" ht="12.75" customHeight="1">
      <c r="A62" s="54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6"/>
    </row>
    <row r="63" ht="12.75" customHeight="1">
      <c r="A63" s="32" t="s">
        <v>37</v>
      </c>
      <c r="B63" s="49" t="s">
        <v>21</v>
      </c>
      <c r="C63" s="50" t="s">
        <v>54</v>
      </c>
      <c r="D63" s="9"/>
      <c r="E63" s="13">
        <v>11.0</v>
      </c>
      <c r="F63" s="13">
        <v>5.0</v>
      </c>
      <c r="G63" s="13">
        <v>9.0</v>
      </c>
      <c r="H63" s="13">
        <v>12.0</v>
      </c>
      <c r="I63" s="13">
        <v>11.0</v>
      </c>
      <c r="J63" s="13">
        <v>10.0</v>
      </c>
      <c r="K63" s="13">
        <v>9.0</v>
      </c>
      <c r="L63" s="13">
        <v>5.0</v>
      </c>
      <c r="M63" s="13">
        <v>12.0</v>
      </c>
      <c r="N63" s="13">
        <v>20.0</v>
      </c>
      <c r="O63" s="13">
        <v>24.0</v>
      </c>
      <c r="P63" s="13">
        <v>12.0</v>
      </c>
      <c r="Q63" s="13">
        <v>6.0</v>
      </c>
      <c r="R63" s="13">
        <v>11.0</v>
      </c>
      <c r="S63" s="6">
        <f t="shared" ref="S63:S70" si="18">SUM(E63:R63)</f>
        <v>157</v>
      </c>
    </row>
    <row r="64" ht="12.75" customHeight="1">
      <c r="A64" s="32" t="s">
        <v>39</v>
      </c>
      <c r="B64" s="51"/>
      <c r="C64" s="52" t="s">
        <v>55</v>
      </c>
      <c r="D64" s="53"/>
      <c r="E64" s="13">
        <v>2.0</v>
      </c>
      <c r="F64" s="13">
        <v>1.0</v>
      </c>
      <c r="G64" s="13">
        <v>1.0</v>
      </c>
      <c r="H64" s="13">
        <v>4.0</v>
      </c>
      <c r="I64" s="13">
        <v>2.0</v>
      </c>
      <c r="J64" s="13">
        <v>1.0</v>
      </c>
      <c r="K64" s="13">
        <v>2.0</v>
      </c>
      <c r="L64" s="13">
        <v>2.0</v>
      </c>
      <c r="M64" s="13">
        <v>1.0</v>
      </c>
      <c r="N64" s="13">
        <v>14.0</v>
      </c>
      <c r="O64" s="13">
        <v>22.0</v>
      </c>
      <c r="P64" s="13">
        <v>7.0</v>
      </c>
      <c r="Q64" s="13">
        <v>13.0</v>
      </c>
      <c r="R64" s="13">
        <v>3.0</v>
      </c>
      <c r="S64" s="6">
        <f t="shared" si="18"/>
        <v>75</v>
      </c>
    </row>
    <row r="65" ht="12.75" customHeight="1">
      <c r="A65" s="18"/>
      <c r="B65" s="51"/>
      <c r="C65" s="52" t="s">
        <v>56</v>
      </c>
      <c r="D65" s="53"/>
      <c r="E65" s="13">
        <v>0.0</v>
      </c>
      <c r="F65" s="13">
        <v>5.0</v>
      </c>
      <c r="G65" s="13">
        <v>9.0</v>
      </c>
      <c r="H65" s="13">
        <v>1.0</v>
      </c>
      <c r="I65" s="13">
        <v>28.0</v>
      </c>
      <c r="J65" s="13">
        <v>12.0</v>
      </c>
      <c r="K65" s="13">
        <v>6.0</v>
      </c>
      <c r="L65" s="13">
        <v>0.0</v>
      </c>
      <c r="M65" s="13">
        <v>4.0</v>
      </c>
      <c r="N65" s="13">
        <v>6.0</v>
      </c>
      <c r="O65" s="13">
        <v>2.0</v>
      </c>
      <c r="P65" s="13">
        <v>8.0</v>
      </c>
      <c r="Q65" s="13">
        <v>3.0</v>
      </c>
      <c r="R65" s="13">
        <v>2.0</v>
      </c>
      <c r="S65" s="6">
        <f t="shared" si="18"/>
        <v>86</v>
      </c>
    </row>
    <row r="66" ht="12.75" customHeight="1">
      <c r="A66" s="18"/>
      <c r="B66" s="51"/>
      <c r="C66" s="52" t="s">
        <v>57</v>
      </c>
      <c r="D66" s="53"/>
      <c r="E66" s="13">
        <v>4.0</v>
      </c>
      <c r="F66" s="13">
        <v>1.0</v>
      </c>
      <c r="G66" s="13">
        <v>0.0</v>
      </c>
      <c r="H66" s="13">
        <v>1.0</v>
      </c>
      <c r="I66" s="13">
        <v>2.0</v>
      </c>
      <c r="J66" s="13">
        <v>1.0</v>
      </c>
      <c r="K66" s="13">
        <v>12.0</v>
      </c>
      <c r="L66" s="13">
        <v>9.0</v>
      </c>
      <c r="M66" s="13">
        <v>12.0</v>
      </c>
      <c r="N66" s="13">
        <v>1.0</v>
      </c>
      <c r="O66" s="13">
        <v>3.0</v>
      </c>
      <c r="P66" s="13">
        <v>3.0</v>
      </c>
      <c r="Q66" s="13">
        <v>2.0</v>
      </c>
      <c r="R66" s="13">
        <v>0.0</v>
      </c>
      <c r="S66" s="6">
        <f t="shared" si="18"/>
        <v>51</v>
      </c>
    </row>
    <row r="67" ht="12.75" customHeight="1">
      <c r="A67" s="18"/>
      <c r="B67" s="51"/>
      <c r="C67" s="52" t="s">
        <v>58</v>
      </c>
      <c r="D67" s="53"/>
      <c r="E67" s="13">
        <v>0.0</v>
      </c>
      <c r="F67" s="13">
        <v>0.0</v>
      </c>
      <c r="G67" s="13">
        <v>1.0</v>
      </c>
      <c r="H67" s="13">
        <v>0.0</v>
      </c>
      <c r="I67" s="13">
        <v>0.0</v>
      </c>
      <c r="J67" s="13">
        <v>0.0</v>
      </c>
      <c r="K67" s="13">
        <v>1.0</v>
      </c>
      <c r="L67" s="13">
        <v>1.0</v>
      </c>
      <c r="M67" s="13">
        <v>0.0</v>
      </c>
      <c r="N67" s="13">
        <v>0.0</v>
      </c>
      <c r="O67" s="13">
        <v>0.0</v>
      </c>
      <c r="P67" s="13">
        <v>0.0</v>
      </c>
      <c r="Q67" s="13">
        <v>0.0</v>
      </c>
      <c r="R67" s="13">
        <v>0.0</v>
      </c>
      <c r="S67" s="6">
        <f t="shared" si="18"/>
        <v>3</v>
      </c>
    </row>
    <row r="68" ht="12.75" customHeight="1">
      <c r="A68" s="18"/>
      <c r="B68" s="51"/>
      <c r="C68" s="52" t="s">
        <v>59</v>
      </c>
      <c r="D68" s="53"/>
      <c r="E68" s="13">
        <v>9.0</v>
      </c>
      <c r="F68" s="13">
        <v>6.0</v>
      </c>
      <c r="G68" s="13">
        <v>6.0</v>
      </c>
      <c r="H68" s="13">
        <v>3.0</v>
      </c>
      <c r="I68" s="13">
        <v>1.0</v>
      </c>
      <c r="J68" s="13">
        <v>10.0</v>
      </c>
      <c r="K68" s="13">
        <v>1.0</v>
      </c>
      <c r="L68" s="13">
        <v>0.0</v>
      </c>
      <c r="M68" s="13">
        <v>5.0</v>
      </c>
      <c r="N68" s="13">
        <v>0.0</v>
      </c>
      <c r="O68" s="13">
        <v>0.0</v>
      </c>
      <c r="P68" s="13">
        <v>0.0</v>
      </c>
      <c r="Q68" s="13">
        <v>1.0</v>
      </c>
      <c r="R68" s="13">
        <v>0.0</v>
      </c>
      <c r="S68" s="6">
        <f t="shared" si="18"/>
        <v>42</v>
      </c>
    </row>
    <row r="69" ht="12.75" customHeight="1">
      <c r="A69" s="18"/>
      <c r="B69" s="51"/>
      <c r="C69" s="52" t="s">
        <v>60</v>
      </c>
      <c r="D69" s="53"/>
      <c r="E69" s="13">
        <v>5.0</v>
      </c>
      <c r="F69" s="13">
        <v>6.0</v>
      </c>
      <c r="G69" s="13">
        <v>9.0</v>
      </c>
      <c r="H69" s="13">
        <v>4.0</v>
      </c>
      <c r="I69" s="13">
        <v>10.0</v>
      </c>
      <c r="J69" s="13">
        <v>7.0</v>
      </c>
      <c r="K69" s="13">
        <v>12.0</v>
      </c>
      <c r="L69" s="13">
        <v>2.0</v>
      </c>
      <c r="M69" s="13">
        <v>17.0</v>
      </c>
      <c r="N69" s="13">
        <v>14.0</v>
      </c>
      <c r="O69" s="13">
        <v>4.0</v>
      </c>
      <c r="P69" s="13">
        <v>28.0</v>
      </c>
      <c r="Q69" s="13">
        <v>3.0</v>
      </c>
      <c r="R69" s="13">
        <v>2.0</v>
      </c>
      <c r="S69" s="6">
        <f t="shared" si="18"/>
        <v>123</v>
      </c>
    </row>
    <row r="70" ht="12.75" customHeight="1">
      <c r="A70" s="13" t="s">
        <v>15</v>
      </c>
      <c r="B70" s="49" t="s">
        <v>46</v>
      </c>
      <c r="C70" s="8"/>
      <c r="D70" s="9"/>
      <c r="E70" s="60">
        <f t="shared" ref="E70:R70" si="19">SUM(E63:E69)</f>
        <v>31</v>
      </c>
      <c r="F70" s="60">
        <f t="shared" si="19"/>
        <v>24</v>
      </c>
      <c r="G70" s="60">
        <f t="shared" si="19"/>
        <v>35</v>
      </c>
      <c r="H70" s="60">
        <f t="shared" si="19"/>
        <v>25</v>
      </c>
      <c r="I70" s="60">
        <f t="shared" si="19"/>
        <v>54</v>
      </c>
      <c r="J70" s="60">
        <f t="shared" si="19"/>
        <v>41</v>
      </c>
      <c r="K70" s="60">
        <f t="shared" si="19"/>
        <v>43</v>
      </c>
      <c r="L70" s="60">
        <f t="shared" si="19"/>
        <v>19</v>
      </c>
      <c r="M70" s="60">
        <f t="shared" si="19"/>
        <v>51</v>
      </c>
      <c r="N70" s="60">
        <f t="shared" si="19"/>
        <v>55</v>
      </c>
      <c r="O70" s="60">
        <f t="shared" si="19"/>
        <v>55</v>
      </c>
      <c r="P70" s="60">
        <f t="shared" si="19"/>
        <v>58</v>
      </c>
      <c r="Q70" s="60">
        <f t="shared" si="19"/>
        <v>28</v>
      </c>
      <c r="R70" s="60">
        <f t="shared" si="19"/>
        <v>18</v>
      </c>
      <c r="S70" s="6">
        <f t="shared" si="18"/>
        <v>537</v>
      </c>
    </row>
    <row r="71" ht="12.75" customHeight="1">
      <c r="A71" s="54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6"/>
    </row>
    <row r="72" ht="12.75" customHeight="1">
      <c r="A72" s="32" t="s">
        <v>37</v>
      </c>
      <c r="B72" s="49" t="s">
        <v>23</v>
      </c>
      <c r="C72" s="50" t="s">
        <v>61</v>
      </c>
      <c r="D72" s="9"/>
      <c r="E72" s="13">
        <v>1.0</v>
      </c>
      <c r="F72" s="13">
        <v>0.0</v>
      </c>
      <c r="G72" s="13">
        <v>0.0</v>
      </c>
      <c r="H72" s="13">
        <v>1.0</v>
      </c>
      <c r="I72" s="13">
        <v>5.0</v>
      </c>
      <c r="J72" s="13">
        <v>1.0</v>
      </c>
      <c r="K72" s="13">
        <v>1.0</v>
      </c>
      <c r="L72" s="13">
        <v>3.0</v>
      </c>
      <c r="M72" s="13">
        <v>1.0</v>
      </c>
      <c r="N72" s="13">
        <v>6.0</v>
      </c>
      <c r="O72" s="13">
        <v>4.0</v>
      </c>
      <c r="P72" s="13">
        <v>3.0</v>
      </c>
      <c r="Q72" s="13">
        <v>2.0</v>
      </c>
      <c r="R72" s="13">
        <v>2.0</v>
      </c>
      <c r="S72" s="6">
        <f t="shared" ref="S72:S79" si="20">SUM(E72:R72)</f>
        <v>30</v>
      </c>
    </row>
    <row r="73" ht="12.75" customHeight="1">
      <c r="A73" s="32" t="s">
        <v>39</v>
      </c>
      <c r="B73" s="51"/>
      <c r="C73" s="52" t="s">
        <v>62</v>
      </c>
      <c r="D73" s="53"/>
      <c r="E73" s="13">
        <v>1.0</v>
      </c>
      <c r="F73" s="13">
        <v>1.0</v>
      </c>
      <c r="G73" s="13">
        <v>1.0</v>
      </c>
      <c r="H73" s="13">
        <v>1.0</v>
      </c>
      <c r="I73" s="13">
        <v>0.0</v>
      </c>
      <c r="J73" s="13">
        <v>3.0</v>
      </c>
      <c r="K73" s="13">
        <v>3.0</v>
      </c>
      <c r="L73" s="13">
        <v>1.0</v>
      </c>
      <c r="M73" s="13">
        <v>14.0</v>
      </c>
      <c r="N73" s="13">
        <v>13.0</v>
      </c>
      <c r="O73" s="13">
        <v>4.0</v>
      </c>
      <c r="P73" s="13">
        <v>2.0</v>
      </c>
      <c r="Q73" s="13">
        <v>3.0</v>
      </c>
      <c r="R73" s="13">
        <v>3.0</v>
      </c>
      <c r="S73" s="6">
        <f t="shared" si="20"/>
        <v>50</v>
      </c>
    </row>
    <row r="74" ht="12.75" customHeight="1">
      <c r="A74" s="18"/>
      <c r="B74" s="51"/>
      <c r="C74" s="52" t="s">
        <v>63</v>
      </c>
      <c r="D74" s="53"/>
      <c r="E74" s="13">
        <v>0.0</v>
      </c>
      <c r="F74" s="13">
        <v>0.0</v>
      </c>
      <c r="G74" s="13">
        <v>0.0</v>
      </c>
      <c r="H74" s="13">
        <v>0.0</v>
      </c>
      <c r="I74" s="13">
        <v>1.0</v>
      </c>
      <c r="J74" s="13">
        <v>1.0</v>
      </c>
      <c r="K74" s="13">
        <v>0.0</v>
      </c>
      <c r="L74" s="13">
        <v>0.0</v>
      </c>
      <c r="M74" s="13">
        <v>1.0</v>
      </c>
      <c r="N74" s="13">
        <v>1.0</v>
      </c>
      <c r="O74" s="72">
        <v>1.0</v>
      </c>
      <c r="P74" s="13">
        <v>1.0</v>
      </c>
      <c r="Q74" s="13">
        <v>0.0</v>
      </c>
      <c r="R74" s="13">
        <v>0.0</v>
      </c>
      <c r="S74" s="6">
        <f t="shared" si="20"/>
        <v>6</v>
      </c>
    </row>
    <row r="75" ht="12.75" customHeight="1">
      <c r="A75" s="18"/>
      <c r="B75" s="51"/>
      <c r="C75" s="52" t="s">
        <v>64</v>
      </c>
      <c r="D75" s="53"/>
      <c r="E75" s="13">
        <v>0.0</v>
      </c>
      <c r="F75" s="13">
        <v>0.0</v>
      </c>
      <c r="G75" s="13">
        <v>0.0</v>
      </c>
      <c r="H75" s="13">
        <v>0.0</v>
      </c>
      <c r="I75" s="13">
        <v>1.0</v>
      </c>
      <c r="J75" s="13">
        <v>0.0</v>
      </c>
      <c r="K75" s="13">
        <v>1.0</v>
      </c>
      <c r="L75" s="13">
        <v>1.0</v>
      </c>
      <c r="M75" s="13">
        <v>0.0</v>
      </c>
      <c r="N75" s="13">
        <v>0.0</v>
      </c>
      <c r="O75" s="13">
        <v>0.0</v>
      </c>
      <c r="P75" s="13">
        <v>0.0</v>
      </c>
      <c r="Q75" s="13">
        <v>0.0</v>
      </c>
      <c r="R75" s="13">
        <v>0.0</v>
      </c>
      <c r="S75" s="6">
        <f t="shared" si="20"/>
        <v>3</v>
      </c>
    </row>
    <row r="76" ht="12.75" customHeight="1">
      <c r="A76" s="18"/>
      <c r="B76" s="51"/>
      <c r="C76" s="52" t="s">
        <v>65</v>
      </c>
      <c r="D76" s="53"/>
      <c r="E76" s="13">
        <v>0.0</v>
      </c>
      <c r="F76" s="13">
        <v>0.0</v>
      </c>
      <c r="G76" s="13">
        <v>0.0</v>
      </c>
      <c r="H76" s="13">
        <v>0.0</v>
      </c>
      <c r="I76" s="13">
        <v>2.0</v>
      </c>
      <c r="J76" s="13">
        <v>1.0</v>
      </c>
      <c r="K76" s="13">
        <v>0.0</v>
      </c>
      <c r="L76" s="13">
        <v>0.0</v>
      </c>
      <c r="M76" s="13">
        <v>0.0</v>
      </c>
      <c r="N76" s="13">
        <v>2.0</v>
      </c>
      <c r="O76" s="13">
        <v>0.0</v>
      </c>
      <c r="P76" s="13">
        <v>0.0</v>
      </c>
      <c r="Q76" s="13">
        <v>0.0</v>
      </c>
      <c r="R76" s="13">
        <v>0.0</v>
      </c>
      <c r="S76" s="6">
        <f t="shared" si="20"/>
        <v>5</v>
      </c>
    </row>
    <row r="77" ht="12.75" customHeight="1">
      <c r="A77" s="18"/>
      <c r="B77" s="51"/>
      <c r="C77" s="52" t="s">
        <v>66</v>
      </c>
      <c r="D77" s="53"/>
      <c r="E77" s="13">
        <v>0.0</v>
      </c>
      <c r="F77" s="13">
        <v>0.0</v>
      </c>
      <c r="G77" s="13">
        <v>1.0</v>
      </c>
      <c r="H77" s="13">
        <v>0.0</v>
      </c>
      <c r="I77" s="13">
        <v>0.0</v>
      </c>
      <c r="J77" s="13">
        <v>0.0</v>
      </c>
      <c r="K77" s="13">
        <v>0.0</v>
      </c>
      <c r="L77" s="13">
        <v>0.0</v>
      </c>
      <c r="M77" s="13">
        <v>0.0</v>
      </c>
      <c r="N77" s="13">
        <v>0.0</v>
      </c>
      <c r="O77" s="13">
        <v>0.0</v>
      </c>
      <c r="P77" s="13">
        <v>0.0</v>
      </c>
      <c r="Q77" s="13">
        <v>0.0</v>
      </c>
      <c r="R77" s="13">
        <v>0.0</v>
      </c>
      <c r="S77" s="6">
        <f t="shared" si="20"/>
        <v>1</v>
      </c>
    </row>
    <row r="78" ht="12.75" customHeight="1">
      <c r="A78" s="18"/>
      <c r="B78" s="51"/>
      <c r="C78" s="52" t="s">
        <v>67</v>
      </c>
      <c r="D78" s="53"/>
      <c r="E78" s="13">
        <v>0.0</v>
      </c>
      <c r="F78" s="13">
        <v>2.0</v>
      </c>
      <c r="G78" s="13">
        <v>0.0</v>
      </c>
      <c r="H78" s="13">
        <v>0.0</v>
      </c>
      <c r="I78" s="13">
        <v>0.0</v>
      </c>
      <c r="J78" s="13">
        <v>0.0</v>
      </c>
      <c r="K78" s="13">
        <v>4.0</v>
      </c>
      <c r="L78" s="13">
        <v>13.0</v>
      </c>
      <c r="M78" s="13">
        <v>2.0</v>
      </c>
      <c r="N78" s="13">
        <v>0.0</v>
      </c>
      <c r="O78" s="13">
        <v>2.0</v>
      </c>
      <c r="P78" s="13">
        <v>0.0</v>
      </c>
      <c r="Q78" s="13">
        <v>1.0</v>
      </c>
      <c r="R78" s="13">
        <v>0.0</v>
      </c>
      <c r="S78" s="6">
        <f t="shared" si="20"/>
        <v>24</v>
      </c>
    </row>
    <row r="79" ht="12.75" customHeight="1">
      <c r="A79" s="13" t="s">
        <v>15</v>
      </c>
      <c r="B79" s="49" t="s">
        <v>46</v>
      </c>
      <c r="C79" s="8"/>
      <c r="D79" s="9"/>
      <c r="E79" s="60">
        <f t="shared" ref="E79:R79" si="21">SUM(E72:E78)</f>
        <v>2</v>
      </c>
      <c r="F79" s="60">
        <f t="shared" si="21"/>
        <v>3</v>
      </c>
      <c r="G79" s="60">
        <f t="shared" si="21"/>
        <v>2</v>
      </c>
      <c r="H79" s="60">
        <f t="shared" si="21"/>
        <v>2</v>
      </c>
      <c r="I79" s="60">
        <f t="shared" si="21"/>
        <v>9</v>
      </c>
      <c r="J79" s="60">
        <f t="shared" si="21"/>
        <v>6</v>
      </c>
      <c r="K79" s="60">
        <f t="shared" si="21"/>
        <v>9</v>
      </c>
      <c r="L79" s="60">
        <f t="shared" si="21"/>
        <v>18</v>
      </c>
      <c r="M79" s="60">
        <f t="shared" si="21"/>
        <v>18</v>
      </c>
      <c r="N79" s="60">
        <f t="shared" si="21"/>
        <v>22</v>
      </c>
      <c r="O79" s="60">
        <f t="shared" si="21"/>
        <v>11</v>
      </c>
      <c r="P79" s="60">
        <f t="shared" si="21"/>
        <v>6</v>
      </c>
      <c r="Q79" s="60">
        <f t="shared" si="21"/>
        <v>6</v>
      </c>
      <c r="R79" s="60">
        <f t="shared" si="21"/>
        <v>5</v>
      </c>
      <c r="S79" s="6">
        <f t="shared" si="20"/>
        <v>119</v>
      </c>
    </row>
    <row r="80" ht="12.75" customHeight="1">
      <c r="A80" s="54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6"/>
    </row>
    <row r="81" ht="12.75" customHeight="1">
      <c r="A81" s="32" t="s">
        <v>37</v>
      </c>
      <c r="B81" s="49" t="s">
        <v>68</v>
      </c>
      <c r="C81" s="50" t="s">
        <v>69</v>
      </c>
      <c r="D81" s="9"/>
      <c r="E81" s="13">
        <v>0.0</v>
      </c>
      <c r="F81" s="13">
        <v>0.0</v>
      </c>
      <c r="G81" s="13">
        <v>0.0</v>
      </c>
      <c r="H81" s="13">
        <v>2.0</v>
      </c>
      <c r="I81" s="13">
        <v>0.0</v>
      </c>
      <c r="J81" s="13">
        <v>0.0</v>
      </c>
      <c r="K81" s="13">
        <v>0.0</v>
      </c>
      <c r="L81" s="13">
        <v>0.0</v>
      </c>
      <c r="M81" s="13">
        <v>0.0</v>
      </c>
      <c r="N81" s="13">
        <v>0.0</v>
      </c>
      <c r="O81" s="13">
        <v>0.0</v>
      </c>
      <c r="P81" s="13">
        <v>0.0</v>
      </c>
      <c r="Q81" s="13">
        <v>1.0</v>
      </c>
      <c r="R81" s="13">
        <v>0.0</v>
      </c>
      <c r="S81" s="6">
        <f t="shared" ref="S81:S88" si="22">SUM(E81:R81)</f>
        <v>3</v>
      </c>
    </row>
    <row r="82" ht="12.75" customHeight="1">
      <c r="A82" s="32" t="s">
        <v>39</v>
      </c>
      <c r="B82" s="51"/>
      <c r="C82" s="52" t="s">
        <v>70</v>
      </c>
      <c r="D82" s="53"/>
      <c r="E82" s="13">
        <v>8.0</v>
      </c>
      <c r="F82" s="13">
        <v>5.0</v>
      </c>
      <c r="G82" s="13">
        <v>15.0</v>
      </c>
      <c r="H82" s="13">
        <v>6.0</v>
      </c>
      <c r="I82" s="13">
        <v>15.0</v>
      </c>
      <c r="J82" s="13">
        <v>48.0</v>
      </c>
      <c r="K82" s="13">
        <v>11.0</v>
      </c>
      <c r="L82" s="13">
        <v>11.0</v>
      </c>
      <c r="M82" s="13">
        <v>13.0</v>
      </c>
      <c r="N82" s="13">
        <v>19.0</v>
      </c>
      <c r="O82" s="13">
        <v>12.0</v>
      </c>
      <c r="P82" s="13">
        <v>8.0</v>
      </c>
      <c r="Q82" s="13">
        <v>11.0</v>
      </c>
      <c r="R82" s="13">
        <v>7.0</v>
      </c>
      <c r="S82" s="6">
        <f t="shared" si="22"/>
        <v>189</v>
      </c>
    </row>
    <row r="83" ht="12.75" customHeight="1">
      <c r="A83" s="18"/>
      <c r="B83" s="51"/>
      <c r="C83" s="52" t="s">
        <v>71</v>
      </c>
      <c r="D83" s="53"/>
      <c r="E83" s="13">
        <v>0.0</v>
      </c>
      <c r="F83" s="13">
        <v>0.0</v>
      </c>
      <c r="G83" s="13">
        <v>0.0</v>
      </c>
      <c r="H83" s="13">
        <v>0.0</v>
      </c>
      <c r="I83" s="13">
        <v>0.0</v>
      </c>
      <c r="J83" s="13">
        <v>2.0</v>
      </c>
      <c r="K83" s="13">
        <v>0.0</v>
      </c>
      <c r="L83" s="13">
        <v>0.0</v>
      </c>
      <c r="M83" s="13">
        <v>1.0</v>
      </c>
      <c r="N83" s="13">
        <v>0.0</v>
      </c>
      <c r="O83" s="13">
        <v>0.0</v>
      </c>
      <c r="P83" s="13">
        <v>0.0</v>
      </c>
      <c r="Q83" s="13">
        <v>0.0</v>
      </c>
      <c r="R83" s="13">
        <v>0.0</v>
      </c>
      <c r="S83" s="6">
        <f t="shared" si="22"/>
        <v>3</v>
      </c>
    </row>
    <row r="84" ht="12.75" customHeight="1">
      <c r="A84" s="18"/>
      <c r="B84" s="51"/>
      <c r="C84" s="52" t="s">
        <v>72</v>
      </c>
      <c r="D84" s="53"/>
      <c r="E84" s="13">
        <v>0.0</v>
      </c>
      <c r="F84" s="13">
        <v>0.0</v>
      </c>
      <c r="G84" s="13">
        <v>1.0</v>
      </c>
      <c r="H84" s="13">
        <v>0.0</v>
      </c>
      <c r="I84" s="13">
        <v>0.0</v>
      </c>
      <c r="J84" s="13">
        <v>0.0</v>
      </c>
      <c r="K84" s="13">
        <v>0.0</v>
      </c>
      <c r="L84" s="13">
        <v>0.0</v>
      </c>
      <c r="M84" s="13">
        <v>1.0</v>
      </c>
      <c r="N84" s="13">
        <v>1.0</v>
      </c>
      <c r="O84" s="13">
        <v>0.0</v>
      </c>
      <c r="P84" s="13">
        <v>0.0</v>
      </c>
      <c r="Q84" s="13">
        <v>0.0</v>
      </c>
      <c r="R84" s="13">
        <v>0.0</v>
      </c>
      <c r="S84" s="6">
        <f t="shared" si="22"/>
        <v>3</v>
      </c>
    </row>
    <row r="85" ht="12.75" customHeight="1">
      <c r="A85" s="18"/>
      <c r="B85" s="51"/>
      <c r="C85" s="52" t="s">
        <v>73</v>
      </c>
      <c r="D85" s="53"/>
      <c r="E85" s="13">
        <v>0.0</v>
      </c>
      <c r="F85" s="13">
        <v>0.0</v>
      </c>
      <c r="G85" s="13">
        <v>1.0</v>
      </c>
      <c r="H85" s="13">
        <v>0.0</v>
      </c>
      <c r="I85" s="13">
        <v>0.0</v>
      </c>
      <c r="J85" s="13">
        <v>0.0</v>
      </c>
      <c r="K85" s="13">
        <v>0.0</v>
      </c>
      <c r="L85" s="13">
        <v>0.0</v>
      </c>
      <c r="M85" s="13">
        <v>0.0</v>
      </c>
      <c r="N85" s="13">
        <v>0.0</v>
      </c>
      <c r="O85" s="13">
        <v>0.0</v>
      </c>
      <c r="P85" s="13">
        <v>0.0</v>
      </c>
      <c r="Q85" s="13">
        <v>0.0</v>
      </c>
      <c r="R85" s="13">
        <v>0.0</v>
      </c>
      <c r="S85" s="6">
        <f t="shared" si="22"/>
        <v>1</v>
      </c>
    </row>
    <row r="86" ht="12.75" customHeight="1">
      <c r="A86" s="18"/>
      <c r="B86" s="51"/>
      <c r="C86" s="52" t="s">
        <v>74</v>
      </c>
      <c r="D86" s="53"/>
      <c r="E86" s="13">
        <v>1.0</v>
      </c>
      <c r="F86" s="13">
        <v>0.0</v>
      </c>
      <c r="G86" s="13">
        <v>0.0</v>
      </c>
      <c r="H86" s="13">
        <v>0.0</v>
      </c>
      <c r="I86" s="13">
        <v>0.0</v>
      </c>
      <c r="J86" s="13">
        <v>0.0</v>
      </c>
      <c r="K86" s="13">
        <v>0.0</v>
      </c>
      <c r="L86" s="13">
        <v>0.0</v>
      </c>
      <c r="M86" s="13">
        <v>0.0</v>
      </c>
      <c r="N86" s="13">
        <v>0.0</v>
      </c>
      <c r="O86" s="13">
        <v>0.0</v>
      </c>
      <c r="P86" s="13">
        <v>0.0</v>
      </c>
      <c r="Q86" s="13">
        <v>0.0</v>
      </c>
      <c r="R86" s="13">
        <v>0.0</v>
      </c>
      <c r="S86" s="6">
        <f t="shared" si="22"/>
        <v>1</v>
      </c>
    </row>
    <row r="87" ht="12.75" customHeight="1">
      <c r="A87" s="18"/>
      <c r="B87" s="51"/>
      <c r="C87" s="52" t="s">
        <v>75</v>
      </c>
      <c r="D87" s="53"/>
      <c r="E87" s="13">
        <v>0.0</v>
      </c>
      <c r="F87" s="13">
        <v>0.0</v>
      </c>
      <c r="G87" s="13">
        <v>0.0</v>
      </c>
      <c r="H87" s="13">
        <v>0.0</v>
      </c>
      <c r="I87" s="13">
        <v>0.0</v>
      </c>
      <c r="J87" s="13">
        <v>0.0</v>
      </c>
      <c r="K87" s="13">
        <v>0.0</v>
      </c>
      <c r="L87" s="13">
        <v>0.0</v>
      </c>
      <c r="M87" s="13">
        <v>0.0</v>
      </c>
      <c r="N87" s="13">
        <v>0.0</v>
      </c>
      <c r="O87" s="13">
        <v>0.0</v>
      </c>
      <c r="P87" s="13">
        <v>0.0</v>
      </c>
      <c r="Q87" s="13">
        <v>0.0</v>
      </c>
      <c r="R87" s="13">
        <v>0.0</v>
      </c>
      <c r="S87" s="6">
        <f t="shared" si="22"/>
        <v>0</v>
      </c>
    </row>
    <row r="88" ht="12.75" customHeight="1">
      <c r="A88" s="13" t="s">
        <v>15</v>
      </c>
      <c r="B88" s="49" t="s">
        <v>46</v>
      </c>
      <c r="C88" s="8"/>
      <c r="D88" s="9"/>
      <c r="E88" s="60">
        <f t="shared" ref="E88:R88" si="23">SUM(E81:E87)</f>
        <v>9</v>
      </c>
      <c r="F88" s="60">
        <f t="shared" si="23"/>
        <v>5</v>
      </c>
      <c r="G88" s="60">
        <f t="shared" si="23"/>
        <v>17</v>
      </c>
      <c r="H88" s="60">
        <f t="shared" si="23"/>
        <v>8</v>
      </c>
      <c r="I88" s="60">
        <f t="shared" si="23"/>
        <v>15</v>
      </c>
      <c r="J88" s="60">
        <f t="shared" si="23"/>
        <v>50</v>
      </c>
      <c r="K88" s="60">
        <f t="shared" si="23"/>
        <v>11</v>
      </c>
      <c r="L88" s="60">
        <f t="shared" si="23"/>
        <v>11</v>
      </c>
      <c r="M88" s="60">
        <f t="shared" si="23"/>
        <v>15</v>
      </c>
      <c r="N88" s="60">
        <f t="shared" si="23"/>
        <v>20</v>
      </c>
      <c r="O88" s="60">
        <f t="shared" si="23"/>
        <v>12</v>
      </c>
      <c r="P88" s="60">
        <f t="shared" si="23"/>
        <v>8</v>
      </c>
      <c r="Q88" s="60">
        <f t="shared" si="23"/>
        <v>12</v>
      </c>
      <c r="R88" s="60">
        <f t="shared" si="23"/>
        <v>7</v>
      </c>
      <c r="S88" s="6">
        <f t="shared" si="22"/>
        <v>200</v>
      </c>
    </row>
    <row r="89" ht="12.75" customHeight="1">
      <c r="A89" s="54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6"/>
    </row>
    <row r="90" ht="12.75" customHeight="1">
      <c r="A90" s="32" t="s">
        <v>37</v>
      </c>
      <c r="B90" s="49" t="s">
        <v>76</v>
      </c>
      <c r="C90" s="50" t="s">
        <v>77</v>
      </c>
      <c r="D90" s="9"/>
      <c r="E90" s="13">
        <v>2.0</v>
      </c>
      <c r="F90" s="13">
        <v>3.0</v>
      </c>
      <c r="G90" s="13">
        <v>2.0</v>
      </c>
      <c r="H90" s="13">
        <v>0.0</v>
      </c>
      <c r="I90" s="13">
        <v>3.0</v>
      </c>
      <c r="J90" s="13">
        <v>3.0</v>
      </c>
      <c r="K90" s="13">
        <v>1.0</v>
      </c>
      <c r="L90" s="13">
        <v>0.0</v>
      </c>
      <c r="M90" s="13">
        <v>5.0</v>
      </c>
      <c r="N90" s="13">
        <v>2.0</v>
      </c>
      <c r="O90" s="13">
        <v>1.0</v>
      </c>
      <c r="P90" s="13">
        <v>3.0</v>
      </c>
      <c r="Q90" s="13">
        <v>1.0</v>
      </c>
      <c r="R90" s="13">
        <v>0.0</v>
      </c>
      <c r="S90" s="6">
        <f t="shared" ref="S90:S92" si="24">SUM(E90:R90)</f>
        <v>26</v>
      </c>
    </row>
    <row r="91" ht="12.75" customHeight="1">
      <c r="A91" s="32" t="s">
        <v>39</v>
      </c>
      <c r="B91" s="51"/>
      <c r="C91" s="52" t="s">
        <v>78</v>
      </c>
      <c r="D91" s="61"/>
      <c r="E91" s="13">
        <v>0.0</v>
      </c>
      <c r="F91" s="13">
        <v>0.0</v>
      </c>
      <c r="G91" s="13">
        <v>0.0</v>
      </c>
      <c r="H91" s="13">
        <v>1.0</v>
      </c>
      <c r="I91" s="13">
        <v>0.0</v>
      </c>
      <c r="J91" s="13">
        <v>0.0</v>
      </c>
      <c r="K91" s="13">
        <v>0.0</v>
      </c>
      <c r="L91" s="13">
        <v>0.0</v>
      </c>
      <c r="M91" s="13">
        <v>0.0</v>
      </c>
      <c r="N91" s="13">
        <v>0.0</v>
      </c>
      <c r="O91" s="13">
        <v>0.0</v>
      </c>
      <c r="P91" s="13">
        <v>1.0</v>
      </c>
      <c r="Q91" s="13">
        <v>0.0</v>
      </c>
      <c r="R91" s="13">
        <v>1.0</v>
      </c>
      <c r="S91" s="6">
        <f t="shared" si="24"/>
        <v>3</v>
      </c>
    </row>
    <row r="92" ht="12.75" customHeight="1">
      <c r="A92" s="13" t="s">
        <v>15</v>
      </c>
      <c r="B92" s="49" t="s">
        <v>46</v>
      </c>
      <c r="C92" s="8"/>
      <c r="D92" s="9"/>
      <c r="E92" s="60">
        <f t="shared" ref="E92:R92" si="25">SUM(E90:E91)</f>
        <v>2</v>
      </c>
      <c r="F92" s="60">
        <f t="shared" si="25"/>
        <v>3</v>
      </c>
      <c r="G92" s="60">
        <f t="shared" si="25"/>
        <v>2</v>
      </c>
      <c r="H92" s="60">
        <f t="shared" si="25"/>
        <v>1</v>
      </c>
      <c r="I92" s="60">
        <f t="shared" si="25"/>
        <v>3</v>
      </c>
      <c r="J92" s="60">
        <f t="shared" si="25"/>
        <v>3</v>
      </c>
      <c r="K92" s="60">
        <f t="shared" si="25"/>
        <v>1</v>
      </c>
      <c r="L92" s="60">
        <f t="shared" si="25"/>
        <v>0</v>
      </c>
      <c r="M92" s="60">
        <f t="shared" si="25"/>
        <v>5</v>
      </c>
      <c r="N92" s="60">
        <f t="shared" si="25"/>
        <v>2</v>
      </c>
      <c r="O92" s="60">
        <f t="shared" si="25"/>
        <v>1</v>
      </c>
      <c r="P92" s="60">
        <f t="shared" si="25"/>
        <v>4</v>
      </c>
      <c r="Q92" s="60">
        <f t="shared" si="25"/>
        <v>1</v>
      </c>
      <c r="R92" s="60">
        <f t="shared" si="25"/>
        <v>1</v>
      </c>
      <c r="S92" s="6">
        <f t="shared" si="24"/>
        <v>29</v>
      </c>
    </row>
    <row r="93" ht="12.75" customHeight="1">
      <c r="A93" s="54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6"/>
    </row>
    <row r="94" ht="12.75" customHeight="1">
      <c r="A94" s="32" t="s">
        <v>37</v>
      </c>
      <c r="B94" s="49" t="s">
        <v>79</v>
      </c>
      <c r="C94" s="50" t="s">
        <v>80</v>
      </c>
      <c r="D94" s="9"/>
      <c r="E94" s="13">
        <v>6.0</v>
      </c>
      <c r="F94" s="13">
        <v>1.0</v>
      </c>
      <c r="G94" s="13">
        <v>9.0</v>
      </c>
      <c r="H94" s="13">
        <v>1.0</v>
      </c>
      <c r="I94" s="13">
        <v>1.0</v>
      </c>
      <c r="J94" s="13">
        <v>2.0</v>
      </c>
      <c r="K94" s="13">
        <v>1.0</v>
      </c>
      <c r="L94" s="13">
        <v>3.0</v>
      </c>
      <c r="M94" s="13">
        <v>2.0</v>
      </c>
      <c r="N94" s="13">
        <v>5.0</v>
      </c>
      <c r="O94" s="13">
        <v>4.0</v>
      </c>
      <c r="P94" s="13">
        <v>8.0</v>
      </c>
      <c r="Q94" s="13">
        <v>6.0</v>
      </c>
      <c r="R94" s="13">
        <v>16.0</v>
      </c>
      <c r="S94" s="6">
        <f t="shared" ref="S94:S101" si="26">SUM(E94:R94)</f>
        <v>65</v>
      </c>
    </row>
    <row r="95" ht="12.75" customHeight="1">
      <c r="A95" s="32" t="s">
        <v>39</v>
      </c>
      <c r="B95" s="51"/>
      <c r="C95" s="52" t="s">
        <v>81</v>
      </c>
      <c r="D95" s="53"/>
      <c r="E95" s="13">
        <v>9.0</v>
      </c>
      <c r="F95" s="13">
        <v>22.0</v>
      </c>
      <c r="G95" s="13">
        <v>30.0</v>
      </c>
      <c r="H95" s="13">
        <v>6.0</v>
      </c>
      <c r="I95" s="13">
        <v>1.0</v>
      </c>
      <c r="J95" s="13">
        <v>3.0</v>
      </c>
      <c r="K95" s="13">
        <v>7.0</v>
      </c>
      <c r="L95" s="13">
        <v>15.0</v>
      </c>
      <c r="M95" s="13">
        <v>6.0</v>
      </c>
      <c r="N95" s="13">
        <v>16.0</v>
      </c>
      <c r="O95" s="13">
        <v>7.0</v>
      </c>
      <c r="P95" s="13">
        <v>18.0</v>
      </c>
      <c r="Q95" s="13">
        <v>53.0</v>
      </c>
      <c r="R95" s="13">
        <v>51.0</v>
      </c>
      <c r="S95" s="6">
        <f t="shared" si="26"/>
        <v>244</v>
      </c>
    </row>
    <row r="96" ht="12.75" customHeight="1">
      <c r="A96" s="32"/>
      <c r="B96" s="51"/>
      <c r="C96" s="52" t="s">
        <v>82</v>
      </c>
      <c r="D96" s="53"/>
      <c r="E96" s="13">
        <v>0.0</v>
      </c>
      <c r="F96" s="13">
        <v>1.0</v>
      </c>
      <c r="G96" s="13">
        <v>1.0</v>
      </c>
      <c r="H96" s="13">
        <v>0.0</v>
      </c>
      <c r="I96" s="13">
        <v>1.0</v>
      </c>
      <c r="J96" s="13">
        <v>0.0</v>
      </c>
      <c r="K96" s="13">
        <v>0.0</v>
      </c>
      <c r="L96" s="13">
        <v>0.0</v>
      </c>
      <c r="M96" s="13">
        <v>0.0</v>
      </c>
      <c r="N96" s="13">
        <v>0.0</v>
      </c>
      <c r="O96" s="13">
        <v>0.0</v>
      </c>
      <c r="P96" s="13">
        <v>0.0</v>
      </c>
      <c r="Q96" s="13">
        <v>2.0</v>
      </c>
      <c r="R96" s="13">
        <v>1.0</v>
      </c>
      <c r="S96" s="6">
        <f t="shared" si="26"/>
        <v>6</v>
      </c>
    </row>
    <row r="97" ht="12.75" customHeight="1">
      <c r="A97" s="32"/>
      <c r="B97" s="51"/>
      <c r="C97" s="52" t="s">
        <v>83</v>
      </c>
      <c r="D97" s="53"/>
      <c r="E97" s="13">
        <v>0.0</v>
      </c>
      <c r="F97" s="13">
        <v>0.0</v>
      </c>
      <c r="G97" s="13">
        <v>0.0</v>
      </c>
      <c r="H97" s="13">
        <v>0.0</v>
      </c>
      <c r="I97" s="13">
        <v>0.0</v>
      </c>
      <c r="J97" s="13">
        <v>0.0</v>
      </c>
      <c r="K97" s="13">
        <v>0.0</v>
      </c>
      <c r="L97" s="13">
        <v>0.0</v>
      </c>
      <c r="M97" s="13">
        <v>0.0</v>
      </c>
      <c r="N97" s="13">
        <v>0.0</v>
      </c>
      <c r="O97" s="13">
        <v>0.0</v>
      </c>
      <c r="P97" s="13">
        <v>0.0</v>
      </c>
      <c r="Q97" s="13">
        <v>0.0</v>
      </c>
      <c r="R97" s="13">
        <v>1.0</v>
      </c>
      <c r="S97" s="6">
        <f t="shared" si="26"/>
        <v>1</v>
      </c>
    </row>
    <row r="98" ht="12.75" customHeight="1">
      <c r="A98" s="32"/>
      <c r="B98" s="51"/>
      <c r="C98" s="52" t="s">
        <v>84</v>
      </c>
      <c r="D98" s="53"/>
      <c r="E98" s="13">
        <v>1.0</v>
      </c>
      <c r="F98" s="13">
        <v>1.0</v>
      </c>
      <c r="G98" s="13">
        <v>0.0</v>
      </c>
      <c r="H98" s="13">
        <v>0.0</v>
      </c>
      <c r="I98" s="13">
        <v>0.0</v>
      </c>
      <c r="J98" s="13">
        <v>0.0</v>
      </c>
      <c r="K98" s="13">
        <v>0.0</v>
      </c>
      <c r="L98" s="13">
        <v>0.0</v>
      </c>
      <c r="M98" s="13">
        <v>0.0</v>
      </c>
      <c r="N98" s="13">
        <v>0.0</v>
      </c>
      <c r="O98" s="13">
        <v>0.0</v>
      </c>
      <c r="P98" s="13">
        <v>0.0</v>
      </c>
      <c r="Q98" s="13">
        <v>0.0</v>
      </c>
      <c r="R98" s="13">
        <v>0.0</v>
      </c>
      <c r="S98" s="6">
        <f t="shared" si="26"/>
        <v>2</v>
      </c>
    </row>
    <row r="99" ht="12.75" customHeight="1">
      <c r="A99" s="32"/>
      <c r="B99" s="51"/>
      <c r="C99" s="52" t="s">
        <v>85</v>
      </c>
      <c r="D99" s="53"/>
      <c r="E99" s="13">
        <v>0.0</v>
      </c>
      <c r="F99" s="13">
        <v>0.0</v>
      </c>
      <c r="G99" s="13">
        <v>0.0</v>
      </c>
      <c r="H99" s="13">
        <v>0.0</v>
      </c>
      <c r="I99" s="13">
        <v>1.0</v>
      </c>
      <c r="J99" s="13">
        <v>0.0</v>
      </c>
      <c r="K99" s="13">
        <v>1.0</v>
      </c>
      <c r="L99" s="13">
        <v>0.0</v>
      </c>
      <c r="M99" s="13">
        <v>0.0</v>
      </c>
      <c r="N99" s="13">
        <v>0.0</v>
      </c>
      <c r="O99" s="13">
        <v>0.0</v>
      </c>
      <c r="P99" s="13">
        <v>0.0</v>
      </c>
      <c r="Q99" s="13">
        <v>0.0</v>
      </c>
      <c r="R99" s="13">
        <v>0.0</v>
      </c>
      <c r="S99" s="6">
        <f t="shared" si="26"/>
        <v>2</v>
      </c>
    </row>
    <row r="100" ht="12.75" customHeight="1">
      <c r="A100" s="32"/>
      <c r="B100" s="51"/>
      <c r="C100" s="52" t="s">
        <v>86</v>
      </c>
      <c r="D100" s="53"/>
      <c r="E100" s="13">
        <v>0.0</v>
      </c>
      <c r="F100" s="13">
        <v>1.0</v>
      </c>
      <c r="G100" s="13">
        <v>0.0</v>
      </c>
      <c r="H100" s="13">
        <v>0.0</v>
      </c>
      <c r="I100" s="13">
        <v>0.0</v>
      </c>
      <c r="J100" s="13">
        <v>0.0</v>
      </c>
      <c r="K100" s="13">
        <v>1.0</v>
      </c>
      <c r="L100" s="13">
        <v>0.0</v>
      </c>
      <c r="M100" s="13">
        <v>0.0</v>
      </c>
      <c r="N100" s="13">
        <v>0.0</v>
      </c>
      <c r="O100" s="13">
        <v>1.0</v>
      </c>
      <c r="P100" s="13">
        <v>0.0</v>
      </c>
      <c r="Q100" s="13">
        <v>0.0</v>
      </c>
      <c r="R100" s="13">
        <v>0.0</v>
      </c>
      <c r="S100" s="6">
        <f t="shared" si="26"/>
        <v>3</v>
      </c>
    </row>
    <row r="101" ht="12.75" customHeight="1">
      <c r="A101" s="13" t="s">
        <v>15</v>
      </c>
      <c r="B101" s="49" t="s">
        <v>46</v>
      </c>
      <c r="C101" s="8"/>
      <c r="D101" s="9"/>
      <c r="E101" s="60">
        <f t="shared" ref="E101:R101" si="27">SUM(E94:E100)</f>
        <v>16</v>
      </c>
      <c r="F101" s="60">
        <f t="shared" si="27"/>
        <v>26</v>
      </c>
      <c r="G101" s="60">
        <f t="shared" si="27"/>
        <v>40</v>
      </c>
      <c r="H101" s="60">
        <f t="shared" si="27"/>
        <v>7</v>
      </c>
      <c r="I101" s="60">
        <f t="shared" si="27"/>
        <v>4</v>
      </c>
      <c r="J101" s="60">
        <f t="shared" si="27"/>
        <v>5</v>
      </c>
      <c r="K101" s="60">
        <f t="shared" si="27"/>
        <v>10</v>
      </c>
      <c r="L101" s="60">
        <f t="shared" si="27"/>
        <v>18</v>
      </c>
      <c r="M101" s="60">
        <f t="shared" si="27"/>
        <v>8</v>
      </c>
      <c r="N101" s="60">
        <f t="shared" si="27"/>
        <v>21</v>
      </c>
      <c r="O101" s="60">
        <f t="shared" si="27"/>
        <v>12</v>
      </c>
      <c r="P101" s="60">
        <f t="shared" si="27"/>
        <v>26</v>
      </c>
      <c r="Q101" s="60">
        <f t="shared" si="27"/>
        <v>61</v>
      </c>
      <c r="R101" s="60">
        <f t="shared" si="27"/>
        <v>69</v>
      </c>
      <c r="S101" s="6">
        <f t="shared" si="26"/>
        <v>323</v>
      </c>
    </row>
    <row r="102" ht="12.75" customHeight="1">
      <c r="A102" s="54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6"/>
    </row>
    <row r="103" ht="12.75" customHeight="1">
      <c r="A103" s="32" t="s">
        <v>37</v>
      </c>
      <c r="B103" s="49" t="s">
        <v>87</v>
      </c>
      <c r="C103" s="50" t="s">
        <v>88</v>
      </c>
      <c r="D103" s="9"/>
      <c r="E103" s="13">
        <v>1.0</v>
      </c>
      <c r="F103" s="13">
        <v>0.0</v>
      </c>
      <c r="G103" s="13">
        <v>1.0</v>
      </c>
      <c r="H103" s="13">
        <v>0.0</v>
      </c>
      <c r="I103" s="13">
        <v>0.0</v>
      </c>
      <c r="J103" s="13">
        <v>0.0</v>
      </c>
      <c r="K103" s="13">
        <v>0.0</v>
      </c>
      <c r="L103" s="13">
        <v>4.0</v>
      </c>
      <c r="M103" s="13">
        <v>1.0</v>
      </c>
      <c r="N103" s="13">
        <v>3.0</v>
      </c>
      <c r="O103" s="13">
        <v>0.0</v>
      </c>
      <c r="P103" s="13">
        <v>2.0</v>
      </c>
      <c r="Q103" s="13">
        <v>0.0</v>
      </c>
      <c r="R103" s="13">
        <v>0.0</v>
      </c>
      <c r="S103" s="6">
        <f t="shared" ref="S103:S110" si="28">SUM(E103:R103)</f>
        <v>12</v>
      </c>
    </row>
    <row r="104" ht="12.75" customHeight="1">
      <c r="A104" s="32" t="s">
        <v>39</v>
      </c>
      <c r="B104" s="51"/>
      <c r="C104" s="52" t="s">
        <v>89</v>
      </c>
      <c r="D104" s="53"/>
      <c r="E104" s="13">
        <v>3.0</v>
      </c>
      <c r="F104" s="13">
        <v>3.0</v>
      </c>
      <c r="G104" s="13">
        <v>6.0</v>
      </c>
      <c r="H104" s="13">
        <v>0.0</v>
      </c>
      <c r="I104" s="13">
        <v>0.0</v>
      </c>
      <c r="J104" s="13">
        <v>0.0</v>
      </c>
      <c r="K104" s="13">
        <v>5.0</v>
      </c>
      <c r="L104" s="13">
        <v>33.0</v>
      </c>
      <c r="M104" s="13">
        <v>7.0</v>
      </c>
      <c r="N104" s="13">
        <v>3.0</v>
      </c>
      <c r="O104" s="13">
        <v>1.0</v>
      </c>
      <c r="P104" s="13">
        <v>18.0</v>
      </c>
      <c r="Q104" s="13">
        <v>0.0</v>
      </c>
      <c r="R104" s="13">
        <v>0.0</v>
      </c>
      <c r="S104" s="6">
        <f t="shared" si="28"/>
        <v>79</v>
      </c>
    </row>
    <row r="105" ht="12.75" customHeight="1">
      <c r="A105" s="18"/>
      <c r="B105" s="51"/>
      <c r="C105" s="52" t="s">
        <v>90</v>
      </c>
      <c r="D105" s="53"/>
      <c r="E105" s="13">
        <v>0.0</v>
      </c>
      <c r="F105" s="13">
        <v>0.0</v>
      </c>
      <c r="G105" s="13">
        <v>0.0</v>
      </c>
      <c r="H105" s="13">
        <v>0.0</v>
      </c>
      <c r="I105" s="13">
        <v>0.0</v>
      </c>
      <c r="J105" s="13">
        <v>0.0</v>
      </c>
      <c r="K105" s="13">
        <v>0.0</v>
      </c>
      <c r="L105" s="13">
        <v>0.0</v>
      </c>
      <c r="M105" s="13">
        <v>1.0</v>
      </c>
      <c r="N105" s="13">
        <v>0.0</v>
      </c>
      <c r="O105" s="13">
        <v>0.0</v>
      </c>
      <c r="P105" s="13">
        <v>2.0</v>
      </c>
      <c r="Q105" s="13">
        <v>0.0</v>
      </c>
      <c r="R105" s="13">
        <v>0.0</v>
      </c>
      <c r="S105" s="6">
        <f t="shared" si="28"/>
        <v>3</v>
      </c>
    </row>
    <row r="106" ht="12.75" customHeight="1">
      <c r="A106" s="18"/>
      <c r="B106" s="51"/>
      <c r="C106" s="52" t="s">
        <v>91</v>
      </c>
      <c r="D106" s="53"/>
      <c r="E106" s="13">
        <v>0.0</v>
      </c>
      <c r="F106" s="13">
        <v>0.0</v>
      </c>
      <c r="G106" s="13">
        <v>1.0</v>
      </c>
      <c r="H106" s="13">
        <v>0.0</v>
      </c>
      <c r="I106" s="13">
        <v>0.0</v>
      </c>
      <c r="J106" s="13">
        <v>0.0</v>
      </c>
      <c r="K106" s="13">
        <v>0.0</v>
      </c>
      <c r="L106" s="13">
        <v>0.0</v>
      </c>
      <c r="M106" s="13">
        <v>1.0</v>
      </c>
      <c r="N106" s="13">
        <v>0.0</v>
      </c>
      <c r="O106" s="13">
        <v>1.0</v>
      </c>
      <c r="P106" s="13">
        <v>0.0</v>
      </c>
      <c r="Q106" s="13">
        <v>1.0</v>
      </c>
      <c r="R106" s="13">
        <v>0.0</v>
      </c>
      <c r="S106" s="6">
        <f t="shared" si="28"/>
        <v>4</v>
      </c>
    </row>
    <row r="107" ht="12.75" customHeight="1">
      <c r="A107" s="18"/>
      <c r="B107" s="51"/>
      <c r="C107" s="52" t="s">
        <v>92</v>
      </c>
      <c r="D107" s="53"/>
      <c r="E107" s="13">
        <v>1.0</v>
      </c>
      <c r="F107" s="13">
        <v>1.0</v>
      </c>
      <c r="G107" s="13">
        <v>2.0</v>
      </c>
      <c r="H107" s="13">
        <v>0.0</v>
      </c>
      <c r="I107" s="13">
        <v>0.0</v>
      </c>
      <c r="J107" s="13">
        <v>0.0</v>
      </c>
      <c r="K107" s="13">
        <v>0.0</v>
      </c>
      <c r="L107" s="13">
        <v>1.0</v>
      </c>
      <c r="M107" s="13">
        <v>0.0</v>
      </c>
      <c r="N107" s="13">
        <v>0.0</v>
      </c>
      <c r="O107" s="13">
        <v>0.0</v>
      </c>
      <c r="P107" s="13">
        <v>0.0</v>
      </c>
      <c r="Q107" s="13">
        <v>6.0</v>
      </c>
      <c r="R107" s="13">
        <v>0.0</v>
      </c>
      <c r="S107" s="6">
        <f t="shared" si="28"/>
        <v>11</v>
      </c>
    </row>
    <row r="108" ht="12.75" customHeight="1">
      <c r="A108" s="18"/>
      <c r="B108" s="51"/>
      <c r="C108" s="52" t="s">
        <v>93</v>
      </c>
      <c r="D108" s="53"/>
      <c r="E108" s="13">
        <v>0.0</v>
      </c>
      <c r="F108" s="13">
        <v>0.0</v>
      </c>
      <c r="G108" s="13">
        <v>0.0</v>
      </c>
      <c r="H108" s="13">
        <v>0.0</v>
      </c>
      <c r="I108" s="13">
        <v>0.0</v>
      </c>
      <c r="J108" s="13">
        <v>0.0</v>
      </c>
      <c r="K108" s="13">
        <v>0.0</v>
      </c>
      <c r="L108" s="13">
        <v>0.0</v>
      </c>
      <c r="M108" s="13">
        <v>0.0</v>
      </c>
      <c r="N108" s="13">
        <v>0.0</v>
      </c>
      <c r="O108" s="13">
        <v>0.0</v>
      </c>
      <c r="P108" s="13">
        <v>0.0</v>
      </c>
      <c r="Q108" s="13">
        <v>2.0</v>
      </c>
      <c r="R108" s="13">
        <v>0.0</v>
      </c>
      <c r="S108" s="6">
        <f t="shared" si="28"/>
        <v>2</v>
      </c>
    </row>
    <row r="109" ht="12.75" customHeight="1">
      <c r="A109" s="18"/>
      <c r="B109" s="51"/>
      <c r="C109" s="52" t="s">
        <v>94</v>
      </c>
      <c r="D109" s="53"/>
      <c r="E109" s="13">
        <v>4.0</v>
      </c>
      <c r="F109" s="13">
        <v>2.0</v>
      </c>
      <c r="G109" s="13">
        <v>3.0</v>
      </c>
      <c r="H109" s="13">
        <v>4.0</v>
      </c>
      <c r="I109" s="13">
        <v>2.0</v>
      </c>
      <c r="J109" s="13">
        <v>2.0</v>
      </c>
      <c r="K109" s="13">
        <v>0.0</v>
      </c>
      <c r="L109" s="13">
        <v>0.0</v>
      </c>
      <c r="M109" s="13">
        <v>7.0</v>
      </c>
      <c r="N109" s="13">
        <v>3.0</v>
      </c>
      <c r="O109" s="13">
        <v>0.0</v>
      </c>
      <c r="P109" s="13">
        <v>1.0</v>
      </c>
      <c r="Q109" s="13">
        <v>0.0</v>
      </c>
      <c r="R109" s="13">
        <v>0.0</v>
      </c>
      <c r="S109" s="6">
        <f t="shared" si="28"/>
        <v>28</v>
      </c>
    </row>
    <row r="110" ht="12.75" customHeight="1">
      <c r="A110" s="13" t="s">
        <v>15</v>
      </c>
      <c r="B110" s="49" t="s">
        <v>46</v>
      </c>
      <c r="C110" s="8"/>
      <c r="D110" s="9"/>
      <c r="E110" s="60">
        <f t="shared" ref="E110:R110" si="29">SUM(E103:E109)</f>
        <v>9</v>
      </c>
      <c r="F110" s="60">
        <f t="shared" si="29"/>
        <v>6</v>
      </c>
      <c r="G110" s="60">
        <f t="shared" si="29"/>
        <v>13</v>
      </c>
      <c r="H110" s="60">
        <f t="shared" si="29"/>
        <v>4</v>
      </c>
      <c r="I110" s="60">
        <f t="shared" si="29"/>
        <v>2</v>
      </c>
      <c r="J110" s="60">
        <f t="shared" si="29"/>
        <v>2</v>
      </c>
      <c r="K110" s="60">
        <f t="shared" si="29"/>
        <v>5</v>
      </c>
      <c r="L110" s="60">
        <f t="shared" si="29"/>
        <v>38</v>
      </c>
      <c r="M110" s="60">
        <f t="shared" si="29"/>
        <v>17</v>
      </c>
      <c r="N110" s="60">
        <f t="shared" si="29"/>
        <v>9</v>
      </c>
      <c r="O110" s="60">
        <f t="shared" si="29"/>
        <v>2</v>
      </c>
      <c r="P110" s="60">
        <f t="shared" si="29"/>
        <v>23</v>
      </c>
      <c r="Q110" s="60">
        <f t="shared" si="29"/>
        <v>9</v>
      </c>
      <c r="R110" s="60">
        <f t="shared" si="29"/>
        <v>0</v>
      </c>
      <c r="S110" s="6">
        <f t="shared" si="28"/>
        <v>139</v>
      </c>
    </row>
    <row r="111" ht="12.75" customHeight="1">
      <c r="A111" s="54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6"/>
    </row>
    <row r="112" ht="12.75" customHeight="1">
      <c r="A112" s="32" t="s">
        <v>37</v>
      </c>
      <c r="B112" s="49" t="s">
        <v>95</v>
      </c>
      <c r="C112" s="50" t="s">
        <v>96</v>
      </c>
      <c r="D112" s="9"/>
      <c r="E112" s="13">
        <v>0.0</v>
      </c>
      <c r="F112" s="13">
        <v>0.0</v>
      </c>
      <c r="G112" s="13">
        <v>1.0</v>
      </c>
      <c r="H112" s="13">
        <v>1.0</v>
      </c>
      <c r="I112" s="13">
        <v>0.0</v>
      </c>
      <c r="J112" s="13">
        <v>0.0</v>
      </c>
      <c r="K112" s="13">
        <v>0.0</v>
      </c>
      <c r="L112" s="13">
        <v>0.0</v>
      </c>
      <c r="M112" s="13">
        <v>0.0</v>
      </c>
      <c r="N112" s="13">
        <v>0.0</v>
      </c>
      <c r="O112" s="13">
        <v>0.0</v>
      </c>
      <c r="P112" s="13">
        <v>1.0</v>
      </c>
      <c r="Q112" s="13">
        <v>0.0</v>
      </c>
      <c r="R112" s="13">
        <v>0.0</v>
      </c>
      <c r="S112" s="6">
        <f t="shared" ref="S112:S114" si="30">SUM(E112:R112)</f>
        <v>3</v>
      </c>
    </row>
    <row r="113" ht="12.75" customHeight="1">
      <c r="A113" s="32" t="s">
        <v>39</v>
      </c>
      <c r="B113" s="49"/>
      <c r="C113" s="52" t="s">
        <v>97</v>
      </c>
      <c r="D113" s="61"/>
      <c r="E113" s="13">
        <v>0.0</v>
      </c>
      <c r="F113" s="13">
        <v>0.0</v>
      </c>
      <c r="G113" s="13">
        <v>0.0</v>
      </c>
      <c r="H113" s="13">
        <v>0.0</v>
      </c>
      <c r="I113" s="13">
        <v>0.0</v>
      </c>
      <c r="J113" s="13">
        <v>0.0</v>
      </c>
      <c r="K113" s="13">
        <v>0.0</v>
      </c>
      <c r="L113" s="13">
        <v>0.0</v>
      </c>
      <c r="M113" s="13">
        <v>0.0</v>
      </c>
      <c r="N113" s="13">
        <v>0.0</v>
      </c>
      <c r="O113" s="13">
        <v>0.0</v>
      </c>
      <c r="P113" s="13">
        <v>0.0</v>
      </c>
      <c r="Q113" s="13">
        <v>0.0</v>
      </c>
      <c r="R113" s="13">
        <v>0.0</v>
      </c>
      <c r="S113" s="6">
        <f t="shared" si="30"/>
        <v>0</v>
      </c>
    </row>
    <row r="114" ht="12.75" customHeight="1">
      <c r="A114" s="13" t="s">
        <v>15</v>
      </c>
      <c r="B114" s="49" t="s">
        <v>46</v>
      </c>
      <c r="C114" s="8"/>
      <c r="D114" s="9"/>
      <c r="E114" s="60">
        <f t="shared" ref="E114:R114" si="31">SUM(E112:E113)</f>
        <v>0</v>
      </c>
      <c r="F114" s="60">
        <f t="shared" si="31"/>
        <v>0</v>
      </c>
      <c r="G114" s="60">
        <f t="shared" si="31"/>
        <v>1</v>
      </c>
      <c r="H114" s="60">
        <f t="shared" si="31"/>
        <v>1</v>
      </c>
      <c r="I114" s="60">
        <f t="shared" si="31"/>
        <v>0</v>
      </c>
      <c r="J114" s="60">
        <f t="shared" si="31"/>
        <v>0</v>
      </c>
      <c r="K114" s="60">
        <f t="shared" si="31"/>
        <v>0</v>
      </c>
      <c r="L114" s="60">
        <f t="shared" si="31"/>
        <v>0</v>
      </c>
      <c r="M114" s="60">
        <f t="shared" si="31"/>
        <v>0</v>
      </c>
      <c r="N114" s="60">
        <f t="shared" si="31"/>
        <v>0</v>
      </c>
      <c r="O114" s="60">
        <f t="shared" si="31"/>
        <v>0</v>
      </c>
      <c r="P114" s="60">
        <f t="shared" si="31"/>
        <v>1</v>
      </c>
      <c r="Q114" s="60">
        <f t="shared" si="31"/>
        <v>0</v>
      </c>
      <c r="R114" s="60">
        <f t="shared" si="31"/>
        <v>0</v>
      </c>
      <c r="S114" s="6">
        <f t="shared" si="30"/>
        <v>3</v>
      </c>
    </row>
    <row r="115" ht="12.75" customHeight="1">
      <c r="A115" s="54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6"/>
    </row>
    <row r="116" ht="12.75" customHeight="1">
      <c r="A116" s="32" t="s">
        <v>37</v>
      </c>
      <c r="B116" s="49" t="s">
        <v>98</v>
      </c>
      <c r="C116" s="50" t="s">
        <v>99</v>
      </c>
      <c r="D116" s="9"/>
      <c r="E116" s="13">
        <v>0.0</v>
      </c>
      <c r="F116" s="13">
        <v>0.0</v>
      </c>
      <c r="G116" s="13">
        <v>0.0</v>
      </c>
      <c r="H116" s="13">
        <v>1.0</v>
      </c>
      <c r="I116" s="13">
        <v>3.0</v>
      </c>
      <c r="J116" s="13">
        <v>0.0</v>
      </c>
      <c r="K116" s="13">
        <v>2.0</v>
      </c>
      <c r="L116" s="13">
        <v>1.0</v>
      </c>
      <c r="M116" s="13">
        <v>0.0</v>
      </c>
      <c r="N116" s="13">
        <v>0.0</v>
      </c>
      <c r="O116" s="13">
        <v>0.0</v>
      </c>
      <c r="P116" s="13">
        <v>2.0</v>
      </c>
      <c r="Q116" s="13">
        <v>2.0</v>
      </c>
      <c r="R116" s="13">
        <v>0.0</v>
      </c>
      <c r="S116" s="6">
        <f t="shared" ref="S116:S123" si="32">SUM(E116:R116)</f>
        <v>11</v>
      </c>
    </row>
    <row r="117" ht="12.75" customHeight="1">
      <c r="A117" s="32" t="s">
        <v>39</v>
      </c>
      <c r="B117" s="51"/>
      <c r="C117" s="52" t="s">
        <v>100</v>
      </c>
      <c r="D117" s="53"/>
      <c r="E117" s="13">
        <v>14.0</v>
      </c>
      <c r="F117" s="13">
        <v>19.0</v>
      </c>
      <c r="G117" s="13">
        <v>8.0</v>
      </c>
      <c r="H117" s="13">
        <v>16.0</v>
      </c>
      <c r="I117" s="13">
        <v>2.0</v>
      </c>
      <c r="J117" s="13">
        <v>1.0</v>
      </c>
      <c r="K117" s="13">
        <v>2.0</v>
      </c>
      <c r="L117" s="13">
        <v>11.0</v>
      </c>
      <c r="M117" s="13">
        <v>4.0</v>
      </c>
      <c r="N117" s="13">
        <v>2.0</v>
      </c>
      <c r="O117" s="13">
        <v>3.0</v>
      </c>
      <c r="P117" s="13">
        <v>3.0</v>
      </c>
      <c r="Q117" s="13">
        <v>1.0</v>
      </c>
      <c r="R117" s="13">
        <v>0.0</v>
      </c>
      <c r="S117" s="6">
        <f t="shared" si="32"/>
        <v>86</v>
      </c>
    </row>
    <row r="118" ht="12.75" customHeight="1">
      <c r="A118" s="18"/>
      <c r="B118" s="51"/>
      <c r="C118" s="52" t="s">
        <v>101</v>
      </c>
      <c r="D118" s="53"/>
      <c r="E118" s="13">
        <v>0.0</v>
      </c>
      <c r="F118" s="13">
        <v>0.0</v>
      </c>
      <c r="G118" s="13">
        <v>0.0</v>
      </c>
      <c r="H118" s="13">
        <v>2.0</v>
      </c>
      <c r="I118" s="13">
        <v>0.0</v>
      </c>
      <c r="J118" s="13">
        <v>0.0</v>
      </c>
      <c r="K118" s="13">
        <v>0.0</v>
      </c>
      <c r="L118" s="13">
        <v>0.0</v>
      </c>
      <c r="M118" s="13">
        <v>2.0</v>
      </c>
      <c r="N118" s="13">
        <v>0.0</v>
      </c>
      <c r="O118" s="13">
        <v>0.0</v>
      </c>
      <c r="P118" s="13">
        <v>0.0</v>
      </c>
      <c r="Q118" s="13">
        <v>0.0</v>
      </c>
      <c r="R118" s="13">
        <v>0.0</v>
      </c>
      <c r="S118" s="6">
        <f t="shared" si="32"/>
        <v>4</v>
      </c>
    </row>
    <row r="119" ht="12.75" customHeight="1">
      <c r="A119" s="18"/>
      <c r="B119" s="51"/>
      <c r="C119" s="52" t="s">
        <v>102</v>
      </c>
      <c r="D119" s="53"/>
      <c r="E119" s="13">
        <v>2.0</v>
      </c>
      <c r="F119" s="13">
        <v>3.0</v>
      </c>
      <c r="G119" s="13">
        <v>9.0</v>
      </c>
      <c r="H119" s="13">
        <v>12.0</v>
      </c>
      <c r="I119" s="13">
        <v>9.0</v>
      </c>
      <c r="J119" s="13">
        <v>20.0</v>
      </c>
      <c r="K119" s="13">
        <v>0.0</v>
      </c>
      <c r="L119" s="13">
        <v>0.0</v>
      </c>
      <c r="M119" s="13">
        <v>5.0</v>
      </c>
      <c r="N119" s="13">
        <v>10.0</v>
      </c>
      <c r="O119" s="13">
        <v>2.0</v>
      </c>
      <c r="P119" s="13">
        <v>21.0</v>
      </c>
      <c r="Q119" s="13">
        <v>2.0</v>
      </c>
      <c r="R119" s="13">
        <v>4.0</v>
      </c>
      <c r="S119" s="6">
        <f t="shared" si="32"/>
        <v>99</v>
      </c>
    </row>
    <row r="120" ht="12.75" customHeight="1">
      <c r="A120" s="18"/>
      <c r="B120" s="51"/>
      <c r="C120" s="52" t="s">
        <v>103</v>
      </c>
      <c r="D120" s="53"/>
      <c r="E120" s="13">
        <v>0.0</v>
      </c>
      <c r="F120" s="13">
        <v>0.0</v>
      </c>
      <c r="G120" s="13">
        <v>0.0</v>
      </c>
      <c r="H120" s="13">
        <v>1.0</v>
      </c>
      <c r="I120" s="13">
        <v>0.0</v>
      </c>
      <c r="J120" s="13">
        <v>2.0</v>
      </c>
      <c r="K120" s="13">
        <v>2.0</v>
      </c>
      <c r="L120" s="13">
        <v>0.0</v>
      </c>
      <c r="M120" s="13">
        <v>0.0</v>
      </c>
      <c r="N120" s="13">
        <v>1.0</v>
      </c>
      <c r="O120" s="13">
        <v>0.0</v>
      </c>
      <c r="P120" s="13">
        <v>0.0</v>
      </c>
      <c r="Q120" s="13">
        <v>0.0</v>
      </c>
      <c r="R120" s="13">
        <v>0.0</v>
      </c>
      <c r="S120" s="6">
        <f t="shared" si="32"/>
        <v>6</v>
      </c>
    </row>
    <row r="121" ht="12.75" customHeight="1">
      <c r="A121" s="18"/>
      <c r="B121" s="51"/>
      <c r="C121" s="52" t="s">
        <v>104</v>
      </c>
      <c r="D121" s="53"/>
      <c r="E121" s="13">
        <v>0.0</v>
      </c>
      <c r="F121" s="13">
        <v>0.0</v>
      </c>
      <c r="G121" s="13">
        <v>0.0</v>
      </c>
      <c r="H121" s="13">
        <v>0.0</v>
      </c>
      <c r="I121" s="13">
        <v>0.0</v>
      </c>
      <c r="J121" s="13">
        <v>0.0</v>
      </c>
      <c r="K121" s="13">
        <v>0.0</v>
      </c>
      <c r="L121" s="13">
        <v>1.0</v>
      </c>
      <c r="M121" s="13">
        <v>0.0</v>
      </c>
      <c r="N121" s="13">
        <v>0.0</v>
      </c>
      <c r="O121" s="13">
        <v>0.0</v>
      </c>
      <c r="P121" s="13">
        <v>0.0</v>
      </c>
      <c r="Q121" s="13">
        <v>0.0</v>
      </c>
      <c r="R121" s="13">
        <v>0.0</v>
      </c>
      <c r="S121" s="6">
        <f t="shared" si="32"/>
        <v>1</v>
      </c>
    </row>
    <row r="122" ht="12.75" customHeight="1">
      <c r="A122" s="18"/>
      <c r="B122" s="51"/>
      <c r="C122" s="52" t="s">
        <v>105</v>
      </c>
      <c r="D122" s="53"/>
      <c r="E122" s="13">
        <v>0.0</v>
      </c>
      <c r="F122" s="13">
        <v>2.0</v>
      </c>
      <c r="G122" s="13">
        <v>1.0</v>
      </c>
      <c r="H122" s="13">
        <v>12.0</v>
      </c>
      <c r="I122" s="13">
        <v>0.0</v>
      </c>
      <c r="J122" s="13">
        <v>0.0</v>
      </c>
      <c r="K122" s="13">
        <v>3.0</v>
      </c>
      <c r="L122" s="13">
        <v>1.0</v>
      </c>
      <c r="M122" s="13">
        <v>1.0</v>
      </c>
      <c r="N122" s="13">
        <v>2.0</v>
      </c>
      <c r="O122" s="13">
        <v>9.0</v>
      </c>
      <c r="P122" s="13">
        <v>1.0</v>
      </c>
      <c r="Q122" s="13">
        <v>1.0</v>
      </c>
      <c r="R122" s="13">
        <v>0.0</v>
      </c>
      <c r="S122" s="6">
        <f t="shared" si="32"/>
        <v>33</v>
      </c>
    </row>
    <row r="123" ht="12.75" customHeight="1">
      <c r="A123" s="13" t="s">
        <v>15</v>
      </c>
      <c r="B123" s="49" t="s">
        <v>46</v>
      </c>
      <c r="C123" s="8"/>
      <c r="D123" s="9"/>
      <c r="E123" s="60">
        <f t="shared" ref="E123:R123" si="33">SUM(E116:E122)</f>
        <v>16</v>
      </c>
      <c r="F123" s="60">
        <f t="shared" si="33"/>
        <v>24</v>
      </c>
      <c r="G123" s="60">
        <f t="shared" si="33"/>
        <v>18</v>
      </c>
      <c r="H123" s="60">
        <f t="shared" si="33"/>
        <v>44</v>
      </c>
      <c r="I123" s="60">
        <f t="shared" si="33"/>
        <v>14</v>
      </c>
      <c r="J123" s="60">
        <f t="shared" si="33"/>
        <v>23</v>
      </c>
      <c r="K123" s="60">
        <f t="shared" si="33"/>
        <v>9</v>
      </c>
      <c r="L123" s="60">
        <f t="shared" si="33"/>
        <v>14</v>
      </c>
      <c r="M123" s="60">
        <f t="shared" si="33"/>
        <v>12</v>
      </c>
      <c r="N123" s="60">
        <f t="shared" si="33"/>
        <v>15</v>
      </c>
      <c r="O123" s="60">
        <f t="shared" si="33"/>
        <v>14</v>
      </c>
      <c r="P123" s="60">
        <f t="shared" si="33"/>
        <v>27</v>
      </c>
      <c r="Q123" s="60">
        <f t="shared" si="33"/>
        <v>6</v>
      </c>
      <c r="R123" s="60">
        <f t="shared" si="33"/>
        <v>4</v>
      </c>
      <c r="S123" s="6">
        <f t="shared" si="32"/>
        <v>240</v>
      </c>
    </row>
    <row r="124" ht="12.75" customHeight="1">
      <c r="A124" s="54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6"/>
    </row>
    <row r="125" ht="12.75" customHeight="1">
      <c r="A125" s="32" t="s">
        <v>37</v>
      </c>
      <c r="B125" s="49" t="s">
        <v>106</v>
      </c>
      <c r="C125" s="50" t="s">
        <v>107</v>
      </c>
      <c r="D125" s="9"/>
      <c r="E125" s="13">
        <v>1.0</v>
      </c>
      <c r="F125" s="13">
        <v>0.0</v>
      </c>
      <c r="G125" s="13">
        <v>0.0</v>
      </c>
      <c r="H125" s="13">
        <v>0.0</v>
      </c>
      <c r="I125" s="13">
        <v>0.0</v>
      </c>
      <c r="J125" s="13">
        <v>0.0</v>
      </c>
      <c r="K125" s="13">
        <v>0.0</v>
      </c>
      <c r="L125" s="13">
        <v>0.0</v>
      </c>
      <c r="M125" s="13">
        <v>0.0</v>
      </c>
      <c r="N125" s="13">
        <v>1.0</v>
      </c>
      <c r="O125" s="13">
        <v>0.0</v>
      </c>
      <c r="P125" s="13">
        <v>2.0</v>
      </c>
      <c r="Q125" s="13">
        <v>0.0</v>
      </c>
      <c r="R125" s="13">
        <v>1.0</v>
      </c>
      <c r="S125" s="6">
        <f t="shared" ref="S125:S127" si="34">SUM(E125:R125)</f>
        <v>5</v>
      </c>
    </row>
    <row r="126" ht="12.75" customHeight="1">
      <c r="A126" s="32" t="s">
        <v>39</v>
      </c>
      <c r="B126" s="51"/>
      <c r="C126" s="52" t="s">
        <v>108</v>
      </c>
      <c r="D126" s="5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6">
        <f t="shared" si="34"/>
        <v>0</v>
      </c>
    </row>
    <row r="127" ht="12.75" customHeight="1">
      <c r="A127" s="13" t="s">
        <v>15</v>
      </c>
      <c r="B127" s="49" t="s">
        <v>46</v>
      </c>
      <c r="C127" s="8"/>
      <c r="D127" s="9"/>
      <c r="E127" s="60">
        <f t="shared" ref="E127:R127" si="35">SUM(E125:E126)</f>
        <v>1</v>
      </c>
      <c r="F127" s="60">
        <f t="shared" si="35"/>
        <v>0</v>
      </c>
      <c r="G127" s="60">
        <f t="shared" si="35"/>
        <v>0</v>
      </c>
      <c r="H127" s="60">
        <f t="shared" si="35"/>
        <v>0</v>
      </c>
      <c r="I127" s="60">
        <f t="shared" si="35"/>
        <v>0</v>
      </c>
      <c r="J127" s="60">
        <f t="shared" si="35"/>
        <v>0</v>
      </c>
      <c r="K127" s="60">
        <f t="shared" si="35"/>
        <v>0</v>
      </c>
      <c r="L127" s="60">
        <f t="shared" si="35"/>
        <v>0</v>
      </c>
      <c r="M127" s="60">
        <f t="shared" si="35"/>
        <v>0</v>
      </c>
      <c r="N127" s="60">
        <f t="shared" si="35"/>
        <v>1</v>
      </c>
      <c r="O127" s="60">
        <f t="shared" si="35"/>
        <v>0</v>
      </c>
      <c r="P127" s="60">
        <f t="shared" si="35"/>
        <v>2</v>
      </c>
      <c r="Q127" s="60">
        <f t="shared" si="35"/>
        <v>0</v>
      </c>
      <c r="R127" s="60">
        <f t="shared" si="35"/>
        <v>1</v>
      </c>
      <c r="S127" s="6">
        <f t="shared" si="34"/>
        <v>5</v>
      </c>
    </row>
    <row r="128" ht="12.75" customHeight="1">
      <c r="A128" s="54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6"/>
    </row>
    <row r="129" ht="12.75" customHeight="1">
      <c r="A129" s="32" t="s">
        <v>37</v>
      </c>
      <c r="B129" s="49" t="s">
        <v>109</v>
      </c>
      <c r="C129" s="50" t="s">
        <v>110</v>
      </c>
      <c r="D129" s="9"/>
      <c r="E129" s="13">
        <v>2.0</v>
      </c>
      <c r="F129" s="13">
        <v>0.0</v>
      </c>
      <c r="G129" s="13">
        <v>1.0</v>
      </c>
      <c r="H129" s="13">
        <v>0.0</v>
      </c>
      <c r="I129" s="13">
        <v>2.0</v>
      </c>
      <c r="J129" s="13">
        <v>0.0</v>
      </c>
      <c r="K129" s="13">
        <v>0.0</v>
      </c>
      <c r="L129" s="13">
        <v>1.0</v>
      </c>
      <c r="M129" s="13">
        <v>1.0</v>
      </c>
      <c r="N129" s="13">
        <v>2.0</v>
      </c>
      <c r="O129" s="13">
        <v>1.0</v>
      </c>
      <c r="P129" s="13">
        <v>1.0</v>
      </c>
      <c r="Q129" s="13">
        <v>0.0</v>
      </c>
      <c r="R129" s="13">
        <v>0.0</v>
      </c>
      <c r="S129" s="6">
        <f t="shared" ref="S129:S136" si="36">SUM(E129:R129)</f>
        <v>11</v>
      </c>
    </row>
    <row r="130" ht="12.75" customHeight="1">
      <c r="A130" s="32" t="s">
        <v>39</v>
      </c>
      <c r="B130" s="51"/>
      <c r="C130" s="52" t="s">
        <v>111</v>
      </c>
      <c r="D130" s="53"/>
      <c r="E130" s="13">
        <v>2.0</v>
      </c>
      <c r="F130" s="13">
        <v>2.0</v>
      </c>
      <c r="G130" s="13">
        <v>2.0</v>
      </c>
      <c r="H130" s="13">
        <v>2.0</v>
      </c>
      <c r="I130" s="13">
        <v>5.0</v>
      </c>
      <c r="J130" s="13">
        <v>1.0</v>
      </c>
      <c r="K130" s="13">
        <v>0.0</v>
      </c>
      <c r="L130" s="13">
        <v>0.0</v>
      </c>
      <c r="M130" s="13">
        <v>1.0</v>
      </c>
      <c r="N130" s="13">
        <v>9.0</v>
      </c>
      <c r="O130" s="13">
        <v>1.0</v>
      </c>
      <c r="P130" s="13">
        <v>2.0</v>
      </c>
      <c r="Q130" s="13">
        <v>1.0</v>
      </c>
      <c r="R130" s="13">
        <v>1.0</v>
      </c>
      <c r="S130" s="6">
        <f t="shared" si="36"/>
        <v>29</v>
      </c>
    </row>
    <row r="131" ht="12.75" customHeight="1">
      <c r="A131" s="18"/>
      <c r="B131" s="51"/>
      <c r="C131" s="52" t="s">
        <v>112</v>
      </c>
      <c r="D131" s="53"/>
      <c r="E131" s="13">
        <v>0.0</v>
      </c>
      <c r="F131" s="13">
        <v>1.0</v>
      </c>
      <c r="G131" s="13">
        <v>0.0</v>
      </c>
      <c r="H131" s="13">
        <v>0.0</v>
      </c>
      <c r="I131" s="13">
        <v>1.0</v>
      </c>
      <c r="J131" s="13">
        <v>0.0</v>
      </c>
      <c r="K131" s="13">
        <v>0.0</v>
      </c>
      <c r="L131" s="13">
        <v>1.0</v>
      </c>
      <c r="M131" s="13">
        <v>1.0</v>
      </c>
      <c r="N131" s="13">
        <v>0.0</v>
      </c>
      <c r="O131" s="13">
        <v>0.0</v>
      </c>
      <c r="P131" s="13">
        <v>0.0</v>
      </c>
      <c r="Q131" s="13">
        <v>0.0</v>
      </c>
      <c r="R131" s="13">
        <v>0.0</v>
      </c>
      <c r="S131" s="6">
        <f t="shared" si="36"/>
        <v>4</v>
      </c>
    </row>
    <row r="132" ht="12.75" customHeight="1">
      <c r="A132" s="18"/>
      <c r="B132" s="51"/>
      <c r="C132" s="52" t="s">
        <v>113</v>
      </c>
      <c r="D132" s="53"/>
      <c r="E132" s="13">
        <v>0.0</v>
      </c>
      <c r="F132" s="13">
        <v>0.0</v>
      </c>
      <c r="G132" s="13">
        <v>0.0</v>
      </c>
      <c r="H132" s="13">
        <v>0.0</v>
      </c>
      <c r="I132" s="13">
        <v>0.0</v>
      </c>
      <c r="J132" s="13">
        <v>0.0</v>
      </c>
      <c r="K132" s="13">
        <v>0.0</v>
      </c>
      <c r="L132" s="13">
        <v>0.0</v>
      </c>
      <c r="M132" s="13">
        <v>0.0</v>
      </c>
      <c r="N132" s="13">
        <v>0.0</v>
      </c>
      <c r="O132" s="13">
        <v>0.0</v>
      </c>
      <c r="P132" s="13">
        <v>0.0</v>
      </c>
      <c r="Q132" s="13">
        <v>0.0</v>
      </c>
      <c r="R132" s="13">
        <v>0.0</v>
      </c>
      <c r="S132" s="6">
        <f t="shared" si="36"/>
        <v>0</v>
      </c>
    </row>
    <row r="133" ht="12.75" customHeight="1">
      <c r="A133" s="18"/>
      <c r="B133" s="51"/>
      <c r="C133" s="52" t="s">
        <v>114</v>
      </c>
      <c r="D133" s="53"/>
      <c r="E133" s="13">
        <v>1.0</v>
      </c>
      <c r="F133" s="13">
        <v>1.0</v>
      </c>
      <c r="G133" s="13">
        <v>0.0</v>
      </c>
      <c r="H133" s="13">
        <v>0.0</v>
      </c>
      <c r="I133" s="13">
        <v>0.0</v>
      </c>
      <c r="J133" s="13">
        <v>0.0</v>
      </c>
      <c r="K133" s="13">
        <v>0.0</v>
      </c>
      <c r="L133" s="13">
        <v>0.0</v>
      </c>
      <c r="M133" s="13">
        <v>0.0</v>
      </c>
      <c r="N133" s="13">
        <v>0.0</v>
      </c>
      <c r="O133" s="13">
        <v>0.0</v>
      </c>
      <c r="P133" s="13">
        <v>0.0</v>
      </c>
      <c r="Q133" s="13">
        <v>0.0</v>
      </c>
      <c r="R133" s="13">
        <v>1.0</v>
      </c>
      <c r="S133" s="6">
        <f t="shared" si="36"/>
        <v>3</v>
      </c>
    </row>
    <row r="134" ht="12.75" customHeight="1">
      <c r="A134" s="18"/>
      <c r="B134" s="51"/>
      <c r="C134" s="52" t="s">
        <v>115</v>
      </c>
      <c r="D134" s="53"/>
      <c r="E134" s="13">
        <v>0.0</v>
      </c>
      <c r="F134" s="13">
        <v>0.0</v>
      </c>
      <c r="G134" s="13">
        <v>0.0</v>
      </c>
      <c r="H134" s="13">
        <v>0.0</v>
      </c>
      <c r="I134" s="13">
        <v>0.0</v>
      </c>
      <c r="J134" s="13">
        <v>0.0</v>
      </c>
      <c r="K134" s="13">
        <v>0.0</v>
      </c>
      <c r="L134" s="13">
        <v>0.0</v>
      </c>
      <c r="M134" s="13">
        <v>1.0</v>
      </c>
      <c r="N134" s="13">
        <v>0.0</v>
      </c>
      <c r="O134" s="13">
        <v>0.0</v>
      </c>
      <c r="P134" s="13">
        <v>1.0</v>
      </c>
      <c r="Q134" s="13">
        <v>0.0</v>
      </c>
      <c r="R134" s="13">
        <v>0.0</v>
      </c>
      <c r="S134" s="6">
        <f t="shared" si="36"/>
        <v>2</v>
      </c>
    </row>
    <row r="135" ht="12.75" customHeight="1">
      <c r="A135" s="18"/>
      <c r="B135" s="51"/>
      <c r="C135" s="52" t="s">
        <v>116</v>
      </c>
      <c r="D135" s="53"/>
      <c r="E135" s="13">
        <v>0.0</v>
      </c>
      <c r="F135" s="13">
        <v>0.0</v>
      </c>
      <c r="G135" s="13">
        <v>0.0</v>
      </c>
      <c r="H135" s="13">
        <v>0.0</v>
      </c>
      <c r="I135" s="13">
        <v>0.0</v>
      </c>
      <c r="J135" s="13">
        <v>0.0</v>
      </c>
      <c r="K135" s="13">
        <v>0.0</v>
      </c>
      <c r="L135" s="13">
        <v>0.0</v>
      </c>
      <c r="M135" s="13">
        <v>0.0</v>
      </c>
      <c r="N135" s="13">
        <v>0.0</v>
      </c>
      <c r="O135" s="13">
        <v>0.0</v>
      </c>
      <c r="P135" s="13">
        <v>0.0</v>
      </c>
      <c r="Q135" s="13">
        <v>0.0</v>
      </c>
      <c r="R135" s="13">
        <v>0.0</v>
      </c>
      <c r="S135" s="6">
        <f t="shared" si="36"/>
        <v>0</v>
      </c>
    </row>
    <row r="136" ht="12.75" customHeight="1">
      <c r="A136" s="13" t="s">
        <v>15</v>
      </c>
      <c r="B136" s="49" t="s">
        <v>46</v>
      </c>
      <c r="C136" s="8"/>
      <c r="D136" s="9"/>
      <c r="E136" s="60">
        <f t="shared" ref="E136:R136" si="37">SUM(E129:E135)</f>
        <v>5</v>
      </c>
      <c r="F136" s="60">
        <f t="shared" si="37"/>
        <v>4</v>
      </c>
      <c r="G136" s="60">
        <f t="shared" si="37"/>
        <v>3</v>
      </c>
      <c r="H136" s="60">
        <f t="shared" si="37"/>
        <v>2</v>
      </c>
      <c r="I136" s="60">
        <f t="shared" si="37"/>
        <v>8</v>
      </c>
      <c r="J136" s="60">
        <f t="shared" si="37"/>
        <v>1</v>
      </c>
      <c r="K136" s="60">
        <f t="shared" si="37"/>
        <v>0</v>
      </c>
      <c r="L136" s="60">
        <f t="shared" si="37"/>
        <v>2</v>
      </c>
      <c r="M136" s="60">
        <f t="shared" si="37"/>
        <v>4</v>
      </c>
      <c r="N136" s="60">
        <f t="shared" si="37"/>
        <v>11</v>
      </c>
      <c r="O136" s="60">
        <f t="shared" si="37"/>
        <v>2</v>
      </c>
      <c r="P136" s="60">
        <f t="shared" si="37"/>
        <v>4</v>
      </c>
      <c r="Q136" s="60">
        <f t="shared" si="37"/>
        <v>1</v>
      </c>
      <c r="R136" s="60">
        <f t="shared" si="37"/>
        <v>2</v>
      </c>
      <c r="S136" s="6">
        <f t="shared" si="36"/>
        <v>49</v>
      </c>
    </row>
    <row r="137" ht="12.75" customHeight="1">
      <c r="A137" s="54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6"/>
    </row>
    <row r="138" ht="12.75" customHeight="1">
      <c r="A138" s="32" t="s">
        <v>37</v>
      </c>
      <c r="B138" s="49" t="s">
        <v>117</v>
      </c>
      <c r="C138" s="50" t="s">
        <v>118</v>
      </c>
      <c r="D138" s="9"/>
      <c r="E138" s="13">
        <v>1.0</v>
      </c>
      <c r="F138" s="13">
        <v>1.0</v>
      </c>
      <c r="G138" s="13">
        <v>1.0</v>
      </c>
      <c r="H138" s="13">
        <v>1.0</v>
      </c>
      <c r="I138" s="13">
        <v>0.0</v>
      </c>
      <c r="J138" s="13">
        <v>0.0</v>
      </c>
      <c r="K138" s="13">
        <v>0.0</v>
      </c>
      <c r="L138" s="13">
        <v>0.0</v>
      </c>
      <c r="M138" s="13">
        <v>0.0</v>
      </c>
      <c r="N138" s="13">
        <v>0.0</v>
      </c>
      <c r="O138" s="13">
        <v>0.0</v>
      </c>
      <c r="P138" s="13">
        <v>2.0</v>
      </c>
      <c r="Q138" s="13">
        <v>0.0</v>
      </c>
      <c r="R138" s="13">
        <v>2.0</v>
      </c>
      <c r="S138" s="6">
        <f t="shared" ref="S138:S145" si="38">SUM(E138:R138)</f>
        <v>8</v>
      </c>
    </row>
    <row r="139" ht="12.75" customHeight="1">
      <c r="A139" s="32" t="s">
        <v>39</v>
      </c>
      <c r="B139" s="51"/>
      <c r="C139" s="52" t="s">
        <v>119</v>
      </c>
      <c r="D139" s="53"/>
      <c r="E139" s="13">
        <v>0.0</v>
      </c>
      <c r="F139" s="13">
        <v>0.0</v>
      </c>
      <c r="G139" s="13">
        <v>0.0</v>
      </c>
      <c r="H139" s="13">
        <v>0.0</v>
      </c>
      <c r="I139" s="13">
        <v>0.0</v>
      </c>
      <c r="J139" s="13">
        <v>0.0</v>
      </c>
      <c r="K139" s="13">
        <v>0.0</v>
      </c>
      <c r="L139" s="13">
        <v>0.0</v>
      </c>
      <c r="M139" s="13">
        <v>0.0</v>
      </c>
      <c r="N139" s="13">
        <v>0.0</v>
      </c>
      <c r="O139" s="13">
        <v>0.0</v>
      </c>
      <c r="P139" s="13">
        <v>0.0</v>
      </c>
      <c r="Q139" s="13">
        <v>0.0</v>
      </c>
      <c r="R139" s="13">
        <v>0.0</v>
      </c>
      <c r="S139" s="6">
        <f t="shared" si="38"/>
        <v>0</v>
      </c>
    </row>
    <row r="140" ht="12.75" customHeight="1">
      <c r="A140" s="18"/>
      <c r="B140" s="51"/>
      <c r="C140" s="52" t="s">
        <v>120</v>
      </c>
      <c r="D140" s="53"/>
      <c r="E140" s="13">
        <v>0.0</v>
      </c>
      <c r="F140" s="13">
        <v>0.0</v>
      </c>
      <c r="G140" s="13">
        <v>0.0</v>
      </c>
      <c r="H140" s="13">
        <v>1.0</v>
      </c>
      <c r="I140" s="13">
        <v>0.0</v>
      </c>
      <c r="J140" s="13">
        <v>0.0</v>
      </c>
      <c r="K140" s="13">
        <v>0.0</v>
      </c>
      <c r="L140" s="13">
        <v>0.0</v>
      </c>
      <c r="M140" s="13">
        <v>0.0</v>
      </c>
      <c r="N140" s="13">
        <v>0.0</v>
      </c>
      <c r="O140" s="13">
        <v>0.0</v>
      </c>
      <c r="P140" s="13">
        <v>0.0</v>
      </c>
      <c r="Q140" s="13">
        <v>0.0</v>
      </c>
      <c r="R140" s="13">
        <v>0.0</v>
      </c>
      <c r="S140" s="6">
        <f t="shared" si="38"/>
        <v>1</v>
      </c>
    </row>
    <row r="141" ht="12.75" customHeight="1">
      <c r="A141" s="18"/>
      <c r="B141" s="51"/>
      <c r="C141" s="52" t="s">
        <v>121</v>
      </c>
      <c r="D141" s="53"/>
      <c r="E141" s="13">
        <v>0.0</v>
      </c>
      <c r="F141" s="13">
        <v>0.0</v>
      </c>
      <c r="G141" s="13">
        <v>0.0</v>
      </c>
      <c r="H141" s="13">
        <v>1.0</v>
      </c>
      <c r="I141" s="13">
        <v>0.0</v>
      </c>
      <c r="J141" s="13">
        <v>0.0</v>
      </c>
      <c r="K141" s="13">
        <v>0.0</v>
      </c>
      <c r="L141" s="13">
        <v>0.0</v>
      </c>
      <c r="M141" s="13">
        <v>0.0</v>
      </c>
      <c r="N141" s="13">
        <v>0.0</v>
      </c>
      <c r="O141" s="13">
        <v>0.0</v>
      </c>
      <c r="P141" s="13">
        <v>0.0</v>
      </c>
      <c r="Q141" s="13">
        <v>0.0</v>
      </c>
      <c r="R141" s="13">
        <v>0.0</v>
      </c>
      <c r="S141" s="6">
        <f t="shared" si="38"/>
        <v>1</v>
      </c>
    </row>
    <row r="142" ht="12.75" customHeight="1">
      <c r="A142" s="18"/>
      <c r="B142" s="51"/>
      <c r="C142" s="52" t="s">
        <v>122</v>
      </c>
      <c r="D142" s="53"/>
      <c r="E142" s="13">
        <v>0.0</v>
      </c>
      <c r="F142" s="13">
        <v>0.0</v>
      </c>
      <c r="G142" s="13">
        <v>0.0</v>
      </c>
      <c r="H142" s="13">
        <v>0.0</v>
      </c>
      <c r="I142" s="13">
        <v>0.0</v>
      </c>
      <c r="J142" s="13">
        <v>0.0</v>
      </c>
      <c r="K142" s="13">
        <v>0.0</v>
      </c>
      <c r="L142" s="13">
        <v>0.0</v>
      </c>
      <c r="M142" s="13">
        <v>0.0</v>
      </c>
      <c r="N142" s="13">
        <v>0.0</v>
      </c>
      <c r="O142" s="13">
        <v>0.0</v>
      </c>
      <c r="P142" s="13">
        <v>0.0</v>
      </c>
      <c r="Q142" s="13">
        <v>0.0</v>
      </c>
      <c r="R142" s="13">
        <v>0.0</v>
      </c>
      <c r="S142" s="6">
        <f t="shared" si="38"/>
        <v>0</v>
      </c>
    </row>
    <row r="143" ht="12.75" customHeight="1">
      <c r="A143" s="18"/>
      <c r="B143" s="51"/>
      <c r="C143" s="52" t="s">
        <v>123</v>
      </c>
      <c r="D143" s="53"/>
      <c r="E143" s="13">
        <v>0.0</v>
      </c>
      <c r="F143" s="13">
        <v>0.0</v>
      </c>
      <c r="G143" s="13">
        <v>0.0</v>
      </c>
      <c r="H143" s="13">
        <v>0.0</v>
      </c>
      <c r="I143" s="13">
        <v>0.0</v>
      </c>
      <c r="J143" s="13">
        <v>0.0</v>
      </c>
      <c r="K143" s="13">
        <v>0.0</v>
      </c>
      <c r="L143" s="13">
        <v>0.0</v>
      </c>
      <c r="M143" s="13">
        <v>0.0</v>
      </c>
      <c r="N143" s="13">
        <v>0.0</v>
      </c>
      <c r="O143" s="13">
        <v>0.0</v>
      </c>
      <c r="P143" s="13">
        <v>0.0</v>
      </c>
      <c r="Q143" s="13">
        <v>0.0</v>
      </c>
      <c r="R143" s="13">
        <v>0.0</v>
      </c>
      <c r="S143" s="6">
        <f t="shared" si="38"/>
        <v>0</v>
      </c>
    </row>
    <row r="144" ht="12.75" customHeight="1">
      <c r="A144" s="18"/>
      <c r="B144" s="51"/>
      <c r="C144" s="52" t="s">
        <v>124</v>
      </c>
      <c r="D144" s="53"/>
      <c r="E144" s="13">
        <v>0.0</v>
      </c>
      <c r="F144" s="13">
        <v>0.0</v>
      </c>
      <c r="G144" s="13">
        <v>0.0</v>
      </c>
      <c r="H144" s="13">
        <v>0.0</v>
      </c>
      <c r="I144" s="13">
        <v>0.0</v>
      </c>
      <c r="J144" s="13">
        <v>0.0</v>
      </c>
      <c r="K144" s="13">
        <v>0.0</v>
      </c>
      <c r="L144" s="13">
        <v>1.0</v>
      </c>
      <c r="M144" s="13">
        <v>0.0</v>
      </c>
      <c r="N144" s="13">
        <v>0.0</v>
      </c>
      <c r="O144" s="13">
        <v>0.0</v>
      </c>
      <c r="P144" s="13">
        <v>0.0</v>
      </c>
      <c r="Q144" s="13">
        <v>0.0</v>
      </c>
      <c r="R144" s="13">
        <v>0.0</v>
      </c>
      <c r="S144" s="6">
        <f t="shared" si="38"/>
        <v>1</v>
      </c>
    </row>
    <row r="145" ht="12.75" customHeight="1">
      <c r="A145" s="13" t="s">
        <v>15</v>
      </c>
      <c r="B145" s="49" t="s">
        <v>46</v>
      </c>
      <c r="C145" s="8"/>
      <c r="D145" s="9"/>
      <c r="E145" s="60">
        <f t="shared" ref="E145:R145" si="39">SUM(E138:E144)</f>
        <v>1</v>
      </c>
      <c r="F145" s="60">
        <f t="shared" si="39"/>
        <v>1</v>
      </c>
      <c r="G145" s="60">
        <f t="shared" si="39"/>
        <v>1</v>
      </c>
      <c r="H145" s="60">
        <f t="shared" si="39"/>
        <v>3</v>
      </c>
      <c r="I145" s="60">
        <f t="shared" si="39"/>
        <v>0</v>
      </c>
      <c r="J145" s="60">
        <f t="shared" si="39"/>
        <v>0</v>
      </c>
      <c r="K145" s="60">
        <f t="shared" si="39"/>
        <v>0</v>
      </c>
      <c r="L145" s="60">
        <f t="shared" si="39"/>
        <v>1</v>
      </c>
      <c r="M145" s="60">
        <f t="shared" si="39"/>
        <v>0</v>
      </c>
      <c r="N145" s="60">
        <f t="shared" si="39"/>
        <v>0</v>
      </c>
      <c r="O145" s="60">
        <f t="shared" si="39"/>
        <v>0</v>
      </c>
      <c r="P145" s="60">
        <f t="shared" si="39"/>
        <v>2</v>
      </c>
      <c r="Q145" s="60">
        <f t="shared" si="39"/>
        <v>0</v>
      </c>
      <c r="R145" s="60">
        <f t="shared" si="39"/>
        <v>2</v>
      </c>
      <c r="S145" s="6">
        <f t="shared" si="38"/>
        <v>11</v>
      </c>
    </row>
    <row r="146" ht="12.75" customHeight="1">
      <c r="A146" s="54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6"/>
    </row>
    <row r="147" ht="12.75" customHeight="1">
      <c r="A147" s="32" t="s">
        <v>37</v>
      </c>
      <c r="B147" s="49" t="s">
        <v>125</v>
      </c>
      <c r="C147" s="50" t="s">
        <v>126</v>
      </c>
      <c r="D147" s="9"/>
      <c r="E147" s="13">
        <v>0.0</v>
      </c>
      <c r="F147" s="13">
        <v>2.0</v>
      </c>
      <c r="G147" s="13">
        <v>0.0</v>
      </c>
      <c r="H147" s="13">
        <v>0.0</v>
      </c>
      <c r="I147" s="13">
        <v>1.0</v>
      </c>
      <c r="J147" s="13">
        <v>0.0</v>
      </c>
      <c r="K147" s="13">
        <v>0.0</v>
      </c>
      <c r="L147" s="13">
        <v>1.0</v>
      </c>
      <c r="M147" s="13">
        <v>6.0</v>
      </c>
      <c r="N147" s="13">
        <v>0.0</v>
      </c>
      <c r="O147" s="13">
        <v>1.0</v>
      </c>
      <c r="P147" s="13">
        <v>1.0</v>
      </c>
      <c r="Q147" s="13">
        <v>0.0</v>
      </c>
      <c r="R147" s="13">
        <v>1.0</v>
      </c>
      <c r="S147" s="6">
        <f t="shared" ref="S147:S154" si="40">SUM(E147:R147)</f>
        <v>13</v>
      </c>
    </row>
    <row r="148" ht="12.75" customHeight="1">
      <c r="A148" s="32" t="s">
        <v>39</v>
      </c>
      <c r="B148" s="51"/>
      <c r="C148" s="52" t="s">
        <v>127</v>
      </c>
      <c r="D148" s="53"/>
      <c r="E148" s="13">
        <v>1.0</v>
      </c>
      <c r="F148" s="13">
        <v>2.0</v>
      </c>
      <c r="G148" s="13">
        <v>4.0</v>
      </c>
      <c r="H148" s="13">
        <v>3.0</v>
      </c>
      <c r="I148" s="13">
        <v>3.0</v>
      </c>
      <c r="J148" s="13">
        <v>5.0</v>
      </c>
      <c r="K148" s="13">
        <v>6.0</v>
      </c>
      <c r="L148" s="13">
        <v>5.0</v>
      </c>
      <c r="M148" s="13">
        <v>23.0</v>
      </c>
      <c r="N148" s="13">
        <v>3.0</v>
      </c>
      <c r="O148" s="13">
        <v>4.0</v>
      </c>
      <c r="P148" s="13">
        <v>6.0</v>
      </c>
      <c r="Q148" s="13">
        <v>3.0</v>
      </c>
      <c r="R148" s="13">
        <v>1.0</v>
      </c>
      <c r="S148" s="6">
        <f t="shared" si="40"/>
        <v>69</v>
      </c>
    </row>
    <row r="149" ht="12.75" customHeight="1">
      <c r="A149" s="18"/>
      <c r="B149" s="51"/>
      <c r="C149" s="52" t="s">
        <v>128</v>
      </c>
      <c r="D149" s="53"/>
      <c r="E149" s="13">
        <v>0.0</v>
      </c>
      <c r="F149" s="13">
        <v>1.0</v>
      </c>
      <c r="G149" s="13">
        <v>4.0</v>
      </c>
      <c r="H149" s="13">
        <v>6.0</v>
      </c>
      <c r="I149" s="13">
        <v>0.0</v>
      </c>
      <c r="J149" s="13">
        <v>1.0</v>
      </c>
      <c r="K149" s="13">
        <v>1.0</v>
      </c>
      <c r="L149" s="13">
        <v>1.0</v>
      </c>
      <c r="M149" s="13">
        <v>1.0</v>
      </c>
      <c r="N149" s="13">
        <v>0.0</v>
      </c>
      <c r="O149" s="13">
        <v>0.0</v>
      </c>
      <c r="P149" s="13">
        <v>0.0</v>
      </c>
      <c r="Q149" s="13">
        <v>0.0</v>
      </c>
      <c r="R149" s="13">
        <v>0.0</v>
      </c>
      <c r="S149" s="6">
        <f t="shared" si="40"/>
        <v>15</v>
      </c>
    </row>
    <row r="150" ht="12.75" customHeight="1">
      <c r="A150" s="18"/>
      <c r="B150" s="51"/>
      <c r="C150" s="52" t="s">
        <v>129</v>
      </c>
      <c r="D150" s="53"/>
      <c r="E150" s="13">
        <v>10.0</v>
      </c>
      <c r="F150" s="13">
        <v>5.0</v>
      </c>
      <c r="G150" s="13">
        <v>0.0</v>
      </c>
      <c r="H150" s="13">
        <v>1.0</v>
      </c>
      <c r="I150" s="13">
        <v>3.0</v>
      </c>
      <c r="J150" s="13">
        <v>2.0</v>
      </c>
      <c r="K150" s="13">
        <v>9.0</v>
      </c>
      <c r="L150" s="13">
        <v>10.0</v>
      </c>
      <c r="M150" s="13">
        <v>9.0</v>
      </c>
      <c r="N150" s="13">
        <v>1.0</v>
      </c>
      <c r="O150" s="13">
        <v>0.0</v>
      </c>
      <c r="P150" s="13">
        <v>0.0</v>
      </c>
      <c r="Q150" s="13">
        <v>0.0</v>
      </c>
      <c r="R150" s="13">
        <v>3.0</v>
      </c>
      <c r="S150" s="6">
        <f t="shared" si="40"/>
        <v>53</v>
      </c>
    </row>
    <row r="151" ht="12.75" customHeight="1">
      <c r="A151" s="18"/>
      <c r="B151" s="51"/>
      <c r="C151" s="52" t="s">
        <v>130</v>
      </c>
      <c r="D151" s="53"/>
      <c r="E151" s="13">
        <v>0.0</v>
      </c>
      <c r="F151" s="13">
        <v>0.0</v>
      </c>
      <c r="G151" s="13">
        <v>0.0</v>
      </c>
      <c r="H151" s="13">
        <v>0.0</v>
      </c>
      <c r="I151" s="13">
        <v>0.0</v>
      </c>
      <c r="J151" s="13">
        <v>0.0</v>
      </c>
      <c r="K151" s="13">
        <v>1.0</v>
      </c>
      <c r="L151" s="13">
        <v>1.0</v>
      </c>
      <c r="M151" s="13">
        <v>2.0</v>
      </c>
      <c r="N151" s="13">
        <v>0.0</v>
      </c>
      <c r="O151" s="13">
        <v>0.0</v>
      </c>
      <c r="P151" s="13">
        <v>0.0</v>
      </c>
      <c r="Q151" s="13">
        <v>0.0</v>
      </c>
      <c r="R151" s="13">
        <v>0.0</v>
      </c>
      <c r="S151" s="6">
        <f t="shared" si="40"/>
        <v>4</v>
      </c>
    </row>
    <row r="152" ht="12.75" customHeight="1">
      <c r="A152" s="18"/>
      <c r="B152" s="51"/>
      <c r="C152" s="52" t="s">
        <v>131</v>
      </c>
      <c r="D152" s="53"/>
      <c r="E152" s="13">
        <v>1.0</v>
      </c>
      <c r="F152" s="13">
        <v>1.0</v>
      </c>
      <c r="G152" s="13">
        <v>0.0</v>
      </c>
      <c r="H152" s="13">
        <v>0.0</v>
      </c>
      <c r="I152" s="13">
        <v>0.0</v>
      </c>
      <c r="J152" s="13">
        <v>0.0</v>
      </c>
      <c r="K152" s="13">
        <v>0.0</v>
      </c>
      <c r="L152" s="13">
        <v>0.0</v>
      </c>
      <c r="M152" s="13">
        <v>0.0</v>
      </c>
      <c r="N152" s="13">
        <v>0.0</v>
      </c>
      <c r="O152" s="13">
        <v>0.0</v>
      </c>
      <c r="P152" s="13">
        <v>0.0</v>
      </c>
      <c r="Q152" s="13">
        <v>0.0</v>
      </c>
      <c r="R152" s="13">
        <v>0.0</v>
      </c>
      <c r="S152" s="6">
        <f t="shared" si="40"/>
        <v>2</v>
      </c>
    </row>
    <row r="153" ht="12.75" customHeight="1">
      <c r="A153" s="18"/>
      <c r="B153" s="51"/>
      <c r="C153" s="52" t="s">
        <v>132</v>
      </c>
      <c r="D153" s="53"/>
      <c r="E153" s="13">
        <v>0.0</v>
      </c>
      <c r="F153" s="13">
        <v>0.0</v>
      </c>
      <c r="G153" s="13">
        <v>0.0</v>
      </c>
      <c r="H153" s="13">
        <v>0.0</v>
      </c>
      <c r="I153" s="13">
        <v>0.0</v>
      </c>
      <c r="J153" s="13">
        <v>0.0</v>
      </c>
      <c r="K153" s="13">
        <v>0.0</v>
      </c>
      <c r="L153" s="13">
        <v>0.0</v>
      </c>
      <c r="M153" s="13">
        <v>0.0</v>
      </c>
      <c r="N153" s="13">
        <v>0.0</v>
      </c>
      <c r="O153" s="13">
        <v>0.0</v>
      </c>
      <c r="P153" s="13">
        <v>0.0</v>
      </c>
      <c r="Q153" s="13">
        <v>0.0</v>
      </c>
      <c r="R153" s="13">
        <v>0.0</v>
      </c>
      <c r="S153" s="6">
        <f t="shared" si="40"/>
        <v>0</v>
      </c>
    </row>
    <row r="154" ht="12.75" customHeight="1">
      <c r="A154" s="13" t="s">
        <v>15</v>
      </c>
      <c r="B154" s="49" t="s">
        <v>46</v>
      </c>
      <c r="C154" s="8"/>
      <c r="D154" s="9"/>
      <c r="E154" s="60">
        <f t="shared" ref="E154:R154" si="41">SUM(E147:E153)</f>
        <v>12</v>
      </c>
      <c r="F154" s="60">
        <f t="shared" si="41"/>
        <v>11</v>
      </c>
      <c r="G154" s="60">
        <f t="shared" si="41"/>
        <v>8</v>
      </c>
      <c r="H154" s="60">
        <f t="shared" si="41"/>
        <v>10</v>
      </c>
      <c r="I154" s="60">
        <f t="shared" si="41"/>
        <v>7</v>
      </c>
      <c r="J154" s="60">
        <f t="shared" si="41"/>
        <v>8</v>
      </c>
      <c r="K154" s="60">
        <f t="shared" si="41"/>
        <v>17</v>
      </c>
      <c r="L154" s="60">
        <f t="shared" si="41"/>
        <v>18</v>
      </c>
      <c r="M154" s="60">
        <f t="shared" si="41"/>
        <v>41</v>
      </c>
      <c r="N154" s="60">
        <f t="shared" si="41"/>
        <v>4</v>
      </c>
      <c r="O154" s="60">
        <f t="shared" si="41"/>
        <v>5</v>
      </c>
      <c r="P154" s="60">
        <f t="shared" si="41"/>
        <v>7</v>
      </c>
      <c r="Q154" s="60">
        <f t="shared" si="41"/>
        <v>3</v>
      </c>
      <c r="R154" s="60">
        <f t="shared" si="41"/>
        <v>5</v>
      </c>
      <c r="S154" s="6">
        <f t="shared" si="40"/>
        <v>156</v>
      </c>
    </row>
    <row r="155" ht="12.75" customHeight="1">
      <c r="A155" s="54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6"/>
    </row>
    <row r="156" ht="12.75" customHeight="1">
      <c r="A156" s="32" t="s">
        <v>37</v>
      </c>
      <c r="B156" s="49" t="s">
        <v>133</v>
      </c>
      <c r="C156" s="50" t="s">
        <v>134</v>
      </c>
      <c r="D156" s="9"/>
      <c r="E156" s="13">
        <v>1.0</v>
      </c>
      <c r="F156" s="13">
        <v>0.0</v>
      </c>
      <c r="G156" s="13">
        <v>1.0</v>
      </c>
      <c r="H156" s="13">
        <v>1.0</v>
      </c>
      <c r="I156" s="13">
        <v>0.0</v>
      </c>
      <c r="J156" s="13">
        <v>1.0</v>
      </c>
      <c r="K156" s="13">
        <v>1.0</v>
      </c>
      <c r="L156" s="13">
        <v>2.0</v>
      </c>
      <c r="M156" s="13">
        <v>0.0</v>
      </c>
      <c r="N156" s="13">
        <v>0.0</v>
      </c>
      <c r="O156" s="13">
        <v>0.0</v>
      </c>
      <c r="P156" s="13">
        <v>1.0</v>
      </c>
      <c r="Q156" s="13">
        <v>1.0</v>
      </c>
      <c r="R156" s="13">
        <v>1.0</v>
      </c>
      <c r="S156" s="6">
        <f t="shared" ref="S156:S162" si="42">SUM(E156:R156)</f>
        <v>10</v>
      </c>
    </row>
    <row r="157" ht="12.75" customHeight="1">
      <c r="A157" s="32"/>
      <c r="B157" s="49"/>
      <c r="C157" s="52" t="s">
        <v>135</v>
      </c>
      <c r="D157" s="61"/>
      <c r="E157" s="13">
        <v>1.0</v>
      </c>
      <c r="F157" s="13">
        <v>0.0</v>
      </c>
      <c r="G157" s="13">
        <v>1.0</v>
      </c>
      <c r="H157" s="13">
        <v>0.0</v>
      </c>
      <c r="I157" s="13">
        <v>0.0</v>
      </c>
      <c r="J157" s="13">
        <v>1.0</v>
      </c>
      <c r="K157" s="13">
        <v>0.0</v>
      </c>
      <c r="L157" s="13">
        <v>1.0</v>
      </c>
      <c r="M157" s="13">
        <v>1.0</v>
      </c>
      <c r="N157" s="13">
        <v>0.0</v>
      </c>
      <c r="O157" s="13">
        <v>0.0</v>
      </c>
      <c r="P157" s="13">
        <v>0.0</v>
      </c>
      <c r="Q157" s="13">
        <v>1.0</v>
      </c>
      <c r="R157" s="13">
        <v>0.0</v>
      </c>
      <c r="S157" s="6">
        <f t="shared" si="42"/>
        <v>6</v>
      </c>
    </row>
    <row r="158" ht="12.75" customHeight="1">
      <c r="A158" s="32"/>
      <c r="B158" s="49"/>
      <c r="C158" s="52" t="s">
        <v>136</v>
      </c>
      <c r="D158" s="61"/>
      <c r="E158" s="13">
        <v>0.0</v>
      </c>
      <c r="F158" s="13">
        <v>0.0</v>
      </c>
      <c r="G158" s="13">
        <v>0.0</v>
      </c>
      <c r="H158" s="13">
        <v>0.0</v>
      </c>
      <c r="I158" s="13">
        <v>0.0</v>
      </c>
      <c r="J158" s="13">
        <v>0.0</v>
      </c>
      <c r="K158" s="13">
        <v>0.0</v>
      </c>
      <c r="L158" s="13">
        <v>4.0</v>
      </c>
      <c r="M158" s="13">
        <v>0.0</v>
      </c>
      <c r="N158" s="13">
        <v>0.0</v>
      </c>
      <c r="O158" s="13">
        <v>1.0</v>
      </c>
      <c r="P158" s="13">
        <v>0.0</v>
      </c>
      <c r="Q158" s="13">
        <v>0.0</v>
      </c>
      <c r="R158" s="13">
        <v>1.0</v>
      </c>
      <c r="S158" s="6">
        <f t="shared" si="42"/>
        <v>6</v>
      </c>
    </row>
    <row r="159" ht="12.75" customHeight="1">
      <c r="A159" s="32"/>
      <c r="B159" s="49"/>
      <c r="C159" s="52" t="s">
        <v>137</v>
      </c>
      <c r="D159" s="61"/>
      <c r="E159" s="13">
        <v>0.0</v>
      </c>
      <c r="F159" s="13">
        <v>0.0</v>
      </c>
      <c r="G159" s="13">
        <v>0.0</v>
      </c>
      <c r="H159" s="13">
        <v>0.0</v>
      </c>
      <c r="I159" s="13">
        <v>0.0</v>
      </c>
      <c r="J159" s="13">
        <v>0.0</v>
      </c>
      <c r="K159" s="13">
        <v>0.0</v>
      </c>
      <c r="L159" s="13">
        <v>0.0</v>
      </c>
      <c r="M159" s="13">
        <v>0.0</v>
      </c>
      <c r="N159" s="13">
        <v>0.0</v>
      </c>
      <c r="O159" s="13">
        <v>0.0</v>
      </c>
      <c r="P159" s="13">
        <v>0.0</v>
      </c>
      <c r="Q159" s="13">
        <v>0.0</v>
      </c>
      <c r="R159" s="13">
        <v>0.0</v>
      </c>
      <c r="S159" s="6">
        <f t="shared" si="42"/>
        <v>0</v>
      </c>
    </row>
    <row r="160" ht="12.75" customHeight="1">
      <c r="A160" s="32" t="s">
        <v>39</v>
      </c>
      <c r="B160" s="51"/>
      <c r="C160" s="52" t="s">
        <v>138</v>
      </c>
      <c r="D160" s="53"/>
      <c r="E160" s="13">
        <v>0.0</v>
      </c>
      <c r="F160" s="13">
        <v>0.0</v>
      </c>
      <c r="G160" s="13">
        <v>0.0</v>
      </c>
      <c r="H160" s="13">
        <v>0.0</v>
      </c>
      <c r="I160" s="13">
        <v>0.0</v>
      </c>
      <c r="J160" s="13">
        <v>0.0</v>
      </c>
      <c r="K160" s="13">
        <v>1.0</v>
      </c>
      <c r="L160" s="13">
        <v>0.0</v>
      </c>
      <c r="M160" s="13">
        <v>0.0</v>
      </c>
      <c r="N160" s="13">
        <v>0.0</v>
      </c>
      <c r="O160" s="13">
        <v>0.0</v>
      </c>
      <c r="P160" s="13">
        <v>0.0</v>
      </c>
      <c r="Q160" s="13">
        <v>0.0</v>
      </c>
      <c r="R160" s="13">
        <v>0.0</v>
      </c>
      <c r="S160" s="6">
        <f t="shared" si="42"/>
        <v>1</v>
      </c>
    </row>
    <row r="161" ht="12.75" customHeight="1">
      <c r="A161" s="32"/>
      <c r="B161" s="51"/>
      <c r="C161" s="52" t="s">
        <v>139</v>
      </c>
      <c r="D161" s="53"/>
      <c r="E161" s="13">
        <v>0.0</v>
      </c>
      <c r="F161" s="13">
        <v>0.0</v>
      </c>
      <c r="G161" s="13">
        <v>0.0</v>
      </c>
      <c r="H161" s="13">
        <v>0.0</v>
      </c>
      <c r="I161" s="13">
        <v>0.0</v>
      </c>
      <c r="J161" s="13">
        <v>0.0</v>
      </c>
      <c r="K161" s="13">
        <v>0.0</v>
      </c>
      <c r="L161" s="13">
        <v>0.0</v>
      </c>
      <c r="M161" s="13">
        <v>0.0</v>
      </c>
      <c r="N161" s="13">
        <v>0.0</v>
      </c>
      <c r="O161" s="13">
        <v>0.0</v>
      </c>
      <c r="P161" s="13">
        <v>0.0</v>
      </c>
      <c r="Q161" s="13">
        <v>0.0</v>
      </c>
      <c r="R161" s="13">
        <v>0.0</v>
      </c>
      <c r="S161" s="6">
        <f t="shared" si="42"/>
        <v>0</v>
      </c>
    </row>
    <row r="162" ht="12.75" customHeight="1">
      <c r="A162" s="13" t="s">
        <v>15</v>
      </c>
      <c r="B162" s="49" t="s">
        <v>46</v>
      </c>
      <c r="C162" s="8"/>
      <c r="D162" s="9"/>
      <c r="E162" s="60">
        <f t="shared" ref="E162:R162" si="43">SUM(E156:E161)</f>
        <v>2</v>
      </c>
      <c r="F162" s="60">
        <f t="shared" si="43"/>
        <v>0</v>
      </c>
      <c r="G162" s="60">
        <f t="shared" si="43"/>
        <v>2</v>
      </c>
      <c r="H162" s="60">
        <f t="shared" si="43"/>
        <v>1</v>
      </c>
      <c r="I162" s="60">
        <f t="shared" si="43"/>
        <v>0</v>
      </c>
      <c r="J162" s="60">
        <f t="shared" si="43"/>
        <v>2</v>
      </c>
      <c r="K162" s="60">
        <f t="shared" si="43"/>
        <v>2</v>
      </c>
      <c r="L162" s="60">
        <f t="shared" si="43"/>
        <v>7</v>
      </c>
      <c r="M162" s="60">
        <f t="shared" si="43"/>
        <v>1</v>
      </c>
      <c r="N162" s="60">
        <f t="shared" si="43"/>
        <v>0</v>
      </c>
      <c r="O162" s="60">
        <f t="shared" si="43"/>
        <v>1</v>
      </c>
      <c r="P162" s="60">
        <f t="shared" si="43"/>
        <v>1</v>
      </c>
      <c r="Q162" s="60">
        <f t="shared" si="43"/>
        <v>2</v>
      </c>
      <c r="R162" s="60">
        <f t="shared" si="43"/>
        <v>2</v>
      </c>
      <c r="S162" s="6">
        <f t="shared" si="42"/>
        <v>23</v>
      </c>
    </row>
    <row r="163" ht="12.75" customHeight="1">
      <c r="A163" s="54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6"/>
    </row>
    <row r="164" ht="12.75" customHeight="1">
      <c r="A164" s="32" t="s">
        <v>37</v>
      </c>
      <c r="B164" s="49" t="s">
        <v>140</v>
      </c>
      <c r="C164" s="50" t="s">
        <v>141</v>
      </c>
      <c r="D164" s="9"/>
      <c r="E164" s="13">
        <v>1.0</v>
      </c>
      <c r="F164" s="13">
        <v>2.0</v>
      </c>
      <c r="G164" s="13">
        <v>1.0</v>
      </c>
      <c r="H164" s="13">
        <v>0.0</v>
      </c>
      <c r="I164" s="13">
        <v>1.0</v>
      </c>
      <c r="J164" s="13">
        <v>1.0</v>
      </c>
      <c r="K164" s="13">
        <v>4.0</v>
      </c>
      <c r="L164" s="13">
        <v>1.0</v>
      </c>
      <c r="M164" s="13">
        <v>2.0</v>
      </c>
      <c r="N164" s="13">
        <v>1.0</v>
      </c>
      <c r="O164" s="13">
        <v>0.0</v>
      </c>
      <c r="P164" s="13">
        <v>1.0</v>
      </c>
      <c r="Q164" s="13">
        <v>0.0</v>
      </c>
      <c r="R164" s="13">
        <v>0.0</v>
      </c>
      <c r="S164" s="6">
        <f t="shared" ref="S164:S171" si="44">SUM(E164:R164)</f>
        <v>15</v>
      </c>
    </row>
    <row r="165" ht="12.75" customHeight="1">
      <c r="A165" s="32"/>
      <c r="B165" s="49"/>
      <c r="C165" s="52" t="s">
        <v>142</v>
      </c>
      <c r="D165" s="61"/>
      <c r="E165" s="13">
        <v>0.0</v>
      </c>
      <c r="F165" s="13">
        <v>1.0</v>
      </c>
      <c r="G165" s="13">
        <v>2.0</v>
      </c>
      <c r="H165" s="13">
        <v>0.0</v>
      </c>
      <c r="I165" s="13">
        <v>0.0</v>
      </c>
      <c r="J165" s="13">
        <v>0.0</v>
      </c>
      <c r="K165" s="13">
        <v>1.0</v>
      </c>
      <c r="L165" s="13">
        <v>1.0</v>
      </c>
      <c r="M165" s="13">
        <v>0.0</v>
      </c>
      <c r="N165" s="13">
        <v>0.0</v>
      </c>
      <c r="O165" s="13">
        <v>0.0</v>
      </c>
      <c r="P165" s="13">
        <v>0.0</v>
      </c>
      <c r="Q165" s="13">
        <v>0.0</v>
      </c>
      <c r="R165" s="13">
        <v>0.0</v>
      </c>
      <c r="S165" s="6">
        <f t="shared" si="44"/>
        <v>5</v>
      </c>
    </row>
    <row r="166" ht="12.75" customHeight="1">
      <c r="A166" s="32"/>
      <c r="B166" s="49"/>
      <c r="C166" s="52" t="s">
        <v>143</v>
      </c>
      <c r="D166" s="61"/>
      <c r="E166" s="13">
        <v>0.0</v>
      </c>
      <c r="F166" s="13">
        <v>0.0</v>
      </c>
      <c r="G166" s="13">
        <v>0.0</v>
      </c>
      <c r="H166" s="13">
        <v>0.0</v>
      </c>
      <c r="I166" s="13">
        <v>0.0</v>
      </c>
      <c r="J166" s="13">
        <v>0.0</v>
      </c>
      <c r="K166" s="13">
        <v>1.0</v>
      </c>
      <c r="L166" s="13">
        <v>0.0</v>
      </c>
      <c r="M166" s="13">
        <v>0.0</v>
      </c>
      <c r="N166" s="13">
        <v>0.0</v>
      </c>
      <c r="O166" s="13">
        <v>0.0</v>
      </c>
      <c r="P166" s="13">
        <v>0.0</v>
      </c>
      <c r="Q166" s="13">
        <v>0.0</v>
      </c>
      <c r="R166" s="13">
        <v>0.0</v>
      </c>
      <c r="S166" s="6">
        <f t="shared" si="44"/>
        <v>1</v>
      </c>
    </row>
    <row r="167" ht="12.75" customHeight="1">
      <c r="A167" s="32"/>
      <c r="B167" s="49"/>
      <c r="C167" s="52" t="s">
        <v>144</v>
      </c>
      <c r="D167" s="61"/>
      <c r="E167" s="13">
        <v>0.0</v>
      </c>
      <c r="F167" s="13">
        <v>0.0</v>
      </c>
      <c r="G167" s="13">
        <v>0.0</v>
      </c>
      <c r="H167" s="13">
        <v>0.0</v>
      </c>
      <c r="I167" s="13">
        <v>0.0</v>
      </c>
      <c r="J167" s="13">
        <v>0.0</v>
      </c>
      <c r="K167" s="13">
        <v>0.0</v>
      </c>
      <c r="L167" s="13">
        <v>0.0</v>
      </c>
      <c r="M167" s="13">
        <v>0.0</v>
      </c>
      <c r="N167" s="13">
        <v>0.0</v>
      </c>
      <c r="O167" s="13">
        <v>0.0</v>
      </c>
      <c r="P167" s="13">
        <v>0.0</v>
      </c>
      <c r="Q167" s="13">
        <v>0.0</v>
      </c>
      <c r="R167" s="13">
        <v>0.0</v>
      </c>
      <c r="S167" s="6">
        <f t="shared" si="44"/>
        <v>0</v>
      </c>
    </row>
    <row r="168" ht="12.75" customHeight="1">
      <c r="A168" s="32" t="s">
        <v>39</v>
      </c>
      <c r="B168" s="51"/>
      <c r="C168" s="52" t="s">
        <v>145</v>
      </c>
      <c r="D168" s="53"/>
      <c r="E168" s="13">
        <v>7.0</v>
      </c>
      <c r="F168" s="13">
        <v>1.0</v>
      </c>
      <c r="G168" s="13">
        <v>0.0</v>
      </c>
      <c r="H168" s="13">
        <v>1.0</v>
      </c>
      <c r="I168" s="13">
        <v>0.0</v>
      </c>
      <c r="J168" s="13">
        <v>0.0</v>
      </c>
      <c r="K168" s="13">
        <v>9.0</v>
      </c>
      <c r="L168" s="13">
        <v>3.0</v>
      </c>
      <c r="M168" s="13">
        <v>1.0</v>
      </c>
      <c r="N168" s="13">
        <v>0.0</v>
      </c>
      <c r="O168" s="13">
        <v>0.0</v>
      </c>
      <c r="P168" s="13">
        <v>2.0</v>
      </c>
      <c r="Q168" s="13">
        <v>0.0</v>
      </c>
      <c r="R168" s="13">
        <v>0.0</v>
      </c>
      <c r="S168" s="6">
        <f t="shared" si="44"/>
        <v>24</v>
      </c>
    </row>
    <row r="169" ht="12.75" customHeight="1">
      <c r="A169" s="18"/>
      <c r="B169" s="51"/>
      <c r="C169" s="52" t="s">
        <v>146</v>
      </c>
      <c r="D169" s="53"/>
      <c r="E169" s="13">
        <v>0.0</v>
      </c>
      <c r="F169" s="13">
        <v>0.0</v>
      </c>
      <c r="G169" s="13">
        <v>0.0</v>
      </c>
      <c r="H169" s="13">
        <v>0.0</v>
      </c>
      <c r="I169" s="13">
        <v>0.0</v>
      </c>
      <c r="J169" s="13">
        <v>0.0</v>
      </c>
      <c r="K169" s="13">
        <v>0.0</v>
      </c>
      <c r="L169" s="13">
        <v>0.0</v>
      </c>
      <c r="M169" s="13">
        <v>0.0</v>
      </c>
      <c r="N169" s="13">
        <v>0.0</v>
      </c>
      <c r="O169" s="13">
        <v>0.0</v>
      </c>
      <c r="P169" s="13">
        <v>0.0</v>
      </c>
      <c r="Q169" s="13">
        <v>0.0</v>
      </c>
      <c r="R169" s="13">
        <v>0.0</v>
      </c>
      <c r="S169" s="6">
        <f t="shared" si="44"/>
        <v>0</v>
      </c>
    </row>
    <row r="170" ht="12.75" customHeight="1">
      <c r="A170" s="18"/>
      <c r="B170" s="51"/>
      <c r="C170" s="52" t="s">
        <v>147</v>
      </c>
      <c r="D170" s="53"/>
      <c r="E170" s="13">
        <v>0.0</v>
      </c>
      <c r="F170" s="13">
        <v>2.0</v>
      </c>
      <c r="G170" s="13">
        <v>0.0</v>
      </c>
      <c r="H170" s="13">
        <v>0.0</v>
      </c>
      <c r="I170" s="13">
        <v>12.0</v>
      </c>
      <c r="J170" s="13">
        <v>4.0</v>
      </c>
      <c r="K170" s="13">
        <v>0.0</v>
      </c>
      <c r="L170" s="13">
        <v>0.0</v>
      </c>
      <c r="M170" s="13">
        <v>2.0</v>
      </c>
      <c r="N170" s="13">
        <v>2.0</v>
      </c>
      <c r="O170" s="13">
        <v>0.0</v>
      </c>
      <c r="P170" s="13">
        <v>0.0</v>
      </c>
      <c r="Q170" s="13">
        <v>0.0</v>
      </c>
      <c r="R170" s="13">
        <v>0.0</v>
      </c>
      <c r="S170" s="6">
        <f t="shared" si="44"/>
        <v>22</v>
      </c>
    </row>
    <row r="171" ht="12.75" customHeight="1">
      <c r="A171" s="13" t="s">
        <v>15</v>
      </c>
      <c r="B171" s="49" t="s">
        <v>46</v>
      </c>
      <c r="C171" s="8"/>
      <c r="D171" s="9"/>
      <c r="E171" s="60">
        <f t="shared" ref="E171:R171" si="45">SUM(E164:E170)</f>
        <v>8</v>
      </c>
      <c r="F171" s="60">
        <f t="shared" si="45"/>
        <v>6</v>
      </c>
      <c r="G171" s="60">
        <f t="shared" si="45"/>
        <v>3</v>
      </c>
      <c r="H171" s="60">
        <f t="shared" si="45"/>
        <v>1</v>
      </c>
      <c r="I171" s="60">
        <f t="shared" si="45"/>
        <v>13</v>
      </c>
      <c r="J171" s="60">
        <f t="shared" si="45"/>
        <v>5</v>
      </c>
      <c r="K171" s="60">
        <f t="shared" si="45"/>
        <v>15</v>
      </c>
      <c r="L171" s="60">
        <f t="shared" si="45"/>
        <v>5</v>
      </c>
      <c r="M171" s="60">
        <f t="shared" si="45"/>
        <v>5</v>
      </c>
      <c r="N171" s="60">
        <f t="shared" si="45"/>
        <v>3</v>
      </c>
      <c r="O171" s="60">
        <f t="shared" si="45"/>
        <v>0</v>
      </c>
      <c r="P171" s="60">
        <f t="shared" si="45"/>
        <v>3</v>
      </c>
      <c r="Q171" s="60">
        <f t="shared" si="45"/>
        <v>0</v>
      </c>
      <c r="R171" s="60">
        <f t="shared" si="45"/>
        <v>0</v>
      </c>
      <c r="S171" s="6">
        <f t="shared" si="44"/>
        <v>67</v>
      </c>
    </row>
    <row r="172" ht="12.75" customHeight="1">
      <c r="A172" s="54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6"/>
    </row>
    <row r="173" ht="12.75" customHeight="1">
      <c r="A173" s="32" t="s">
        <v>37</v>
      </c>
      <c r="B173" s="49" t="s">
        <v>148</v>
      </c>
      <c r="C173" s="50" t="s">
        <v>149</v>
      </c>
      <c r="D173" s="9"/>
      <c r="E173" s="13">
        <v>1.0</v>
      </c>
      <c r="F173" s="13">
        <v>0.0</v>
      </c>
      <c r="G173" s="13">
        <v>1.0</v>
      </c>
      <c r="H173" s="13">
        <v>1.0</v>
      </c>
      <c r="I173" s="13">
        <v>1.0</v>
      </c>
      <c r="J173" s="13">
        <v>0.0</v>
      </c>
      <c r="K173" s="13">
        <v>0.0</v>
      </c>
      <c r="L173" s="13">
        <v>0.0</v>
      </c>
      <c r="M173" s="13">
        <v>1.0</v>
      </c>
      <c r="N173" s="13">
        <v>0.0</v>
      </c>
      <c r="O173" s="13">
        <v>1.0</v>
      </c>
      <c r="P173" s="13">
        <v>3.0</v>
      </c>
      <c r="Q173" s="13">
        <v>1.0</v>
      </c>
      <c r="R173" s="13">
        <v>1.0</v>
      </c>
      <c r="S173" s="6">
        <f t="shared" ref="S173:S180" si="46">SUM(E173:R173)</f>
        <v>11</v>
      </c>
    </row>
    <row r="174" ht="12.75" customHeight="1">
      <c r="A174" s="32" t="s">
        <v>39</v>
      </c>
      <c r="B174" s="51"/>
      <c r="C174" s="52" t="s">
        <v>150</v>
      </c>
      <c r="D174" s="53"/>
      <c r="E174" s="13">
        <v>3.0</v>
      </c>
      <c r="F174" s="13">
        <v>2.0</v>
      </c>
      <c r="G174" s="13">
        <v>2.0</v>
      </c>
      <c r="H174" s="13">
        <v>0.0</v>
      </c>
      <c r="I174" s="13">
        <v>2.0</v>
      </c>
      <c r="J174" s="13">
        <v>1.0</v>
      </c>
      <c r="K174" s="13">
        <v>1.0</v>
      </c>
      <c r="L174" s="13">
        <v>0.0</v>
      </c>
      <c r="M174" s="13">
        <v>1.0</v>
      </c>
      <c r="N174" s="13">
        <v>1.0</v>
      </c>
      <c r="O174" s="13">
        <v>3.0</v>
      </c>
      <c r="P174" s="13">
        <v>0.0</v>
      </c>
      <c r="Q174" s="13">
        <v>0.0</v>
      </c>
      <c r="R174" s="13">
        <v>1.0</v>
      </c>
      <c r="S174" s="6">
        <f t="shared" si="46"/>
        <v>17</v>
      </c>
    </row>
    <row r="175" ht="12.75" customHeight="1">
      <c r="A175" s="18"/>
      <c r="B175" s="51"/>
      <c r="C175" s="52" t="s">
        <v>151</v>
      </c>
      <c r="D175" s="53"/>
      <c r="E175" s="13">
        <v>0.0</v>
      </c>
      <c r="F175" s="13">
        <v>0.0</v>
      </c>
      <c r="G175" s="13">
        <v>0.0</v>
      </c>
      <c r="H175" s="13">
        <v>0.0</v>
      </c>
      <c r="I175" s="13">
        <v>0.0</v>
      </c>
      <c r="J175" s="13">
        <v>0.0</v>
      </c>
      <c r="K175" s="13">
        <v>0.0</v>
      </c>
      <c r="L175" s="13">
        <v>0.0</v>
      </c>
      <c r="M175" s="13">
        <v>0.0</v>
      </c>
      <c r="N175" s="13">
        <v>1.0</v>
      </c>
      <c r="O175" s="13">
        <v>0.0</v>
      </c>
      <c r="P175" s="13">
        <v>0.0</v>
      </c>
      <c r="Q175" s="13">
        <v>0.0</v>
      </c>
      <c r="R175" s="13">
        <v>0.0</v>
      </c>
      <c r="S175" s="6">
        <f t="shared" si="46"/>
        <v>1</v>
      </c>
    </row>
    <row r="176" ht="12.75" customHeight="1">
      <c r="A176" s="18"/>
      <c r="B176" s="51"/>
      <c r="C176" s="52" t="s">
        <v>152</v>
      </c>
      <c r="D176" s="53"/>
      <c r="E176" s="13">
        <v>0.0</v>
      </c>
      <c r="F176" s="13">
        <v>0.0</v>
      </c>
      <c r="G176" s="13">
        <v>0.0</v>
      </c>
      <c r="H176" s="13">
        <v>0.0</v>
      </c>
      <c r="I176" s="13">
        <v>0.0</v>
      </c>
      <c r="J176" s="13">
        <v>0.0</v>
      </c>
      <c r="K176" s="13">
        <v>0.0</v>
      </c>
      <c r="L176" s="13">
        <v>0.0</v>
      </c>
      <c r="M176" s="13">
        <v>0.0</v>
      </c>
      <c r="N176" s="13">
        <v>0.0</v>
      </c>
      <c r="O176" s="13">
        <v>0.0</v>
      </c>
      <c r="P176" s="13">
        <v>0.0</v>
      </c>
      <c r="Q176" s="13">
        <v>0.0</v>
      </c>
      <c r="R176" s="13">
        <v>0.0</v>
      </c>
      <c r="S176" s="6">
        <f t="shared" si="46"/>
        <v>0</v>
      </c>
    </row>
    <row r="177" ht="12.75" customHeight="1">
      <c r="A177" s="18"/>
      <c r="B177" s="51"/>
      <c r="C177" s="52" t="s">
        <v>153</v>
      </c>
      <c r="D177" s="53"/>
      <c r="E177" s="13">
        <v>0.0</v>
      </c>
      <c r="F177" s="13">
        <v>0.0</v>
      </c>
      <c r="G177" s="13">
        <v>1.0</v>
      </c>
      <c r="H177" s="13">
        <v>0.0</v>
      </c>
      <c r="I177" s="13">
        <v>0.0</v>
      </c>
      <c r="J177" s="13">
        <v>0.0</v>
      </c>
      <c r="K177" s="13">
        <v>0.0</v>
      </c>
      <c r="L177" s="13">
        <v>0.0</v>
      </c>
      <c r="M177" s="13">
        <v>2.0</v>
      </c>
      <c r="N177" s="13">
        <v>0.0</v>
      </c>
      <c r="O177" s="13">
        <v>0.0</v>
      </c>
      <c r="P177" s="13">
        <v>0.0</v>
      </c>
      <c r="Q177" s="13">
        <v>0.0</v>
      </c>
      <c r="R177" s="13">
        <v>0.0</v>
      </c>
      <c r="S177" s="6">
        <f t="shared" si="46"/>
        <v>3</v>
      </c>
    </row>
    <row r="178" ht="12.75" customHeight="1">
      <c r="A178" s="18"/>
      <c r="B178" s="51"/>
      <c r="C178" s="52" t="s">
        <v>154</v>
      </c>
      <c r="D178" s="53"/>
      <c r="E178" s="13">
        <v>0.0</v>
      </c>
      <c r="F178" s="13">
        <v>0.0</v>
      </c>
      <c r="G178" s="13">
        <v>0.0</v>
      </c>
      <c r="H178" s="13">
        <v>0.0</v>
      </c>
      <c r="I178" s="13">
        <v>0.0</v>
      </c>
      <c r="J178" s="13">
        <v>0.0</v>
      </c>
      <c r="K178" s="13">
        <v>0.0</v>
      </c>
      <c r="L178" s="13">
        <v>0.0</v>
      </c>
      <c r="M178" s="13">
        <v>0.0</v>
      </c>
      <c r="N178" s="13">
        <v>0.0</v>
      </c>
      <c r="O178" s="13">
        <v>0.0</v>
      </c>
      <c r="P178" s="13">
        <v>0.0</v>
      </c>
      <c r="Q178" s="13">
        <v>0.0</v>
      </c>
      <c r="R178" s="13">
        <v>0.0</v>
      </c>
      <c r="S178" s="6">
        <f t="shared" si="46"/>
        <v>0</v>
      </c>
    </row>
    <row r="179" ht="12.75" customHeight="1">
      <c r="A179" s="18"/>
      <c r="B179" s="51"/>
      <c r="C179" s="52" t="s">
        <v>155</v>
      </c>
      <c r="D179" s="53"/>
      <c r="E179" s="13">
        <v>0.0</v>
      </c>
      <c r="F179" s="13">
        <v>0.0</v>
      </c>
      <c r="G179" s="13">
        <v>0.0</v>
      </c>
      <c r="H179" s="13">
        <v>0.0</v>
      </c>
      <c r="I179" s="13">
        <v>0.0</v>
      </c>
      <c r="J179" s="13">
        <v>0.0</v>
      </c>
      <c r="K179" s="13">
        <v>0.0</v>
      </c>
      <c r="L179" s="13">
        <v>0.0</v>
      </c>
      <c r="M179" s="13">
        <v>1.0</v>
      </c>
      <c r="N179" s="13">
        <v>0.0</v>
      </c>
      <c r="O179" s="13">
        <v>1.0</v>
      </c>
      <c r="P179" s="13">
        <v>0.0</v>
      </c>
      <c r="Q179" s="13">
        <v>1.0</v>
      </c>
      <c r="R179" s="13">
        <v>0.0</v>
      </c>
      <c r="S179" s="6">
        <f t="shared" si="46"/>
        <v>3</v>
      </c>
    </row>
    <row r="180" ht="12.75" customHeight="1">
      <c r="A180" s="13" t="s">
        <v>15</v>
      </c>
      <c r="B180" s="49" t="s">
        <v>46</v>
      </c>
      <c r="C180" s="8"/>
      <c r="D180" s="9"/>
      <c r="E180" s="60">
        <f t="shared" ref="E180:R180" si="47">SUM(E173:E179)</f>
        <v>4</v>
      </c>
      <c r="F180" s="60">
        <f t="shared" si="47"/>
        <v>2</v>
      </c>
      <c r="G180" s="60">
        <f t="shared" si="47"/>
        <v>4</v>
      </c>
      <c r="H180" s="60">
        <f t="shared" si="47"/>
        <v>1</v>
      </c>
      <c r="I180" s="60">
        <f t="shared" si="47"/>
        <v>3</v>
      </c>
      <c r="J180" s="60">
        <f t="shared" si="47"/>
        <v>1</v>
      </c>
      <c r="K180" s="60">
        <f t="shared" si="47"/>
        <v>1</v>
      </c>
      <c r="L180" s="60">
        <f t="shared" si="47"/>
        <v>0</v>
      </c>
      <c r="M180" s="60">
        <f t="shared" si="47"/>
        <v>5</v>
      </c>
      <c r="N180" s="60">
        <f t="shared" si="47"/>
        <v>2</v>
      </c>
      <c r="O180" s="60">
        <f t="shared" si="47"/>
        <v>5</v>
      </c>
      <c r="P180" s="60">
        <f t="shared" si="47"/>
        <v>3</v>
      </c>
      <c r="Q180" s="60">
        <f t="shared" si="47"/>
        <v>2</v>
      </c>
      <c r="R180" s="60">
        <f t="shared" si="47"/>
        <v>2</v>
      </c>
      <c r="S180" s="6">
        <f t="shared" si="46"/>
        <v>35</v>
      </c>
    </row>
    <row r="181" ht="12.75" customHeight="1">
      <c r="A181" s="54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6"/>
    </row>
    <row r="182" ht="12.75" customHeight="1">
      <c r="A182" s="32" t="s">
        <v>37</v>
      </c>
      <c r="B182" s="49" t="s">
        <v>156</v>
      </c>
      <c r="C182" s="50" t="s">
        <v>157</v>
      </c>
      <c r="D182" s="9"/>
      <c r="E182" s="13">
        <v>0.0</v>
      </c>
      <c r="F182" s="13">
        <v>0.0</v>
      </c>
      <c r="G182" s="13">
        <v>0.0</v>
      </c>
      <c r="H182" s="13">
        <v>0.0</v>
      </c>
      <c r="I182" s="13">
        <v>1.0</v>
      </c>
      <c r="J182" s="13">
        <v>0.0</v>
      </c>
      <c r="K182" s="13">
        <v>1.0</v>
      </c>
      <c r="L182" s="13">
        <v>0.0</v>
      </c>
      <c r="M182" s="13">
        <v>0.0</v>
      </c>
      <c r="N182" s="13">
        <v>0.0</v>
      </c>
      <c r="O182" s="13">
        <v>0.0</v>
      </c>
      <c r="P182" s="13">
        <v>0.0</v>
      </c>
      <c r="Q182" s="13">
        <v>0.0</v>
      </c>
      <c r="R182" s="13">
        <v>0.0</v>
      </c>
      <c r="S182" s="6">
        <f t="shared" ref="S182:S187" si="48">SUM(E182:R182)</f>
        <v>2</v>
      </c>
    </row>
    <row r="183" ht="12.75" customHeight="1">
      <c r="A183" s="32"/>
      <c r="B183" s="49"/>
      <c r="C183" s="52" t="s">
        <v>158</v>
      </c>
      <c r="D183" s="61"/>
      <c r="E183" s="13">
        <v>0.0</v>
      </c>
      <c r="F183" s="13">
        <v>0.0</v>
      </c>
      <c r="G183" s="13">
        <v>0.0</v>
      </c>
      <c r="H183" s="13">
        <v>1.0</v>
      </c>
      <c r="I183" s="13">
        <v>0.0</v>
      </c>
      <c r="J183" s="13">
        <v>0.0</v>
      </c>
      <c r="K183" s="13">
        <v>0.0</v>
      </c>
      <c r="L183" s="13">
        <v>0.0</v>
      </c>
      <c r="M183" s="13">
        <v>0.0</v>
      </c>
      <c r="N183" s="13">
        <v>0.0</v>
      </c>
      <c r="O183" s="13">
        <v>0.0</v>
      </c>
      <c r="P183" s="13">
        <v>2.0</v>
      </c>
      <c r="Q183" s="13">
        <v>0.0</v>
      </c>
      <c r="R183" s="13">
        <v>0.0</v>
      </c>
      <c r="S183" s="6">
        <f t="shared" si="48"/>
        <v>3</v>
      </c>
    </row>
    <row r="184" ht="12.75" customHeight="1">
      <c r="A184" s="32"/>
      <c r="B184" s="49"/>
      <c r="C184" s="52" t="s">
        <v>159</v>
      </c>
      <c r="D184" s="61"/>
      <c r="E184" s="13">
        <v>0.0</v>
      </c>
      <c r="F184" s="13">
        <v>0.0</v>
      </c>
      <c r="G184" s="13">
        <v>1.0</v>
      </c>
      <c r="H184" s="13">
        <v>0.0</v>
      </c>
      <c r="I184" s="13">
        <v>1.0</v>
      </c>
      <c r="J184" s="13">
        <v>0.0</v>
      </c>
      <c r="K184" s="13">
        <v>0.0</v>
      </c>
      <c r="L184" s="13">
        <v>0.0</v>
      </c>
      <c r="M184" s="13">
        <v>0.0</v>
      </c>
      <c r="N184" s="13">
        <v>0.0</v>
      </c>
      <c r="O184" s="13">
        <v>0.0</v>
      </c>
      <c r="P184" s="13">
        <v>0.0</v>
      </c>
      <c r="Q184" s="13">
        <v>0.0</v>
      </c>
      <c r="R184" s="13">
        <v>0.0</v>
      </c>
      <c r="S184" s="6">
        <f t="shared" si="48"/>
        <v>2</v>
      </c>
    </row>
    <row r="185" ht="12.75" customHeight="1">
      <c r="A185" s="32"/>
      <c r="B185" s="49"/>
      <c r="C185" s="52" t="s">
        <v>160</v>
      </c>
      <c r="D185" s="61"/>
      <c r="E185" s="13">
        <v>0.0</v>
      </c>
      <c r="F185" s="13">
        <v>0.0</v>
      </c>
      <c r="G185" s="13">
        <v>0.0</v>
      </c>
      <c r="H185" s="13">
        <v>0.0</v>
      </c>
      <c r="I185" s="13">
        <v>0.0</v>
      </c>
      <c r="J185" s="13">
        <v>0.0</v>
      </c>
      <c r="K185" s="13">
        <v>0.0</v>
      </c>
      <c r="L185" s="13">
        <v>0.0</v>
      </c>
      <c r="M185" s="13">
        <v>1.0</v>
      </c>
      <c r="N185" s="13">
        <v>0.0</v>
      </c>
      <c r="O185" s="13">
        <v>0.0</v>
      </c>
      <c r="P185" s="13">
        <v>0.0</v>
      </c>
      <c r="Q185" s="13">
        <v>0.0</v>
      </c>
      <c r="R185" s="13">
        <v>0.0</v>
      </c>
      <c r="S185" s="6">
        <f t="shared" si="48"/>
        <v>1</v>
      </c>
    </row>
    <row r="186" ht="12.75" customHeight="1">
      <c r="A186" s="32" t="s">
        <v>39</v>
      </c>
      <c r="B186" s="51"/>
      <c r="C186" s="52" t="s">
        <v>161</v>
      </c>
      <c r="D186" s="53"/>
      <c r="E186" s="13">
        <v>0.0</v>
      </c>
      <c r="F186" s="13">
        <v>0.0</v>
      </c>
      <c r="G186" s="13">
        <v>0.0</v>
      </c>
      <c r="H186" s="13">
        <v>0.0</v>
      </c>
      <c r="I186" s="13">
        <v>0.0</v>
      </c>
      <c r="J186" s="13">
        <v>0.0</v>
      </c>
      <c r="K186" s="13">
        <v>0.0</v>
      </c>
      <c r="L186" s="13">
        <v>0.0</v>
      </c>
      <c r="M186" s="13">
        <v>0.0</v>
      </c>
      <c r="N186" s="13">
        <v>0.0</v>
      </c>
      <c r="O186" s="13">
        <v>0.0</v>
      </c>
      <c r="P186" s="13">
        <v>0.0</v>
      </c>
      <c r="Q186" s="13">
        <v>0.0</v>
      </c>
      <c r="R186" s="13">
        <v>0.0</v>
      </c>
      <c r="S186" s="6">
        <f t="shared" si="48"/>
        <v>0</v>
      </c>
    </row>
    <row r="187" ht="12.75" customHeight="1">
      <c r="A187" s="13" t="s">
        <v>15</v>
      </c>
      <c r="B187" s="49" t="s">
        <v>46</v>
      </c>
      <c r="C187" s="8"/>
      <c r="D187" s="9"/>
      <c r="E187" s="60">
        <f t="shared" ref="E187:R187" si="49">SUM(E182:E186)</f>
        <v>0</v>
      </c>
      <c r="F187" s="60">
        <f t="shared" si="49"/>
        <v>0</v>
      </c>
      <c r="G187" s="60">
        <f t="shared" si="49"/>
        <v>1</v>
      </c>
      <c r="H187" s="60">
        <f t="shared" si="49"/>
        <v>1</v>
      </c>
      <c r="I187" s="60">
        <f t="shared" si="49"/>
        <v>2</v>
      </c>
      <c r="J187" s="60">
        <f t="shared" si="49"/>
        <v>0</v>
      </c>
      <c r="K187" s="60">
        <f t="shared" si="49"/>
        <v>1</v>
      </c>
      <c r="L187" s="60">
        <f t="shared" si="49"/>
        <v>0</v>
      </c>
      <c r="M187" s="60">
        <f t="shared" si="49"/>
        <v>1</v>
      </c>
      <c r="N187" s="60">
        <f t="shared" si="49"/>
        <v>0</v>
      </c>
      <c r="O187" s="60">
        <f t="shared" si="49"/>
        <v>0</v>
      </c>
      <c r="P187" s="60">
        <f t="shared" si="49"/>
        <v>2</v>
      </c>
      <c r="Q187" s="60">
        <f t="shared" si="49"/>
        <v>0</v>
      </c>
      <c r="R187" s="60">
        <f t="shared" si="49"/>
        <v>0</v>
      </c>
      <c r="S187" s="6">
        <f t="shared" si="48"/>
        <v>8</v>
      </c>
    </row>
    <row r="188" ht="12.75" customHeight="1">
      <c r="A188" s="21"/>
      <c r="B188" s="8"/>
      <c r="C188" s="8"/>
      <c r="D188" s="9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6"/>
    </row>
    <row r="189" ht="12.75" customHeight="1">
      <c r="A189" s="47"/>
      <c r="B189" s="46"/>
      <c r="C189" s="46"/>
      <c r="D189" s="27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6"/>
    </row>
    <row r="190" ht="12.75" customHeight="1">
      <c r="A190" s="44" t="s">
        <v>162</v>
      </c>
      <c r="B190" s="7" t="s">
        <v>163</v>
      </c>
      <c r="C190" s="8"/>
      <c r="D190" s="9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 ht="12.75" customHeight="1">
      <c r="A191" s="44"/>
      <c r="B191" s="63" t="s">
        <v>164</v>
      </c>
      <c r="C191" s="64" t="s">
        <v>165</v>
      </c>
      <c r="D191" s="9"/>
      <c r="E191" s="13">
        <f t="shared" ref="E191:R191" si="50">E187+E180+E171+E162+E154+E145+E136+E127+E123+E114+E110+E101+E92+E88+E79+E70+E61+E52</f>
        <v>189</v>
      </c>
      <c r="F191" s="13">
        <f t="shared" si="50"/>
        <v>193</v>
      </c>
      <c r="G191" s="13">
        <f t="shared" si="50"/>
        <v>225</v>
      </c>
      <c r="H191" s="13">
        <f t="shared" si="50"/>
        <v>181</v>
      </c>
      <c r="I191" s="13">
        <f t="shared" si="50"/>
        <v>192</v>
      </c>
      <c r="J191" s="13">
        <f t="shared" si="50"/>
        <v>201</v>
      </c>
      <c r="K191" s="13">
        <f t="shared" si="50"/>
        <v>180</v>
      </c>
      <c r="L191" s="13">
        <f t="shared" si="50"/>
        <v>196</v>
      </c>
      <c r="M191" s="13">
        <f t="shared" si="50"/>
        <v>219</v>
      </c>
      <c r="N191" s="13">
        <f t="shared" si="50"/>
        <v>212</v>
      </c>
      <c r="O191" s="13">
        <f t="shared" si="50"/>
        <v>178</v>
      </c>
      <c r="P191" s="13">
        <f t="shared" si="50"/>
        <v>229</v>
      </c>
      <c r="Q191" s="13">
        <f t="shared" si="50"/>
        <v>169</v>
      </c>
      <c r="R191" s="13">
        <f t="shared" si="50"/>
        <v>163</v>
      </c>
      <c r="S191" s="6">
        <f t="shared" ref="S191:S193" si="51">SUM(E191:R191)</f>
        <v>2727</v>
      </c>
    </row>
    <row r="192" ht="12.75" customHeight="1">
      <c r="A192" s="37"/>
      <c r="B192" s="63" t="s">
        <v>166</v>
      </c>
      <c r="C192" s="64" t="s">
        <v>167</v>
      </c>
      <c r="D192" s="9"/>
      <c r="E192" s="13">
        <v>13.0</v>
      </c>
      <c r="F192" s="13">
        <v>11.0</v>
      </c>
      <c r="G192" s="13">
        <v>13.0</v>
      </c>
      <c r="H192" s="13">
        <v>11.0</v>
      </c>
      <c r="I192" s="13">
        <v>15.0</v>
      </c>
      <c r="J192" s="13">
        <v>7.0</v>
      </c>
      <c r="K192" s="13">
        <v>30.0</v>
      </c>
      <c r="L192" s="13">
        <v>26.0</v>
      </c>
      <c r="M192" s="13">
        <v>16.0</v>
      </c>
      <c r="N192" s="13">
        <v>22.0</v>
      </c>
      <c r="O192" s="13">
        <v>18.0</v>
      </c>
      <c r="P192" s="13">
        <v>30.0</v>
      </c>
      <c r="Q192" s="13">
        <v>13.0</v>
      </c>
      <c r="R192" s="13">
        <v>14.0</v>
      </c>
      <c r="S192" s="6">
        <f t="shared" si="51"/>
        <v>239</v>
      </c>
    </row>
    <row r="193" ht="12.75" customHeight="1">
      <c r="A193" s="42"/>
      <c r="B193" s="63" t="s">
        <v>168</v>
      </c>
      <c r="C193" s="64" t="s">
        <v>169</v>
      </c>
      <c r="D193" s="9"/>
      <c r="E193" s="6">
        <f t="shared" ref="E193:R193" si="52">SUM(E191:E192)</f>
        <v>202</v>
      </c>
      <c r="F193" s="6">
        <f t="shared" si="52"/>
        <v>204</v>
      </c>
      <c r="G193" s="6">
        <f t="shared" si="52"/>
        <v>238</v>
      </c>
      <c r="H193" s="6">
        <f t="shared" si="52"/>
        <v>192</v>
      </c>
      <c r="I193" s="6">
        <f t="shared" si="52"/>
        <v>207</v>
      </c>
      <c r="J193" s="6">
        <f t="shared" si="52"/>
        <v>208</v>
      </c>
      <c r="K193" s="6">
        <f t="shared" si="52"/>
        <v>210</v>
      </c>
      <c r="L193" s="6">
        <f t="shared" si="52"/>
        <v>222</v>
      </c>
      <c r="M193" s="6">
        <f t="shared" si="52"/>
        <v>235</v>
      </c>
      <c r="N193" s="6">
        <f t="shared" si="52"/>
        <v>234</v>
      </c>
      <c r="O193" s="6">
        <f t="shared" si="52"/>
        <v>196</v>
      </c>
      <c r="P193" s="6">
        <f t="shared" si="52"/>
        <v>259</v>
      </c>
      <c r="Q193" s="6">
        <f t="shared" si="52"/>
        <v>182</v>
      </c>
      <c r="R193" s="6">
        <f t="shared" si="52"/>
        <v>177</v>
      </c>
      <c r="S193" s="6">
        <f t="shared" si="51"/>
        <v>2966</v>
      </c>
    </row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110:D110"/>
    <mergeCell ref="C112:D112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5:D145"/>
    <mergeCell ref="C147:D147"/>
    <mergeCell ref="B154:D154"/>
    <mergeCell ref="C156:D156"/>
    <mergeCell ref="A188:D188"/>
    <mergeCell ref="A189:D189"/>
    <mergeCell ref="B190:D190"/>
    <mergeCell ref="C191:D191"/>
    <mergeCell ref="C192:D192"/>
    <mergeCell ref="C193:D193"/>
    <mergeCell ref="B162:D162"/>
    <mergeCell ref="C164:D164"/>
    <mergeCell ref="B171:D171"/>
    <mergeCell ref="C173:D173"/>
    <mergeCell ref="B180:D180"/>
    <mergeCell ref="C182:D182"/>
    <mergeCell ref="B187:D187"/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101:D101"/>
    <mergeCell ref="C103:D103"/>
  </mergeCells>
  <conditionalFormatting sqref="E30:R30">
    <cfRule type="expression" dxfId="0" priority="1">
      <formula>E30&lt;&gt;E62</formula>
    </cfRule>
  </conditionalFormatting>
  <conditionalFormatting sqref="E34:R34">
    <cfRule type="expression" dxfId="0" priority="2">
      <formula>E34&lt;&gt;E62</formula>
    </cfRule>
  </conditionalFormatting>
  <conditionalFormatting sqref="E14:R15">
    <cfRule type="containsBlanks" dxfId="1" priority="3">
      <formula>LEN(TRIM(E14))=0</formula>
    </cfRule>
  </conditionalFormatting>
  <conditionalFormatting sqref="E19:R20">
    <cfRule type="containsBlanks" dxfId="1" priority="4">
      <formula>LEN(TRIM(E19))=0</formula>
    </cfRule>
  </conditionalFormatting>
  <conditionalFormatting sqref="E22:R23 E25:R26 E33:R33 E35:R35 E39:R40">
    <cfRule type="containsBlanks" dxfId="1" priority="5">
      <formula>LEN(TRIM(E22))=0</formula>
    </cfRule>
  </conditionalFormatting>
  <conditionalFormatting sqref="E30:R30">
    <cfRule type="expression" dxfId="0" priority="6">
      <formula>E30&lt;&gt;E34</formula>
    </cfRule>
  </conditionalFormatting>
  <conditionalFormatting sqref="E34:R34">
    <cfRule type="expression" dxfId="2" priority="7">
      <formula>E30&lt;&gt;E34</formula>
    </cfRule>
  </conditionalFormatting>
  <conditionalFormatting sqref="E34:R34">
    <cfRule type="expression" dxfId="3" priority="8">
      <formula>E30=E34</formula>
    </cfRule>
  </conditionalFormatting>
  <conditionalFormatting sqref="E34:R34">
    <cfRule type="expression" dxfId="0" priority="9">
      <formula>E34&lt;&gt;E30</formula>
    </cfRule>
  </conditionalFormatting>
  <conditionalFormatting sqref="E45:R51">
    <cfRule type="containsBlanks" dxfId="1" priority="10">
      <formula>LEN(TRIM(E45))=0</formula>
    </cfRule>
  </conditionalFormatting>
  <conditionalFormatting sqref="E54:R60">
    <cfRule type="containsBlanks" dxfId="1" priority="11">
      <formula>LEN(TRIM(E54))=0</formula>
    </cfRule>
  </conditionalFormatting>
  <conditionalFormatting sqref="E63:R69">
    <cfRule type="containsBlanks" dxfId="1" priority="12">
      <formula>LEN(TRIM(E63))=0</formula>
    </cfRule>
  </conditionalFormatting>
  <conditionalFormatting sqref="E72:R78">
    <cfRule type="containsBlanks" dxfId="1" priority="13">
      <formula>LEN(TRIM(E72))=0</formula>
    </cfRule>
  </conditionalFormatting>
  <conditionalFormatting sqref="E81:R87">
    <cfRule type="containsBlanks" dxfId="1" priority="14">
      <formula>LEN(TRIM(E81))=0</formula>
    </cfRule>
  </conditionalFormatting>
  <conditionalFormatting sqref="E90:R91">
    <cfRule type="containsBlanks" dxfId="1" priority="15">
      <formula>LEN(TRIM(E90))=0</formula>
    </cfRule>
  </conditionalFormatting>
  <conditionalFormatting sqref="E94:R100">
    <cfRule type="containsBlanks" dxfId="1" priority="16">
      <formula>LEN(TRIM(E94))=0</formula>
    </cfRule>
  </conditionalFormatting>
  <conditionalFormatting sqref="E103:R109">
    <cfRule type="containsBlanks" dxfId="1" priority="17">
      <formula>LEN(TRIM(E103))=0</formula>
    </cfRule>
  </conditionalFormatting>
  <conditionalFormatting sqref="E112:R113">
    <cfRule type="containsBlanks" dxfId="1" priority="18">
      <formula>LEN(TRIM(E112))=0</formula>
    </cfRule>
  </conditionalFormatting>
  <conditionalFormatting sqref="E116:R122">
    <cfRule type="containsBlanks" dxfId="1" priority="19">
      <formula>LEN(TRIM(E116))=0</formula>
    </cfRule>
  </conditionalFormatting>
  <conditionalFormatting sqref="E125:R126">
    <cfRule type="containsBlanks" dxfId="1" priority="20">
      <formula>LEN(TRIM(E125))=0</formula>
    </cfRule>
  </conditionalFormatting>
  <conditionalFormatting sqref="E129:R135">
    <cfRule type="containsBlanks" dxfId="1" priority="21">
      <formula>LEN(TRIM(E129))=0</formula>
    </cfRule>
  </conditionalFormatting>
  <conditionalFormatting sqref="E138:R144">
    <cfRule type="containsBlanks" dxfId="1" priority="22">
      <formula>LEN(TRIM(E138))=0</formula>
    </cfRule>
  </conditionalFormatting>
  <conditionalFormatting sqref="E147:R153">
    <cfRule type="containsBlanks" dxfId="1" priority="23">
      <formula>LEN(TRIM(E147))=0</formula>
    </cfRule>
  </conditionalFormatting>
  <conditionalFormatting sqref="E156:R161">
    <cfRule type="containsBlanks" dxfId="1" priority="24">
      <formula>LEN(TRIM(E156))=0</formula>
    </cfRule>
  </conditionalFormatting>
  <conditionalFormatting sqref="E164:R170">
    <cfRule type="containsBlanks" dxfId="1" priority="25">
      <formula>LEN(TRIM(E164))=0</formula>
    </cfRule>
  </conditionalFormatting>
  <conditionalFormatting sqref="E173:R179">
    <cfRule type="containsBlanks" dxfId="1" priority="26">
      <formula>LEN(TRIM(E173))=0</formula>
    </cfRule>
  </conditionalFormatting>
  <conditionalFormatting sqref="E182:R186">
    <cfRule type="containsBlanks" dxfId="1" priority="27">
      <formula>LEN(TRIM(E182))=0</formula>
    </cfRule>
  </conditionalFormatting>
  <conditionalFormatting sqref="E191:R192">
    <cfRule type="containsBlanks" dxfId="1" priority="28">
      <formula>LEN(TRIM(E191))=0</formula>
    </cfRule>
  </conditionalFormatting>
  <conditionalFormatting sqref="E193:R193">
    <cfRule type="expression" dxfId="0" priority="29">
      <formula>E193&lt;&gt;#REF!</formula>
    </cfRule>
  </conditionalFormatting>
  <conditionalFormatting sqref="E193:R193">
    <cfRule type="expression" dxfId="2" priority="30">
      <formula>#REF!&lt;&gt;E193</formula>
    </cfRule>
  </conditionalFormatting>
  <conditionalFormatting sqref="E193:R193">
    <cfRule type="expression" dxfId="3" priority="31">
      <formula>#REF!=E193</formula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1" width="8.71"/>
  </cols>
  <sheetData>
    <row r="1" ht="12.75" customHeight="1"/>
    <row r="2" ht="12.75" customHeight="1">
      <c r="C2" s="1" t="s">
        <v>0</v>
      </c>
      <c r="D2" s="1" t="s">
        <v>1</v>
      </c>
    </row>
    <row r="3" ht="12.75" customHeight="1">
      <c r="C3" s="1" t="s">
        <v>2</v>
      </c>
      <c r="D3" s="1" t="s">
        <v>3</v>
      </c>
    </row>
    <row r="4" ht="12.75" customHeight="1">
      <c r="C4" s="1" t="s">
        <v>4</v>
      </c>
      <c r="D4" s="1" t="s">
        <v>5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170</v>
      </c>
      <c r="D9" s="1" t="s">
        <v>197</v>
      </c>
    </row>
    <row r="10" ht="12.75" customHeight="1"/>
    <row r="11" ht="12.75" customHeight="1"/>
    <row r="12" ht="12.75" customHeight="1">
      <c r="A12" s="6" t="s">
        <v>6</v>
      </c>
      <c r="B12" s="7" t="s">
        <v>7</v>
      </c>
      <c r="C12" s="8"/>
      <c r="D12" s="8"/>
      <c r="E12" s="28"/>
      <c r="F12" s="8"/>
      <c r="G12" s="8"/>
      <c r="H12" s="8"/>
      <c r="I12" s="8"/>
      <c r="J12" s="9"/>
      <c r="K12" s="39" t="s">
        <v>8</v>
      </c>
    </row>
    <row r="13" ht="12.75" customHeight="1">
      <c r="A13" s="13" t="s">
        <v>9</v>
      </c>
      <c r="B13" s="14" t="s">
        <v>10</v>
      </c>
      <c r="C13" s="8"/>
      <c r="D13" s="9"/>
      <c r="E13" s="42" t="s">
        <v>172</v>
      </c>
      <c r="F13" s="42" t="s">
        <v>173</v>
      </c>
      <c r="G13" s="42" t="s">
        <v>174</v>
      </c>
      <c r="H13" s="42" t="s">
        <v>175</v>
      </c>
      <c r="I13" s="42" t="s">
        <v>176</v>
      </c>
      <c r="J13" s="42" t="s">
        <v>177</v>
      </c>
      <c r="K13" s="27"/>
    </row>
    <row r="14" ht="12.75" customHeight="1">
      <c r="A14" s="18"/>
      <c r="B14" s="19" t="s">
        <v>11</v>
      </c>
      <c r="C14" s="20"/>
      <c r="D14" s="13" t="s">
        <v>12</v>
      </c>
      <c r="E14" s="13">
        <v>110.0</v>
      </c>
      <c r="F14" s="13">
        <v>94.0</v>
      </c>
      <c r="G14" s="13">
        <v>129.0</v>
      </c>
      <c r="H14" s="13">
        <v>104.0</v>
      </c>
      <c r="I14" s="13">
        <v>134.0</v>
      </c>
      <c r="J14" s="13">
        <v>128.0</v>
      </c>
      <c r="K14" s="6">
        <f t="shared" ref="K14:K16" si="1">SUM(E14:J14)</f>
        <v>699</v>
      </c>
    </row>
    <row r="15" ht="12.75" customHeight="1">
      <c r="A15" s="18"/>
      <c r="B15" s="25"/>
      <c r="C15" s="26"/>
      <c r="D15" s="13" t="s">
        <v>13</v>
      </c>
      <c r="E15" s="13">
        <v>114.0</v>
      </c>
      <c r="F15" s="13">
        <v>105.0</v>
      </c>
      <c r="G15" s="13">
        <v>131.0</v>
      </c>
      <c r="H15" s="13">
        <v>105.0</v>
      </c>
      <c r="I15" s="13">
        <v>133.0</v>
      </c>
      <c r="J15" s="13">
        <v>139.0</v>
      </c>
      <c r="K15" s="6">
        <f t="shared" si="1"/>
        <v>727</v>
      </c>
    </row>
    <row r="16" ht="12.75" customHeight="1">
      <c r="A16" s="16"/>
      <c r="B16" s="15"/>
      <c r="C16" s="27"/>
      <c r="D16" s="6" t="s">
        <v>14</v>
      </c>
      <c r="E16" s="6">
        <f t="shared" ref="E16:J16" si="2">SUM(E14:E15)</f>
        <v>224</v>
      </c>
      <c r="F16" s="6">
        <f t="shared" si="2"/>
        <v>199</v>
      </c>
      <c r="G16" s="6">
        <f t="shared" si="2"/>
        <v>260</v>
      </c>
      <c r="H16" s="6">
        <f t="shared" si="2"/>
        <v>209</v>
      </c>
      <c r="I16" s="6">
        <f t="shared" si="2"/>
        <v>267</v>
      </c>
      <c r="J16" s="6">
        <f t="shared" si="2"/>
        <v>267</v>
      </c>
      <c r="K16" s="6">
        <f t="shared" si="1"/>
        <v>1426</v>
      </c>
    </row>
    <row r="17" ht="12.75" customHeight="1">
      <c r="A17" s="21"/>
      <c r="B17" s="8"/>
      <c r="C17" s="8"/>
      <c r="D17" s="9"/>
      <c r="E17" s="13"/>
      <c r="F17" s="13"/>
      <c r="G17" s="13"/>
      <c r="H17" s="13"/>
      <c r="I17" s="13"/>
      <c r="J17" s="13"/>
      <c r="K17" s="6"/>
    </row>
    <row r="18" ht="12.75" customHeight="1">
      <c r="A18" s="32" t="s">
        <v>15</v>
      </c>
      <c r="B18" s="14" t="s">
        <v>16</v>
      </c>
      <c r="C18" s="8"/>
      <c r="D18" s="9"/>
      <c r="E18" s="13"/>
      <c r="F18" s="13"/>
      <c r="G18" s="13"/>
      <c r="H18" s="13"/>
      <c r="I18" s="13"/>
      <c r="J18" s="13"/>
      <c r="K18" s="6"/>
    </row>
    <row r="19" ht="12.75" customHeight="1">
      <c r="A19" s="32"/>
      <c r="B19" s="33" t="s">
        <v>17</v>
      </c>
      <c r="C19" s="34" t="s">
        <v>18</v>
      </c>
      <c r="D19" s="13" t="s">
        <v>12</v>
      </c>
      <c r="E19" s="13">
        <v>100.0</v>
      </c>
      <c r="F19" s="13">
        <v>84.0</v>
      </c>
      <c r="G19" s="13">
        <v>107.0</v>
      </c>
      <c r="H19" s="13">
        <v>90.0</v>
      </c>
      <c r="I19" s="13">
        <v>115.0</v>
      </c>
      <c r="J19" s="13">
        <v>107.0</v>
      </c>
      <c r="K19" s="6">
        <f t="shared" ref="K19:K30" si="3">SUM(E19:J19)</f>
        <v>603</v>
      </c>
    </row>
    <row r="20" ht="12.75" customHeight="1">
      <c r="A20" s="35"/>
      <c r="B20" s="26"/>
      <c r="C20" s="36"/>
      <c r="D20" s="13" t="s">
        <v>13</v>
      </c>
      <c r="E20" s="13">
        <v>110.0</v>
      </c>
      <c r="F20" s="13">
        <v>95.0</v>
      </c>
      <c r="G20" s="13">
        <v>120.0</v>
      </c>
      <c r="H20" s="13">
        <v>95.0</v>
      </c>
      <c r="I20" s="13">
        <v>114.0</v>
      </c>
      <c r="J20" s="13">
        <v>112.0</v>
      </c>
      <c r="K20" s="6">
        <f t="shared" si="3"/>
        <v>646</v>
      </c>
    </row>
    <row r="21" ht="12.75" customHeight="1">
      <c r="A21" s="37"/>
      <c r="B21" s="27"/>
      <c r="C21" s="38"/>
      <c r="D21" s="6" t="s">
        <v>14</v>
      </c>
      <c r="E21" s="6">
        <f t="shared" ref="E21:J21" si="4">SUM(E19:E20)</f>
        <v>210</v>
      </c>
      <c r="F21" s="6">
        <f t="shared" si="4"/>
        <v>179</v>
      </c>
      <c r="G21" s="6">
        <f t="shared" si="4"/>
        <v>227</v>
      </c>
      <c r="H21" s="6">
        <f t="shared" si="4"/>
        <v>185</v>
      </c>
      <c r="I21" s="6">
        <f t="shared" si="4"/>
        <v>229</v>
      </c>
      <c r="J21" s="6">
        <f t="shared" si="4"/>
        <v>219</v>
      </c>
      <c r="K21" s="6">
        <f t="shared" si="3"/>
        <v>1249</v>
      </c>
    </row>
    <row r="22" ht="12.75" customHeight="1">
      <c r="A22" s="35"/>
      <c r="B22" s="33" t="s">
        <v>19</v>
      </c>
      <c r="C22" s="34" t="s">
        <v>20</v>
      </c>
      <c r="D22" s="13" t="s">
        <v>12</v>
      </c>
      <c r="E22" s="13">
        <v>0.0</v>
      </c>
      <c r="F22" s="13">
        <v>0.0</v>
      </c>
      <c r="G22" s="13">
        <v>0.0</v>
      </c>
      <c r="H22" s="13">
        <v>1.0</v>
      </c>
      <c r="I22" s="13">
        <v>0.0</v>
      </c>
      <c r="J22" s="13">
        <v>0.0</v>
      </c>
      <c r="K22" s="6">
        <f t="shared" si="3"/>
        <v>1</v>
      </c>
    </row>
    <row r="23" ht="12.75" customHeight="1">
      <c r="A23" s="35"/>
      <c r="B23" s="26"/>
      <c r="C23" s="36"/>
      <c r="D23" s="13" t="s">
        <v>13</v>
      </c>
      <c r="E23" s="13">
        <v>0.0</v>
      </c>
      <c r="F23" s="13">
        <v>0.0</v>
      </c>
      <c r="G23" s="13">
        <v>0.0</v>
      </c>
      <c r="H23" s="13">
        <v>1.0</v>
      </c>
      <c r="I23" s="13">
        <v>1.0</v>
      </c>
      <c r="J23" s="13">
        <v>1.0</v>
      </c>
      <c r="K23" s="6">
        <f t="shared" si="3"/>
        <v>3</v>
      </c>
    </row>
    <row r="24" ht="12.75" customHeight="1">
      <c r="A24" s="37"/>
      <c r="B24" s="27"/>
      <c r="C24" s="38"/>
      <c r="D24" s="6" t="s">
        <v>14</v>
      </c>
      <c r="E24" s="6">
        <f t="shared" ref="E24:J24" si="5">SUM(E22:E23)</f>
        <v>0</v>
      </c>
      <c r="F24" s="6">
        <f t="shared" si="5"/>
        <v>0</v>
      </c>
      <c r="G24" s="6">
        <f t="shared" si="5"/>
        <v>0</v>
      </c>
      <c r="H24" s="6">
        <f t="shared" si="5"/>
        <v>2</v>
      </c>
      <c r="I24" s="6">
        <f t="shared" si="5"/>
        <v>1</v>
      </c>
      <c r="J24" s="6">
        <f t="shared" si="5"/>
        <v>1</v>
      </c>
      <c r="K24" s="6">
        <f t="shared" si="3"/>
        <v>4</v>
      </c>
    </row>
    <row r="25" ht="12.75" customHeight="1">
      <c r="A25" s="35"/>
      <c r="B25" s="33" t="s">
        <v>21</v>
      </c>
      <c r="C25" s="34" t="s">
        <v>22</v>
      </c>
      <c r="D25" s="13" t="s">
        <v>12</v>
      </c>
      <c r="E25" s="13">
        <v>0.0</v>
      </c>
      <c r="F25" s="13">
        <v>0.0</v>
      </c>
      <c r="G25" s="13">
        <v>0.0</v>
      </c>
      <c r="H25" s="13">
        <v>0.0</v>
      </c>
      <c r="I25" s="13">
        <v>0.0</v>
      </c>
      <c r="J25" s="13">
        <v>0.0</v>
      </c>
      <c r="K25" s="6">
        <f t="shared" si="3"/>
        <v>0</v>
      </c>
    </row>
    <row r="26" ht="12.75" customHeight="1">
      <c r="A26" s="35"/>
      <c r="B26" s="26"/>
      <c r="C26" s="36"/>
      <c r="D26" s="13" t="s">
        <v>13</v>
      </c>
      <c r="E26" s="13">
        <v>0.0</v>
      </c>
      <c r="F26" s="13">
        <v>0.0</v>
      </c>
      <c r="G26" s="13">
        <v>0.0</v>
      </c>
      <c r="H26" s="13">
        <v>0.0</v>
      </c>
      <c r="I26" s="13">
        <v>0.0</v>
      </c>
      <c r="J26" s="13">
        <v>0.0</v>
      </c>
      <c r="K26" s="6">
        <f t="shared" si="3"/>
        <v>0</v>
      </c>
    </row>
    <row r="27" ht="12.75" customHeight="1">
      <c r="A27" s="37"/>
      <c r="B27" s="27"/>
      <c r="C27" s="38"/>
      <c r="D27" s="6" t="s">
        <v>14</v>
      </c>
      <c r="E27" s="6">
        <f t="shared" ref="E27:J27" si="6">SUM(E25:E26)</f>
        <v>0</v>
      </c>
      <c r="F27" s="6">
        <f t="shared" si="6"/>
        <v>0</v>
      </c>
      <c r="G27" s="6">
        <f t="shared" si="6"/>
        <v>0</v>
      </c>
      <c r="H27" s="6">
        <f t="shared" si="6"/>
        <v>0</v>
      </c>
      <c r="I27" s="6">
        <f t="shared" si="6"/>
        <v>0</v>
      </c>
      <c r="J27" s="6">
        <f t="shared" si="6"/>
        <v>0</v>
      </c>
      <c r="K27" s="6">
        <f t="shared" si="3"/>
        <v>0</v>
      </c>
    </row>
    <row r="28" ht="12.75" customHeight="1">
      <c r="A28" s="37"/>
      <c r="B28" s="39" t="s">
        <v>23</v>
      </c>
      <c r="C28" s="40" t="s">
        <v>24</v>
      </c>
      <c r="D28" s="6" t="s">
        <v>12</v>
      </c>
      <c r="E28" s="6">
        <f t="shared" ref="E28:J28" si="7">SUM(E19,E22,E25)</f>
        <v>100</v>
      </c>
      <c r="F28" s="6">
        <f t="shared" si="7"/>
        <v>84</v>
      </c>
      <c r="G28" s="6">
        <f t="shared" si="7"/>
        <v>107</v>
      </c>
      <c r="H28" s="6">
        <f t="shared" si="7"/>
        <v>91</v>
      </c>
      <c r="I28" s="6">
        <f t="shared" si="7"/>
        <v>115</v>
      </c>
      <c r="J28" s="6">
        <f t="shared" si="7"/>
        <v>107</v>
      </c>
      <c r="K28" s="6">
        <f t="shared" si="3"/>
        <v>604</v>
      </c>
    </row>
    <row r="29" ht="12.75" customHeight="1">
      <c r="A29" s="37"/>
      <c r="B29" s="26"/>
      <c r="C29" s="36"/>
      <c r="D29" s="6" t="s">
        <v>13</v>
      </c>
      <c r="E29" s="6">
        <f t="shared" ref="E29:J29" si="8">SUM(E20,E23,E26)</f>
        <v>110</v>
      </c>
      <c r="F29" s="6">
        <f t="shared" si="8"/>
        <v>95</v>
      </c>
      <c r="G29" s="6">
        <f t="shared" si="8"/>
        <v>120</v>
      </c>
      <c r="H29" s="6">
        <f t="shared" si="8"/>
        <v>96</v>
      </c>
      <c r="I29" s="6">
        <f t="shared" si="8"/>
        <v>115</v>
      </c>
      <c r="J29" s="6">
        <f t="shared" si="8"/>
        <v>113</v>
      </c>
      <c r="K29" s="6">
        <f t="shared" si="3"/>
        <v>649</v>
      </c>
    </row>
    <row r="30" ht="12.75" customHeight="1">
      <c r="A30" s="37"/>
      <c r="B30" s="27"/>
      <c r="C30" s="38"/>
      <c r="D30" s="6" t="s">
        <v>14</v>
      </c>
      <c r="E30" s="6">
        <f t="shared" ref="E30:J30" si="9">SUM(E28:E29)</f>
        <v>210</v>
      </c>
      <c r="F30" s="6">
        <f t="shared" si="9"/>
        <v>179</v>
      </c>
      <c r="G30" s="6">
        <f t="shared" si="9"/>
        <v>227</v>
      </c>
      <c r="H30" s="6">
        <f t="shared" si="9"/>
        <v>187</v>
      </c>
      <c r="I30" s="6">
        <f t="shared" si="9"/>
        <v>230</v>
      </c>
      <c r="J30" s="6">
        <f t="shared" si="9"/>
        <v>220</v>
      </c>
      <c r="K30" s="6">
        <f t="shared" si="3"/>
        <v>1253</v>
      </c>
    </row>
    <row r="31" ht="12.75" customHeight="1">
      <c r="A31" s="21"/>
      <c r="B31" s="8"/>
      <c r="C31" s="8"/>
      <c r="D31" s="9"/>
      <c r="E31" s="13"/>
      <c r="F31" s="13"/>
      <c r="G31" s="13"/>
      <c r="H31" s="13"/>
      <c r="I31" s="13"/>
      <c r="J31" s="13"/>
      <c r="K31" s="6"/>
    </row>
    <row r="32" ht="12.75" customHeight="1">
      <c r="A32" s="42" t="s">
        <v>25</v>
      </c>
      <c r="B32" s="7" t="s">
        <v>26</v>
      </c>
      <c r="C32" s="8"/>
      <c r="D32" s="9"/>
      <c r="E32" s="6"/>
      <c r="F32" s="6"/>
      <c r="G32" s="6"/>
      <c r="H32" s="6"/>
      <c r="I32" s="6"/>
      <c r="J32" s="6"/>
      <c r="K32" s="6"/>
    </row>
    <row r="33" ht="12.75" customHeight="1">
      <c r="A33" s="13">
        <v>1.0</v>
      </c>
      <c r="B33" s="14" t="s">
        <v>27</v>
      </c>
      <c r="C33" s="8"/>
      <c r="D33" s="9"/>
      <c r="E33" s="13">
        <v>229.0</v>
      </c>
      <c r="F33" s="13">
        <v>203.0</v>
      </c>
      <c r="G33" s="13">
        <v>266.0</v>
      </c>
      <c r="H33" s="13">
        <v>213.0</v>
      </c>
      <c r="I33" s="13">
        <v>272.0</v>
      </c>
      <c r="J33" s="13">
        <v>273.0</v>
      </c>
      <c r="K33" s="6">
        <f t="shared" ref="K33:K36" si="10">SUM(E33:J33)</f>
        <v>1456</v>
      </c>
    </row>
    <row r="34" ht="12.75" customHeight="1">
      <c r="A34" s="13">
        <v>2.0</v>
      </c>
      <c r="B34" s="14" t="s">
        <v>28</v>
      </c>
      <c r="C34" s="8"/>
      <c r="D34" s="9"/>
      <c r="E34" s="6">
        <v>210.0</v>
      </c>
      <c r="F34" s="6">
        <v>179.0</v>
      </c>
      <c r="G34" s="6">
        <v>227.0</v>
      </c>
      <c r="H34" s="6">
        <v>187.0</v>
      </c>
      <c r="I34" s="6">
        <v>230.0</v>
      </c>
      <c r="J34" s="6">
        <v>220.0</v>
      </c>
      <c r="K34" s="6">
        <f t="shared" si="10"/>
        <v>1253</v>
      </c>
    </row>
    <row r="35" ht="12.75" customHeight="1">
      <c r="A35" s="13">
        <v>3.0</v>
      </c>
      <c r="B35" s="14" t="s">
        <v>29</v>
      </c>
      <c r="C35" s="8"/>
      <c r="D35" s="9"/>
      <c r="E35" s="13">
        <v>1.0</v>
      </c>
      <c r="F35" s="13">
        <v>0.0</v>
      </c>
      <c r="G35" s="13">
        <v>1.0</v>
      </c>
      <c r="H35" s="13">
        <v>1.0</v>
      </c>
      <c r="I35" s="13">
        <v>1.0</v>
      </c>
      <c r="J35" s="13">
        <v>0.0</v>
      </c>
      <c r="K35" s="6">
        <f t="shared" si="10"/>
        <v>4</v>
      </c>
    </row>
    <row r="36" ht="12.75" customHeight="1">
      <c r="A36" s="13">
        <v>4.0</v>
      </c>
      <c r="B36" s="14" t="s">
        <v>30</v>
      </c>
      <c r="C36" s="8"/>
      <c r="D36" s="9"/>
      <c r="E36" s="6">
        <f t="shared" ref="E36:J36" si="11">E33-(E34+E35)</f>
        <v>18</v>
      </c>
      <c r="F36" s="6">
        <f t="shared" si="11"/>
        <v>24</v>
      </c>
      <c r="G36" s="6">
        <f t="shared" si="11"/>
        <v>38</v>
      </c>
      <c r="H36" s="6">
        <f t="shared" si="11"/>
        <v>25</v>
      </c>
      <c r="I36" s="6">
        <f t="shared" si="11"/>
        <v>41</v>
      </c>
      <c r="J36" s="6">
        <f t="shared" si="11"/>
        <v>53</v>
      </c>
      <c r="K36" s="6">
        <f t="shared" si="10"/>
        <v>199</v>
      </c>
    </row>
    <row r="37" ht="12.75" customHeight="1">
      <c r="A37" s="21"/>
      <c r="B37" s="8"/>
      <c r="C37" s="8"/>
      <c r="D37" s="8"/>
      <c r="E37" s="21"/>
      <c r="F37" s="8"/>
      <c r="G37" s="8"/>
      <c r="H37" s="8"/>
      <c r="I37" s="9"/>
      <c r="J37" s="13"/>
      <c r="K37" s="6"/>
    </row>
    <row r="38" ht="12.75" customHeight="1">
      <c r="A38" s="44" t="s">
        <v>31</v>
      </c>
      <c r="B38" s="7" t="s">
        <v>32</v>
      </c>
      <c r="C38" s="8"/>
      <c r="D38" s="9"/>
      <c r="E38" s="6"/>
      <c r="F38" s="6"/>
      <c r="G38" s="6"/>
      <c r="H38" s="6"/>
      <c r="I38" s="6"/>
      <c r="J38" s="6"/>
      <c r="K38" s="6"/>
    </row>
    <row r="39" ht="12.75" customHeight="1">
      <c r="A39" s="32"/>
      <c r="B39" s="45" t="s">
        <v>33</v>
      </c>
      <c r="C39" s="20"/>
      <c r="D39" s="13" t="s">
        <v>12</v>
      </c>
      <c r="E39" s="13"/>
      <c r="F39" s="13">
        <v>1.0</v>
      </c>
      <c r="G39" s="13">
        <v>4.0</v>
      </c>
      <c r="H39" s="13"/>
      <c r="I39" s="13"/>
      <c r="J39" s="13"/>
      <c r="K39" s="6">
        <f t="shared" ref="K39:K41" si="12">SUM(E39:J39)</f>
        <v>5</v>
      </c>
    </row>
    <row r="40" ht="12.75" customHeight="1">
      <c r="A40" s="35"/>
      <c r="C40" s="26"/>
      <c r="D40" s="13" t="s">
        <v>13</v>
      </c>
      <c r="E40" s="13"/>
      <c r="F40" s="13">
        <v>4.0</v>
      </c>
      <c r="G40" s="13"/>
      <c r="H40" s="13"/>
      <c r="I40" s="13"/>
      <c r="J40" s="13"/>
      <c r="K40" s="6">
        <f t="shared" si="12"/>
        <v>4</v>
      </c>
    </row>
    <row r="41" ht="12.75" customHeight="1">
      <c r="A41" s="42"/>
      <c r="B41" s="46"/>
      <c r="C41" s="27"/>
      <c r="D41" s="6" t="s">
        <v>14</v>
      </c>
      <c r="E41" s="6">
        <f t="shared" ref="E41:J41" si="13">SUM(E39:E40)</f>
        <v>0</v>
      </c>
      <c r="F41" s="6">
        <f t="shared" si="13"/>
        <v>5</v>
      </c>
      <c r="G41" s="6">
        <f t="shared" si="13"/>
        <v>4</v>
      </c>
      <c r="H41" s="6">
        <f t="shared" si="13"/>
        <v>0</v>
      </c>
      <c r="I41" s="6">
        <f t="shared" si="13"/>
        <v>0</v>
      </c>
      <c r="J41" s="6">
        <f t="shared" si="13"/>
        <v>0</v>
      </c>
      <c r="K41" s="6">
        <f t="shared" si="12"/>
        <v>9</v>
      </c>
    </row>
    <row r="42" ht="12.75" customHeight="1">
      <c r="A42" s="47"/>
      <c r="B42" s="46"/>
      <c r="C42" s="46"/>
      <c r="D42" s="27"/>
      <c r="E42" s="21"/>
      <c r="F42" s="8"/>
      <c r="G42" s="8"/>
      <c r="H42" s="8"/>
      <c r="I42" s="9"/>
      <c r="J42" s="13"/>
      <c r="K42" s="6"/>
    </row>
    <row r="43" ht="12.75" customHeight="1">
      <c r="A43" s="44" t="s">
        <v>34</v>
      </c>
      <c r="B43" s="7" t="s">
        <v>35</v>
      </c>
      <c r="C43" s="8"/>
      <c r="D43" s="9"/>
      <c r="E43" s="28"/>
      <c r="F43" s="6"/>
      <c r="G43" s="6"/>
      <c r="H43" s="6"/>
      <c r="I43" s="6"/>
      <c r="J43" s="6"/>
      <c r="K43" s="6"/>
    </row>
    <row r="44" ht="12.75" customHeight="1">
      <c r="A44" s="45" t="s">
        <v>36</v>
      </c>
      <c r="B44" s="48"/>
      <c r="C44" s="48"/>
      <c r="D44" s="20"/>
      <c r="E44" s="21"/>
      <c r="F44" s="13"/>
      <c r="G44" s="13"/>
      <c r="H44" s="13"/>
      <c r="I44" s="13"/>
      <c r="J44" s="13"/>
      <c r="K44" s="6"/>
    </row>
    <row r="45" ht="12.75" customHeight="1">
      <c r="A45" s="32" t="s">
        <v>37</v>
      </c>
      <c r="B45" s="49" t="s">
        <v>17</v>
      </c>
      <c r="C45" s="50" t="s">
        <v>38</v>
      </c>
      <c r="D45" s="9"/>
      <c r="E45" s="13">
        <v>10.0</v>
      </c>
      <c r="F45" s="13">
        <v>4.0</v>
      </c>
      <c r="G45" s="13">
        <v>4.0</v>
      </c>
      <c r="H45" s="13">
        <v>6.0</v>
      </c>
      <c r="I45" s="13">
        <v>11.0</v>
      </c>
      <c r="J45" s="13">
        <v>2.0</v>
      </c>
      <c r="K45" s="6">
        <f t="shared" ref="K45:K52" si="14">SUM(E45:J45)</f>
        <v>37</v>
      </c>
    </row>
    <row r="46" ht="12.75" customHeight="1">
      <c r="A46" s="32" t="s">
        <v>39</v>
      </c>
      <c r="B46" s="51"/>
      <c r="C46" s="52" t="s">
        <v>40</v>
      </c>
      <c r="D46" s="53"/>
      <c r="E46" s="13">
        <v>13.0</v>
      </c>
      <c r="F46" s="13">
        <v>2.0</v>
      </c>
      <c r="G46" s="13">
        <v>3.0</v>
      </c>
      <c r="H46" s="13">
        <v>4.0</v>
      </c>
      <c r="I46" s="13">
        <v>3.0</v>
      </c>
      <c r="J46" s="13">
        <v>5.0</v>
      </c>
      <c r="K46" s="6">
        <f t="shared" si="14"/>
        <v>30</v>
      </c>
    </row>
    <row r="47" ht="12.75" customHeight="1">
      <c r="A47" s="18"/>
      <c r="B47" s="51"/>
      <c r="C47" s="52" t="s">
        <v>41</v>
      </c>
      <c r="D47" s="53"/>
      <c r="E47" s="13">
        <v>1.0</v>
      </c>
      <c r="F47" s="13">
        <v>1.0</v>
      </c>
      <c r="G47" s="13">
        <v>3.0</v>
      </c>
      <c r="H47" s="13">
        <v>0.0</v>
      </c>
      <c r="I47" s="13">
        <v>0.0</v>
      </c>
      <c r="J47" s="13">
        <v>0.0</v>
      </c>
      <c r="K47" s="6">
        <f t="shared" si="14"/>
        <v>5</v>
      </c>
    </row>
    <row r="48" ht="12.75" customHeight="1">
      <c r="A48" s="18"/>
      <c r="B48" s="51"/>
      <c r="C48" s="52" t="s">
        <v>42</v>
      </c>
      <c r="D48" s="53"/>
      <c r="E48" s="13">
        <v>1.0</v>
      </c>
      <c r="F48" s="13">
        <v>0.0</v>
      </c>
      <c r="G48" s="13">
        <v>3.0</v>
      </c>
      <c r="H48" s="13">
        <v>0.0</v>
      </c>
      <c r="I48" s="13">
        <v>0.0</v>
      </c>
      <c r="J48" s="13">
        <v>0.0</v>
      </c>
      <c r="K48" s="6">
        <f t="shared" si="14"/>
        <v>4</v>
      </c>
    </row>
    <row r="49" ht="12.75" customHeight="1">
      <c r="A49" s="18"/>
      <c r="B49" s="51"/>
      <c r="C49" s="52" t="s">
        <v>43</v>
      </c>
      <c r="D49" s="53"/>
      <c r="E49" s="13">
        <v>0.0</v>
      </c>
      <c r="F49" s="13">
        <v>0.0</v>
      </c>
      <c r="G49" s="13">
        <v>0.0</v>
      </c>
      <c r="H49" s="13">
        <v>1.0</v>
      </c>
      <c r="I49" s="13">
        <v>0.0</v>
      </c>
      <c r="J49" s="13">
        <v>0.0</v>
      </c>
      <c r="K49" s="6">
        <f t="shared" si="14"/>
        <v>1</v>
      </c>
    </row>
    <row r="50" ht="12.75" customHeight="1">
      <c r="A50" s="18"/>
      <c r="B50" s="51"/>
      <c r="C50" s="52" t="s">
        <v>44</v>
      </c>
      <c r="D50" s="53"/>
      <c r="E50" s="13">
        <v>0.0</v>
      </c>
      <c r="F50" s="13">
        <v>0.0</v>
      </c>
      <c r="G50" s="13">
        <v>0.0</v>
      </c>
      <c r="H50" s="13">
        <v>0.0</v>
      </c>
      <c r="I50" s="13">
        <v>0.0</v>
      </c>
      <c r="J50" s="13">
        <v>0.0</v>
      </c>
      <c r="K50" s="6">
        <f t="shared" si="14"/>
        <v>0</v>
      </c>
    </row>
    <row r="51" ht="12.75" customHeight="1">
      <c r="A51" s="18"/>
      <c r="B51" s="51"/>
      <c r="C51" s="52" t="s">
        <v>45</v>
      </c>
      <c r="D51" s="53"/>
      <c r="E51" s="13">
        <v>0.0</v>
      </c>
      <c r="F51" s="13">
        <v>0.0</v>
      </c>
      <c r="G51" s="13">
        <v>7.0</v>
      </c>
      <c r="H51" s="13">
        <v>0.0</v>
      </c>
      <c r="I51" s="13">
        <v>0.0</v>
      </c>
      <c r="J51" s="13">
        <v>3.0</v>
      </c>
      <c r="K51" s="6">
        <f t="shared" si="14"/>
        <v>10</v>
      </c>
    </row>
    <row r="52" ht="12.75" customHeight="1">
      <c r="A52" s="13" t="s">
        <v>15</v>
      </c>
      <c r="B52" s="49" t="s">
        <v>46</v>
      </c>
      <c r="C52" s="8"/>
      <c r="D52" s="9"/>
      <c r="E52" s="60">
        <f t="shared" ref="E52:J52" si="15">SUM(E45:E51)</f>
        <v>25</v>
      </c>
      <c r="F52" s="60">
        <f t="shared" si="15"/>
        <v>7</v>
      </c>
      <c r="G52" s="60">
        <f t="shared" si="15"/>
        <v>20</v>
      </c>
      <c r="H52" s="60">
        <f t="shared" si="15"/>
        <v>11</v>
      </c>
      <c r="I52" s="60">
        <f t="shared" si="15"/>
        <v>14</v>
      </c>
      <c r="J52" s="60">
        <f t="shared" si="15"/>
        <v>10</v>
      </c>
      <c r="K52" s="6">
        <f t="shared" si="14"/>
        <v>87</v>
      </c>
    </row>
    <row r="53" ht="12.75" customHeight="1">
      <c r="A53" s="54"/>
      <c r="B53" s="55"/>
      <c r="C53" s="55"/>
      <c r="D53" s="55"/>
      <c r="E53" s="55"/>
      <c r="F53" s="55"/>
      <c r="G53" s="55"/>
      <c r="H53" s="55"/>
      <c r="I53" s="55"/>
      <c r="J53" s="55"/>
      <c r="K53" s="6"/>
    </row>
    <row r="54" ht="12.75" customHeight="1">
      <c r="A54" s="32" t="s">
        <v>37</v>
      </c>
      <c r="B54" s="49" t="s">
        <v>19</v>
      </c>
      <c r="C54" s="50" t="s">
        <v>47</v>
      </c>
      <c r="D54" s="9"/>
      <c r="E54" s="13">
        <v>2.0</v>
      </c>
      <c r="F54" s="13">
        <v>7.0</v>
      </c>
      <c r="G54" s="13">
        <v>8.0</v>
      </c>
      <c r="H54" s="13">
        <v>7.0</v>
      </c>
      <c r="I54" s="13">
        <v>10.0</v>
      </c>
      <c r="J54" s="13">
        <v>5.0</v>
      </c>
      <c r="K54" s="6">
        <f t="shared" ref="K54:K61" si="16">SUM(E54:J54)</f>
        <v>39</v>
      </c>
    </row>
    <row r="55" ht="12.75" customHeight="1">
      <c r="A55" s="32" t="s">
        <v>39</v>
      </c>
      <c r="B55" s="51"/>
      <c r="C55" s="52" t="s">
        <v>48</v>
      </c>
      <c r="D55" s="53"/>
      <c r="E55" s="13">
        <v>2.0</v>
      </c>
      <c r="F55" s="13">
        <v>2.0</v>
      </c>
      <c r="G55" s="13">
        <v>4.0</v>
      </c>
      <c r="H55" s="13">
        <v>2.0</v>
      </c>
      <c r="I55" s="13">
        <v>5.0</v>
      </c>
      <c r="J55" s="13">
        <v>4.0</v>
      </c>
      <c r="K55" s="6">
        <f t="shared" si="16"/>
        <v>19</v>
      </c>
    </row>
    <row r="56" ht="12.75" customHeight="1">
      <c r="A56" s="18"/>
      <c r="B56" s="51"/>
      <c r="C56" s="52" t="s">
        <v>49</v>
      </c>
      <c r="D56" s="53"/>
      <c r="E56" s="13">
        <v>0.0</v>
      </c>
      <c r="F56" s="13">
        <v>1.0</v>
      </c>
      <c r="G56" s="13">
        <v>6.0</v>
      </c>
      <c r="H56" s="13">
        <v>0.0</v>
      </c>
      <c r="I56" s="13">
        <v>4.0</v>
      </c>
      <c r="J56" s="13">
        <v>4.0</v>
      </c>
      <c r="K56" s="6">
        <f t="shared" si="16"/>
        <v>15</v>
      </c>
    </row>
    <row r="57" ht="12.75" customHeight="1">
      <c r="A57" s="18"/>
      <c r="B57" s="51"/>
      <c r="C57" s="52" t="s">
        <v>50</v>
      </c>
      <c r="D57" s="53"/>
      <c r="E57" s="13">
        <v>0.0</v>
      </c>
      <c r="F57" s="13">
        <v>0.0</v>
      </c>
      <c r="G57" s="13">
        <v>0.0</v>
      </c>
      <c r="H57" s="13">
        <v>1.0</v>
      </c>
      <c r="I57" s="13">
        <v>0.0</v>
      </c>
      <c r="J57" s="13">
        <v>0.0</v>
      </c>
      <c r="K57" s="6">
        <f t="shared" si="16"/>
        <v>1</v>
      </c>
    </row>
    <row r="58" ht="12.75" customHeight="1">
      <c r="A58" s="18"/>
      <c r="B58" s="51"/>
      <c r="C58" s="52" t="s">
        <v>51</v>
      </c>
      <c r="D58" s="53"/>
      <c r="E58" s="13">
        <v>0.0</v>
      </c>
      <c r="F58" s="13">
        <v>0.0</v>
      </c>
      <c r="G58" s="13">
        <v>2.0</v>
      </c>
      <c r="H58" s="13">
        <v>0.0</v>
      </c>
      <c r="I58" s="13">
        <v>3.0</v>
      </c>
      <c r="J58" s="13">
        <v>0.0</v>
      </c>
      <c r="K58" s="6">
        <f t="shared" si="16"/>
        <v>5</v>
      </c>
    </row>
    <row r="59" ht="12.75" customHeight="1">
      <c r="A59" s="18"/>
      <c r="B59" s="51"/>
      <c r="C59" s="52" t="s">
        <v>52</v>
      </c>
      <c r="D59" s="53"/>
      <c r="E59" s="13">
        <v>0.0</v>
      </c>
      <c r="F59" s="13">
        <v>0.0</v>
      </c>
      <c r="G59" s="13">
        <v>1.0</v>
      </c>
      <c r="H59" s="13">
        <v>0.0</v>
      </c>
      <c r="I59" s="13">
        <v>1.0</v>
      </c>
      <c r="J59" s="13">
        <v>0.0</v>
      </c>
      <c r="K59" s="6">
        <f t="shared" si="16"/>
        <v>2</v>
      </c>
    </row>
    <row r="60" ht="12.75" customHeight="1">
      <c r="A60" s="18"/>
      <c r="B60" s="51"/>
      <c r="C60" s="52" t="s">
        <v>53</v>
      </c>
      <c r="D60" s="53"/>
      <c r="E60" s="13">
        <v>0.0</v>
      </c>
      <c r="F60" s="13">
        <v>0.0</v>
      </c>
      <c r="G60" s="13">
        <v>0.0</v>
      </c>
      <c r="H60" s="13">
        <v>0.0</v>
      </c>
      <c r="I60" s="13">
        <v>0.0</v>
      </c>
      <c r="J60" s="13">
        <v>0.0</v>
      </c>
      <c r="K60" s="6">
        <f t="shared" si="16"/>
        <v>0</v>
      </c>
    </row>
    <row r="61" ht="12.75" customHeight="1">
      <c r="A61" s="13" t="s">
        <v>15</v>
      </c>
      <c r="B61" s="49" t="s">
        <v>46</v>
      </c>
      <c r="C61" s="8"/>
      <c r="D61" s="9"/>
      <c r="E61" s="60">
        <f t="shared" ref="E61:J61" si="17">SUM(E54:E60)</f>
        <v>4</v>
      </c>
      <c r="F61" s="60">
        <f t="shared" si="17"/>
        <v>10</v>
      </c>
      <c r="G61" s="60">
        <f t="shared" si="17"/>
        <v>21</v>
      </c>
      <c r="H61" s="60">
        <f t="shared" si="17"/>
        <v>10</v>
      </c>
      <c r="I61" s="60">
        <f t="shared" si="17"/>
        <v>23</v>
      </c>
      <c r="J61" s="60">
        <f t="shared" si="17"/>
        <v>13</v>
      </c>
      <c r="K61" s="6">
        <f t="shared" si="16"/>
        <v>81</v>
      </c>
    </row>
    <row r="62" ht="12.75" customHeight="1">
      <c r="A62" s="54"/>
      <c r="B62" s="55"/>
      <c r="C62" s="55"/>
      <c r="D62" s="55"/>
      <c r="E62" s="55"/>
      <c r="F62" s="55"/>
      <c r="G62" s="55"/>
      <c r="H62" s="55"/>
      <c r="I62" s="55"/>
      <c r="J62" s="55"/>
      <c r="K62" s="6"/>
    </row>
    <row r="63" ht="12.75" customHeight="1">
      <c r="A63" s="32" t="s">
        <v>37</v>
      </c>
      <c r="B63" s="49" t="s">
        <v>21</v>
      </c>
      <c r="C63" s="50" t="s">
        <v>54</v>
      </c>
      <c r="D63" s="9"/>
      <c r="E63" s="13">
        <v>2.0</v>
      </c>
      <c r="F63" s="13">
        <v>2.0</v>
      </c>
      <c r="G63" s="13">
        <v>8.0</v>
      </c>
      <c r="H63" s="13">
        <v>5.0</v>
      </c>
      <c r="I63" s="13">
        <v>3.0</v>
      </c>
      <c r="J63" s="13">
        <v>2.0</v>
      </c>
      <c r="K63" s="6">
        <f t="shared" ref="K63:K70" si="18">SUM(E63:J63)</f>
        <v>22</v>
      </c>
    </row>
    <row r="64" ht="12.75" customHeight="1">
      <c r="A64" s="32" t="s">
        <v>39</v>
      </c>
      <c r="B64" s="51"/>
      <c r="C64" s="52" t="s">
        <v>55</v>
      </c>
      <c r="D64" s="53"/>
      <c r="E64" s="13">
        <v>2.0</v>
      </c>
      <c r="F64" s="13">
        <v>0.0</v>
      </c>
      <c r="G64" s="13">
        <v>0.0</v>
      </c>
      <c r="H64" s="13">
        <v>1.0</v>
      </c>
      <c r="I64" s="13">
        <v>3.0</v>
      </c>
      <c r="J64" s="13">
        <v>1.0</v>
      </c>
      <c r="K64" s="6">
        <f t="shared" si="18"/>
        <v>7</v>
      </c>
    </row>
    <row r="65" ht="12.75" customHeight="1">
      <c r="A65" s="18"/>
      <c r="B65" s="51"/>
      <c r="C65" s="52" t="s">
        <v>56</v>
      </c>
      <c r="D65" s="53"/>
      <c r="E65" s="13">
        <v>2.0</v>
      </c>
      <c r="F65" s="13">
        <v>6.0</v>
      </c>
      <c r="G65" s="13">
        <v>4.0</v>
      </c>
      <c r="H65" s="13">
        <v>1.0</v>
      </c>
      <c r="I65" s="13">
        <v>6.0</v>
      </c>
      <c r="J65" s="13">
        <v>3.0</v>
      </c>
      <c r="K65" s="6">
        <f t="shared" si="18"/>
        <v>22</v>
      </c>
    </row>
    <row r="66" ht="12.75" customHeight="1">
      <c r="A66" s="18"/>
      <c r="B66" s="51"/>
      <c r="C66" s="52" t="s">
        <v>57</v>
      </c>
      <c r="D66" s="53"/>
      <c r="E66" s="13">
        <v>8.0</v>
      </c>
      <c r="F66" s="13">
        <v>7.0</v>
      </c>
      <c r="G66" s="13">
        <v>3.0</v>
      </c>
      <c r="H66" s="13">
        <v>0.0</v>
      </c>
      <c r="I66" s="13">
        <v>16.0</v>
      </c>
      <c r="J66" s="13">
        <v>3.0</v>
      </c>
      <c r="K66" s="6">
        <f t="shared" si="18"/>
        <v>37</v>
      </c>
    </row>
    <row r="67" ht="12.75" customHeight="1">
      <c r="A67" s="18"/>
      <c r="B67" s="51"/>
      <c r="C67" s="52" t="s">
        <v>58</v>
      </c>
      <c r="D67" s="53"/>
      <c r="E67" s="13">
        <v>0.0</v>
      </c>
      <c r="F67" s="13">
        <v>1.0</v>
      </c>
      <c r="G67" s="13">
        <v>0.0</v>
      </c>
      <c r="H67" s="13">
        <v>1.0</v>
      </c>
      <c r="I67" s="13">
        <v>2.0</v>
      </c>
      <c r="J67" s="13">
        <v>0.0</v>
      </c>
      <c r="K67" s="6">
        <f t="shared" si="18"/>
        <v>4</v>
      </c>
    </row>
    <row r="68" ht="12.75" customHeight="1">
      <c r="A68" s="18"/>
      <c r="B68" s="51"/>
      <c r="C68" s="52" t="s">
        <v>59</v>
      </c>
      <c r="D68" s="53"/>
      <c r="E68" s="13">
        <v>0.0</v>
      </c>
      <c r="F68" s="13">
        <v>0.0</v>
      </c>
      <c r="G68" s="13">
        <v>7.0</v>
      </c>
      <c r="H68" s="13">
        <v>1.0</v>
      </c>
      <c r="I68" s="13">
        <v>9.0</v>
      </c>
      <c r="J68" s="13">
        <v>8.0</v>
      </c>
      <c r="K68" s="6">
        <f t="shared" si="18"/>
        <v>25</v>
      </c>
    </row>
    <row r="69" ht="12.75" customHeight="1">
      <c r="A69" s="18"/>
      <c r="B69" s="51"/>
      <c r="C69" s="52" t="s">
        <v>60</v>
      </c>
      <c r="D69" s="53"/>
      <c r="E69" s="13">
        <v>1.0</v>
      </c>
      <c r="F69" s="13">
        <v>2.0</v>
      </c>
      <c r="G69" s="13">
        <v>3.0</v>
      </c>
      <c r="H69" s="13">
        <v>1.0</v>
      </c>
      <c r="I69" s="13">
        <v>2.0</v>
      </c>
      <c r="J69" s="13">
        <v>7.0</v>
      </c>
      <c r="K69" s="6">
        <f t="shared" si="18"/>
        <v>16</v>
      </c>
    </row>
    <row r="70" ht="12.75" customHeight="1">
      <c r="A70" s="13" t="s">
        <v>15</v>
      </c>
      <c r="B70" s="49" t="s">
        <v>46</v>
      </c>
      <c r="C70" s="8"/>
      <c r="D70" s="9"/>
      <c r="E70" s="60">
        <f t="shared" ref="E70:J70" si="19">SUM(E63:E69)</f>
        <v>15</v>
      </c>
      <c r="F70" s="60">
        <f t="shared" si="19"/>
        <v>18</v>
      </c>
      <c r="G70" s="60">
        <f t="shared" si="19"/>
        <v>25</v>
      </c>
      <c r="H70" s="60">
        <f t="shared" si="19"/>
        <v>10</v>
      </c>
      <c r="I70" s="60">
        <f t="shared" si="19"/>
        <v>41</v>
      </c>
      <c r="J70" s="60">
        <f t="shared" si="19"/>
        <v>24</v>
      </c>
      <c r="K70" s="6">
        <f t="shared" si="18"/>
        <v>133</v>
      </c>
    </row>
    <row r="71" ht="12.75" customHeight="1">
      <c r="A71" s="54"/>
      <c r="B71" s="55"/>
      <c r="C71" s="55"/>
      <c r="D71" s="55"/>
      <c r="E71" s="55"/>
      <c r="F71" s="55"/>
      <c r="G71" s="55"/>
      <c r="H71" s="55"/>
      <c r="I71" s="55"/>
      <c r="J71" s="55"/>
      <c r="K71" s="6"/>
    </row>
    <row r="72" ht="12.75" customHeight="1">
      <c r="A72" s="32" t="s">
        <v>37</v>
      </c>
      <c r="B72" s="49" t="s">
        <v>23</v>
      </c>
      <c r="C72" s="50" t="s">
        <v>61</v>
      </c>
      <c r="D72" s="9"/>
      <c r="E72" s="13">
        <v>8.0</v>
      </c>
      <c r="F72" s="13">
        <v>10.0</v>
      </c>
      <c r="G72" s="13">
        <v>3.0</v>
      </c>
      <c r="H72" s="13">
        <v>4.0</v>
      </c>
      <c r="I72" s="13">
        <v>6.0</v>
      </c>
      <c r="J72" s="13">
        <v>3.0</v>
      </c>
      <c r="K72" s="6">
        <f t="shared" ref="K72:K79" si="20">SUM(E72:J72)</f>
        <v>34</v>
      </c>
    </row>
    <row r="73" ht="12.75" customHeight="1">
      <c r="A73" s="32" t="s">
        <v>39</v>
      </c>
      <c r="B73" s="51"/>
      <c r="C73" s="52" t="s">
        <v>62</v>
      </c>
      <c r="D73" s="53"/>
      <c r="E73" s="13">
        <v>18.0</v>
      </c>
      <c r="F73" s="13">
        <v>9.0</v>
      </c>
      <c r="G73" s="13">
        <v>4.0</v>
      </c>
      <c r="H73" s="13">
        <v>4.0</v>
      </c>
      <c r="I73" s="13">
        <v>16.0</v>
      </c>
      <c r="J73" s="13">
        <v>3.0</v>
      </c>
      <c r="K73" s="6">
        <f t="shared" si="20"/>
        <v>54</v>
      </c>
    </row>
    <row r="74" ht="12.75" customHeight="1">
      <c r="A74" s="18"/>
      <c r="B74" s="51"/>
      <c r="C74" s="52" t="s">
        <v>63</v>
      </c>
      <c r="D74" s="53"/>
      <c r="E74" s="13">
        <v>1.0</v>
      </c>
      <c r="F74" s="13">
        <v>1.0</v>
      </c>
      <c r="G74" s="13">
        <v>0.0</v>
      </c>
      <c r="H74" s="13">
        <v>0.0</v>
      </c>
      <c r="I74" s="13">
        <v>0.0</v>
      </c>
      <c r="J74" s="13">
        <v>0.0</v>
      </c>
      <c r="K74" s="6">
        <f t="shared" si="20"/>
        <v>2</v>
      </c>
    </row>
    <row r="75" ht="12.75" customHeight="1">
      <c r="A75" s="18"/>
      <c r="B75" s="51"/>
      <c r="C75" s="52" t="s">
        <v>64</v>
      </c>
      <c r="D75" s="53"/>
      <c r="E75" s="13">
        <v>0.0</v>
      </c>
      <c r="F75" s="13">
        <v>0.0</v>
      </c>
      <c r="G75" s="13">
        <v>0.0</v>
      </c>
      <c r="H75" s="13">
        <v>0.0</v>
      </c>
      <c r="I75" s="13">
        <v>0.0</v>
      </c>
      <c r="J75" s="13">
        <v>1.0</v>
      </c>
      <c r="K75" s="6">
        <f t="shared" si="20"/>
        <v>1</v>
      </c>
    </row>
    <row r="76" ht="12.75" customHeight="1">
      <c r="A76" s="18"/>
      <c r="B76" s="51"/>
      <c r="C76" s="52" t="s">
        <v>65</v>
      </c>
      <c r="D76" s="53"/>
      <c r="E76" s="13">
        <v>8.0</v>
      </c>
      <c r="F76" s="13">
        <v>21.0</v>
      </c>
      <c r="G76" s="13">
        <v>1.0</v>
      </c>
      <c r="H76" s="13">
        <v>3.0</v>
      </c>
      <c r="I76" s="13">
        <v>0.0</v>
      </c>
      <c r="J76" s="13">
        <v>3.0</v>
      </c>
      <c r="K76" s="6">
        <f t="shared" si="20"/>
        <v>36</v>
      </c>
    </row>
    <row r="77" ht="12.75" customHeight="1">
      <c r="A77" s="18"/>
      <c r="B77" s="51"/>
      <c r="C77" s="52" t="s">
        <v>66</v>
      </c>
      <c r="D77" s="53"/>
      <c r="E77" s="13">
        <v>0.0</v>
      </c>
      <c r="F77" s="13">
        <v>0.0</v>
      </c>
      <c r="G77" s="13">
        <v>0.0</v>
      </c>
      <c r="H77" s="13">
        <v>0.0</v>
      </c>
      <c r="I77" s="13">
        <v>1.0</v>
      </c>
      <c r="J77" s="13">
        <v>0.0</v>
      </c>
      <c r="K77" s="6">
        <f t="shared" si="20"/>
        <v>1</v>
      </c>
    </row>
    <row r="78" ht="12.75" customHeight="1">
      <c r="A78" s="18"/>
      <c r="B78" s="51"/>
      <c r="C78" s="52" t="s">
        <v>67</v>
      </c>
      <c r="D78" s="53"/>
      <c r="E78" s="13">
        <v>0.0</v>
      </c>
      <c r="F78" s="13">
        <v>1.0</v>
      </c>
      <c r="G78" s="13">
        <v>0.0</v>
      </c>
      <c r="H78" s="13">
        <v>0.0</v>
      </c>
      <c r="I78" s="13">
        <v>1.0</v>
      </c>
      <c r="J78" s="13">
        <v>0.0</v>
      </c>
      <c r="K78" s="6">
        <f t="shared" si="20"/>
        <v>2</v>
      </c>
    </row>
    <row r="79" ht="12.75" customHeight="1">
      <c r="A79" s="13" t="s">
        <v>15</v>
      </c>
      <c r="B79" s="49" t="s">
        <v>46</v>
      </c>
      <c r="C79" s="8"/>
      <c r="D79" s="9"/>
      <c r="E79" s="60">
        <f t="shared" ref="E79:J79" si="21">SUM(E72:E78)</f>
        <v>35</v>
      </c>
      <c r="F79" s="60">
        <f t="shared" si="21"/>
        <v>42</v>
      </c>
      <c r="G79" s="60">
        <f t="shared" si="21"/>
        <v>8</v>
      </c>
      <c r="H79" s="60">
        <f t="shared" si="21"/>
        <v>11</v>
      </c>
      <c r="I79" s="60">
        <f t="shared" si="21"/>
        <v>24</v>
      </c>
      <c r="J79" s="60">
        <f t="shared" si="21"/>
        <v>10</v>
      </c>
      <c r="K79" s="6">
        <f t="shared" si="20"/>
        <v>130</v>
      </c>
    </row>
    <row r="80" ht="12.75" customHeight="1">
      <c r="A80" s="54"/>
      <c r="B80" s="55"/>
      <c r="C80" s="55"/>
      <c r="D80" s="55"/>
      <c r="E80" s="55"/>
      <c r="F80" s="55"/>
      <c r="G80" s="55"/>
      <c r="H80" s="55"/>
      <c r="I80" s="55"/>
      <c r="J80" s="55"/>
      <c r="K80" s="6"/>
    </row>
    <row r="81" ht="12.75" customHeight="1">
      <c r="A81" s="32" t="s">
        <v>37</v>
      </c>
      <c r="B81" s="49" t="s">
        <v>68</v>
      </c>
      <c r="C81" s="50" t="s">
        <v>69</v>
      </c>
      <c r="D81" s="9"/>
      <c r="E81" s="13">
        <v>0.0</v>
      </c>
      <c r="F81" s="13">
        <v>0.0</v>
      </c>
      <c r="G81" s="13">
        <v>0.0</v>
      </c>
      <c r="H81" s="13">
        <v>0.0</v>
      </c>
      <c r="I81" s="13">
        <v>1.0</v>
      </c>
      <c r="J81" s="13">
        <v>0.0</v>
      </c>
      <c r="K81" s="6">
        <f t="shared" ref="K81:K88" si="22">SUM(E81:J81)</f>
        <v>1</v>
      </c>
    </row>
    <row r="82" ht="12.75" customHeight="1">
      <c r="A82" s="32" t="s">
        <v>39</v>
      </c>
      <c r="B82" s="51"/>
      <c r="C82" s="52" t="s">
        <v>70</v>
      </c>
      <c r="D82" s="53"/>
      <c r="E82" s="13">
        <v>18.0</v>
      </c>
      <c r="F82" s="13">
        <v>30.0</v>
      </c>
      <c r="G82" s="13">
        <v>42.0</v>
      </c>
      <c r="H82" s="13">
        <v>16.0</v>
      </c>
      <c r="I82" s="13">
        <v>22.0</v>
      </c>
      <c r="J82" s="13">
        <v>15.0</v>
      </c>
      <c r="K82" s="6">
        <f t="shared" si="22"/>
        <v>143</v>
      </c>
    </row>
    <row r="83" ht="12.75" customHeight="1">
      <c r="A83" s="18"/>
      <c r="B83" s="51"/>
      <c r="C83" s="52" t="s">
        <v>71</v>
      </c>
      <c r="D83" s="53"/>
      <c r="E83" s="13">
        <v>0.0</v>
      </c>
      <c r="F83" s="13">
        <v>0.0</v>
      </c>
      <c r="G83" s="13">
        <v>1.0</v>
      </c>
      <c r="H83" s="13">
        <v>0.0</v>
      </c>
      <c r="I83" s="13">
        <v>0.0</v>
      </c>
      <c r="J83" s="13">
        <v>1.0</v>
      </c>
      <c r="K83" s="6">
        <f t="shared" si="22"/>
        <v>2</v>
      </c>
    </row>
    <row r="84" ht="12.75" customHeight="1">
      <c r="A84" s="18"/>
      <c r="B84" s="51"/>
      <c r="C84" s="52" t="s">
        <v>72</v>
      </c>
      <c r="D84" s="53"/>
      <c r="E84" s="13">
        <v>0.0</v>
      </c>
      <c r="F84" s="13">
        <v>0.0</v>
      </c>
      <c r="G84" s="13">
        <v>0.0</v>
      </c>
      <c r="H84" s="13">
        <v>0.0</v>
      </c>
      <c r="I84" s="13">
        <v>0.0</v>
      </c>
      <c r="J84" s="13">
        <v>0.0</v>
      </c>
      <c r="K84" s="6">
        <f t="shared" si="22"/>
        <v>0</v>
      </c>
    </row>
    <row r="85" ht="12.75" customHeight="1">
      <c r="A85" s="18"/>
      <c r="B85" s="51"/>
      <c r="C85" s="52" t="s">
        <v>73</v>
      </c>
      <c r="D85" s="53"/>
      <c r="E85" s="13">
        <v>0.0</v>
      </c>
      <c r="F85" s="13">
        <v>0.0</v>
      </c>
      <c r="G85" s="13">
        <v>0.0</v>
      </c>
      <c r="H85" s="13">
        <v>1.0</v>
      </c>
      <c r="I85" s="13">
        <v>1.0</v>
      </c>
      <c r="J85" s="13">
        <v>0.0</v>
      </c>
      <c r="K85" s="6">
        <f t="shared" si="22"/>
        <v>2</v>
      </c>
    </row>
    <row r="86" ht="12.75" customHeight="1">
      <c r="A86" s="18"/>
      <c r="B86" s="51"/>
      <c r="C86" s="52" t="s">
        <v>74</v>
      </c>
      <c r="D86" s="53"/>
      <c r="E86" s="13">
        <v>0.0</v>
      </c>
      <c r="F86" s="13">
        <v>0.0</v>
      </c>
      <c r="G86" s="13">
        <v>0.0</v>
      </c>
      <c r="H86" s="13">
        <v>0.0</v>
      </c>
      <c r="I86" s="13">
        <v>0.0</v>
      </c>
      <c r="J86" s="13">
        <v>1.0</v>
      </c>
      <c r="K86" s="6">
        <f t="shared" si="22"/>
        <v>1</v>
      </c>
    </row>
    <row r="87" ht="12.75" customHeight="1">
      <c r="A87" s="18"/>
      <c r="B87" s="51"/>
      <c r="C87" s="52" t="s">
        <v>75</v>
      </c>
      <c r="D87" s="53"/>
      <c r="E87" s="13">
        <v>0.0</v>
      </c>
      <c r="F87" s="13">
        <v>0.0</v>
      </c>
      <c r="G87" s="13">
        <v>0.0</v>
      </c>
      <c r="H87" s="13">
        <v>0.0</v>
      </c>
      <c r="I87" s="13">
        <v>0.0</v>
      </c>
      <c r="J87" s="13">
        <v>0.0</v>
      </c>
      <c r="K87" s="6">
        <f t="shared" si="22"/>
        <v>0</v>
      </c>
    </row>
    <row r="88" ht="12.75" customHeight="1">
      <c r="A88" s="13" t="s">
        <v>15</v>
      </c>
      <c r="B88" s="49" t="s">
        <v>46</v>
      </c>
      <c r="C88" s="8"/>
      <c r="D88" s="9"/>
      <c r="E88" s="60">
        <f t="shared" ref="E88:J88" si="23">SUM(E81:E87)</f>
        <v>18</v>
      </c>
      <c r="F88" s="60">
        <f t="shared" si="23"/>
        <v>30</v>
      </c>
      <c r="G88" s="60">
        <f t="shared" si="23"/>
        <v>43</v>
      </c>
      <c r="H88" s="60">
        <f t="shared" si="23"/>
        <v>17</v>
      </c>
      <c r="I88" s="60">
        <f t="shared" si="23"/>
        <v>24</v>
      </c>
      <c r="J88" s="60">
        <f t="shared" si="23"/>
        <v>17</v>
      </c>
      <c r="K88" s="6">
        <f t="shared" si="22"/>
        <v>149</v>
      </c>
    </row>
    <row r="89" ht="12.75" customHeight="1">
      <c r="A89" s="54"/>
      <c r="B89" s="55"/>
      <c r="C89" s="55"/>
      <c r="D89" s="55"/>
      <c r="E89" s="55"/>
      <c r="F89" s="55"/>
      <c r="G89" s="55"/>
      <c r="H89" s="55"/>
      <c r="I89" s="55"/>
      <c r="J89" s="55"/>
      <c r="K89" s="6"/>
    </row>
    <row r="90" ht="12.75" customHeight="1">
      <c r="A90" s="32" t="s">
        <v>37</v>
      </c>
      <c r="B90" s="49" t="s">
        <v>76</v>
      </c>
      <c r="C90" s="50" t="s">
        <v>77</v>
      </c>
      <c r="D90" s="9"/>
      <c r="E90" s="13">
        <v>3.0</v>
      </c>
      <c r="F90" s="13">
        <v>2.0</v>
      </c>
      <c r="G90" s="13">
        <v>0.0</v>
      </c>
      <c r="H90" s="13">
        <v>0.0</v>
      </c>
      <c r="I90" s="13">
        <v>1.0</v>
      </c>
      <c r="J90" s="13">
        <v>2.0</v>
      </c>
      <c r="K90" s="6">
        <f t="shared" ref="K90:K92" si="24">SUM(E90:J90)</f>
        <v>8</v>
      </c>
    </row>
    <row r="91" ht="12.75" customHeight="1">
      <c r="A91" s="32" t="s">
        <v>39</v>
      </c>
      <c r="B91" s="51"/>
      <c r="C91" s="52" t="s">
        <v>78</v>
      </c>
      <c r="D91" s="61"/>
      <c r="E91" s="13">
        <v>0.0</v>
      </c>
      <c r="F91" s="13">
        <v>0.0</v>
      </c>
      <c r="G91" s="13">
        <v>0.0</v>
      </c>
      <c r="H91" s="13">
        <v>0.0</v>
      </c>
      <c r="I91" s="13">
        <v>0.0</v>
      </c>
      <c r="J91" s="13">
        <v>1.0</v>
      </c>
      <c r="K91" s="6">
        <f t="shared" si="24"/>
        <v>1</v>
      </c>
    </row>
    <row r="92" ht="12.75" customHeight="1">
      <c r="A92" s="13" t="s">
        <v>15</v>
      </c>
      <c r="B92" s="49" t="s">
        <v>46</v>
      </c>
      <c r="C92" s="8"/>
      <c r="D92" s="9"/>
      <c r="E92" s="60">
        <f t="shared" ref="E92:J92" si="25">SUM(E90:E91)</f>
        <v>3</v>
      </c>
      <c r="F92" s="60">
        <f t="shared" si="25"/>
        <v>2</v>
      </c>
      <c r="G92" s="60">
        <f t="shared" si="25"/>
        <v>0</v>
      </c>
      <c r="H92" s="60">
        <f t="shared" si="25"/>
        <v>0</v>
      </c>
      <c r="I92" s="60">
        <f t="shared" si="25"/>
        <v>1</v>
      </c>
      <c r="J92" s="60">
        <f t="shared" si="25"/>
        <v>3</v>
      </c>
      <c r="K92" s="6">
        <f t="shared" si="24"/>
        <v>9</v>
      </c>
    </row>
    <row r="93" ht="12.75" customHeight="1">
      <c r="A93" s="54"/>
      <c r="B93" s="55"/>
      <c r="C93" s="55"/>
      <c r="D93" s="55"/>
      <c r="E93" s="55"/>
      <c r="F93" s="55"/>
      <c r="G93" s="55"/>
      <c r="H93" s="55"/>
      <c r="I93" s="55"/>
      <c r="J93" s="55"/>
      <c r="K93" s="6"/>
    </row>
    <row r="94" ht="12.75" customHeight="1">
      <c r="A94" s="32" t="s">
        <v>37</v>
      </c>
      <c r="B94" s="49" t="s">
        <v>79</v>
      </c>
      <c r="C94" s="50" t="s">
        <v>80</v>
      </c>
      <c r="D94" s="9"/>
      <c r="E94" s="13">
        <v>1.0</v>
      </c>
      <c r="F94" s="13">
        <v>0.0</v>
      </c>
      <c r="G94" s="13">
        <v>7.0</v>
      </c>
      <c r="H94" s="13">
        <v>1.0</v>
      </c>
      <c r="I94" s="13">
        <v>4.0</v>
      </c>
      <c r="J94" s="13">
        <v>2.0</v>
      </c>
      <c r="K94" s="6">
        <f t="shared" ref="K94:K101" si="26">SUM(E94:J94)</f>
        <v>15</v>
      </c>
    </row>
    <row r="95" ht="12.75" customHeight="1">
      <c r="A95" s="32" t="s">
        <v>39</v>
      </c>
      <c r="B95" s="51"/>
      <c r="C95" s="52" t="s">
        <v>81</v>
      </c>
      <c r="D95" s="53"/>
      <c r="E95" s="13">
        <v>2.0</v>
      </c>
      <c r="F95" s="13">
        <v>3.0</v>
      </c>
      <c r="G95" s="13">
        <v>5.0</v>
      </c>
      <c r="H95" s="13">
        <v>9.0</v>
      </c>
      <c r="I95" s="13">
        <v>18.0</v>
      </c>
      <c r="J95" s="13">
        <v>5.0</v>
      </c>
      <c r="K95" s="6">
        <f t="shared" si="26"/>
        <v>42</v>
      </c>
    </row>
    <row r="96" ht="12.75" customHeight="1">
      <c r="A96" s="32"/>
      <c r="B96" s="51"/>
      <c r="C96" s="52" t="s">
        <v>82</v>
      </c>
      <c r="D96" s="53"/>
      <c r="E96" s="13">
        <v>0.0</v>
      </c>
      <c r="F96" s="13">
        <v>0.0</v>
      </c>
      <c r="G96" s="13">
        <v>1.0</v>
      </c>
      <c r="H96" s="13">
        <v>0.0</v>
      </c>
      <c r="I96" s="13">
        <v>1.0</v>
      </c>
      <c r="J96" s="13">
        <v>1.0</v>
      </c>
      <c r="K96" s="6">
        <f t="shared" si="26"/>
        <v>3</v>
      </c>
    </row>
    <row r="97" ht="12.75" customHeight="1">
      <c r="A97" s="32"/>
      <c r="B97" s="51"/>
      <c r="C97" s="52" t="s">
        <v>83</v>
      </c>
      <c r="D97" s="53"/>
      <c r="E97" s="13">
        <v>1.0</v>
      </c>
      <c r="F97" s="13">
        <v>0.0</v>
      </c>
      <c r="G97" s="13">
        <v>0.0</v>
      </c>
      <c r="H97" s="13">
        <v>0.0</v>
      </c>
      <c r="I97" s="13">
        <v>1.0</v>
      </c>
      <c r="J97" s="13">
        <v>0.0</v>
      </c>
      <c r="K97" s="6">
        <f t="shared" si="26"/>
        <v>2</v>
      </c>
    </row>
    <row r="98" ht="12.75" customHeight="1">
      <c r="A98" s="32"/>
      <c r="B98" s="51"/>
      <c r="C98" s="52" t="s">
        <v>84</v>
      </c>
      <c r="D98" s="53"/>
      <c r="E98" s="13">
        <v>0.0</v>
      </c>
      <c r="F98" s="13">
        <v>0.0</v>
      </c>
      <c r="G98" s="13">
        <v>0.0</v>
      </c>
      <c r="H98" s="13">
        <v>0.0</v>
      </c>
      <c r="I98" s="13">
        <v>0.0</v>
      </c>
      <c r="J98" s="13">
        <v>0.0</v>
      </c>
      <c r="K98" s="6">
        <f t="shared" si="26"/>
        <v>0</v>
      </c>
    </row>
    <row r="99" ht="12.75" customHeight="1">
      <c r="A99" s="32"/>
      <c r="B99" s="51"/>
      <c r="C99" s="52" t="s">
        <v>85</v>
      </c>
      <c r="D99" s="53"/>
      <c r="E99" s="13">
        <v>0.0</v>
      </c>
      <c r="F99" s="13">
        <v>1.0</v>
      </c>
      <c r="G99" s="13">
        <v>0.0</v>
      </c>
      <c r="H99" s="13">
        <v>0.0</v>
      </c>
      <c r="I99" s="13">
        <v>0.0</v>
      </c>
      <c r="J99" s="13">
        <v>1.0</v>
      </c>
      <c r="K99" s="6">
        <f t="shared" si="26"/>
        <v>2</v>
      </c>
    </row>
    <row r="100" ht="12.75" customHeight="1">
      <c r="A100" s="32"/>
      <c r="B100" s="51"/>
      <c r="C100" s="52" t="s">
        <v>86</v>
      </c>
      <c r="D100" s="53"/>
      <c r="E100" s="13">
        <v>0.0</v>
      </c>
      <c r="F100" s="13">
        <v>0.0</v>
      </c>
      <c r="G100" s="13">
        <v>0.0</v>
      </c>
      <c r="H100" s="13">
        <v>1.0</v>
      </c>
      <c r="I100" s="13">
        <v>2.0</v>
      </c>
      <c r="J100" s="13">
        <v>0.0</v>
      </c>
      <c r="K100" s="6">
        <f t="shared" si="26"/>
        <v>3</v>
      </c>
    </row>
    <row r="101" ht="12.75" customHeight="1">
      <c r="A101" s="13" t="s">
        <v>15</v>
      </c>
      <c r="B101" s="49" t="s">
        <v>46</v>
      </c>
      <c r="C101" s="8"/>
      <c r="D101" s="9"/>
      <c r="E101" s="60">
        <f t="shared" ref="E101:J101" si="27">SUM(E94:E100)</f>
        <v>4</v>
      </c>
      <c r="F101" s="60">
        <f t="shared" si="27"/>
        <v>4</v>
      </c>
      <c r="G101" s="60">
        <f t="shared" si="27"/>
        <v>13</v>
      </c>
      <c r="H101" s="60">
        <f t="shared" si="27"/>
        <v>11</v>
      </c>
      <c r="I101" s="60">
        <f t="shared" si="27"/>
        <v>26</v>
      </c>
      <c r="J101" s="60">
        <f t="shared" si="27"/>
        <v>9</v>
      </c>
      <c r="K101" s="6">
        <f t="shared" si="26"/>
        <v>67</v>
      </c>
    </row>
    <row r="102" ht="12.75" customHeight="1">
      <c r="A102" s="54"/>
      <c r="B102" s="55"/>
      <c r="C102" s="55"/>
      <c r="D102" s="55"/>
      <c r="E102" s="55"/>
      <c r="F102" s="55"/>
      <c r="G102" s="55"/>
      <c r="H102" s="55"/>
      <c r="I102" s="55"/>
      <c r="J102" s="55"/>
      <c r="K102" s="6"/>
    </row>
    <row r="103" ht="12.75" customHeight="1">
      <c r="A103" s="32" t="s">
        <v>37</v>
      </c>
      <c r="B103" s="49" t="s">
        <v>87</v>
      </c>
      <c r="C103" s="50" t="s">
        <v>88</v>
      </c>
      <c r="D103" s="9"/>
      <c r="E103" s="13">
        <v>0.0</v>
      </c>
      <c r="F103" s="13">
        <v>1.0</v>
      </c>
      <c r="G103" s="13">
        <v>5.0</v>
      </c>
      <c r="H103" s="13">
        <v>2.0</v>
      </c>
      <c r="I103" s="13">
        <v>2.0</v>
      </c>
      <c r="J103" s="13">
        <v>1.0</v>
      </c>
      <c r="K103" s="6">
        <f t="shared" ref="K103:K110" si="28">SUM(E103:J103)</f>
        <v>11</v>
      </c>
    </row>
    <row r="104" ht="12.75" customHeight="1">
      <c r="A104" s="32" t="s">
        <v>39</v>
      </c>
      <c r="B104" s="51"/>
      <c r="C104" s="52" t="s">
        <v>89</v>
      </c>
      <c r="D104" s="53"/>
      <c r="E104" s="13">
        <v>20.0</v>
      </c>
      <c r="F104" s="13">
        <v>4.0</v>
      </c>
      <c r="G104" s="13">
        <v>19.0</v>
      </c>
      <c r="H104" s="13">
        <v>17.0</v>
      </c>
      <c r="I104" s="13">
        <v>13.0</v>
      </c>
      <c r="J104" s="13">
        <v>12.0</v>
      </c>
      <c r="K104" s="6">
        <f t="shared" si="28"/>
        <v>85</v>
      </c>
    </row>
    <row r="105" ht="12.75" customHeight="1">
      <c r="A105" s="18"/>
      <c r="B105" s="51"/>
      <c r="C105" s="52" t="s">
        <v>90</v>
      </c>
      <c r="D105" s="53"/>
      <c r="E105" s="13">
        <v>0.0</v>
      </c>
      <c r="F105" s="13">
        <v>0.0</v>
      </c>
      <c r="G105" s="13">
        <v>0.0</v>
      </c>
      <c r="H105" s="13">
        <v>0.0</v>
      </c>
      <c r="I105" s="13">
        <v>0.0</v>
      </c>
      <c r="J105" s="13">
        <v>0.0</v>
      </c>
      <c r="K105" s="6">
        <f t="shared" si="28"/>
        <v>0</v>
      </c>
    </row>
    <row r="106" ht="12.75" customHeight="1">
      <c r="A106" s="18"/>
      <c r="B106" s="51"/>
      <c r="C106" s="52" t="s">
        <v>91</v>
      </c>
      <c r="D106" s="53"/>
      <c r="E106" s="13">
        <v>0.0</v>
      </c>
      <c r="F106" s="13">
        <v>0.0</v>
      </c>
      <c r="G106" s="13">
        <v>0.0</v>
      </c>
      <c r="H106" s="13">
        <v>0.0</v>
      </c>
      <c r="I106" s="13">
        <v>0.0</v>
      </c>
      <c r="J106" s="13">
        <v>1.0</v>
      </c>
      <c r="K106" s="6">
        <f t="shared" si="28"/>
        <v>1</v>
      </c>
    </row>
    <row r="107" ht="12.75" customHeight="1">
      <c r="A107" s="18"/>
      <c r="B107" s="51"/>
      <c r="C107" s="52" t="s">
        <v>92</v>
      </c>
      <c r="D107" s="53"/>
      <c r="E107" s="13">
        <v>0.0</v>
      </c>
      <c r="F107" s="13">
        <v>0.0</v>
      </c>
      <c r="G107" s="13">
        <v>0.0</v>
      </c>
      <c r="H107" s="13">
        <v>1.0</v>
      </c>
      <c r="I107" s="13">
        <v>0.0</v>
      </c>
      <c r="J107" s="13">
        <v>2.0</v>
      </c>
      <c r="K107" s="6">
        <f t="shared" si="28"/>
        <v>3</v>
      </c>
    </row>
    <row r="108" ht="12.75" customHeight="1">
      <c r="A108" s="18"/>
      <c r="B108" s="51"/>
      <c r="C108" s="52" t="s">
        <v>93</v>
      </c>
      <c r="D108" s="53"/>
      <c r="E108" s="13">
        <v>0.0</v>
      </c>
      <c r="F108" s="13">
        <v>0.0</v>
      </c>
      <c r="G108" s="13">
        <v>0.0</v>
      </c>
      <c r="H108" s="13">
        <v>0.0</v>
      </c>
      <c r="I108" s="13">
        <v>0.0</v>
      </c>
      <c r="J108" s="13">
        <v>0.0</v>
      </c>
      <c r="K108" s="6">
        <f t="shared" si="28"/>
        <v>0</v>
      </c>
    </row>
    <row r="109" ht="12.75" customHeight="1">
      <c r="A109" s="18"/>
      <c r="B109" s="51"/>
      <c r="C109" s="52" t="s">
        <v>94</v>
      </c>
      <c r="D109" s="53"/>
      <c r="E109" s="13">
        <v>0.0</v>
      </c>
      <c r="F109" s="13">
        <v>0.0</v>
      </c>
      <c r="G109" s="13">
        <v>0.0</v>
      </c>
      <c r="H109" s="13">
        <v>1.0</v>
      </c>
      <c r="I109" s="13">
        <v>0.0</v>
      </c>
      <c r="J109" s="13">
        <v>0.0</v>
      </c>
      <c r="K109" s="6">
        <f t="shared" si="28"/>
        <v>1</v>
      </c>
    </row>
    <row r="110" ht="12.75" customHeight="1">
      <c r="A110" s="13" t="s">
        <v>15</v>
      </c>
      <c r="B110" s="49" t="s">
        <v>46</v>
      </c>
      <c r="C110" s="8"/>
      <c r="D110" s="9"/>
      <c r="E110" s="60">
        <f t="shared" ref="E110:J110" si="29">SUM(E103:E109)</f>
        <v>20</v>
      </c>
      <c r="F110" s="60">
        <f t="shared" si="29"/>
        <v>5</v>
      </c>
      <c r="G110" s="60">
        <f t="shared" si="29"/>
        <v>24</v>
      </c>
      <c r="H110" s="60">
        <f t="shared" si="29"/>
        <v>21</v>
      </c>
      <c r="I110" s="60">
        <f t="shared" si="29"/>
        <v>15</v>
      </c>
      <c r="J110" s="60">
        <f t="shared" si="29"/>
        <v>16</v>
      </c>
      <c r="K110" s="6">
        <f t="shared" si="28"/>
        <v>101</v>
      </c>
    </row>
    <row r="111" ht="12.75" customHeight="1">
      <c r="A111" s="54"/>
      <c r="B111" s="55"/>
      <c r="C111" s="55"/>
      <c r="D111" s="55"/>
      <c r="E111" s="55"/>
      <c r="F111" s="55"/>
      <c r="G111" s="55"/>
      <c r="H111" s="55"/>
      <c r="I111" s="55"/>
      <c r="J111" s="55"/>
      <c r="K111" s="6"/>
    </row>
    <row r="112" ht="12.75" customHeight="1">
      <c r="A112" s="32" t="s">
        <v>37</v>
      </c>
      <c r="B112" s="49" t="s">
        <v>95</v>
      </c>
      <c r="C112" s="50" t="s">
        <v>96</v>
      </c>
      <c r="D112" s="9"/>
      <c r="E112" s="13">
        <v>0.0</v>
      </c>
      <c r="F112" s="13">
        <v>0.0</v>
      </c>
      <c r="G112" s="13">
        <v>0.0</v>
      </c>
      <c r="H112" s="13">
        <v>0.0</v>
      </c>
      <c r="I112" s="13">
        <v>0.0</v>
      </c>
      <c r="J112" s="13">
        <v>0.0</v>
      </c>
      <c r="K112" s="6">
        <f t="shared" ref="K112:K114" si="30">SUM(E112:J112)</f>
        <v>0</v>
      </c>
    </row>
    <row r="113" ht="12.75" customHeight="1">
      <c r="A113" s="32" t="s">
        <v>39</v>
      </c>
      <c r="B113" s="49"/>
      <c r="C113" s="52" t="s">
        <v>97</v>
      </c>
      <c r="D113" s="61"/>
      <c r="E113" s="13">
        <v>0.0</v>
      </c>
      <c r="F113" s="13">
        <v>0.0</v>
      </c>
      <c r="G113" s="13">
        <v>0.0</v>
      </c>
      <c r="H113" s="13">
        <v>0.0</v>
      </c>
      <c r="I113" s="13">
        <v>0.0</v>
      </c>
      <c r="J113" s="13">
        <v>0.0</v>
      </c>
      <c r="K113" s="6">
        <f t="shared" si="30"/>
        <v>0</v>
      </c>
    </row>
    <row r="114" ht="12.75" customHeight="1">
      <c r="A114" s="13" t="s">
        <v>15</v>
      </c>
      <c r="B114" s="49" t="s">
        <v>46</v>
      </c>
      <c r="C114" s="8"/>
      <c r="D114" s="9"/>
      <c r="E114" s="60">
        <f t="shared" ref="E114:J114" si="31">SUM(E112:E113)</f>
        <v>0</v>
      </c>
      <c r="F114" s="60">
        <f t="shared" si="31"/>
        <v>0</v>
      </c>
      <c r="G114" s="60">
        <f t="shared" si="31"/>
        <v>0</v>
      </c>
      <c r="H114" s="60">
        <f t="shared" si="31"/>
        <v>0</v>
      </c>
      <c r="I114" s="60">
        <f t="shared" si="31"/>
        <v>0</v>
      </c>
      <c r="J114" s="60">
        <f t="shared" si="31"/>
        <v>0</v>
      </c>
      <c r="K114" s="6">
        <f t="shared" si="30"/>
        <v>0</v>
      </c>
    </row>
    <row r="115" ht="12.75" customHeight="1">
      <c r="A115" s="54"/>
      <c r="B115" s="55"/>
      <c r="C115" s="55"/>
      <c r="D115" s="55"/>
      <c r="E115" s="55"/>
      <c r="F115" s="55"/>
      <c r="G115" s="55"/>
      <c r="H115" s="55"/>
      <c r="I115" s="55"/>
      <c r="J115" s="55"/>
      <c r="K115" s="6"/>
    </row>
    <row r="116" ht="12.75" customHeight="1">
      <c r="A116" s="32" t="s">
        <v>37</v>
      </c>
      <c r="B116" s="49" t="s">
        <v>98</v>
      </c>
      <c r="C116" s="50" t="s">
        <v>99</v>
      </c>
      <c r="D116" s="9"/>
      <c r="E116" s="13">
        <v>1.0</v>
      </c>
      <c r="F116" s="13">
        <v>4.0</v>
      </c>
      <c r="G116" s="13">
        <v>1.0</v>
      </c>
      <c r="H116" s="13">
        <v>1.0</v>
      </c>
      <c r="I116" s="13">
        <v>0.0</v>
      </c>
      <c r="J116" s="13">
        <v>0.0</v>
      </c>
      <c r="K116" s="6">
        <f t="shared" ref="K116:K123" si="32">SUM(E116:J116)</f>
        <v>7</v>
      </c>
    </row>
    <row r="117" ht="12.75" customHeight="1">
      <c r="A117" s="32" t="s">
        <v>39</v>
      </c>
      <c r="B117" s="51"/>
      <c r="C117" s="52" t="s">
        <v>100</v>
      </c>
      <c r="D117" s="53"/>
      <c r="E117" s="13">
        <v>2.0</v>
      </c>
      <c r="F117" s="13">
        <v>7.0</v>
      </c>
      <c r="G117" s="13">
        <v>3.0</v>
      </c>
      <c r="H117" s="13">
        <v>4.0</v>
      </c>
      <c r="I117" s="13">
        <v>6.0</v>
      </c>
      <c r="J117" s="13">
        <v>13.0</v>
      </c>
      <c r="K117" s="6">
        <f t="shared" si="32"/>
        <v>35</v>
      </c>
    </row>
    <row r="118" ht="12.75" customHeight="1">
      <c r="A118" s="18"/>
      <c r="B118" s="51"/>
      <c r="C118" s="52" t="s">
        <v>101</v>
      </c>
      <c r="D118" s="53"/>
      <c r="E118" s="13">
        <v>0.0</v>
      </c>
      <c r="F118" s="13">
        <v>0.0</v>
      </c>
      <c r="G118" s="13">
        <v>0.0</v>
      </c>
      <c r="H118" s="13">
        <v>0.0</v>
      </c>
      <c r="I118" s="13">
        <v>1.0</v>
      </c>
      <c r="J118" s="13">
        <v>0.0</v>
      </c>
      <c r="K118" s="6">
        <f t="shared" si="32"/>
        <v>1</v>
      </c>
    </row>
    <row r="119" ht="12.75" customHeight="1">
      <c r="A119" s="18"/>
      <c r="B119" s="51"/>
      <c r="C119" s="52" t="s">
        <v>102</v>
      </c>
      <c r="D119" s="53"/>
      <c r="E119" s="13">
        <v>2.0</v>
      </c>
      <c r="F119" s="13">
        <v>0.0</v>
      </c>
      <c r="G119" s="13">
        <v>1.0</v>
      </c>
      <c r="H119" s="13">
        <v>10.0</v>
      </c>
      <c r="I119" s="13">
        <v>0.0</v>
      </c>
      <c r="J119" s="13">
        <v>1.0</v>
      </c>
      <c r="K119" s="6">
        <f t="shared" si="32"/>
        <v>14</v>
      </c>
    </row>
    <row r="120" ht="12.75" customHeight="1">
      <c r="A120" s="18"/>
      <c r="B120" s="51"/>
      <c r="C120" s="52" t="s">
        <v>103</v>
      </c>
      <c r="D120" s="53"/>
      <c r="E120" s="13">
        <v>0.0</v>
      </c>
      <c r="F120" s="13">
        <v>0.0</v>
      </c>
      <c r="G120" s="13">
        <v>0.0</v>
      </c>
      <c r="H120" s="13">
        <v>0.0</v>
      </c>
      <c r="I120" s="13">
        <v>0.0</v>
      </c>
      <c r="J120" s="13">
        <v>0.0</v>
      </c>
      <c r="K120" s="6">
        <f t="shared" si="32"/>
        <v>0</v>
      </c>
    </row>
    <row r="121" ht="12.75" customHeight="1">
      <c r="A121" s="18"/>
      <c r="B121" s="51"/>
      <c r="C121" s="52" t="s">
        <v>104</v>
      </c>
      <c r="D121" s="53"/>
      <c r="E121" s="13">
        <v>0.0</v>
      </c>
      <c r="F121" s="13">
        <v>0.0</v>
      </c>
      <c r="G121" s="13">
        <v>0.0</v>
      </c>
      <c r="H121" s="13">
        <v>0.0</v>
      </c>
      <c r="I121" s="13">
        <v>0.0</v>
      </c>
      <c r="J121" s="13">
        <v>0.0</v>
      </c>
      <c r="K121" s="6">
        <f t="shared" si="32"/>
        <v>0</v>
      </c>
    </row>
    <row r="122" ht="12.75" customHeight="1">
      <c r="A122" s="18"/>
      <c r="B122" s="51"/>
      <c r="C122" s="52" t="s">
        <v>105</v>
      </c>
      <c r="D122" s="53"/>
      <c r="E122" s="13">
        <v>0.0</v>
      </c>
      <c r="F122" s="13">
        <v>7.0</v>
      </c>
      <c r="G122" s="13">
        <v>0.0</v>
      </c>
      <c r="H122" s="13">
        <v>0.0</v>
      </c>
      <c r="I122" s="13">
        <v>1.0</v>
      </c>
      <c r="J122" s="13">
        <v>0.0</v>
      </c>
      <c r="K122" s="6">
        <f t="shared" si="32"/>
        <v>8</v>
      </c>
    </row>
    <row r="123" ht="12.75" customHeight="1">
      <c r="A123" s="13" t="s">
        <v>15</v>
      </c>
      <c r="B123" s="49" t="s">
        <v>46</v>
      </c>
      <c r="C123" s="8"/>
      <c r="D123" s="9"/>
      <c r="E123" s="60">
        <f t="shared" ref="E123:J123" si="33">SUM(E116:E122)</f>
        <v>5</v>
      </c>
      <c r="F123" s="60">
        <f t="shared" si="33"/>
        <v>18</v>
      </c>
      <c r="G123" s="60">
        <f t="shared" si="33"/>
        <v>5</v>
      </c>
      <c r="H123" s="60">
        <f t="shared" si="33"/>
        <v>15</v>
      </c>
      <c r="I123" s="60">
        <f t="shared" si="33"/>
        <v>8</v>
      </c>
      <c r="J123" s="60">
        <f t="shared" si="33"/>
        <v>14</v>
      </c>
      <c r="K123" s="6">
        <f t="shared" si="32"/>
        <v>65</v>
      </c>
    </row>
    <row r="124" ht="12.75" customHeight="1">
      <c r="A124" s="54"/>
      <c r="B124" s="55"/>
      <c r="C124" s="55"/>
      <c r="D124" s="55"/>
      <c r="E124" s="55"/>
      <c r="F124" s="55"/>
      <c r="G124" s="55"/>
      <c r="H124" s="55"/>
      <c r="I124" s="55"/>
      <c r="J124" s="55"/>
      <c r="K124" s="6"/>
    </row>
    <row r="125" ht="12.75" customHeight="1">
      <c r="A125" s="32" t="s">
        <v>37</v>
      </c>
      <c r="B125" s="49" t="s">
        <v>106</v>
      </c>
      <c r="C125" s="50" t="s">
        <v>107</v>
      </c>
      <c r="D125" s="9"/>
      <c r="E125" s="13"/>
      <c r="F125" s="13"/>
      <c r="G125" s="13">
        <v>1.0</v>
      </c>
      <c r="H125" s="13">
        <v>1.0</v>
      </c>
      <c r="I125" s="13">
        <v>2.0</v>
      </c>
      <c r="J125" s="13"/>
      <c r="K125" s="6">
        <f t="shared" ref="K125:K127" si="34">SUM(E125:J125)</f>
        <v>4</v>
      </c>
    </row>
    <row r="126" ht="12.75" customHeight="1">
      <c r="A126" s="32" t="s">
        <v>39</v>
      </c>
      <c r="B126" s="51"/>
      <c r="C126" s="52" t="s">
        <v>108</v>
      </c>
      <c r="D126" s="53"/>
      <c r="E126" s="13"/>
      <c r="F126" s="13"/>
      <c r="G126" s="13"/>
      <c r="H126" s="13"/>
      <c r="I126" s="13"/>
      <c r="J126" s="13"/>
      <c r="K126" s="6">
        <f t="shared" si="34"/>
        <v>0</v>
      </c>
    </row>
    <row r="127" ht="12.75" customHeight="1">
      <c r="A127" s="13" t="s">
        <v>15</v>
      </c>
      <c r="B127" s="49" t="s">
        <v>46</v>
      </c>
      <c r="C127" s="8"/>
      <c r="D127" s="9"/>
      <c r="E127" s="60">
        <f t="shared" ref="E127:J127" si="35">SUM(E125:E126)</f>
        <v>0</v>
      </c>
      <c r="F127" s="60">
        <f t="shared" si="35"/>
        <v>0</v>
      </c>
      <c r="G127" s="60">
        <f t="shared" si="35"/>
        <v>1</v>
      </c>
      <c r="H127" s="60">
        <f t="shared" si="35"/>
        <v>1</v>
      </c>
      <c r="I127" s="60">
        <f t="shared" si="35"/>
        <v>2</v>
      </c>
      <c r="J127" s="60">
        <f t="shared" si="35"/>
        <v>0</v>
      </c>
      <c r="K127" s="6">
        <f t="shared" si="34"/>
        <v>4</v>
      </c>
    </row>
    <row r="128" ht="12.75" customHeight="1">
      <c r="A128" s="54"/>
      <c r="B128" s="55"/>
      <c r="C128" s="55"/>
      <c r="D128" s="55"/>
      <c r="E128" s="55"/>
      <c r="F128" s="55"/>
      <c r="G128" s="55"/>
      <c r="H128" s="55"/>
      <c r="I128" s="55"/>
      <c r="J128" s="55"/>
      <c r="K128" s="6"/>
    </row>
    <row r="129" ht="12.75" customHeight="1">
      <c r="A129" s="32" t="s">
        <v>37</v>
      </c>
      <c r="B129" s="49" t="s">
        <v>109</v>
      </c>
      <c r="C129" s="50" t="s">
        <v>110</v>
      </c>
      <c r="D129" s="9"/>
      <c r="E129" s="13">
        <v>1.0</v>
      </c>
      <c r="F129" s="13">
        <v>1.0</v>
      </c>
      <c r="G129" s="13"/>
      <c r="H129" s="13"/>
      <c r="I129" s="13"/>
      <c r="J129" s="13"/>
      <c r="K129" s="6">
        <f t="shared" ref="K129:K136" si="36">SUM(E129:J129)</f>
        <v>2</v>
      </c>
    </row>
    <row r="130" ht="12.75" customHeight="1">
      <c r="A130" s="32" t="s">
        <v>39</v>
      </c>
      <c r="B130" s="51"/>
      <c r="C130" s="52" t="s">
        <v>111</v>
      </c>
      <c r="D130" s="53"/>
      <c r="E130" s="13"/>
      <c r="F130" s="13"/>
      <c r="G130" s="13"/>
      <c r="H130" s="13"/>
      <c r="I130" s="13"/>
      <c r="J130" s="13"/>
      <c r="K130" s="6">
        <f t="shared" si="36"/>
        <v>0</v>
      </c>
    </row>
    <row r="131" ht="12.75" customHeight="1">
      <c r="A131" s="18"/>
      <c r="B131" s="51"/>
      <c r="C131" s="52" t="s">
        <v>112</v>
      </c>
      <c r="D131" s="53"/>
      <c r="E131" s="13"/>
      <c r="F131" s="13"/>
      <c r="G131" s="13"/>
      <c r="H131" s="13"/>
      <c r="I131" s="13"/>
      <c r="J131" s="13"/>
      <c r="K131" s="6">
        <f t="shared" si="36"/>
        <v>0</v>
      </c>
    </row>
    <row r="132" ht="12.75" customHeight="1">
      <c r="A132" s="18"/>
      <c r="B132" s="51"/>
      <c r="C132" s="52" t="s">
        <v>113</v>
      </c>
      <c r="D132" s="53"/>
      <c r="E132" s="13"/>
      <c r="F132" s="13"/>
      <c r="G132" s="13"/>
      <c r="H132" s="13"/>
      <c r="I132" s="13"/>
      <c r="J132" s="13"/>
      <c r="K132" s="6">
        <f t="shared" si="36"/>
        <v>0</v>
      </c>
    </row>
    <row r="133" ht="12.75" customHeight="1">
      <c r="A133" s="18"/>
      <c r="B133" s="51"/>
      <c r="C133" s="52" t="s">
        <v>114</v>
      </c>
      <c r="D133" s="53"/>
      <c r="E133" s="13"/>
      <c r="F133" s="13"/>
      <c r="G133" s="13"/>
      <c r="H133" s="13"/>
      <c r="I133" s="13"/>
      <c r="J133" s="13"/>
      <c r="K133" s="6">
        <f t="shared" si="36"/>
        <v>0</v>
      </c>
    </row>
    <row r="134" ht="12.75" customHeight="1">
      <c r="A134" s="18"/>
      <c r="B134" s="51"/>
      <c r="C134" s="52" t="s">
        <v>115</v>
      </c>
      <c r="D134" s="53"/>
      <c r="E134" s="13"/>
      <c r="F134" s="13"/>
      <c r="G134" s="13"/>
      <c r="H134" s="13">
        <v>1.0</v>
      </c>
      <c r="I134" s="13"/>
      <c r="J134" s="13"/>
      <c r="K134" s="6">
        <f t="shared" si="36"/>
        <v>1</v>
      </c>
    </row>
    <row r="135" ht="12.75" customHeight="1">
      <c r="A135" s="18"/>
      <c r="B135" s="51"/>
      <c r="C135" s="52" t="s">
        <v>116</v>
      </c>
      <c r="D135" s="53"/>
      <c r="E135" s="13"/>
      <c r="F135" s="13"/>
      <c r="G135" s="13"/>
      <c r="H135" s="13"/>
      <c r="I135" s="13"/>
      <c r="J135" s="13"/>
      <c r="K135" s="6">
        <f t="shared" si="36"/>
        <v>0</v>
      </c>
    </row>
    <row r="136" ht="12.75" customHeight="1">
      <c r="A136" s="13" t="s">
        <v>15</v>
      </c>
      <c r="B136" s="49" t="s">
        <v>46</v>
      </c>
      <c r="C136" s="8"/>
      <c r="D136" s="9"/>
      <c r="E136" s="60">
        <f t="shared" ref="E136:J136" si="37">SUM(E129:E135)</f>
        <v>1</v>
      </c>
      <c r="F136" s="60">
        <f t="shared" si="37"/>
        <v>1</v>
      </c>
      <c r="G136" s="60">
        <f t="shared" si="37"/>
        <v>0</v>
      </c>
      <c r="H136" s="60">
        <f t="shared" si="37"/>
        <v>1</v>
      </c>
      <c r="I136" s="60">
        <f t="shared" si="37"/>
        <v>0</v>
      </c>
      <c r="J136" s="60">
        <f t="shared" si="37"/>
        <v>0</v>
      </c>
      <c r="K136" s="6">
        <f t="shared" si="36"/>
        <v>3</v>
      </c>
    </row>
    <row r="137" ht="12.75" customHeight="1">
      <c r="A137" s="54"/>
      <c r="B137" s="55"/>
      <c r="C137" s="55"/>
      <c r="D137" s="55"/>
      <c r="E137" s="55"/>
      <c r="F137" s="55"/>
      <c r="G137" s="55"/>
      <c r="H137" s="55"/>
      <c r="I137" s="55"/>
      <c r="J137" s="55"/>
      <c r="K137" s="6"/>
    </row>
    <row r="138" ht="12.75" customHeight="1">
      <c r="A138" s="32" t="s">
        <v>37</v>
      </c>
      <c r="B138" s="49" t="s">
        <v>117</v>
      </c>
      <c r="C138" s="50" t="s">
        <v>118</v>
      </c>
      <c r="D138" s="9"/>
      <c r="E138" s="13">
        <v>0.0</v>
      </c>
      <c r="F138" s="13">
        <v>1.0</v>
      </c>
      <c r="G138" s="13">
        <v>0.0</v>
      </c>
      <c r="H138" s="13">
        <v>1.0</v>
      </c>
      <c r="I138" s="13">
        <v>0.0</v>
      </c>
      <c r="J138" s="13">
        <v>0.0</v>
      </c>
      <c r="K138" s="6">
        <f t="shared" ref="K138:K145" si="38">SUM(E138:J138)</f>
        <v>2</v>
      </c>
    </row>
    <row r="139" ht="12.75" customHeight="1">
      <c r="A139" s="32" t="s">
        <v>39</v>
      </c>
      <c r="B139" s="51"/>
      <c r="C139" s="52" t="s">
        <v>119</v>
      </c>
      <c r="D139" s="53"/>
      <c r="E139" s="13">
        <v>0.0</v>
      </c>
      <c r="F139" s="13">
        <v>0.0</v>
      </c>
      <c r="G139" s="13">
        <v>0.0</v>
      </c>
      <c r="H139" s="13">
        <v>1.0</v>
      </c>
      <c r="I139" s="13">
        <v>1.0</v>
      </c>
      <c r="J139" s="13">
        <v>0.0</v>
      </c>
      <c r="K139" s="6">
        <f t="shared" si="38"/>
        <v>2</v>
      </c>
    </row>
    <row r="140" ht="12.75" customHeight="1">
      <c r="A140" s="18"/>
      <c r="B140" s="51"/>
      <c r="C140" s="52" t="s">
        <v>120</v>
      </c>
      <c r="D140" s="53"/>
      <c r="E140" s="13">
        <v>0.0</v>
      </c>
      <c r="F140" s="13">
        <v>0.0</v>
      </c>
      <c r="G140" s="13">
        <v>0.0</v>
      </c>
      <c r="H140" s="13">
        <v>0.0</v>
      </c>
      <c r="I140" s="13">
        <v>0.0</v>
      </c>
      <c r="J140" s="13">
        <v>0.0</v>
      </c>
      <c r="K140" s="6">
        <f t="shared" si="38"/>
        <v>0</v>
      </c>
    </row>
    <row r="141" ht="12.75" customHeight="1">
      <c r="A141" s="18"/>
      <c r="B141" s="51"/>
      <c r="C141" s="52" t="s">
        <v>121</v>
      </c>
      <c r="D141" s="53"/>
      <c r="E141" s="13">
        <v>0.0</v>
      </c>
      <c r="F141" s="13">
        <v>0.0</v>
      </c>
      <c r="G141" s="13">
        <v>0.0</v>
      </c>
      <c r="H141" s="13">
        <v>0.0</v>
      </c>
      <c r="I141" s="13">
        <v>0.0</v>
      </c>
      <c r="J141" s="13">
        <v>0.0</v>
      </c>
      <c r="K141" s="6">
        <f t="shared" si="38"/>
        <v>0</v>
      </c>
    </row>
    <row r="142" ht="12.75" customHeight="1">
      <c r="A142" s="18"/>
      <c r="B142" s="51"/>
      <c r="C142" s="52" t="s">
        <v>122</v>
      </c>
      <c r="D142" s="53"/>
      <c r="E142" s="13">
        <v>0.0</v>
      </c>
      <c r="F142" s="13">
        <v>0.0</v>
      </c>
      <c r="G142" s="13">
        <v>0.0</v>
      </c>
      <c r="H142" s="13">
        <v>0.0</v>
      </c>
      <c r="I142" s="13">
        <v>0.0</v>
      </c>
      <c r="J142" s="13">
        <v>0.0</v>
      </c>
      <c r="K142" s="6">
        <f t="shared" si="38"/>
        <v>0</v>
      </c>
    </row>
    <row r="143" ht="12.75" customHeight="1">
      <c r="A143" s="18"/>
      <c r="B143" s="51"/>
      <c r="C143" s="52" t="s">
        <v>123</v>
      </c>
      <c r="D143" s="53"/>
      <c r="E143" s="13">
        <v>0.0</v>
      </c>
      <c r="F143" s="13">
        <v>0.0</v>
      </c>
      <c r="G143" s="13">
        <v>0.0</v>
      </c>
      <c r="H143" s="13">
        <v>0.0</v>
      </c>
      <c r="I143" s="13">
        <v>0.0</v>
      </c>
      <c r="J143" s="13">
        <v>0.0</v>
      </c>
      <c r="K143" s="6">
        <f t="shared" si="38"/>
        <v>0</v>
      </c>
    </row>
    <row r="144" ht="12.75" customHeight="1">
      <c r="A144" s="18"/>
      <c r="B144" s="51"/>
      <c r="C144" s="52" t="s">
        <v>124</v>
      </c>
      <c r="D144" s="53"/>
      <c r="E144" s="13">
        <v>0.0</v>
      </c>
      <c r="F144" s="13">
        <v>0.0</v>
      </c>
      <c r="G144" s="13">
        <v>0.0</v>
      </c>
      <c r="H144" s="13">
        <v>0.0</v>
      </c>
      <c r="I144" s="13">
        <v>0.0</v>
      </c>
      <c r="J144" s="13">
        <v>0.0</v>
      </c>
      <c r="K144" s="6">
        <f t="shared" si="38"/>
        <v>0</v>
      </c>
    </row>
    <row r="145" ht="12.75" customHeight="1">
      <c r="A145" s="13" t="s">
        <v>15</v>
      </c>
      <c r="B145" s="49" t="s">
        <v>46</v>
      </c>
      <c r="C145" s="8"/>
      <c r="D145" s="9"/>
      <c r="E145" s="60">
        <f t="shared" ref="E145:J145" si="39">SUM(E138:E144)</f>
        <v>0</v>
      </c>
      <c r="F145" s="60">
        <f t="shared" si="39"/>
        <v>1</v>
      </c>
      <c r="G145" s="60">
        <f t="shared" si="39"/>
        <v>0</v>
      </c>
      <c r="H145" s="60">
        <f t="shared" si="39"/>
        <v>2</v>
      </c>
      <c r="I145" s="60">
        <f t="shared" si="39"/>
        <v>1</v>
      </c>
      <c r="J145" s="60">
        <f t="shared" si="39"/>
        <v>0</v>
      </c>
      <c r="K145" s="6">
        <f t="shared" si="38"/>
        <v>4</v>
      </c>
    </row>
    <row r="146" ht="12.75" customHeight="1">
      <c r="A146" s="54"/>
      <c r="B146" s="55"/>
      <c r="C146" s="55"/>
      <c r="D146" s="55"/>
      <c r="E146" s="55"/>
      <c r="F146" s="55"/>
      <c r="G146" s="55"/>
      <c r="H146" s="55"/>
      <c r="I146" s="55"/>
      <c r="J146" s="55"/>
      <c r="K146" s="6"/>
    </row>
    <row r="147" ht="12.75" customHeight="1">
      <c r="A147" s="32" t="s">
        <v>37</v>
      </c>
      <c r="B147" s="49" t="s">
        <v>125</v>
      </c>
      <c r="C147" s="50" t="s">
        <v>126</v>
      </c>
      <c r="D147" s="9"/>
      <c r="E147" s="13">
        <v>0.0</v>
      </c>
      <c r="F147" s="13">
        <v>3.0</v>
      </c>
      <c r="G147" s="13">
        <v>2.0</v>
      </c>
      <c r="H147" s="13">
        <v>5.0</v>
      </c>
      <c r="I147" s="13">
        <v>1.0</v>
      </c>
      <c r="J147" s="13">
        <v>2.0</v>
      </c>
      <c r="K147" s="6">
        <f t="shared" ref="K147:K154" si="40">SUM(E147:J147)</f>
        <v>13</v>
      </c>
    </row>
    <row r="148" ht="12.75" customHeight="1">
      <c r="A148" s="32" t="s">
        <v>39</v>
      </c>
      <c r="B148" s="51"/>
      <c r="C148" s="52" t="s">
        <v>127</v>
      </c>
      <c r="D148" s="53"/>
      <c r="E148" s="13">
        <v>7.0</v>
      </c>
      <c r="F148" s="13">
        <v>3.0</v>
      </c>
      <c r="G148" s="13">
        <v>2.0</v>
      </c>
      <c r="H148" s="13">
        <v>1.0</v>
      </c>
      <c r="I148" s="13">
        <v>1.0</v>
      </c>
      <c r="J148" s="13">
        <v>5.0</v>
      </c>
      <c r="K148" s="6">
        <f t="shared" si="40"/>
        <v>19</v>
      </c>
    </row>
    <row r="149" ht="12.75" customHeight="1">
      <c r="A149" s="18"/>
      <c r="B149" s="51"/>
      <c r="C149" s="52" t="s">
        <v>128</v>
      </c>
      <c r="D149" s="53"/>
      <c r="E149" s="13">
        <v>4.0</v>
      </c>
      <c r="F149" s="13">
        <v>13.0</v>
      </c>
      <c r="G149" s="13">
        <v>9.0</v>
      </c>
      <c r="H149" s="13">
        <v>25.0</v>
      </c>
      <c r="I149" s="13">
        <v>6.0</v>
      </c>
      <c r="J149" s="13">
        <v>52.0</v>
      </c>
      <c r="K149" s="6">
        <f t="shared" si="40"/>
        <v>109</v>
      </c>
    </row>
    <row r="150" ht="12.75" customHeight="1">
      <c r="A150" s="18"/>
      <c r="B150" s="51"/>
      <c r="C150" s="52" t="s">
        <v>129</v>
      </c>
      <c r="D150" s="53"/>
      <c r="E150" s="13">
        <v>1.0</v>
      </c>
      <c r="F150" s="13">
        <v>3.0</v>
      </c>
      <c r="G150" s="13">
        <v>15.0</v>
      </c>
      <c r="H150" s="13">
        <v>1.0</v>
      </c>
      <c r="I150" s="13">
        <v>0.0</v>
      </c>
      <c r="J150" s="13">
        <v>2.0</v>
      </c>
      <c r="K150" s="6">
        <f t="shared" si="40"/>
        <v>22</v>
      </c>
    </row>
    <row r="151" ht="12.75" customHeight="1">
      <c r="A151" s="18"/>
      <c r="B151" s="51"/>
      <c r="C151" s="52" t="s">
        <v>130</v>
      </c>
      <c r="D151" s="53"/>
      <c r="E151" s="13">
        <v>0.0</v>
      </c>
      <c r="F151" s="13">
        <v>0.0</v>
      </c>
      <c r="G151" s="13">
        <v>1.0</v>
      </c>
      <c r="H151" s="13">
        <v>0.0</v>
      </c>
      <c r="I151" s="13">
        <v>0.0</v>
      </c>
      <c r="J151" s="13">
        <v>1.0</v>
      </c>
      <c r="K151" s="6">
        <f t="shared" si="40"/>
        <v>2</v>
      </c>
    </row>
    <row r="152" ht="12.75" customHeight="1">
      <c r="A152" s="18"/>
      <c r="B152" s="51"/>
      <c r="C152" s="52" t="s">
        <v>131</v>
      </c>
      <c r="D152" s="53"/>
      <c r="E152" s="13">
        <v>0.0</v>
      </c>
      <c r="F152" s="13">
        <v>0.0</v>
      </c>
      <c r="G152" s="13">
        <v>0.0</v>
      </c>
      <c r="H152" s="13">
        <v>0.0</v>
      </c>
      <c r="I152" s="13">
        <v>0.0</v>
      </c>
      <c r="J152" s="13">
        <v>1.0</v>
      </c>
      <c r="K152" s="6">
        <f t="shared" si="40"/>
        <v>1</v>
      </c>
    </row>
    <row r="153" ht="12.75" customHeight="1">
      <c r="A153" s="18"/>
      <c r="B153" s="51"/>
      <c r="C153" s="52" t="s">
        <v>132</v>
      </c>
      <c r="D153" s="53"/>
      <c r="E153" s="13">
        <v>0.0</v>
      </c>
      <c r="F153" s="13">
        <v>0.0</v>
      </c>
      <c r="G153" s="13">
        <v>0.0</v>
      </c>
      <c r="H153" s="13">
        <v>0.0</v>
      </c>
      <c r="I153" s="13">
        <v>1.0</v>
      </c>
      <c r="J153" s="13">
        <v>1.0</v>
      </c>
      <c r="K153" s="6">
        <f t="shared" si="40"/>
        <v>2</v>
      </c>
    </row>
    <row r="154" ht="12.75" customHeight="1">
      <c r="A154" s="13" t="s">
        <v>15</v>
      </c>
      <c r="B154" s="49" t="s">
        <v>46</v>
      </c>
      <c r="C154" s="8"/>
      <c r="D154" s="9"/>
      <c r="E154" s="60">
        <f t="shared" ref="E154:J154" si="41">SUM(E147:E153)</f>
        <v>12</v>
      </c>
      <c r="F154" s="60">
        <f t="shared" si="41"/>
        <v>22</v>
      </c>
      <c r="G154" s="60">
        <f t="shared" si="41"/>
        <v>29</v>
      </c>
      <c r="H154" s="60">
        <f t="shared" si="41"/>
        <v>32</v>
      </c>
      <c r="I154" s="60">
        <f t="shared" si="41"/>
        <v>9</v>
      </c>
      <c r="J154" s="60">
        <f t="shared" si="41"/>
        <v>64</v>
      </c>
      <c r="K154" s="6">
        <f t="shared" si="40"/>
        <v>168</v>
      </c>
    </row>
    <row r="155" ht="12.75" customHeight="1">
      <c r="A155" s="54"/>
      <c r="B155" s="55"/>
      <c r="C155" s="55"/>
      <c r="D155" s="55"/>
      <c r="E155" s="55"/>
      <c r="F155" s="55"/>
      <c r="G155" s="55"/>
      <c r="H155" s="55"/>
      <c r="I155" s="55"/>
      <c r="J155" s="55"/>
      <c r="K155" s="6"/>
    </row>
    <row r="156" ht="12.75" customHeight="1">
      <c r="A156" s="32" t="s">
        <v>37</v>
      </c>
      <c r="B156" s="49" t="s">
        <v>133</v>
      </c>
      <c r="C156" s="50" t="s">
        <v>134</v>
      </c>
      <c r="D156" s="9"/>
      <c r="E156" s="13">
        <v>1.0</v>
      </c>
      <c r="F156" s="13">
        <v>1.0</v>
      </c>
      <c r="G156" s="13">
        <v>2.0</v>
      </c>
      <c r="H156" s="13">
        <v>0.0</v>
      </c>
      <c r="I156" s="13">
        <v>0.0</v>
      </c>
      <c r="J156" s="13">
        <v>1.0</v>
      </c>
      <c r="K156" s="6">
        <f t="shared" ref="K156:K162" si="42">SUM(E156:J156)</f>
        <v>5</v>
      </c>
    </row>
    <row r="157" ht="12.75" customHeight="1">
      <c r="A157" s="32"/>
      <c r="B157" s="49"/>
      <c r="C157" s="52" t="s">
        <v>135</v>
      </c>
      <c r="D157" s="61"/>
      <c r="E157" s="13">
        <v>0.0</v>
      </c>
      <c r="F157" s="13">
        <v>2.0</v>
      </c>
      <c r="G157" s="13">
        <v>1.0</v>
      </c>
      <c r="H157" s="13">
        <v>0.0</v>
      </c>
      <c r="I157" s="13">
        <v>1.0</v>
      </c>
      <c r="J157" s="13">
        <v>1.0</v>
      </c>
      <c r="K157" s="6">
        <f t="shared" si="42"/>
        <v>5</v>
      </c>
    </row>
    <row r="158" ht="12.75" customHeight="1">
      <c r="A158" s="32"/>
      <c r="B158" s="49"/>
      <c r="C158" s="52" t="s">
        <v>136</v>
      </c>
      <c r="D158" s="61"/>
      <c r="E158" s="13">
        <v>0.0</v>
      </c>
      <c r="F158" s="13">
        <v>0.0</v>
      </c>
      <c r="G158" s="13">
        <v>0.0</v>
      </c>
      <c r="H158" s="13">
        <v>0.0</v>
      </c>
      <c r="I158" s="13">
        <v>2.0</v>
      </c>
      <c r="J158" s="13">
        <v>0.0</v>
      </c>
      <c r="K158" s="6">
        <f t="shared" si="42"/>
        <v>2</v>
      </c>
    </row>
    <row r="159" ht="12.75" customHeight="1">
      <c r="A159" s="32"/>
      <c r="B159" s="49"/>
      <c r="C159" s="52" t="s">
        <v>137</v>
      </c>
      <c r="D159" s="61"/>
      <c r="E159" s="13">
        <v>0.0</v>
      </c>
      <c r="F159" s="13">
        <v>0.0</v>
      </c>
      <c r="G159" s="13">
        <v>0.0</v>
      </c>
      <c r="H159" s="13">
        <v>0.0</v>
      </c>
      <c r="I159" s="13">
        <v>1.0</v>
      </c>
      <c r="J159" s="13">
        <v>0.0</v>
      </c>
      <c r="K159" s="6">
        <f t="shared" si="42"/>
        <v>1</v>
      </c>
    </row>
    <row r="160" ht="12.75" customHeight="1">
      <c r="A160" s="32" t="s">
        <v>39</v>
      </c>
      <c r="B160" s="51"/>
      <c r="C160" s="52" t="s">
        <v>138</v>
      </c>
      <c r="D160" s="53"/>
      <c r="E160" s="13">
        <v>0.0</v>
      </c>
      <c r="F160" s="13">
        <v>0.0</v>
      </c>
      <c r="G160" s="13">
        <v>0.0</v>
      </c>
      <c r="H160" s="13">
        <v>0.0</v>
      </c>
      <c r="I160" s="13">
        <v>1.0</v>
      </c>
      <c r="J160" s="13">
        <v>0.0</v>
      </c>
      <c r="K160" s="6">
        <f t="shared" si="42"/>
        <v>1</v>
      </c>
    </row>
    <row r="161" ht="12.75" customHeight="1">
      <c r="A161" s="32"/>
      <c r="B161" s="51"/>
      <c r="C161" s="52" t="s">
        <v>139</v>
      </c>
      <c r="D161" s="53"/>
      <c r="E161" s="13">
        <v>0.0</v>
      </c>
      <c r="F161" s="13">
        <v>0.0</v>
      </c>
      <c r="G161" s="13">
        <v>0.0</v>
      </c>
      <c r="H161" s="13">
        <v>0.0</v>
      </c>
      <c r="I161" s="13">
        <v>0.0</v>
      </c>
      <c r="J161" s="13">
        <v>0.0</v>
      </c>
      <c r="K161" s="6">
        <f t="shared" si="42"/>
        <v>0</v>
      </c>
    </row>
    <row r="162" ht="12.75" customHeight="1">
      <c r="A162" s="13" t="s">
        <v>15</v>
      </c>
      <c r="B162" s="49" t="s">
        <v>46</v>
      </c>
      <c r="C162" s="8"/>
      <c r="D162" s="9"/>
      <c r="E162" s="60">
        <f t="shared" ref="E162:J162" si="43">SUM(E156:E161)</f>
        <v>1</v>
      </c>
      <c r="F162" s="60">
        <f t="shared" si="43"/>
        <v>3</v>
      </c>
      <c r="G162" s="60">
        <f t="shared" si="43"/>
        <v>3</v>
      </c>
      <c r="H162" s="60">
        <f t="shared" si="43"/>
        <v>0</v>
      </c>
      <c r="I162" s="60">
        <f t="shared" si="43"/>
        <v>5</v>
      </c>
      <c r="J162" s="60">
        <f t="shared" si="43"/>
        <v>2</v>
      </c>
      <c r="K162" s="6">
        <f t="shared" si="42"/>
        <v>14</v>
      </c>
    </row>
    <row r="163" ht="12.75" customHeight="1">
      <c r="A163" s="54"/>
      <c r="B163" s="55"/>
      <c r="C163" s="55"/>
      <c r="D163" s="55"/>
      <c r="E163" s="55"/>
      <c r="F163" s="55"/>
      <c r="G163" s="55"/>
      <c r="H163" s="55"/>
      <c r="I163" s="55"/>
      <c r="J163" s="55"/>
      <c r="K163" s="6"/>
    </row>
    <row r="164" ht="12.75" customHeight="1">
      <c r="A164" s="32" t="s">
        <v>37</v>
      </c>
      <c r="B164" s="49" t="s">
        <v>140</v>
      </c>
      <c r="C164" s="50" t="s">
        <v>141</v>
      </c>
      <c r="D164" s="9"/>
      <c r="E164" s="13">
        <v>0.0</v>
      </c>
      <c r="F164" s="13">
        <v>0.0</v>
      </c>
      <c r="G164" s="13">
        <v>1.0</v>
      </c>
      <c r="H164" s="13">
        <v>1.0</v>
      </c>
      <c r="I164" s="13">
        <v>4.0</v>
      </c>
      <c r="J164" s="13">
        <v>3.0</v>
      </c>
      <c r="K164" s="6">
        <f t="shared" ref="K164:K171" si="44">SUM(E164:J164)</f>
        <v>9</v>
      </c>
    </row>
    <row r="165" ht="12.75" customHeight="1">
      <c r="A165" s="32"/>
      <c r="B165" s="49"/>
      <c r="C165" s="52" t="s">
        <v>142</v>
      </c>
      <c r="D165" s="61"/>
      <c r="E165" s="13">
        <v>1.0</v>
      </c>
      <c r="F165" s="13">
        <v>0.0</v>
      </c>
      <c r="G165" s="13">
        <v>0.0</v>
      </c>
      <c r="H165" s="13">
        <v>0.0</v>
      </c>
      <c r="I165" s="13">
        <v>3.0</v>
      </c>
      <c r="J165" s="13">
        <v>1.0</v>
      </c>
      <c r="K165" s="6">
        <f t="shared" si="44"/>
        <v>5</v>
      </c>
    </row>
    <row r="166" ht="12.75" customHeight="1">
      <c r="A166" s="32"/>
      <c r="B166" s="49"/>
      <c r="C166" s="52" t="s">
        <v>143</v>
      </c>
      <c r="D166" s="61"/>
      <c r="E166" s="13">
        <v>0.0</v>
      </c>
      <c r="F166" s="13">
        <v>0.0</v>
      </c>
      <c r="G166" s="13">
        <v>0.0</v>
      </c>
      <c r="H166" s="13">
        <v>0.0</v>
      </c>
      <c r="I166" s="13">
        <v>0.0</v>
      </c>
      <c r="J166" s="13">
        <v>0.0</v>
      </c>
      <c r="K166" s="6">
        <f t="shared" si="44"/>
        <v>0</v>
      </c>
    </row>
    <row r="167" ht="12.75" customHeight="1">
      <c r="A167" s="32"/>
      <c r="B167" s="49"/>
      <c r="C167" s="52" t="s">
        <v>144</v>
      </c>
      <c r="D167" s="61"/>
      <c r="E167" s="13">
        <v>0.0</v>
      </c>
      <c r="F167" s="13">
        <v>0.0</v>
      </c>
      <c r="G167" s="13">
        <v>0.0</v>
      </c>
      <c r="H167" s="13">
        <v>1.0</v>
      </c>
      <c r="I167" s="13">
        <v>0.0</v>
      </c>
      <c r="J167" s="13">
        <v>0.0</v>
      </c>
      <c r="K167" s="6">
        <f t="shared" si="44"/>
        <v>1</v>
      </c>
    </row>
    <row r="168" ht="12.75" customHeight="1">
      <c r="A168" s="32" t="s">
        <v>39</v>
      </c>
      <c r="B168" s="51"/>
      <c r="C168" s="52" t="s">
        <v>145</v>
      </c>
      <c r="D168" s="53"/>
      <c r="E168" s="13">
        <v>0.0</v>
      </c>
      <c r="F168" s="13">
        <v>0.0</v>
      </c>
      <c r="G168" s="13">
        <v>1.0</v>
      </c>
      <c r="H168" s="13">
        <v>0.0</v>
      </c>
      <c r="I168" s="13">
        <v>0.0</v>
      </c>
      <c r="J168" s="13">
        <v>0.0</v>
      </c>
      <c r="K168" s="6">
        <f t="shared" si="44"/>
        <v>1</v>
      </c>
    </row>
    <row r="169" ht="12.75" customHeight="1">
      <c r="A169" s="18"/>
      <c r="B169" s="51"/>
      <c r="C169" s="52" t="s">
        <v>146</v>
      </c>
      <c r="D169" s="53"/>
      <c r="E169" s="13">
        <v>0.0</v>
      </c>
      <c r="F169" s="13">
        <v>1.0</v>
      </c>
      <c r="G169" s="13">
        <v>0.0</v>
      </c>
      <c r="H169" s="13">
        <v>0.0</v>
      </c>
      <c r="I169" s="13">
        <v>0.0</v>
      </c>
      <c r="J169" s="13">
        <v>0.0</v>
      </c>
      <c r="K169" s="6">
        <f t="shared" si="44"/>
        <v>1</v>
      </c>
    </row>
    <row r="170" ht="12.75" customHeight="1">
      <c r="A170" s="18"/>
      <c r="B170" s="51"/>
      <c r="C170" s="52" t="s">
        <v>147</v>
      </c>
      <c r="D170" s="53"/>
      <c r="E170" s="13">
        <v>2.0</v>
      </c>
      <c r="F170" s="13">
        <v>0.0</v>
      </c>
      <c r="G170" s="13">
        <v>5.0</v>
      </c>
      <c r="H170" s="13">
        <v>8.0</v>
      </c>
      <c r="I170" s="13">
        <v>5.0</v>
      </c>
      <c r="J170" s="13">
        <v>4.0</v>
      </c>
      <c r="K170" s="6">
        <f t="shared" si="44"/>
        <v>24</v>
      </c>
    </row>
    <row r="171" ht="12.75" customHeight="1">
      <c r="A171" s="13" t="s">
        <v>15</v>
      </c>
      <c r="B171" s="49" t="s">
        <v>46</v>
      </c>
      <c r="C171" s="8"/>
      <c r="D171" s="9"/>
      <c r="E171" s="60">
        <f t="shared" ref="E171:J171" si="45">SUM(E164:E170)</f>
        <v>3</v>
      </c>
      <c r="F171" s="60">
        <f t="shared" si="45"/>
        <v>1</v>
      </c>
      <c r="G171" s="60">
        <f t="shared" si="45"/>
        <v>7</v>
      </c>
      <c r="H171" s="60">
        <f t="shared" si="45"/>
        <v>10</v>
      </c>
      <c r="I171" s="60">
        <f t="shared" si="45"/>
        <v>12</v>
      </c>
      <c r="J171" s="60">
        <f t="shared" si="45"/>
        <v>8</v>
      </c>
      <c r="K171" s="6">
        <f t="shared" si="44"/>
        <v>41</v>
      </c>
    </row>
    <row r="172" ht="12.75" customHeight="1">
      <c r="A172" s="54"/>
      <c r="B172" s="55"/>
      <c r="C172" s="55"/>
      <c r="D172" s="55"/>
      <c r="E172" s="55"/>
      <c r="F172" s="55"/>
      <c r="G172" s="55"/>
      <c r="H172" s="55"/>
      <c r="I172" s="55"/>
      <c r="J172" s="55"/>
      <c r="K172" s="6"/>
    </row>
    <row r="173" ht="12.75" customHeight="1">
      <c r="A173" s="32" t="s">
        <v>37</v>
      </c>
      <c r="B173" s="49" t="s">
        <v>148</v>
      </c>
      <c r="C173" s="50" t="s">
        <v>149</v>
      </c>
      <c r="D173" s="9"/>
      <c r="E173" s="13">
        <v>2.0</v>
      </c>
      <c r="F173" s="13">
        <v>0.0</v>
      </c>
      <c r="G173" s="13">
        <v>4.0</v>
      </c>
      <c r="H173" s="13">
        <v>0.0</v>
      </c>
      <c r="I173" s="13">
        <v>1.0</v>
      </c>
      <c r="J173" s="13">
        <v>0.0</v>
      </c>
      <c r="K173" s="6">
        <f t="shared" ref="K173:K180" si="46">SUM(E173:J173)</f>
        <v>7</v>
      </c>
    </row>
    <row r="174" ht="12.75" customHeight="1">
      <c r="A174" s="32" t="s">
        <v>39</v>
      </c>
      <c r="B174" s="51"/>
      <c r="C174" s="52" t="s">
        <v>150</v>
      </c>
      <c r="D174" s="53"/>
      <c r="E174" s="13">
        <v>2.0</v>
      </c>
      <c r="F174" s="13">
        <v>0.0</v>
      </c>
      <c r="G174" s="13">
        <v>0.0</v>
      </c>
      <c r="H174" s="13">
        <v>0.0</v>
      </c>
      <c r="I174" s="13">
        <v>3.0</v>
      </c>
      <c r="J174" s="13">
        <v>3.0</v>
      </c>
      <c r="K174" s="6">
        <f t="shared" si="46"/>
        <v>8</v>
      </c>
    </row>
    <row r="175" ht="12.75" customHeight="1">
      <c r="A175" s="18"/>
      <c r="B175" s="51"/>
      <c r="C175" s="52" t="s">
        <v>151</v>
      </c>
      <c r="D175" s="53"/>
      <c r="E175" s="13">
        <v>1.0</v>
      </c>
      <c r="F175" s="13">
        <v>0.0</v>
      </c>
      <c r="G175" s="13">
        <v>0.0</v>
      </c>
      <c r="H175" s="13">
        <v>0.0</v>
      </c>
      <c r="I175" s="13">
        <v>0.0</v>
      </c>
      <c r="J175" s="13">
        <v>0.0</v>
      </c>
      <c r="K175" s="6">
        <f t="shared" si="46"/>
        <v>1</v>
      </c>
    </row>
    <row r="176" ht="12.75" customHeight="1">
      <c r="A176" s="18"/>
      <c r="B176" s="51"/>
      <c r="C176" s="52" t="s">
        <v>152</v>
      </c>
      <c r="D176" s="53"/>
      <c r="E176" s="13">
        <v>0.0</v>
      </c>
      <c r="F176" s="13">
        <v>1.0</v>
      </c>
      <c r="G176" s="13">
        <v>0.0</v>
      </c>
      <c r="H176" s="13">
        <v>0.0</v>
      </c>
      <c r="I176" s="13">
        <v>2.0</v>
      </c>
      <c r="J176" s="13">
        <v>0.0</v>
      </c>
      <c r="K176" s="6">
        <f t="shared" si="46"/>
        <v>3</v>
      </c>
    </row>
    <row r="177" ht="12.75" customHeight="1">
      <c r="A177" s="18"/>
      <c r="B177" s="51"/>
      <c r="C177" s="52" t="s">
        <v>153</v>
      </c>
      <c r="D177" s="53"/>
      <c r="E177" s="13">
        <v>0.0</v>
      </c>
      <c r="F177" s="13">
        <v>0.0</v>
      </c>
      <c r="G177" s="13">
        <v>0.0</v>
      </c>
      <c r="H177" s="13">
        <v>0.0</v>
      </c>
      <c r="I177" s="13">
        <v>0.0</v>
      </c>
      <c r="J177" s="13">
        <v>1.0</v>
      </c>
      <c r="K177" s="6">
        <f t="shared" si="46"/>
        <v>1</v>
      </c>
    </row>
    <row r="178" ht="12.75" customHeight="1">
      <c r="A178" s="18"/>
      <c r="B178" s="51"/>
      <c r="C178" s="52" t="s">
        <v>154</v>
      </c>
      <c r="D178" s="53"/>
      <c r="E178" s="13">
        <v>0.0</v>
      </c>
      <c r="F178" s="13">
        <v>0.0</v>
      </c>
      <c r="G178" s="13">
        <v>0.0</v>
      </c>
      <c r="H178" s="13">
        <v>0.0</v>
      </c>
      <c r="I178" s="13">
        <v>0.0</v>
      </c>
      <c r="J178" s="13">
        <v>2.0</v>
      </c>
      <c r="K178" s="6">
        <f t="shared" si="46"/>
        <v>2</v>
      </c>
    </row>
    <row r="179" ht="12.75" customHeight="1">
      <c r="A179" s="18"/>
      <c r="B179" s="51"/>
      <c r="C179" s="52" t="s">
        <v>155</v>
      </c>
      <c r="D179" s="53"/>
      <c r="E179" s="13">
        <v>1.0</v>
      </c>
      <c r="F179" s="13">
        <v>0.0</v>
      </c>
      <c r="G179" s="13">
        <v>0.0</v>
      </c>
      <c r="H179" s="13">
        <v>0.0</v>
      </c>
      <c r="I179" s="13">
        <v>0.0</v>
      </c>
      <c r="J179" s="13">
        <v>1.0</v>
      </c>
      <c r="K179" s="6">
        <f t="shared" si="46"/>
        <v>2</v>
      </c>
    </row>
    <row r="180" ht="12.75" customHeight="1">
      <c r="A180" s="13" t="s">
        <v>15</v>
      </c>
      <c r="B180" s="49" t="s">
        <v>46</v>
      </c>
      <c r="C180" s="8"/>
      <c r="D180" s="9"/>
      <c r="E180" s="60">
        <f t="shared" ref="E180:J180" si="47">SUM(E173:E179)</f>
        <v>6</v>
      </c>
      <c r="F180" s="60">
        <f t="shared" si="47"/>
        <v>1</v>
      </c>
      <c r="G180" s="60">
        <f t="shared" si="47"/>
        <v>4</v>
      </c>
      <c r="H180" s="60">
        <f t="shared" si="47"/>
        <v>0</v>
      </c>
      <c r="I180" s="60">
        <f t="shared" si="47"/>
        <v>6</v>
      </c>
      <c r="J180" s="60">
        <f t="shared" si="47"/>
        <v>7</v>
      </c>
      <c r="K180" s="6">
        <f t="shared" si="46"/>
        <v>24</v>
      </c>
    </row>
    <row r="181" ht="12.75" customHeight="1">
      <c r="A181" s="54"/>
      <c r="B181" s="55"/>
      <c r="C181" s="55"/>
      <c r="D181" s="55"/>
      <c r="E181" s="55"/>
      <c r="F181" s="55"/>
      <c r="G181" s="55"/>
      <c r="H181" s="55"/>
      <c r="I181" s="55"/>
      <c r="J181" s="55"/>
      <c r="K181" s="6"/>
    </row>
    <row r="182" ht="12.75" customHeight="1">
      <c r="A182" s="32" t="s">
        <v>37</v>
      </c>
      <c r="B182" s="49" t="s">
        <v>156</v>
      </c>
      <c r="C182" s="50" t="s">
        <v>157</v>
      </c>
      <c r="D182" s="9"/>
      <c r="E182" s="13">
        <v>3.0</v>
      </c>
      <c r="F182" s="13">
        <v>0.0</v>
      </c>
      <c r="G182" s="13">
        <v>0.0</v>
      </c>
      <c r="H182" s="13">
        <v>1.0</v>
      </c>
      <c r="I182" s="13">
        <v>1.0</v>
      </c>
      <c r="J182" s="13">
        <v>2.0</v>
      </c>
      <c r="K182" s="6">
        <f t="shared" ref="K182:K187" si="48">SUM(E182:J182)</f>
        <v>7</v>
      </c>
    </row>
    <row r="183" ht="12.75" customHeight="1">
      <c r="A183" s="32"/>
      <c r="B183" s="49"/>
      <c r="C183" s="52" t="s">
        <v>158</v>
      </c>
      <c r="D183" s="61"/>
      <c r="E183" s="13">
        <v>2.0</v>
      </c>
      <c r="F183" s="13">
        <v>0.0</v>
      </c>
      <c r="G183" s="13">
        <v>0.0</v>
      </c>
      <c r="H183" s="13">
        <v>0.0</v>
      </c>
      <c r="I183" s="13">
        <v>0.0</v>
      </c>
      <c r="J183" s="13">
        <v>1.0</v>
      </c>
      <c r="K183" s="6">
        <f t="shared" si="48"/>
        <v>3</v>
      </c>
    </row>
    <row r="184" ht="12.75" customHeight="1">
      <c r="A184" s="32"/>
      <c r="B184" s="49"/>
      <c r="C184" s="52" t="s">
        <v>159</v>
      </c>
      <c r="D184" s="61"/>
      <c r="E184" s="13">
        <v>24.0</v>
      </c>
      <c r="F184" s="13">
        <v>0.0</v>
      </c>
      <c r="G184" s="13">
        <v>0.0</v>
      </c>
      <c r="H184" s="13">
        <v>2.0</v>
      </c>
      <c r="I184" s="13">
        <v>4.0</v>
      </c>
      <c r="J184" s="13">
        <v>2.0</v>
      </c>
      <c r="K184" s="6">
        <f t="shared" si="48"/>
        <v>32</v>
      </c>
    </row>
    <row r="185" ht="12.75" customHeight="1">
      <c r="A185" s="32"/>
      <c r="B185" s="49"/>
      <c r="C185" s="52" t="s">
        <v>160</v>
      </c>
      <c r="D185" s="61"/>
      <c r="E185" s="13">
        <v>0.0</v>
      </c>
      <c r="F185" s="13">
        <v>0.0</v>
      </c>
      <c r="G185" s="13">
        <v>0.0</v>
      </c>
      <c r="H185" s="13">
        <v>0.0</v>
      </c>
      <c r="I185" s="13">
        <v>1.0</v>
      </c>
      <c r="J185" s="13">
        <v>0.0</v>
      </c>
      <c r="K185" s="6">
        <f t="shared" si="48"/>
        <v>1</v>
      </c>
    </row>
    <row r="186" ht="12.75" customHeight="1">
      <c r="A186" s="32" t="s">
        <v>39</v>
      </c>
      <c r="B186" s="51"/>
      <c r="C186" s="52" t="s">
        <v>161</v>
      </c>
      <c r="D186" s="53"/>
      <c r="E186" s="13">
        <v>0.0</v>
      </c>
      <c r="F186" s="13">
        <v>0.0</v>
      </c>
      <c r="G186" s="13">
        <v>0.0</v>
      </c>
      <c r="H186" s="13">
        <v>0.0</v>
      </c>
      <c r="I186" s="13">
        <v>0.0</v>
      </c>
      <c r="J186" s="13">
        <v>0.0</v>
      </c>
      <c r="K186" s="6">
        <f t="shared" si="48"/>
        <v>0</v>
      </c>
    </row>
    <row r="187" ht="12.75" customHeight="1">
      <c r="A187" s="13" t="s">
        <v>15</v>
      </c>
      <c r="B187" s="49" t="s">
        <v>46</v>
      </c>
      <c r="C187" s="8"/>
      <c r="D187" s="9"/>
      <c r="E187" s="60">
        <f t="shared" ref="E187:J187" si="49">SUM(E182:E186)</f>
        <v>29</v>
      </c>
      <c r="F187" s="60">
        <f t="shared" si="49"/>
        <v>0</v>
      </c>
      <c r="G187" s="60">
        <f t="shared" si="49"/>
        <v>0</v>
      </c>
      <c r="H187" s="60">
        <f t="shared" si="49"/>
        <v>3</v>
      </c>
      <c r="I187" s="60">
        <f t="shared" si="49"/>
        <v>6</v>
      </c>
      <c r="J187" s="60">
        <f t="shared" si="49"/>
        <v>5</v>
      </c>
      <c r="K187" s="6">
        <f t="shared" si="48"/>
        <v>43</v>
      </c>
    </row>
    <row r="188" ht="12.75" customHeight="1">
      <c r="A188" s="21"/>
      <c r="B188" s="8"/>
      <c r="C188" s="8"/>
      <c r="D188" s="9"/>
      <c r="E188" s="21"/>
      <c r="F188" s="21"/>
      <c r="G188" s="21"/>
      <c r="H188" s="21"/>
      <c r="I188" s="21"/>
      <c r="J188" s="21"/>
      <c r="K188" s="6"/>
    </row>
    <row r="189" ht="12.75" customHeight="1">
      <c r="A189" s="47"/>
      <c r="B189" s="46"/>
      <c r="C189" s="46"/>
      <c r="D189" s="27"/>
      <c r="E189" s="13"/>
      <c r="F189" s="13"/>
      <c r="G189" s="13"/>
      <c r="H189" s="13"/>
      <c r="I189" s="13"/>
      <c r="J189" s="13"/>
      <c r="K189" s="6"/>
    </row>
    <row r="190" ht="12.75" customHeight="1">
      <c r="A190" s="44" t="s">
        <v>162</v>
      </c>
      <c r="B190" s="7" t="s">
        <v>163</v>
      </c>
      <c r="C190" s="8"/>
      <c r="D190" s="9"/>
      <c r="E190" s="6"/>
      <c r="F190" s="6"/>
      <c r="G190" s="6"/>
      <c r="H190" s="6"/>
      <c r="I190" s="6"/>
      <c r="J190" s="6"/>
      <c r="K190" s="6"/>
    </row>
    <row r="191" ht="12.75" customHeight="1">
      <c r="A191" s="44"/>
      <c r="B191" s="63" t="s">
        <v>164</v>
      </c>
      <c r="C191" s="64" t="s">
        <v>165</v>
      </c>
      <c r="D191" s="9"/>
      <c r="E191" s="13">
        <f t="shared" ref="E191:J191" si="50">E187+E180+E171+E162+E154+E145+E136+E127+E123+E114+E110+E101+E92+E88+E79+E70+E61+E52</f>
        <v>181</v>
      </c>
      <c r="F191" s="13">
        <f t="shared" si="50"/>
        <v>165</v>
      </c>
      <c r="G191" s="13">
        <f t="shared" si="50"/>
        <v>203</v>
      </c>
      <c r="H191" s="13">
        <f t="shared" si="50"/>
        <v>155</v>
      </c>
      <c r="I191" s="13">
        <f t="shared" si="50"/>
        <v>217</v>
      </c>
      <c r="J191" s="13">
        <f t="shared" si="50"/>
        <v>202</v>
      </c>
      <c r="K191" s="6">
        <f t="shared" ref="K191:K193" si="51">SUM(E191:J191)</f>
        <v>1123</v>
      </c>
    </row>
    <row r="192" ht="12.75" customHeight="1">
      <c r="A192" s="37"/>
      <c r="B192" s="63" t="s">
        <v>166</v>
      </c>
      <c r="C192" s="64" t="s">
        <v>167</v>
      </c>
      <c r="D192" s="9"/>
      <c r="E192" s="13">
        <v>29.0</v>
      </c>
      <c r="F192" s="13">
        <v>14.0</v>
      </c>
      <c r="G192" s="13">
        <v>24.0</v>
      </c>
      <c r="H192" s="13">
        <v>32.0</v>
      </c>
      <c r="I192" s="13">
        <v>13.0</v>
      </c>
      <c r="J192" s="13">
        <v>18.0</v>
      </c>
      <c r="K192" s="6">
        <f t="shared" si="51"/>
        <v>130</v>
      </c>
    </row>
    <row r="193" ht="12.75" customHeight="1">
      <c r="A193" s="42"/>
      <c r="B193" s="63" t="s">
        <v>168</v>
      </c>
      <c r="C193" s="64" t="s">
        <v>169</v>
      </c>
      <c r="D193" s="9"/>
      <c r="E193" s="6">
        <f t="shared" ref="E193:J193" si="52">SUM(E191:E192)</f>
        <v>210</v>
      </c>
      <c r="F193" s="6">
        <f t="shared" si="52"/>
        <v>179</v>
      </c>
      <c r="G193" s="6">
        <f t="shared" si="52"/>
        <v>227</v>
      </c>
      <c r="H193" s="6">
        <f t="shared" si="52"/>
        <v>187</v>
      </c>
      <c r="I193" s="6">
        <f t="shared" si="52"/>
        <v>230</v>
      </c>
      <c r="J193" s="6">
        <f t="shared" si="52"/>
        <v>220</v>
      </c>
      <c r="K193" s="6">
        <f t="shared" si="51"/>
        <v>1253</v>
      </c>
    </row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110:D110"/>
    <mergeCell ref="C112:D112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5:D145"/>
    <mergeCell ref="C147:D147"/>
    <mergeCell ref="B154:D154"/>
    <mergeCell ref="C156:D156"/>
    <mergeCell ref="A188:D188"/>
    <mergeCell ref="A189:D189"/>
    <mergeCell ref="B190:D190"/>
    <mergeCell ref="C191:D191"/>
    <mergeCell ref="C192:D192"/>
    <mergeCell ref="C193:D193"/>
    <mergeCell ref="B162:D162"/>
    <mergeCell ref="C164:D164"/>
    <mergeCell ref="B171:D171"/>
    <mergeCell ref="C173:D173"/>
    <mergeCell ref="B180:D180"/>
    <mergeCell ref="C182:D182"/>
    <mergeCell ref="B187:D187"/>
    <mergeCell ref="B12:D12"/>
    <mergeCell ref="E12:J12"/>
    <mergeCell ref="K12: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101:D101"/>
    <mergeCell ref="C103:D103"/>
  </mergeCells>
  <conditionalFormatting sqref="E30:J30">
    <cfRule type="expression" dxfId="0" priority="1">
      <formula>E30&lt;&gt;E62</formula>
    </cfRule>
  </conditionalFormatting>
  <conditionalFormatting sqref="E34:J34">
    <cfRule type="expression" dxfId="0" priority="2">
      <formula>E34&lt;&gt;E62</formula>
    </cfRule>
  </conditionalFormatting>
  <conditionalFormatting sqref="E14:J15">
    <cfRule type="containsBlanks" dxfId="1" priority="3">
      <formula>LEN(TRIM(E14))=0</formula>
    </cfRule>
  </conditionalFormatting>
  <conditionalFormatting sqref="E19:J20">
    <cfRule type="containsBlanks" dxfId="1" priority="4">
      <formula>LEN(TRIM(E19))=0</formula>
    </cfRule>
  </conditionalFormatting>
  <conditionalFormatting sqref="E22:J23 E25:J26 E33:J33 E35:J35 E39:J40">
    <cfRule type="containsBlanks" dxfId="1" priority="5">
      <formula>LEN(TRIM(E22))=0</formula>
    </cfRule>
  </conditionalFormatting>
  <conditionalFormatting sqref="E30:J30">
    <cfRule type="expression" dxfId="0" priority="6">
      <formula>E30&lt;&gt;E34</formula>
    </cfRule>
  </conditionalFormatting>
  <conditionalFormatting sqref="E34:J34">
    <cfRule type="expression" dxfId="2" priority="7">
      <formula>E30&lt;&gt;E34</formula>
    </cfRule>
  </conditionalFormatting>
  <conditionalFormatting sqref="E34:J34">
    <cfRule type="expression" dxfId="3" priority="8">
      <formula>E30=E34</formula>
    </cfRule>
  </conditionalFormatting>
  <conditionalFormatting sqref="E34:J34">
    <cfRule type="expression" dxfId="0" priority="9">
      <formula>E34&lt;&gt;E30</formula>
    </cfRule>
  </conditionalFormatting>
  <conditionalFormatting sqref="E45:J51">
    <cfRule type="containsBlanks" dxfId="1" priority="10">
      <formula>LEN(TRIM(E45))=0</formula>
    </cfRule>
  </conditionalFormatting>
  <conditionalFormatting sqref="E54:J60">
    <cfRule type="containsBlanks" dxfId="1" priority="11">
      <formula>LEN(TRIM(E54))=0</formula>
    </cfRule>
  </conditionalFormatting>
  <conditionalFormatting sqref="E63:J69">
    <cfRule type="containsBlanks" dxfId="1" priority="12">
      <formula>LEN(TRIM(E63))=0</formula>
    </cfRule>
  </conditionalFormatting>
  <conditionalFormatting sqref="E72:J78">
    <cfRule type="containsBlanks" dxfId="1" priority="13">
      <formula>LEN(TRIM(E72))=0</formula>
    </cfRule>
  </conditionalFormatting>
  <conditionalFormatting sqref="E81:J87">
    <cfRule type="containsBlanks" dxfId="1" priority="14">
      <formula>LEN(TRIM(E81))=0</formula>
    </cfRule>
  </conditionalFormatting>
  <conditionalFormatting sqref="E90:J91">
    <cfRule type="containsBlanks" dxfId="1" priority="15">
      <formula>LEN(TRIM(E90))=0</formula>
    </cfRule>
  </conditionalFormatting>
  <conditionalFormatting sqref="E94:J100">
    <cfRule type="containsBlanks" dxfId="1" priority="16">
      <formula>LEN(TRIM(E94))=0</formula>
    </cfRule>
  </conditionalFormatting>
  <conditionalFormatting sqref="E103:J109">
    <cfRule type="containsBlanks" dxfId="1" priority="17">
      <formula>LEN(TRIM(E103))=0</formula>
    </cfRule>
  </conditionalFormatting>
  <conditionalFormatting sqref="E112:J113">
    <cfRule type="containsBlanks" dxfId="1" priority="18">
      <formula>LEN(TRIM(E112))=0</formula>
    </cfRule>
  </conditionalFormatting>
  <conditionalFormatting sqref="E116:J122">
    <cfRule type="containsBlanks" dxfId="1" priority="19">
      <formula>LEN(TRIM(E116))=0</formula>
    </cfRule>
  </conditionalFormatting>
  <conditionalFormatting sqref="E125:J126">
    <cfRule type="containsBlanks" dxfId="1" priority="20">
      <formula>LEN(TRIM(E125))=0</formula>
    </cfRule>
  </conditionalFormatting>
  <conditionalFormatting sqref="E129:J135">
    <cfRule type="containsBlanks" dxfId="1" priority="21">
      <formula>LEN(TRIM(E129))=0</formula>
    </cfRule>
  </conditionalFormatting>
  <conditionalFormatting sqref="E138:J144">
    <cfRule type="containsBlanks" dxfId="1" priority="22">
      <formula>LEN(TRIM(E138))=0</formula>
    </cfRule>
  </conditionalFormatting>
  <conditionalFormatting sqref="E147:J153">
    <cfRule type="containsBlanks" dxfId="1" priority="23">
      <formula>LEN(TRIM(E147))=0</formula>
    </cfRule>
  </conditionalFormatting>
  <conditionalFormatting sqref="E156:J161">
    <cfRule type="containsBlanks" dxfId="1" priority="24">
      <formula>LEN(TRIM(E156))=0</formula>
    </cfRule>
  </conditionalFormatting>
  <conditionalFormatting sqref="E164:J170">
    <cfRule type="containsBlanks" dxfId="1" priority="25">
      <formula>LEN(TRIM(E164))=0</formula>
    </cfRule>
  </conditionalFormatting>
  <conditionalFormatting sqref="E173:J179">
    <cfRule type="containsBlanks" dxfId="1" priority="26">
      <formula>LEN(TRIM(E173))=0</formula>
    </cfRule>
  </conditionalFormatting>
  <conditionalFormatting sqref="E182:J186">
    <cfRule type="containsBlanks" dxfId="1" priority="27">
      <formula>LEN(TRIM(E182))=0</formula>
    </cfRule>
  </conditionalFormatting>
  <conditionalFormatting sqref="E191:J192">
    <cfRule type="containsBlanks" dxfId="1" priority="28">
      <formula>LEN(TRIM(E191))=0</formula>
    </cfRule>
  </conditionalFormatting>
  <conditionalFormatting sqref="E193:J193">
    <cfRule type="expression" dxfId="0" priority="29">
      <formula>E193&lt;&gt;#REF!</formula>
    </cfRule>
  </conditionalFormatting>
  <conditionalFormatting sqref="E193:J193">
    <cfRule type="expression" dxfId="2" priority="30">
      <formula>#REF!&lt;&gt;E193</formula>
    </cfRule>
  </conditionalFormatting>
  <conditionalFormatting sqref="E193:J193">
    <cfRule type="expression" dxfId="3" priority="31">
      <formula>#REF!=E193</formula>
    </cfRule>
  </conditionalFormatting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</cols>
  <sheetData>
    <row r="1" ht="12.75" customHeight="1"/>
    <row r="2" ht="12.75" customHeight="1">
      <c r="C2" s="1" t="s">
        <v>0</v>
      </c>
      <c r="D2" s="1" t="s">
        <v>1</v>
      </c>
    </row>
    <row r="3" ht="12.75" customHeight="1">
      <c r="C3" s="1" t="s">
        <v>2</v>
      </c>
      <c r="D3" s="1" t="s">
        <v>3</v>
      </c>
    </row>
    <row r="4" ht="12.75" customHeight="1">
      <c r="C4" s="1" t="s">
        <v>4</v>
      </c>
      <c r="D4" s="1" t="s">
        <v>5</v>
      </c>
    </row>
    <row r="5" ht="12.75" customHeight="1">
      <c r="C5" s="1"/>
      <c r="D5" s="1"/>
    </row>
    <row r="6" ht="12.75" customHeight="1">
      <c r="C6" s="1"/>
      <c r="D6" s="1"/>
    </row>
    <row r="7" ht="12.75" customHeight="1">
      <c r="C7" s="1"/>
      <c r="D7" s="1"/>
    </row>
    <row r="8" ht="12.75" customHeight="1">
      <c r="C8" s="1"/>
      <c r="D8" s="1"/>
    </row>
    <row r="9" ht="12.75" customHeight="1">
      <c r="C9" s="1" t="s">
        <v>170</v>
      </c>
      <c r="D9" s="1" t="s">
        <v>198</v>
      </c>
    </row>
    <row r="10" ht="12.75" customHeight="1"/>
    <row r="11" ht="12.75" customHeight="1"/>
    <row r="12" ht="12.75" customHeight="1">
      <c r="A12" s="6" t="s">
        <v>6</v>
      </c>
      <c r="B12" s="7" t="s">
        <v>7</v>
      </c>
      <c r="C12" s="8"/>
      <c r="D12" s="8"/>
      <c r="E12" s="2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9"/>
      <c r="T12" s="39" t="s">
        <v>8</v>
      </c>
    </row>
    <row r="13" ht="12.75" customHeight="1">
      <c r="A13" s="13" t="s">
        <v>9</v>
      </c>
      <c r="B13" s="14" t="s">
        <v>10</v>
      </c>
      <c r="C13" s="8"/>
      <c r="D13" s="9"/>
      <c r="E13" s="42" t="s">
        <v>172</v>
      </c>
      <c r="F13" s="42" t="s">
        <v>173</v>
      </c>
      <c r="G13" s="42" t="s">
        <v>174</v>
      </c>
      <c r="H13" s="42" t="s">
        <v>175</v>
      </c>
      <c r="I13" s="42" t="s">
        <v>176</v>
      </c>
      <c r="J13" s="42" t="s">
        <v>177</v>
      </c>
      <c r="K13" s="42" t="s">
        <v>178</v>
      </c>
      <c r="L13" s="42" t="s">
        <v>179</v>
      </c>
      <c r="M13" s="42" t="s">
        <v>180</v>
      </c>
      <c r="N13" s="42" t="s">
        <v>181</v>
      </c>
      <c r="O13" s="42" t="s">
        <v>182</v>
      </c>
      <c r="P13" s="42" t="s">
        <v>183</v>
      </c>
      <c r="Q13" s="42" t="s">
        <v>184</v>
      </c>
      <c r="R13" s="42" t="s">
        <v>185</v>
      </c>
      <c r="S13" s="42" t="s">
        <v>186</v>
      </c>
      <c r="T13" s="27"/>
    </row>
    <row r="14" ht="12.75" customHeight="1">
      <c r="A14" s="18"/>
      <c r="B14" s="19" t="s">
        <v>11</v>
      </c>
      <c r="C14" s="20"/>
      <c r="D14" s="13" t="s">
        <v>12</v>
      </c>
      <c r="E14" s="13">
        <v>115.0</v>
      </c>
      <c r="F14" s="13">
        <v>129.0</v>
      </c>
      <c r="G14" s="13">
        <v>141.0</v>
      </c>
      <c r="H14" s="13">
        <v>82.0</v>
      </c>
      <c r="I14" s="13">
        <v>105.0</v>
      </c>
      <c r="J14" s="13">
        <v>114.0</v>
      </c>
      <c r="K14" s="13">
        <v>103.0</v>
      </c>
      <c r="L14" s="13">
        <v>110.0</v>
      </c>
      <c r="M14" s="13">
        <v>109.0</v>
      </c>
      <c r="N14" s="13">
        <v>132.0</v>
      </c>
      <c r="O14" s="13">
        <v>132.0</v>
      </c>
      <c r="P14" s="13">
        <v>92.0</v>
      </c>
      <c r="Q14" s="13">
        <v>122.0</v>
      </c>
      <c r="R14" s="13">
        <v>100.0</v>
      </c>
      <c r="S14" s="13">
        <v>54.0</v>
      </c>
      <c r="T14" s="6">
        <f t="shared" ref="T14:T16" si="1">SUM(E14:S14)</f>
        <v>1640</v>
      </c>
    </row>
    <row r="15" ht="12.75" customHeight="1">
      <c r="A15" s="18"/>
      <c r="B15" s="25"/>
      <c r="C15" s="26"/>
      <c r="D15" s="13" t="s">
        <v>13</v>
      </c>
      <c r="E15" s="13">
        <v>124.0</v>
      </c>
      <c r="F15" s="13">
        <v>148.0</v>
      </c>
      <c r="G15" s="13">
        <v>144.0</v>
      </c>
      <c r="H15" s="13">
        <v>91.0</v>
      </c>
      <c r="I15" s="13">
        <v>103.0</v>
      </c>
      <c r="J15" s="13">
        <v>135.0</v>
      </c>
      <c r="K15" s="13">
        <v>106.0</v>
      </c>
      <c r="L15" s="13">
        <v>119.0</v>
      </c>
      <c r="M15" s="13">
        <v>102.0</v>
      </c>
      <c r="N15" s="13">
        <v>139.0</v>
      </c>
      <c r="O15" s="13">
        <v>135.0</v>
      </c>
      <c r="P15" s="13">
        <v>102.0</v>
      </c>
      <c r="Q15" s="13">
        <v>142.0</v>
      </c>
      <c r="R15" s="13">
        <v>104.0</v>
      </c>
      <c r="S15" s="13">
        <v>65.0</v>
      </c>
      <c r="T15" s="6">
        <f t="shared" si="1"/>
        <v>1759</v>
      </c>
    </row>
    <row r="16" ht="12.75" customHeight="1">
      <c r="A16" s="16"/>
      <c r="B16" s="15"/>
      <c r="C16" s="27"/>
      <c r="D16" s="6" t="s">
        <v>14</v>
      </c>
      <c r="E16" s="6">
        <f t="shared" ref="E16:S16" si="2">SUM(E14:E15)</f>
        <v>239</v>
      </c>
      <c r="F16" s="6">
        <f t="shared" si="2"/>
        <v>277</v>
      </c>
      <c r="G16" s="6">
        <f t="shared" si="2"/>
        <v>285</v>
      </c>
      <c r="H16" s="6">
        <f t="shared" si="2"/>
        <v>173</v>
      </c>
      <c r="I16" s="6">
        <f t="shared" si="2"/>
        <v>208</v>
      </c>
      <c r="J16" s="6">
        <f t="shared" si="2"/>
        <v>249</v>
      </c>
      <c r="K16" s="6">
        <f t="shared" si="2"/>
        <v>209</v>
      </c>
      <c r="L16" s="6">
        <f t="shared" si="2"/>
        <v>229</v>
      </c>
      <c r="M16" s="6">
        <f t="shared" si="2"/>
        <v>211</v>
      </c>
      <c r="N16" s="6">
        <f t="shared" si="2"/>
        <v>271</v>
      </c>
      <c r="O16" s="6">
        <f t="shared" si="2"/>
        <v>267</v>
      </c>
      <c r="P16" s="6">
        <f t="shared" si="2"/>
        <v>194</v>
      </c>
      <c r="Q16" s="6">
        <f t="shared" si="2"/>
        <v>264</v>
      </c>
      <c r="R16" s="6">
        <f t="shared" si="2"/>
        <v>204</v>
      </c>
      <c r="S16" s="6">
        <f t="shared" si="2"/>
        <v>119</v>
      </c>
      <c r="T16" s="6">
        <f t="shared" si="1"/>
        <v>3399</v>
      </c>
    </row>
    <row r="17" ht="12.75" customHeight="1">
      <c r="A17" s="21"/>
      <c r="B17" s="8"/>
      <c r="C17" s="8"/>
      <c r="D17" s="9"/>
      <c r="E17" s="13"/>
      <c r="F17" s="13"/>
      <c r="G17" s="13"/>
      <c r="H17" s="13"/>
      <c r="I17" s="13"/>
      <c r="J17" s="13"/>
      <c r="K17" s="13"/>
      <c r="L17" s="13"/>
      <c r="M17" s="13"/>
      <c r="N17" s="67"/>
      <c r="O17" s="67"/>
      <c r="P17" s="67"/>
      <c r="Q17" s="67"/>
      <c r="R17" s="67"/>
      <c r="S17" s="67"/>
      <c r="T17" s="6"/>
    </row>
    <row r="18" ht="12.75" customHeight="1">
      <c r="A18" s="32" t="s">
        <v>15</v>
      </c>
      <c r="B18" s="14" t="s">
        <v>16</v>
      </c>
      <c r="C18" s="8"/>
      <c r="D18" s="9"/>
      <c r="E18" s="13"/>
      <c r="F18" s="13"/>
      <c r="G18" s="13"/>
      <c r="H18" s="13"/>
      <c r="I18" s="13"/>
      <c r="J18" s="13"/>
      <c r="K18" s="13"/>
      <c r="L18" s="13"/>
      <c r="M18" s="13"/>
      <c r="N18" s="67"/>
      <c r="O18" s="67"/>
      <c r="P18" s="67"/>
      <c r="Q18" s="67"/>
      <c r="R18" s="67"/>
      <c r="S18" s="67"/>
      <c r="T18" s="6"/>
    </row>
    <row r="19" ht="12.75" customHeight="1">
      <c r="A19" s="32"/>
      <c r="B19" s="33" t="s">
        <v>17</v>
      </c>
      <c r="C19" s="34" t="s">
        <v>18</v>
      </c>
      <c r="D19" s="13" t="s">
        <v>12</v>
      </c>
      <c r="E19" s="13">
        <v>101.0</v>
      </c>
      <c r="F19" s="13">
        <v>105.0</v>
      </c>
      <c r="G19" s="13">
        <v>110.0</v>
      </c>
      <c r="H19" s="13">
        <v>71.0</v>
      </c>
      <c r="I19" s="13">
        <v>85.0</v>
      </c>
      <c r="J19" s="13">
        <v>91.0</v>
      </c>
      <c r="K19" s="13">
        <v>90.0</v>
      </c>
      <c r="L19" s="13">
        <v>88.0</v>
      </c>
      <c r="M19" s="13">
        <v>87.0</v>
      </c>
      <c r="N19" s="13">
        <v>104.0</v>
      </c>
      <c r="O19" s="13">
        <v>105.0</v>
      </c>
      <c r="P19" s="13">
        <v>69.0</v>
      </c>
      <c r="Q19" s="13">
        <v>101.0</v>
      </c>
      <c r="R19" s="13">
        <v>77.0</v>
      </c>
      <c r="S19" s="13">
        <v>47.0</v>
      </c>
      <c r="T19" s="6">
        <f t="shared" ref="T19:T30" si="3">SUM(E19:S19)</f>
        <v>1331</v>
      </c>
    </row>
    <row r="20" ht="12.75" customHeight="1">
      <c r="A20" s="35"/>
      <c r="B20" s="26"/>
      <c r="C20" s="36"/>
      <c r="D20" s="13" t="s">
        <v>13</v>
      </c>
      <c r="E20" s="13">
        <v>109.0</v>
      </c>
      <c r="F20" s="13">
        <v>125.0</v>
      </c>
      <c r="G20" s="13">
        <v>128.0</v>
      </c>
      <c r="H20" s="13">
        <v>77.0</v>
      </c>
      <c r="I20" s="13">
        <v>91.0</v>
      </c>
      <c r="J20" s="13">
        <v>108.0</v>
      </c>
      <c r="K20" s="13">
        <v>90.0</v>
      </c>
      <c r="L20" s="13">
        <v>98.0</v>
      </c>
      <c r="M20" s="13">
        <v>86.0</v>
      </c>
      <c r="N20" s="13">
        <v>117.0</v>
      </c>
      <c r="O20" s="13">
        <v>121.0</v>
      </c>
      <c r="P20" s="13">
        <v>86.0</v>
      </c>
      <c r="Q20" s="13">
        <v>119.0</v>
      </c>
      <c r="R20" s="13">
        <v>87.0</v>
      </c>
      <c r="S20" s="13">
        <v>59.0</v>
      </c>
      <c r="T20" s="6">
        <f t="shared" si="3"/>
        <v>1501</v>
      </c>
    </row>
    <row r="21" ht="12.75" customHeight="1">
      <c r="A21" s="37"/>
      <c r="B21" s="27"/>
      <c r="C21" s="38"/>
      <c r="D21" s="6" t="s">
        <v>14</v>
      </c>
      <c r="E21" s="6">
        <f t="shared" ref="E21:S21" si="4">SUM(E19:E20)</f>
        <v>210</v>
      </c>
      <c r="F21" s="6">
        <f t="shared" si="4"/>
        <v>230</v>
      </c>
      <c r="G21" s="6">
        <f t="shared" si="4"/>
        <v>238</v>
      </c>
      <c r="H21" s="6">
        <f t="shared" si="4"/>
        <v>148</v>
      </c>
      <c r="I21" s="6">
        <f t="shared" si="4"/>
        <v>176</v>
      </c>
      <c r="J21" s="6">
        <f t="shared" si="4"/>
        <v>199</v>
      </c>
      <c r="K21" s="6">
        <f t="shared" si="4"/>
        <v>180</v>
      </c>
      <c r="L21" s="6">
        <f t="shared" si="4"/>
        <v>186</v>
      </c>
      <c r="M21" s="6">
        <f t="shared" si="4"/>
        <v>173</v>
      </c>
      <c r="N21" s="6">
        <f t="shared" si="4"/>
        <v>221</v>
      </c>
      <c r="O21" s="6">
        <f t="shared" si="4"/>
        <v>226</v>
      </c>
      <c r="P21" s="6">
        <f t="shared" si="4"/>
        <v>155</v>
      </c>
      <c r="Q21" s="6">
        <f t="shared" si="4"/>
        <v>220</v>
      </c>
      <c r="R21" s="6">
        <f t="shared" si="4"/>
        <v>164</v>
      </c>
      <c r="S21" s="6">
        <f t="shared" si="4"/>
        <v>106</v>
      </c>
      <c r="T21" s="6">
        <f t="shared" si="3"/>
        <v>2832</v>
      </c>
    </row>
    <row r="22" ht="12.75" customHeight="1">
      <c r="A22" s="35"/>
      <c r="B22" s="33" t="s">
        <v>19</v>
      </c>
      <c r="C22" s="34" t="s">
        <v>20</v>
      </c>
      <c r="D22" s="13" t="s">
        <v>12</v>
      </c>
      <c r="E22" s="13">
        <v>0.0</v>
      </c>
      <c r="F22" s="13">
        <v>0.0</v>
      </c>
      <c r="G22" s="13">
        <v>0.0</v>
      </c>
      <c r="H22" s="13">
        <v>0.0</v>
      </c>
      <c r="I22" s="13">
        <v>0.0</v>
      </c>
      <c r="J22" s="13">
        <v>0.0</v>
      </c>
      <c r="K22" s="13">
        <v>0.0</v>
      </c>
      <c r="L22" s="13">
        <v>0.0</v>
      </c>
      <c r="M22" s="13">
        <v>0.0</v>
      </c>
      <c r="N22" s="13">
        <v>0.0</v>
      </c>
      <c r="O22" s="13">
        <v>0.0</v>
      </c>
      <c r="P22" s="13">
        <v>0.0</v>
      </c>
      <c r="Q22" s="13">
        <v>0.0</v>
      </c>
      <c r="R22" s="13">
        <v>0.0</v>
      </c>
      <c r="S22" s="13">
        <v>0.0</v>
      </c>
      <c r="T22" s="6">
        <f t="shared" si="3"/>
        <v>0</v>
      </c>
    </row>
    <row r="23" ht="12.75" customHeight="1">
      <c r="A23" s="35"/>
      <c r="B23" s="26"/>
      <c r="C23" s="36"/>
      <c r="D23" s="13" t="s">
        <v>13</v>
      </c>
      <c r="E23" s="13">
        <v>0.0</v>
      </c>
      <c r="F23" s="13">
        <v>0.0</v>
      </c>
      <c r="G23" s="13">
        <v>0.0</v>
      </c>
      <c r="H23" s="13">
        <v>0.0</v>
      </c>
      <c r="I23" s="13">
        <v>0.0</v>
      </c>
      <c r="J23" s="13">
        <v>0.0</v>
      </c>
      <c r="K23" s="13">
        <v>0.0</v>
      </c>
      <c r="L23" s="13">
        <v>0.0</v>
      </c>
      <c r="M23" s="13">
        <v>0.0</v>
      </c>
      <c r="N23" s="13">
        <v>0.0</v>
      </c>
      <c r="O23" s="13">
        <v>0.0</v>
      </c>
      <c r="P23" s="13">
        <v>0.0</v>
      </c>
      <c r="Q23" s="13">
        <v>0.0</v>
      </c>
      <c r="R23" s="13">
        <v>0.0</v>
      </c>
      <c r="S23" s="13">
        <v>0.0</v>
      </c>
      <c r="T23" s="6">
        <f t="shared" si="3"/>
        <v>0</v>
      </c>
    </row>
    <row r="24" ht="12.75" customHeight="1">
      <c r="A24" s="37"/>
      <c r="B24" s="27"/>
      <c r="C24" s="38"/>
      <c r="D24" s="6" t="s">
        <v>14</v>
      </c>
      <c r="E24" s="6">
        <f t="shared" ref="E24:S24" si="5">SUM(E22:E23)</f>
        <v>0</v>
      </c>
      <c r="F24" s="6">
        <f t="shared" si="5"/>
        <v>0</v>
      </c>
      <c r="G24" s="6">
        <f t="shared" si="5"/>
        <v>0</v>
      </c>
      <c r="H24" s="6">
        <f t="shared" si="5"/>
        <v>0</v>
      </c>
      <c r="I24" s="6">
        <f t="shared" si="5"/>
        <v>0</v>
      </c>
      <c r="J24" s="6">
        <f t="shared" si="5"/>
        <v>0</v>
      </c>
      <c r="K24" s="6">
        <f t="shared" si="5"/>
        <v>0</v>
      </c>
      <c r="L24" s="6">
        <f t="shared" si="5"/>
        <v>0</v>
      </c>
      <c r="M24" s="6">
        <f t="shared" si="5"/>
        <v>0</v>
      </c>
      <c r="N24" s="6">
        <f t="shared" si="5"/>
        <v>0</v>
      </c>
      <c r="O24" s="6">
        <f t="shared" si="5"/>
        <v>0</v>
      </c>
      <c r="P24" s="6">
        <f t="shared" si="5"/>
        <v>0</v>
      </c>
      <c r="Q24" s="6">
        <f t="shared" si="5"/>
        <v>0</v>
      </c>
      <c r="R24" s="6">
        <f t="shared" si="5"/>
        <v>0</v>
      </c>
      <c r="S24" s="6">
        <f t="shared" si="5"/>
        <v>0</v>
      </c>
      <c r="T24" s="6">
        <f t="shared" si="3"/>
        <v>0</v>
      </c>
    </row>
    <row r="25" ht="12.75" customHeight="1">
      <c r="A25" s="35"/>
      <c r="B25" s="33" t="s">
        <v>21</v>
      </c>
      <c r="C25" s="34" t="s">
        <v>22</v>
      </c>
      <c r="D25" s="13" t="s">
        <v>12</v>
      </c>
      <c r="E25" s="13">
        <v>0.0</v>
      </c>
      <c r="F25" s="13">
        <v>4.0</v>
      </c>
      <c r="G25" s="13">
        <v>4.0</v>
      </c>
      <c r="H25" s="13">
        <v>2.0</v>
      </c>
      <c r="I25" s="13">
        <v>0.0</v>
      </c>
      <c r="J25" s="13">
        <v>7.0</v>
      </c>
      <c r="K25" s="13">
        <v>0.0</v>
      </c>
      <c r="L25" s="13">
        <v>0.0</v>
      </c>
      <c r="M25" s="13">
        <v>1.0</v>
      </c>
      <c r="N25" s="13">
        <v>3.0</v>
      </c>
      <c r="O25" s="13">
        <v>0.0</v>
      </c>
      <c r="P25" s="13">
        <v>6.0</v>
      </c>
      <c r="Q25" s="13">
        <v>21.0</v>
      </c>
      <c r="R25" s="13">
        <v>9.0</v>
      </c>
      <c r="S25" s="13">
        <v>0.0</v>
      </c>
      <c r="T25" s="6">
        <f t="shared" si="3"/>
        <v>57</v>
      </c>
    </row>
    <row r="26" ht="12.75" customHeight="1">
      <c r="A26" s="35"/>
      <c r="B26" s="26"/>
      <c r="C26" s="36"/>
      <c r="D26" s="13" t="s">
        <v>13</v>
      </c>
      <c r="E26" s="13">
        <v>1.0</v>
      </c>
      <c r="F26" s="13">
        <v>2.0</v>
      </c>
      <c r="G26" s="13">
        <v>0.0</v>
      </c>
      <c r="H26" s="13">
        <v>0.0</v>
      </c>
      <c r="I26" s="13">
        <v>1.0</v>
      </c>
      <c r="J26" s="13">
        <v>4.0</v>
      </c>
      <c r="K26" s="13">
        <v>0.0</v>
      </c>
      <c r="L26" s="13">
        <v>0.0</v>
      </c>
      <c r="M26" s="13">
        <v>2.0</v>
      </c>
      <c r="N26" s="13">
        <v>2.0</v>
      </c>
      <c r="O26" s="13">
        <v>0.0</v>
      </c>
      <c r="P26" s="13">
        <v>6.0</v>
      </c>
      <c r="Q26" s="13">
        <v>29.0</v>
      </c>
      <c r="R26" s="13">
        <v>9.0</v>
      </c>
      <c r="S26" s="13">
        <v>1.0</v>
      </c>
      <c r="T26" s="6">
        <f t="shared" si="3"/>
        <v>57</v>
      </c>
    </row>
    <row r="27" ht="12.75" customHeight="1">
      <c r="A27" s="37"/>
      <c r="B27" s="27"/>
      <c r="C27" s="38"/>
      <c r="D27" s="6" t="s">
        <v>14</v>
      </c>
      <c r="E27" s="6">
        <f t="shared" ref="E27:S27" si="6">SUM(E25:E26)</f>
        <v>1</v>
      </c>
      <c r="F27" s="6">
        <f t="shared" si="6"/>
        <v>6</v>
      </c>
      <c r="G27" s="6">
        <f t="shared" si="6"/>
        <v>4</v>
      </c>
      <c r="H27" s="6">
        <f t="shared" si="6"/>
        <v>2</v>
      </c>
      <c r="I27" s="6">
        <f t="shared" si="6"/>
        <v>1</v>
      </c>
      <c r="J27" s="6">
        <f t="shared" si="6"/>
        <v>11</v>
      </c>
      <c r="K27" s="6">
        <f t="shared" si="6"/>
        <v>0</v>
      </c>
      <c r="L27" s="6">
        <f t="shared" si="6"/>
        <v>0</v>
      </c>
      <c r="M27" s="6">
        <f t="shared" si="6"/>
        <v>3</v>
      </c>
      <c r="N27" s="6">
        <f t="shared" si="6"/>
        <v>5</v>
      </c>
      <c r="O27" s="6">
        <f t="shared" si="6"/>
        <v>0</v>
      </c>
      <c r="P27" s="6">
        <f t="shared" si="6"/>
        <v>12</v>
      </c>
      <c r="Q27" s="6">
        <f t="shared" si="6"/>
        <v>50</v>
      </c>
      <c r="R27" s="6">
        <f t="shared" si="6"/>
        <v>18</v>
      </c>
      <c r="S27" s="6">
        <f t="shared" si="6"/>
        <v>1</v>
      </c>
      <c r="T27" s="6">
        <f t="shared" si="3"/>
        <v>114</v>
      </c>
    </row>
    <row r="28" ht="12.75" customHeight="1">
      <c r="A28" s="37"/>
      <c r="B28" s="39" t="s">
        <v>23</v>
      </c>
      <c r="C28" s="40" t="s">
        <v>24</v>
      </c>
      <c r="D28" s="6" t="s">
        <v>12</v>
      </c>
      <c r="E28" s="6">
        <f t="shared" ref="E28:S28" si="7">SUM(E19,E22,E25)</f>
        <v>101</v>
      </c>
      <c r="F28" s="6">
        <f t="shared" si="7"/>
        <v>109</v>
      </c>
      <c r="G28" s="6">
        <f t="shared" si="7"/>
        <v>114</v>
      </c>
      <c r="H28" s="6">
        <f t="shared" si="7"/>
        <v>73</v>
      </c>
      <c r="I28" s="6">
        <f t="shared" si="7"/>
        <v>85</v>
      </c>
      <c r="J28" s="6">
        <f t="shared" si="7"/>
        <v>98</v>
      </c>
      <c r="K28" s="6">
        <f t="shared" si="7"/>
        <v>90</v>
      </c>
      <c r="L28" s="6">
        <f t="shared" si="7"/>
        <v>88</v>
      </c>
      <c r="M28" s="6">
        <f t="shared" si="7"/>
        <v>88</v>
      </c>
      <c r="N28" s="6">
        <f t="shared" si="7"/>
        <v>107</v>
      </c>
      <c r="O28" s="6">
        <f t="shared" si="7"/>
        <v>105</v>
      </c>
      <c r="P28" s="6">
        <f t="shared" si="7"/>
        <v>75</v>
      </c>
      <c r="Q28" s="6">
        <f t="shared" si="7"/>
        <v>122</v>
      </c>
      <c r="R28" s="6">
        <f t="shared" si="7"/>
        <v>86</v>
      </c>
      <c r="S28" s="6">
        <f t="shared" si="7"/>
        <v>47</v>
      </c>
      <c r="T28" s="6">
        <f t="shared" si="3"/>
        <v>1388</v>
      </c>
    </row>
    <row r="29" ht="12.75" customHeight="1">
      <c r="A29" s="37"/>
      <c r="B29" s="26"/>
      <c r="C29" s="36"/>
      <c r="D29" s="6" t="s">
        <v>13</v>
      </c>
      <c r="E29" s="6">
        <f t="shared" ref="E29:S29" si="8">SUM(E20,E23,E26)</f>
        <v>110</v>
      </c>
      <c r="F29" s="6">
        <f t="shared" si="8"/>
        <v>127</v>
      </c>
      <c r="G29" s="6">
        <f t="shared" si="8"/>
        <v>128</v>
      </c>
      <c r="H29" s="6">
        <f t="shared" si="8"/>
        <v>77</v>
      </c>
      <c r="I29" s="6">
        <f t="shared" si="8"/>
        <v>92</v>
      </c>
      <c r="J29" s="6">
        <f t="shared" si="8"/>
        <v>112</v>
      </c>
      <c r="K29" s="6">
        <f t="shared" si="8"/>
        <v>90</v>
      </c>
      <c r="L29" s="6">
        <f t="shared" si="8"/>
        <v>98</v>
      </c>
      <c r="M29" s="6">
        <f t="shared" si="8"/>
        <v>88</v>
      </c>
      <c r="N29" s="6">
        <f t="shared" si="8"/>
        <v>119</v>
      </c>
      <c r="O29" s="6">
        <f t="shared" si="8"/>
        <v>121</v>
      </c>
      <c r="P29" s="6">
        <f t="shared" si="8"/>
        <v>92</v>
      </c>
      <c r="Q29" s="6">
        <f t="shared" si="8"/>
        <v>148</v>
      </c>
      <c r="R29" s="6">
        <f t="shared" si="8"/>
        <v>96</v>
      </c>
      <c r="S29" s="6">
        <f t="shared" si="8"/>
        <v>60</v>
      </c>
      <c r="T29" s="6">
        <f t="shared" si="3"/>
        <v>1558</v>
      </c>
    </row>
    <row r="30" ht="12.75" customHeight="1">
      <c r="A30" s="37"/>
      <c r="B30" s="27"/>
      <c r="C30" s="38"/>
      <c r="D30" s="6" t="s">
        <v>14</v>
      </c>
      <c r="E30" s="6">
        <f t="shared" ref="E30:S30" si="9">SUM(E28:E29)</f>
        <v>211</v>
      </c>
      <c r="F30" s="6">
        <f t="shared" si="9"/>
        <v>236</v>
      </c>
      <c r="G30" s="6">
        <f t="shared" si="9"/>
        <v>242</v>
      </c>
      <c r="H30" s="6">
        <f t="shared" si="9"/>
        <v>150</v>
      </c>
      <c r="I30" s="6">
        <f t="shared" si="9"/>
        <v>177</v>
      </c>
      <c r="J30" s="6">
        <f t="shared" si="9"/>
        <v>210</v>
      </c>
      <c r="K30" s="6">
        <f t="shared" si="9"/>
        <v>180</v>
      </c>
      <c r="L30" s="6">
        <f t="shared" si="9"/>
        <v>186</v>
      </c>
      <c r="M30" s="6">
        <f t="shared" si="9"/>
        <v>176</v>
      </c>
      <c r="N30" s="6">
        <f t="shared" si="9"/>
        <v>226</v>
      </c>
      <c r="O30" s="6">
        <f t="shared" si="9"/>
        <v>226</v>
      </c>
      <c r="P30" s="6">
        <f t="shared" si="9"/>
        <v>167</v>
      </c>
      <c r="Q30" s="6">
        <f t="shared" si="9"/>
        <v>270</v>
      </c>
      <c r="R30" s="6">
        <f t="shared" si="9"/>
        <v>182</v>
      </c>
      <c r="S30" s="6">
        <f t="shared" si="9"/>
        <v>107</v>
      </c>
      <c r="T30" s="6">
        <f t="shared" si="3"/>
        <v>2946</v>
      </c>
    </row>
    <row r="31" ht="12.75" customHeight="1">
      <c r="A31" s="21"/>
      <c r="B31" s="8"/>
      <c r="C31" s="8"/>
      <c r="D31" s="9"/>
      <c r="E31" s="13"/>
      <c r="F31" s="13"/>
      <c r="G31" s="13"/>
      <c r="H31" s="13"/>
      <c r="I31" s="13"/>
      <c r="J31" s="13"/>
      <c r="K31" s="13"/>
      <c r="L31" s="13"/>
      <c r="M31" s="13"/>
      <c r="N31" s="67"/>
      <c r="O31" s="67"/>
      <c r="P31" s="67"/>
      <c r="Q31" s="67"/>
      <c r="R31" s="67"/>
      <c r="S31" s="67"/>
      <c r="T31" s="6"/>
    </row>
    <row r="32" ht="12.75" customHeight="1">
      <c r="A32" s="42" t="s">
        <v>25</v>
      </c>
      <c r="B32" s="7" t="s">
        <v>26</v>
      </c>
      <c r="C32" s="8"/>
      <c r="D32" s="9"/>
      <c r="E32" s="6"/>
      <c r="F32" s="6"/>
      <c r="G32" s="6"/>
      <c r="H32" s="6"/>
      <c r="I32" s="6"/>
      <c r="J32" s="6"/>
      <c r="K32" s="6"/>
      <c r="L32" s="6"/>
      <c r="M32" s="6"/>
      <c r="N32" s="68"/>
      <c r="O32" s="68"/>
      <c r="P32" s="68"/>
      <c r="Q32" s="68"/>
      <c r="R32" s="68"/>
      <c r="S32" s="68"/>
      <c r="T32" s="6"/>
    </row>
    <row r="33" ht="12.75" customHeight="1">
      <c r="A33" s="13">
        <v>1.0</v>
      </c>
      <c r="B33" s="14" t="s">
        <v>27</v>
      </c>
      <c r="C33" s="8"/>
      <c r="D33" s="9"/>
      <c r="E33" s="13">
        <v>244.0</v>
      </c>
      <c r="F33" s="13">
        <v>283.0</v>
      </c>
      <c r="G33" s="13">
        <v>291.0</v>
      </c>
      <c r="H33" s="13">
        <v>177.0</v>
      </c>
      <c r="I33" s="13">
        <v>213.0</v>
      </c>
      <c r="J33" s="13">
        <v>254.0</v>
      </c>
      <c r="K33" s="13">
        <v>214.0</v>
      </c>
      <c r="L33" s="13">
        <v>234.0</v>
      </c>
      <c r="M33" s="13">
        <v>216.0</v>
      </c>
      <c r="N33" s="13">
        <v>277.0</v>
      </c>
      <c r="O33" s="13">
        <v>273.0</v>
      </c>
      <c r="P33" s="13">
        <v>198.0</v>
      </c>
      <c r="Q33" s="13">
        <v>270.0</v>
      </c>
      <c r="R33" s="13">
        <v>209.0</v>
      </c>
      <c r="S33" s="13">
        <v>122.0</v>
      </c>
      <c r="T33" s="6">
        <f t="shared" ref="T33:T36" si="10">SUM(E33:S33)</f>
        <v>3475</v>
      </c>
    </row>
    <row r="34" ht="12.75" customHeight="1">
      <c r="A34" s="13">
        <v>2.0</v>
      </c>
      <c r="B34" s="14" t="s">
        <v>28</v>
      </c>
      <c r="C34" s="8"/>
      <c r="D34" s="9"/>
      <c r="E34" s="6">
        <v>211.0</v>
      </c>
      <c r="F34" s="6">
        <v>236.0</v>
      </c>
      <c r="G34" s="6">
        <v>242.0</v>
      </c>
      <c r="H34" s="6">
        <v>150.0</v>
      </c>
      <c r="I34" s="6">
        <v>177.0</v>
      </c>
      <c r="J34" s="6">
        <v>210.0</v>
      </c>
      <c r="K34" s="6">
        <v>180.0</v>
      </c>
      <c r="L34" s="6">
        <v>186.0</v>
      </c>
      <c r="M34" s="6">
        <v>176.0</v>
      </c>
      <c r="N34" s="6">
        <v>226.0</v>
      </c>
      <c r="O34" s="6">
        <v>226.0</v>
      </c>
      <c r="P34" s="6">
        <v>167.0</v>
      </c>
      <c r="Q34" s="6">
        <v>270.0</v>
      </c>
      <c r="R34" s="6">
        <v>182.0</v>
      </c>
      <c r="S34" s="6">
        <v>107.0</v>
      </c>
      <c r="T34" s="6">
        <f t="shared" si="10"/>
        <v>2946</v>
      </c>
    </row>
    <row r="35" ht="12.75" customHeight="1">
      <c r="A35" s="13">
        <v>3.0</v>
      </c>
      <c r="B35" s="14" t="s">
        <v>29</v>
      </c>
      <c r="C35" s="8"/>
      <c r="D35" s="9"/>
      <c r="E35" s="13">
        <v>0.0</v>
      </c>
      <c r="F35" s="13">
        <v>0.0</v>
      </c>
      <c r="G35" s="13">
        <v>0.0</v>
      </c>
      <c r="H35" s="13">
        <v>3.0</v>
      </c>
      <c r="I35" s="13">
        <v>0.0</v>
      </c>
      <c r="J35" s="13">
        <v>0.0</v>
      </c>
      <c r="K35" s="13">
        <v>0.0</v>
      </c>
      <c r="L35" s="13">
        <v>0.0</v>
      </c>
      <c r="M35" s="13">
        <v>0.0</v>
      </c>
      <c r="N35" s="13">
        <v>0.0</v>
      </c>
      <c r="O35" s="13">
        <v>0.0</v>
      </c>
      <c r="P35" s="13">
        <v>0.0</v>
      </c>
      <c r="Q35" s="13">
        <v>0.0</v>
      </c>
      <c r="R35" s="13">
        <v>0.0</v>
      </c>
      <c r="S35" s="13">
        <v>0.0</v>
      </c>
      <c r="T35" s="6">
        <f t="shared" si="10"/>
        <v>3</v>
      </c>
    </row>
    <row r="36" ht="12.75" customHeight="1">
      <c r="A36" s="13">
        <v>4.0</v>
      </c>
      <c r="B36" s="14" t="s">
        <v>30</v>
      </c>
      <c r="C36" s="8"/>
      <c r="D36" s="9"/>
      <c r="E36" s="6">
        <f t="shared" ref="E36:S36" si="11">E33-(E34+E35)</f>
        <v>33</v>
      </c>
      <c r="F36" s="6">
        <f t="shared" si="11"/>
        <v>47</v>
      </c>
      <c r="G36" s="6">
        <f t="shared" si="11"/>
        <v>49</v>
      </c>
      <c r="H36" s="6">
        <f t="shared" si="11"/>
        <v>24</v>
      </c>
      <c r="I36" s="6">
        <f t="shared" si="11"/>
        <v>36</v>
      </c>
      <c r="J36" s="6">
        <f t="shared" si="11"/>
        <v>44</v>
      </c>
      <c r="K36" s="6">
        <f t="shared" si="11"/>
        <v>34</v>
      </c>
      <c r="L36" s="6">
        <f t="shared" si="11"/>
        <v>48</v>
      </c>
      <c r="M36" s="6">
        <f t="shared" si="11"/>
        <v>40</v>
      </c>
      <c r="N36" s="6">
        <f t="shared" si="11"/>
        <v>51</v>
      </c>
      <c r="O36" s="6">
        <f t="shared" si="11"/>
        <v>47</v>
      </c>
      <c r="P36" s="6">
        <f t="shared" si="11"/>
        <v>31</v>
      </c>
      <c r="Q36" s="6">
        <f t="shared" si="11"/>
        <v>0</v>
      </c>
      <c r="R36" s="6">
        <f t="shared" si="11"/>
        <v>27</v>
      </c>
      <c r="S36" s="6">
        <f t="shared" si="11"/>
        <v>15</v>
      </c>
      <c r="T36" s="6">
        <f t="shared" si="10"/>
        <v>526</v>
      </c>
    </row>
    <row r="37" ht="12.75" customHeight="1">
      <c r="A37" s="21"/>
      <c r="B37" s="8"/>
      <c r="C37" s="8"/>
      <c r="D37" s="8"/>
      <c r="E37" s="21"/>
      <c r="F37" s="8"/>
      <c r="G37" s="8"/>
      <c r="H37" s="8"/>
      <c r="I37" s="9"/>
      <c r="J37" s="13"/>
      <c r="K37" s="13"/>
      <c r="L37" s="13"/>
      <c r="M37" s="13"/>
      <c r="N37" s="67"/>
      <c r="O37" s="69"/>
      <c r="P37" s="69"/>
      <c r="Q37" s="69"/>
      <c r="R37" s="69"/>
      <c r="S37" s="69"/>
      <c r="T37" s="6"/>
    </row>
    <row r="38" ht="12.75" customHeight="1">
      <c r="A38" s="44" t="s">
        <v>31</v>
      </c>
      <c r="B38" s="7" t="s">
        <v>32</v>
      </c>
      <c r="C38" s="8"/>
      <c r="D38" s="9"/>
      <c r="E38" s="6"/>
      <c r="F38" s="6"/>
      <c r="G38" s="6"/>
      <c r="H38" s="6"/>
      <c r="I38" s="6"/>
      <c r="J38" s="6"/>
      <c r="K38" s="6"/>
      <c r="L38" s="6"/>
      <c r="M38" s="6"/>
      <c r="N38" s="68"/>
      <c r="O38" s="68"/>
      <c r="P38" s="68"/>
      <c r="Q38" s="68"/>
      <c r="R38" s="68"/>
      <c r="S38" s="68"/>
      <c r="T38" s="6"/>
    </row>
    <row r="39" ht="12.75" customHeight="1">
      <c r="A39" s="32"/>
      <c r="B39" s="45" t="s">
        <v>33</v>
      </c>
      <c r="C39" s="20"/>
      <c r="D39" s="13" t="s">
        <v>12</v>
      </c>
      <c r="E39" s="13"/>
      <c r="F39" s="13"/>
      <c r="G39" s="13">
        <v>1.0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6">
        <f t="shared" ref="T39:T41" si="12">SUM(E39:S39)</f>
        <v>1</v>
      </c>
    </row>
    <row r="40" ht="12.75" customHeight="1">
      <c r="A40" s="35"/>
      <c r="C40" s="26"/>
      <c r="D40" s="13" t="s">
        <v>13</v>
      </c>
      <c r="E40" s="13"/>
      <c r="F40" s="13"/>
      <c r="G40" s="13"/>
      <c r="H40" s="13"/>
      <c r="I40" s="13">
        <v>2.0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6">
        <f t="shared" si="12"/>
        <v>2</v>
      </c>
    </row>
    <row r="41" ht="12.75" customHeight="1">
      <c r="A41" s="42"/>
      <c r="B41" s="46"/>
      <c r="C41" s="27"/>
      <c r="D41" s="6" t="s">
        <v>14</v>
      </c>
      <c r="E41" s="6">
        <f t="shared" ref="E41:S41" si="13">SUM(E39:E40)</f>
        <v>0</v>
      </c>
      <c r="F41" s="6">
        <f t="shared" si="13"/>
        <v>0</v>
      </c>
      <c r="G41" s="6">
        <f t="shared" si="13"/>
        <v>1</v>
      </c>
      <c r="H41" s="6">
        <f t="shared" si="13"/>
        <v>0</v>
      </c>
      <c r="I41" s="6">
        <f t="shared" si="13"/>
        <v>2</v>
      </c>
      <c r="J41" s="6">
        <f t="shared" si="13"/>
        <v>0</v>
      </c>
      <c r="K41" s="6">
        <f t="shared" si="13"/>
        <v>0</v>
      </c>
      <c r="L41" s="6">
        <f t="shared" si="13"/>
        <v>0</v>
      </c>
      <c r="M41" s="6">
        <f t="shared" si="13"/>
        <v>0</v>
      </c>
      <c r="N41" s="6">
        <f t="shared" si="13"/>
        <v>0</v>
      </c>
      <c r="O41" s="6">
        <f t="shared" si="13"/>
        <v>0</v>
      </c>
      <c r="P41" s="6">
        <f t="shared" si="13"/>
        <v>0</v>
      </c>
      <c r="Q41" s="6">
        <f t="shared" si="13"/>
        <v>0</v>
      </c>
      <c r="R41" s="6">
        <f t="shared" si="13"/>
        <v>0</v>
      </c>
      <c r="S41" s="6">
        <f t="shared" si="13"/>
        <v>0</v>
      </c>
      <c r="T41" s="6">
        <f t="shared" si="12"/>
        <v>3</v>
      </c>
    </row>
    <row r="42" ht="12.75" customHeight="1">
      <c r="A42" s="47"/>
      <c r="B42" s="46"/>
      <c r="C42" s="46"/>
      <c r="D42" s="27"/>
      <c r="E42" s="21"/>
      <c r="F42" s="8"/>
      <c r="G42" s="8"/>
      <c r="H42" s="8"/>
      <c r="I42" s="9"/>
      <c r="J42" s="13"/>
      <c r="K42" s="13"/>
      <c r="L42" s="13"/>
      <c r="M42" s="13"/>
      <c r="N42" s="67"/>
      <c r="T42" s="6"/>
    </row>
    <row r="43" ht="12.75" customHeight="1">
      <c r="A43" s="44" t="s">
        <v>34</v>
      </c>
      <c r="B43" s="7" t="s">
        <v>35</v>
      </c>
      <c r="C43" s="8"/>
      <c r="D43" s="9"/>
      <c r="E43" s="28"/>
      <c r="F43" s="6"/>
      <c r="G43" s="6"/>
      <c r="H43" s="6"/>
      <c r="I43" s="6"/>
      <c r="J43" s="6"/>
      <c r="K43" s="6"/>
      <c r="L43" s="6"/>
      <c r="M43" s="6"/>
      <c r="N43" s="68"/>
      <c r="T43" s="6"/>
    </row>
    <row r="44" ht="12.75" customHeight="1">
      <c r="A44" s="45" t="s">
        <v>36</v>
      </c>
      <c r="B44" s="48"/>
      <c r="C44" s="48"/>
      <c r="D44" s="20"/>
      <c r="E44" s="21"/>
      <c r="F44" s="13"/>
      <c r="G44" s="13"/>
      <c r="H44" s="13"/>
      <c r="I44" s="13"/>
      <c r="J44" s="13"/>
      <c r="K44" s="13"/>
      <c r="L44" s="13"/>
      <c r="M44" s="13"/>
      <c r="N44" s="67"/>
      <c r="T44" s="6"/>
    </row>
    <row r="45" ht="12.75" customHeight="1">
      <c r="A45" s="32" t="s">
        <v>37</v>
      </c>
      <c r="B45" s="49" t="s">
        <v>17</v>
      </c>
      <c r="C45" s="50" t="s">
        <v>38</v>
      </c>
      <c r="D45" s="9"/>
      <c r="E45" s="13">
        <v>3.0</v>
      </c>
      <c r="F45" s="13">
        <v>6.0</v>
      </c>
      <c r="G45" s="13">
        <v>2.0</v>
      </c>
      <c r="H45" s="13">
        <v>9.0</v>
      </c>
      <c r="I45" s="13">
        <v>6.0</v>
      </c>
      <c r="J45" s="13">
        <v>6.0</v>
      </c>
      <c r="K45" s="13">
        <v>10.0</v>
      </c>
      <c r="L45" s="13">
        <v>9.0</v>
      </c>
      <c r="M45" s="13">
        <v>6.0</v>
      </c>
      <c r="N45" s="13">
        <v>7.0</v>
      </c>
      <c r="O45" s="13">
        <v>12.0</v>
      </c>
      <c r="P45" s="13">
        <v>5.0</v>
      </c>
      <c r="Q45" s="13">
        <v>6.0</v>
      </c>
      <c r="R45" s="13">
        <v>3.0</v>
      </c>
      <c r="S45" s="13">
        <v>7.0</v>
      </c>
      <c r="T45" s="6">
        <f t="shared" ref="T45:T52" si="14">SUM(E45:S45)</f>
        <v>97</v>
      </c>
    </row>
    <row r="46" ht="12.75" customHeight="1">
      <c r="A46" s="32" t="s">
        <v>39</v>
      </c>
      <c r="B46" s="51"/>
      <c r="C46" s="52" t="s">
        <v>40</v>
      </c>
      <c r="D46" s="53"/>
      <c r="E46" s="13">
        <v>0.0</v>
      </c>
      <c r="F46" s="13">
        <v>2.0</v>
      </c>
      <c r="G46" s="13">
        <v>4.0</v>
      </c>
      <c r="H46" s="13">
        <v>3.0</v>
      </c>
      <c r="I46" s="13">
        <v>1.0</v>
      </c>
      <c r="J46" s="13">
        <v>3.0</v>
      </c>
      <c r="K46" s="13">
        <v>1.0</v>
      </c>
      <c r="L46" s="13">
        <v>1.0</v>
      </c>
      <c r="M46" s="13">
        <v>0.0</v>
      </c>
      <c r="N46" s="13">
        <v>3.0</v>
      </c>
      <c r="O46" s="13">
        <v>1.0</v>
      </c>
      <c r="P46" s="13">
        <v>2.0</v>
      </c>
      <c r="Q46" s="13">
        <v>1.0</v>
      </c>
      <c r="R46" s="13">
        <v>0.0</v>
      </c>
      <c r="S46" s="13">
        <v>1.0</v>
      </c>
      <c r="T46" s="6">
        <f t="shared" si="14"/>
        <v>23</v>
      </c>
    </row>
    <row r="47" ht="12.75" customHeight="1">
      <c r="A47" s="18"/>
      <c r="B47" s="51"/>
      <c r="C47" s="52" t="s">
        <v>41</v>
      </c>
      <c r="D47" s="53"/>
      <c r="E47" s="13">
        <v>1.0</v>
      </c>
      <c r="F47" s="13">
        <v>1.0</v>
      </c>
      <c r="G47" s="13">
        <v>2.0</v>
      </c>
      <c r="H47" s="13">
        <v>1.0</v>
      </c>
      <c r="I47" s="13">
        <v>0.0</v>
      </c>
      <c r="J47" s="13">
        <v>0.0</v>
      </c>
      <c r="K47" s="13">
        <v>0.0</v>
      </c>
      <c r="L47" s="13">
        <v>1.0</v>
      </c>
      <c r="M47" s="13">
        <v>0.0</v>
      </c>
      <c r="N47" s="13">
        <v>0.0</v>
      </c>
      <c r="O47" s="13">
        <v>7.0</v>
      </c>
      <c r="P47" s="13">
        <v>0.0</v>
      </c>
      <c r="Q47" s="13">
        <v>0.0</v>
      </c>
      <c r="R47" s="13">
        <v>1.0</v>
      </c>
      <c r="S47" s="13">
        <v>1.0</v>
      </c>
      <c r="T47" s="6">
        <f t="shared" si="14"/>
        <v>15</v>
      </c>
    </row>
    <row r="48" ht="12.75" customHeight="1">
      <c r="A48" s="18"/>
      <c r="B48" s="51"/>
      <c r="C48" s="52" t="s">
        <v>42</v>
      </c>
      <c r="D48" s="53"/>
      <c r="E48" s="13">
        <v>1.0</v>
      </c>
      <c r="F48" s="13">
        <v>3.0</v>
      </c>
      <c r="G48" s="13">
        <v>3.0</v>
      </c>
      <c r="H48" s="13">
        <v>0.0</v>
      </c>
      <c r="I48" s="13">
        <v>1.0</v>
      </c>
      <c r="J48" s="13">
        <v>2.0</v>
      </c>
      <c r="K48" s="13">
        <v>0.0</v>
      </c>
      <c r="L48" s="13">
        <v>0.0</v>
      </c>
      <c r="M48" s="13">
        <v>0.0</v>
      </c>
      <c r="N48" s="13">
        <v>1.0</v>
      </c>
      <c r="O48" s="13">
        <v>1.0</v>
      </c>
      <c r="P48" s="13">
        <v>0.0</v>
      </c>
      <c r="Q48" s="13">
        <v>0.0</v>
      </c>
      <c r="R48" s="13">
        <v>0.0</v>
      </c>
      <c r="S48" s="13">
        <v>0.0</v>
      </c>
      <c r="T48" s="6">
        <f t="shared" si="14"/>
        <v>12</v>
      </c>
    </row>
    <row r="49" ht="12.75" customHeight="1">
      <c r="A49" s="18"/>
      <c r="B49" s="51"/>
      <c r="C49" s="52" t="s">
        <v>43</v>
      </c>
      <c r="D49" s="53"/>
      <c r="E49" s="13">
        <v>0.0</v>
      </c>
      <c r="F49" s="13">
        <v>0.0</v>
      </c>
      <c r="G49" s="13">
        <v>0.0</v>
      </c>
      <c r="H49" s="13">
        <v>0.0</v>
      </c>
      <c r="I49" s="13">
        <v>0.0</v>
      </c>
      <c r="J49" s="13">
        <v>0.0</v>
      </c>
      <c r="K49" s="13">
        <v>0.0</v>
      </c>
      <c r="L49" s="13">
        <v>0.0</v>
      </c>
      <c r="M49" s="13">
        <v>0.0</v>
      </c>
      <c r="N49" s="13">
        <v>0.0</v>
      </c>
      <c r="O49" s="13">
        <v>0.0</v>
      </c>
      <c r="P49" s="13">
        <v>0.0</v>
      </c>
      <c r="Q49" s="13">
        <v>0.0</v>
      </c>
      <c r="R49" s="13">
        <v>0.0</v>
      </c>
      <c r="S49" s="13">
        <v>0.0</v>
      </c>
      <c r="T49" s="6">
        <f t="shared" si="14"/>
        <v>0</v>
      </c>
    </row>
    <row r="50" ht="12.75" customHeight="1">
      <c r="A50" s="18"/>
      <c r="B50" s="51"/>
      <c r="C50" s="52" t="s">
        <v>44</v>
      </c>
      <c r="D50" s="53"/>
      <c r="E50" s="13">
        <v>0.0</v>
      </c>
      <c r="F50" s="13">
        <v>0.0</v>
      </c>
      <c r="G50" s="13">
        <v>0.0</v>
      </c>
      <c r="H50" s="13">
        <v>0.0</v>
      </c>
      <c r="I50" s="13">
        <v>1.0</v>
      </c>
      <c r="J50" s="13">
        <v>1.0</v>
      </c>
      <c r="K50" s="13">
        <v>0.0</v>
      </c>
      <c r="L50" s="13">
        <v>0.0</v>
      </c>
      <c r="M50" s="13">
        <v>0.0</v>
      </c>
      <c r="N50" s="13">
        <v>0.0</v>
      </c>
      <c r="O50" s="13">
        <v>0.0</v>
      </c>
      <c r="P50" s="13">
        <v>0.0</v>
      </c>
      <c r="Q50" s="13">
        <v>0.0</v>
      </c>
      <c r="R50" s="13">
        <v>0.0</v>
      </c>
      <c r="S50" s="13">
        <v>0.0</v>
      </c>
      <c r="T50" s="6">
        <f t="shared" si="14"/>
        <v>2</v>
      </c>
    </row>
    <row r="51" ht="12.75" customHeight="1">
      <c r="A51" s="18"/>
      <c r="B51" s="51"/>
      <c r="C51" s="52" t="s">
        <v>45</v>
      </c>
      <c r="D51" s="53"/>
      <c r="E51" s="13">
        <v>1.0</v>
      </c>
      <c r="F51" s="13">
        <v>3.0</v>
      </c>
      <c r="G51" s="13">
        <v>0.0</v>
      </c>
      <c r="H51" s="13">
        <v>12.0</v>
      </c>
      <c r="I51" s="13">
        <v>13.0</v>
      </c>
      <c r="J51" s="13">
        <v>10.0</v>
      </c>
      <c r="K51" s="13">
        <v>2.0</v>
      </c>
      <c r="L51" s="13">
        <v>4.0</v>
      </c>
      <c r="M51" s="13">
        <v>0.0</v>
      </c>
      <c r="N51" s="13">
        <v>0.0</v>
      </c>
      <c r="O51" s="13">
        <v>1.0</v>
      </c>
      <c r="P51" s="13">
        <v>0.0</v>
      </c>
      <c r="Q51" s="13">
        <v>0.0</v>
      </c>
      <c r="R51" s="13">
        <v>0.0</v>
      </c>
      <c r="S51" s="13">
        <v>1.0</v>
      </c>
      <c r="T51" s="6">
        <f t="shared" si="14"/>
        <v>47</v>
      </c>
    </row>
    <row r="52" ht="12.75" customHeight="1">
      <c r="A52" s="13" t="s">
        <v>15</v>
      </c>
      <c r="B52" s="49" t="s">
        <v>46</v>
      </c>
      <c r="C52" s="8"/>
      <c r="D52" s="9"/>
      <c r="E52" s="60">
        <f t="shared" ref="E52:S52" si="15">SUM(E45:E51)</f>
        <v>6</v>
      </c>
      <c r="F52" s="60">
        <f t="shared" si="15"/>
        <v>15</v>
      </c>
      <c r="G52" s="60">
        <f t="shared" si="15"/>
        <v>11</v>
      </c>
      <c r="H52" s="60">
        <f t="shared" si="15"/>
        <v>25</v>
      </c>
      <c r="I52" s="60">
        <f t="shared" si="15"/>
        <v>22</v>
      </c>
      <c r="J52" s="60">
        <f t="shared" si="15"/>
        <v>22</v>
      </c>
      <c r="K52" s="60">
        <f t="shared" si="15"/>
        <v>13</v>
      </c>
      <c r="L52" s="60">
        <f t="shared" si="15"/>
        <v>15</v>
      </c>
      <c r="M52" s="60">
        <f t="shared" si="15"/>
        <v>6</v>
      </c>
      <c r="N52" s="60">
        <f t="shared" si="15"/>
        <v>11</v>
      </c>
      <c r="O52" s="60">
        <f t="shared" si="15"/>
        <v>22</v>
      </c>
      <c r="P52" s="60">
        <f t="shared" si="15"/>
        <v>7</v>
      </c>
      <c r="Q52" s="60">
        <f t="shared" si="15"/>
        <v>7</v>
      </c>
      <c r="R52" s="60">
        <f t="shared" si="15"/>
        <v>4</v>
      </c>
      <c r="S52" s="60">
        <f t="shared" si="15"/>
        <v>10</v>
      </c>
      <c r="T52" s="6">
        <f t="shared" si="14"/>
        <v>196</v>
      </c>
    </row>
    <row r="53" ht="12.75" customHeight="1">
      <c r="A53" s="5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6"/>
    </row>
    <row r="54" ht="12.75" customHeight="1">
      <c r="A54" s="32" t="s">
        <v>37</v>
      </c>
      <c r="B54" s="49" t="s">
        <v>19</v>
      </c>
      <c r="C54" s="50" t="s">
        <v>47</v>
      </c>
      <c r="D54" s="9"/>
      <c r="E54" s="13">
        <v>2.0</v>
      </c>
      <c r="F54" s="13">
        <v>8.0</v>
      </c>
      <c r="G54" s="13">
        <v>9.0</v>
      </c>
      <c r="H54" s="13">
        <v>8.0</v>
      </c>
      <c r="I54" s="13">
        <v>7.0</v>
      </c>
      <c r="J54" s="13">
        <v>9.0</v>
      </c>
      <c r="K54" s="72">
        <v>8.0</v>
      </c>
      <c r="L54" s="13">
        <v>5.0</v>
      </c>
      <c r="M54" s="13">
        <v>12.0</v>
      </c>
      <c r="N54" s="13">
        <v>3.0</v>
      </c>
      <c r="O54" s="13">
        <v>15.0</v>
      </c>
      <c r="P54" s="13">
        <v>5.0</v>
      </c>
      <c r="Q54" s="13">
        <v>10.0</v>
      </c>
      <c r="R54" s="13">
        <v>9.0</v>
      </c>
      <c r="S54" s="13">
        <v>2.0</v>
      </c>
      <c r="T54" s="6">
        <f t="shared" ref="T54:T61" si="16">SUM(E54:S54)</f>
        <v>112</v>
      </c>
    </row>
    <row r="55" ht="12.75" customHeight="1">
      <c r="A55" s="32" t="s">
        <v>39</v>
      </c>
      <c r="B55" s="51"/>
      <c r="C55" s="52" t="s">
        <v>48</v>
      </c>
      <c r="D55" s="53"/>
      <c r="E55" s="13">
        <v>2.0</v>
      </c>
      <c r="F55" s="13">
        <v>0.0</v>
      </c>
      <c r="G55" s="13">
        <v>1.0</v>
      </c>
      <c r="H55" s="13">
        <v>0.0</v>
      </c>
      <c r="I55" s="13">
        <v>1.0</v>
      </c>
      <c r="J55" s="13">
        <v>4.0</v>
      </c>
      <c r="K55" s="13">
        <v>0.0</v>
      </c>
      <c r="L55" s="13">
        <v>1.0</v>
      </c>
      <c r="M55" s="13">
        <v>0.0</v>
      </c>
      <c r="N55" s="13">
        <v>2.0</v>
      </c>
      <c r="O55" s="13">
        <v>3.0</v>
      </c>
      <c r="P55" s="13">
        <v>1.0</v>
      </c>
      <c r="Q55" s="13">
        <v>4.0</v>
      </c>
      <c r="R55" s="13">
        <v>3.0</v>
      </c>
      <c r="S55" s="13">
        <v>0.0</v>
      </c>
      <c r="T55" s="6">
        <f t="shared" si="16"/>
        <v>22</v>
      </c>
    </row>
    <row r="56" ht="12.75" customHeight="1">
      <c r="A56" s="18"/>
      <c r="B56" s="51"/>
      <c r="C56" s="52" t="s">
        <v>49</v>
      </c>
      <c r="D56" s="53"/>
      <c r="E56" s="13">
        <v>0.0</v>
      </c>
      <c r="F56" s="13">
        <v>1.0</v>
      </c>
      <c r="G56" s="13">
        <v>3.0</v>
      </c>
      <c r="H56" s="13">
        <v>0.0</v>
      </c>
      <c r="I56" s="13">
        <v>1.0</v>
      </c>
      <c r="J56" s="13">
        <v>3.0</v>
      </c>
      <c r="K56" s="13">
        <v>0.0</v>
      </c>
      <c r="L56" s="13">
        <v>0.0</v>
      </c>
      <c r="M56" s="13">
        <v>0.0</v>
      </c>
      <c r="N56" s="13">
        <v>0.0</v>
      </c>
      <c r="O56" s="13">
        <v>2.0</v>
      </c>
      <c r="P56" s="13">
        <v>3.0</v>
      </c>
      <c r="Q56" s="13">
        <v>1.0</v>
      </c>
      <c r="R56" s="13">
        <v>0.0</v>
      </c>
      <c r="S56" s="13">
        <v>0.0</v>
      </c>
      <c r="T56" s="6">
        <f t="shared" si="16"/>
        <v>14</v>
      </c>
    </row>
    <row r="57" ht="12.75" customHeight="1">
      <c r="A57" s="18"/>
      <c r="B57" s="51"/>
      <c r="C57" s="52" t="s">
        <v>50</v>
      </c>
      <c r="D57" s="53"/>
      <c r="E57" s="13">
        <v>0.0</v>
      </c>
      <c r="F57" s="13">
        <v>1.0</v>
      </c>
      <c r="G57" s="13">
        <v>0.0</v>
      </c>
      <c r="H57" s="13">
        <v>1.0</v>
      </c>
      <c r="I57" s="13">
        <v>1.0</v>
      </c>
      <c r="J57" s="13">
        <v>0.0</v>
      </c>
      <c r="K57" s="13">
        <v>0.0</v>
      </c>
      <c r="L57" s="13">
        <v>0.0</v>
      </c>
      <c r="M57" s="13">
        <v>0.0</v>
      </c>
      <c r="N57" s="13">
        <v>0.0</v>
      </c>
      <c r="O57" s="13">
        <v>0.0</v>
      </c>
      <c r="P57" s="13">
        <v>3.0</v>
      </c>
      <c r="Q57" s="13">
        <v>0.0</v>
      </c>
      <c r="R57" s="13">
        <v>1.0</v>
      </c>
      <c r="S57" s="13">
        <v>0.0</v>
      </c>
      <c r="T57" s="6">
        <f t="shared" si="16"/>
        <v>7</v>
      </c>
    </row>
    <row r="58" ht="12.75" customHeight="1">
      <c r="A58" s="18"/>
      <c r="B58" s="51"/>
      <c r="C58" s="52" t="s">
        <v>51</v>
      </c>
      <c r="D58" s="53"/>
      <c r="E58" s="13">
        <v>1.0</v>
      </c>
      <c r="F58" s="13">
        <v>0.0</v>
      </c>
      <c r="G58" s="13">
        <v>0.0</v>
      </c>
      <c r="H58" s="13">
        <v>0.0</v>
      </c>
      <c r="I58" s="13">
        <v>0.0</v>
      </c>
      <c r="J58" s="13">
        <v>0.0</v>
      </c>
      <c r="K58" s="13">
        <v>0.0</v>
      </c>
      <c r="L58" s="13">
        <v>0.0</v>
      </c>
      <c r="M58" s="13">
        <v>0.0</v>
      </c>
      <c r="N58" s="13">
        <v>0.0</v>
      </c>
      <c r="O58" s="13">
        <v>0.0</v>
      </c>
      <c r="P58" s="13">
        <v>0.0</v>
      </c>
      <c r="Q58" s="13">
        <v>0.0</v>
      </c>
      <c r="R58" s="13">
        <v>0.0</v>
      </c>
      <c r="S58" s="13">
        <v>0.0</v>
      </c>
      <c r="T58" s="6">
        <f t="shared" si="16"/>
        <v>1</v>
      </c>
    </row>
    <row r="59" ht="12.75" customHeight="1">
      <c r="A59" s="18"/>
      <c r="B59" s="51"/>
      <c r="C59" s="52" t="s">
        <v>52</v>
      </c>
      <c r="D59" s="53"/>
      <c r="E59" s="13">
        <v>0.0</v>
      </c>
      <c r="F59" s="13">
        <v>0.0</v>
      </c>
      <c r="G59" s="13">
        <v>0.0</v>
      </c>
      <c r="H59" s="13">
        <v>0.0</v>
      </c>
      <c r="I59" s="13">
        <v>0.0</v>
      </c>
      <c r="J59" s="13">
        <v>1.0</v>
      </c>
      <c r="K59" s="13">
        <v>0.0</v>
      </c>
      <c r="L59" s="13">
        <v>0.0</v>
      </c>
      <c r="M59" s="13">
        <v>0.0</v>
      </c>
      <c r="N59" s="13">
        <v>1.0</v>
      </c>
      <c r="O59" s="13">
        <v>0.0</v>
      </c>
      <c r="P59" s="13">
        <v>0.0</v>
      </c>
      <c r="Q59" s="13">
        <v>1.0</v>
      </c>
      <c r="R59" s="13">
        <v>0.0</v>
      </c>
      <c r="S59" s="13">
        <v>0.0</v>
      </c>
      <c r="T59" s="6">
        <f t="shared" si="16"/>
        <v>3</v>
      </c>
    </row>
    <row r="60" ht="12.75" customHeight="1">
      <c r="A60" s="18"/>
      <c r="B60" s="51"/>
      <c r="C60" s="52" t="s">
        <v>53</v>
      </c>
      <c r="D60" s="53"/>
      <c r="E60" s="13">
        <v>0.0</v>
      </c>
      <c r="F60" s="13">
        <v>0.0</v>
      </c>
      <c r="G60" s="13">
        <v>0.0</v>
      </c>
      <c r="H60" s="13">
        <v>0.0</v>
      </c>
      <c r="I60" s="13">
        <v>0.0</v>
      </c>
      <c r="J60" s="13">
        <v>0.0</v>
      </c>
      <c r="K60" s="13">
        <v>0.0</v>
      </c>
      <c r="L60" s="13">
        <v>0.0</v>
      </c>
      <c r="M60" s="13">
        <v>0.0</v>
      </c>
      <c r="N60" s="13">
        <v>0.0</v>
      </c>
      <c r="O60" s="13">
        <v>0.0</v>
      </c>
      <c r="P60" s="13">
        <v>0.0</v>
      </c>
      <c r="Q60" s="13">
        <v>0.0</v>
      </c>
      <c r="R60" s="72">
        <v>1.0</v>
      </c>
      <c r="S60" s="13">
        <v>0.0</v>
      </c>
      <c r="T60" s="6">
        <f t="shared" si="16"/>
        <v>1</v>
      </c>
    </row>
    <row r="61" ht="12.75" customHeight="1">
      <c r="A61" s="13" t="s">
        <v>15</v>
      </c>
      <c r="B61" s="49" t="s">
        <v>46</v>
      </c>
      <c r="C61" s="8"/>
      <c r="D61" s="9"/>
      <c r="E61" s="60">
        <f t="shared" ref="E61:S61" si="17">SUM(E54:E60)</f>
        <v>5</v>
      </c>
      <c r="F61" s="60">
        <f t="shared" si="17"/>
        <v>10</v>
      </c>
      <c r="G61" s="60">
        <f t="shared" si="17"/>
        <v>13</v>
      </c>
      <c r="H61" s="60">
        <f t="shared" si="17"/>
        <v>9</v>
      </c>
      <c r="I61" s="60">
        <f t="shared" si="17"/>
        <v>10</v>
      </c>
      <c r="J61" s="60">
        <f t="shared" si="17"/>
        <v>17</v>
      </c>
      <c r="K61" s="60">
        <f t="shared" si="17"/>
        <v>8</v>
      </c>
      <c r="L61" s="60">
        <f t="shared" si="17"/>
        <v>6</v>
      </c>
      <c r="M61" s="60">
        <f t="shared" si="17"/>
        <v>12</v>
      </c>
      <c r="N61" s="60">
        <f t="shared" si="17"/>
        <v>6</v>
      </c>
      <c r="O61" s="60">
        <f t="shared" si="17"/>
        <v>20</v>
      </c>
      <c r="P61" s="60">
        <f t="shared" si="17"/>
        <v>12</v>
      </c>
      <c r="Q61" s="60">
        <f t="shared" si="17"/>
        <v>16</v>
      </c>
      <c r="R61" s="60">
        <f t="shared" si="17"/>
        <v>14</v>
      </c>
      <c r="S61" s="60">
        <f t="shared" si="17"/>
        <v>2</v>
      </c>
      <c r="T61" s="6">
        <f t="shared" si="16"/>
        <v>160</v>
      </c>
    </row>
    <row r="62" ht="12.75" customHeight="1">
      <c r="A62" s="54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6"/>
    </row>
    <row r="63" ht="12.75" customHeight="1">
      <c r="A63" s="32" t="s">
        <v>37</v>
      </c>
      <c r="B63" s="49" t="s">
        <v>21</v>
      </c>
      <c r="C63" s="50" t="s">
        <v>54</v>
      </c>
      <c r="D63" s="9"/>
      <c r="E63" s="13">
        <v>2.0</v>
      </c>
      <c r="F63" s="13">
        <v>7.0</v>
      </c>
      <c r="G63" s="13">
        <v>16.0</v>
      </c>
      <c r="H63" s="13">
        <v>17.0</v>
      </c>
      <c r="I63" s="13">
        <v>16.0</v>
      </c>
      <c r="J63" s="13">
        <v>9.0</v>
      </c>
      <c r="K63" s="13">
        <v>6.0</v>
      </c>
      <c r="L63" s="13">
        <v>7.0</v>
      </c>
      <c r="M63" s="13">
        <v>12.0</v>
      </c>
      <c r="N63" s="13">
        <v>2.0</v>
      </c>
      <c r="O63" s="13">
        <v>4.0</v>
      </c>
      <c r="P63" s="13">
        <v>1.0</v>
      </c>
      <c r="Q63" s="13">
        <v>3.0</v>
      </c>
      <c r="R63" s="13">
        <v>3.0</v>
      </c>
      <c r="S63" s="13">
        <v>3.0</v>
      </c>
      <c r="T63" s="6">
        <f t="shared" ref="T63:T70" si="18">SUM(E63:S63)</f>
        <v>108</v>
      </c>
    </row>
    <row r="64" ht="12.75" customHeight="1">
      <c r="A64" s="32" t="s">
        <v>39</v>
      </c>
      <c r="B64" s="51"/>
      <c r="C64" s="52" t="s">
        <v>55</v>
      </c>
      <c r="D64" s="53"/>
      <c r="E64" s="13">
        <v>1.0</v>
      </c>
      <c r="F64" s="13">
        <v>3.0</v>
      </c>
      <c r="G64" s="13">
        <v>2.0</v>
      </c>
      <c r="H64" s="13">
        <v>3.0</v>
      </c>
      <c r="I64" s="13">
        <v>10.0</v>
      </c>
      <c r="J64" s="13">
        <v>17.0</v>
      </c>
      <c r="K64" s="13">
        <v>1.0</v>
      </c>
      <c r="L64" s="13">
        <v>2.0</v>
      </c>
      <c r="M64" s="13">
        <v>7.0</v>
      </c>
      <c r="N64" s="13">
        <v>1.0</v>
      </c>
      <c r="O64" s="13">
        <v>5.0</v>
      </c>
      <c r="P64" s="13">
        <v>0.0</v>
      </c>
      <c r="Q64" s="13">
        <v>0.0</v>
      </c>
      <c r="R64" s="13">
        <v>9.0</v>
      </c>
      <c r="S64" s="13">
        <v>3.0</v>
      </c>
      <c r="T64" s="6">
        <f t="shared" si="18"/>
        <v>64</v>
      </c>
    </row>
    <row r="65" ht="12.75" customHeight="1">
      <c r="A65" s="18"/>
      <c r="B65" s="51"/>
      <c r="C65" s="52" t="s">
        <v>56</v>
      </c>
      <c r="D65" s="53"/>
      <c r="E65" s="13">
        <v>2.0</v>
      </c>
      <c r="F65" s="13">
        <v>13.0</v>
      </c>
      <c r="G65" s="13">
        <v>8.0</v>
      </c>
      <c r="H65" s="13">
        <v>1.0</v>
      </c>
      <c r="I65" s="13">
        <v>6.0</v>
      </c>
      <c r="J65" s="13">
        <v>2.0</v>
      </c>
      <c r="K65" s="13">
        <v>7.0</v>
      </c>
      <c r="L65" s="13">
        <v>8.0</v>
      </c>
      <c r="M65" s="13">
        <v>9.0</v>
      </c>
      <c r="N65" s="13">
        <v>1.0</v>
      </c>
      <c r="O65" s="13">
        <v>2.0</v>
      </c>
      <c r="P65" s="13">
        <v>2.0</v>
      </c>
      <c r="Q65" s="13">
        <v>0.0</v>
      </c>
      <c r="R65" s="13">
        <v>0.0</v>
      </c>
      <c r="S65" s="13">
        <v>1.0</v>
      </c>
      <c r="T65" s="6">
        <f t="shared" si="18"/>
        <v>62</v>
      </c>
    </row>
    <row r="66" ht="12.75" customHeight="1">
      <c r="A66" s="18"/>
      <c r="B66" s="51"/>
      <c r="C66" s="52" t="s">
        <v>57</v>
      </c>
      <c r="D66" s="53"/>
      <c r="E66" s="13">
        <v>0.0</v>
      </c>
      <c r="F66" s="13">
        <v>2.0</v>
      </c>
      <c r="G66" s="13">
        <v>0.0</v>
      </c>
      <c r="H66" s="13">
        <v>5.0</v>
      </c>
      <c r="I66" s="13">
        <v>4.0</v>
      </c>
      <c r="J66" s="13">
        <v>11.0</v>
      </c>
      <c r="K66" s="13">
        <v>1.0</v>
      </c>
      <c r="L66" s="13">
        <v>2.0</v>
      </c>
      <c r="M66" s="13">
        <v>11.0</v>
      </c>
      <c r="N66" s="13">
        <v>3.0</v>
      </c>
      <c r="O66" s="13">
        <v>13.0</v>
      </c>
      <c r="P66" s="13">
        <v>5.0</v>
      </c>
      <c r="Q66" s="13">
        <v>0.0</v>
      </c>
      <c r="R66" s="13">
        <v>1.0</v>
      </c>
      <c r="S66" s="13">
        <v>2.0</v>
      </c>
      <c r="T66" s="6">
        <f t="shared" si="18"/>
        <v>60</v>
      </c>
    </row>
    <row r="67" ht="12.75" customHeight="1">
      <c r="A67" s="18"/>
      <c r="B67" s="51"/>
      <c r="C67" s="52" t="s">
        <v>58</v>
      </c>
      <c r="D67" s="53"/>
      <c r="E67" s="13">
        <v>0.0</v>
      </c>
      <c r="F67" s="13">
        <v>0.0</v>
      </c>
      <c r="G67" s="13">
        <v>0.0</v>
      </c>
      <c r="H67" s="13">
        <v>0.0</v>
      </c>
      <c r="I67" s="13">
        <v>0.0</v>
      </c>
      <c r="J67" s="13">
        <v>1.0</v>
      </c>
      <c r="K67" s="13">
        <v>1.0</v>
      </c>
      <c r="L67" s="13">
        <v>0.0</v>
      </c>
      <c r="M67" s="13">
        <v>0.0</v>
      </c>
      <c r="N67" s="13">
        <v>0.0</v>
      </c>
      <c r="O67" s="13">
        <v>0.0</v>
      </c>
      <c r="P67" s="13">
        <v>0.0</v>
      </c>
      <c r="Q67" s="13">
        <v>1.0</v>
      </c>
      <c r="R67" s="13">
        <v>0.0</v>
      </c>
      <c r="S67" s="13">
        <v>0.0</v>
      </c>
      <c r="T67" s="6">
        <f t="shared" si="18"/>
        <v>3</v>
      </c>
    </row>
    <row r="68" ht="12.75" customHeight="1">
      <c r="A68" s="18"/>
      <c r="B68" s="51"/>
      <c r="C68" s="52" t="s">
        <v>59</v>
      </c>
      <c r="D68" s="53"/>
      <c r="E68" s="13">
        <v>0.0</v>
      </c>
      <c r="F68" s="13">
        <v>0.0</v>
      </c>
      <c r="G68" s="13">
        <v>5.0</v>
      </c>
      <c r="H68" s="13">
        <v>2.0</v>
      </c>
      <c r="I68" s="13">
        <v>2.0</v>
      </c>
      <c r="J68" s="13">
        <v>0.0</v>
      </c>
      <c r="K68" s="13">
        <v>0.0</v>
      </c>
      <c r="L68" s="13">
        <v>0.0</v>
      </c>
      <c r="M68" s="13">
        <v>1.0</v>
      </c>
      <c r="N68" s="13">
        <v>2.0</v>
      </c>
      <c r="O68" s="13">
        <v>0.0</v>
      </c>
      <c r="P68" s="13">
        <v>0.0</v>
      </c>
      <c r="Q68" s="13">
        <v>0.0</v>
      </c>
      <c r="R68" s="13">
        <v>0.0</v>
      </c>
      <c r="S68" s="13">
        <v>0.0</v>
      </c>
      <c r="T68" s="6">
        <f t="shared" si="18"/>
        <v>12</v>
      </c>
    </row>
    <row r="69" ht="12.75" customHeight="1">
      <c r="A69" s="18"/>
      <c r="B69" s="51"/>
      <c r="C69" s="52" t="s">
        <v>60</v>
      </c>
      <c r="D69" s="53"/>
      <c r="E69" s="13">
        <v>2.0</v>
      </c>
      <c r="F69" s="13">
        <v>1.0</v>
      </c>
      <c r="G69" s="13">
        <v>5.0</v>
      </c>
      <c r="H69" s="13">
        <v>5.0</v>
      </c>
      <c r="I69" s="13">
        <v>1.0</v>
      </c>
      <c r="J69" s="13">
        <v>5.0</v>
      </c>
      <c r="K69" s="13">
        <v>0.0</v>
      </c>
      <c r="L69" s="13">
        <v>0.0</v>
      </c>
      <c r="M69" s="13">
        <v>1.0</v>
      </c>
      <c r="N69" s="13">
        <v>0.0</v>
      </c>
      <c r="O69" s="13">
        <v>3.0</v>
      </c>
      <c r="P69" s="13">
        <v>5.0</v>
      </c>
      <c r="Q69" s="13">
        <v>3.0</v>
      </c>
      <c r="R69" s="13">
        <v>0.0</v>
      </c>
      <c r="S69" s="13">
        <v>1.0</v>
      </c>
      <c r="T69" s="6">
        <f t="shared" si="18"/>
        <v>32</v>
      </c>
    </row>
    <row r="70" ht="12.75" customHeight="1">
      <c r="A70" s="13" t="s">
        <v>15</v>
      </c>
      <c r="B70" s="49" t="s">
        <v>46</v>
      </c>
      <c r="C70" s="8"/>
      <c r="D70" s="9"/>
      <c r="E70" s="60">
        <f t="shared" ref="E70:S70" si="19">SUM(E63:E69)</f>
        <v>7</v>
      </c>
      <c r="F70" s="60">
        <f t="shared" si="19"/>
        <v>26</v>
      </c>
      <c r="G70" s="60">
        <f t="shared" si="19"/>
        <v>36</v>
      </c>
      <c r="H70" s="60">
        <f t="shared" si="19"/>
        <v>33</v>
      </c>
      <c r="I70" s="60">
        <f t="shared" si="19"/>
        <v>39</v>
      </c>
      <c r="J70" s="60">
        <f t="shared" si="19"/>
        <v>45</v>
      </c>
      <c r="K70" s="60">
        <f t="shared" si="19"/>
        <v>16</v>
      </c>
      <c r="L70" s="60">
        <f t="shared" si="19"/>
        <v>19</v>
      </c>
      <c r="M70" s="60">
        <f t="shared" si="19"/>
        <v>41</v>
      </c>
      <c r="N70" s="60">
        <f t="shared" si="19"/>
        <v>9</v>
      </c>
      <c r="O70" s="60">
        <f t="shared" si="19"/>
        <v>27</v>
      </c>
      <c r="P70" s="60">
        <f t="shared" si="19"/>
        <v>13</v>
      </c>
      <c r="Q70" s="60">
        <f t="shared" si="19"/>
        <v>7</v>
      </c>
      <c r="R70" s="60">
        <f t="shared" si="19"/>
        <v>13</v>
      </c>
      <c r="S70" s="60">
        <f t="shared" si="19"/>
        <v>10</v>
      </c>
      <c r="T70" s="6">
        <f t="shared" si="18"/>
        <v>341</v>
      </c>
    </row>
    <row r="71" ht="12.75" customHeight="1">
      <c r="A71" s="54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6"/>
    </row>
    <row r="72" ht="12.75" customHeight="1">
      <c r="A72" s="32" t="s">
        <v>37</v>
      </c>
      <c r="B72" s="49" t="s">
        <v>23</v>
      </c>
      <c r="C72" s="50" t="s">
        <v>61</v>
      </c>
      <c r="D72" s="9"/>
      <c r="E72" s="13">
        <v>1.0</v>
      </c>
      <c r="F72" s="13">
        <v>12.0</v>
      </c>
      <c r="G72" s="13">
        <v>9.0</v>
      </c>
      <c r="H72" s="13">
        <v>5.0</v>
      </c>
      <c r="I72" s="13">
        <v>6.0</v>
      </c>
      <c r="J72" s="13">
        <v>3.0</v>
      </c>
      <c r="K72" s="13">
        <v>0.0</v>
      </c>
      <c r="L72" s="13">
        <v>2.0</v>
      </c>
      <c r="M72" s="13">
        <v>6.0</v>
      </c>
      <c r="N72" s="13">
        <v>12.0</v>
      </c>
      <c r="O72" s="13">
        <v>8.0</v>
      </c>
      <c r="P72" s="13">
        <v>15.0</v>
      </c>
      <c r="Q72" s="13">
        <v>41.0</v>
      </c>
      <c r="R72" s="13">
        <v>14.0</v>
      </c>
      <c r="S72" s="13">
        <v>5.0</v>
      </c>
      <c r="T72" s="6">
        <f t="shared" ref="T72:T79" si="20">SUM(E72:S72)</f>
        <v>139</v>
      </c>
    </row>
    <row r="73" ht="12.75" customHeight="1">
      <c r="A73" s="32" t="s">
        <v>39</v>
      </c>
      <c r="B73" s="51"/>
      <c r="C73" s="52" t="s">
        <v>62</v>
      </c>
      <c r="D73" s="53"/>
      <c r="E73" s="13">
        <v>2.0</v>
      </c>
      <c r="F73" s="13">
        <v>33.0</v>
      </c>
      <c r="G73" s="13">
        <v>39.0</v>
      </c>
      <c r="H73" s="13">
        <v>7.0</v>
      </c>
      <c r="I73" s="13">
        <v>11.0</v>
      </c>
      <c r="J73" s="13">
        <v>5.0</v>
      </c>
      <c r="K73" s="13">
        <v>7.0</v>
      </c>
      <c r="L73" s="13">
        <v>4.0</v>
      </c>
      <c r="M73" s="13">
        <v>7.0</v>
      </c>
      <c r="N73" s="13">
        <v>21.0</v>
      </c>
      <c r="O73" s="13">
        <v>9.0</v>
      </c>
      <c r="P73" s="13">
        <v>63.0</v>
      </c>
      <c r="Q73" s="13">
        <v>106.0</v>
      </c>
      <c r="R73" s="13">
        <v>33.0</v>
      </c>
      <c r="S73" s="13">
        <v>6.0</v>
      </c>
      <c r="T73" s="6">
        <f t="shared" si="20"/>
        <v>353</v>
      </c>
    </row>
    <row r="74" ht="12.75" customHeight="1">
      <c r="A74" s="18"/>
      <c r="B74" s="51"/>
      <c r="C74" s="52" t="s">
        <v>63</v>
      </c>
      <c r="D74" s="53"/>
      <c r="E74" s="13">
        <v>0.0</v>
      </c>
      <c r="F74" s="13">
        <v>0.0</v>
      </c>
      <c r="G74" s="13">
        <v>0.0</v>
      </c>
      <c r="H74" s="13">
        <v>1.0</v>
      </c>
      <c r="I74" s="13">
        <v>1.0</v>
      </c>
      <c r="J74" s="13">
        <v>0.0</v>
      </c>
      <c r="K74" s="13">
        <v>1.0</v>
      </c>
      <c r="L74" s="13">
        <v>0.0</v>
      </c>
      <c r="M74" s="13">
        <v>0.0</v>
      </c>
      <c r="N74" s="13">
        <v>2.0</v>
      </c>
      <c r="O74" s="13">
        <v>1.0</v>
      </c>
      <c r="P74" s="13">
        <v>1.0</v>
      </c>
      <c r="Q74" s="13">
        <v>0.0</v>
      </c>
      <c r="R74" s="13">
        <v>0.0</v>
      </c>
      <c r="S74" s="13">
        <v>0.0</v>
      </c>
      <c r="T74" s="6">
        <f t="shared" si="20"/>
        <v>7</v>
      </c>
    </row>
    <row r="75" ht="12.75" customHeight="1">
      <c r="A75" s="18"/>
      <c r="B75" s="51"/>
      <c r="C75" s="52" t="s">
        <v>64</v>
      </c>
      <c r="D75" s="53"/>
      <c r="E75" s="13">
        <v>0.0</v>
      </c>
      <c r="F75" s="13">
        <v>0.0</v>
      </c>
      <c r="G75" s="13">
        <v>0.0</v>
      </c>
      <c r="H75" s="13">
        <v>0.0</v>
      </c>
      <c r="I75" s="13">
        <v>1.0</v>
      </c>
      <c r="J75" s="13">
        <v>1.0</v>
      </c>
      <c r="K75" s="13">
        <v>0.0</v>
      </c>
      <c r="L75" s="13">
        <v>1.0</v>
      </c>
      <c r="M75" s="13">
        <v>2.0</v>
      </c>
      <c r="N75" s="13">
        <v>2.0</v>
      </c>
      <c r="O75" s="13">
        <v>0.0</v>
      </c>
      <c r="P75" s="13">
        <v>1.0</v>
      </c>
      <c r="Q75" s="13">
        <v>1.0</v>
      </c>
      <c r="R75" s="13">
        <v>1.0</v>
      </c>
      <c r="S75" s="13">
        <v>0.0</v>
      </c>
      <c r="T75" s="6">
        <f t="shared" si="20"/>
        <v>10</v>
      </c>
    </row>
    <row r="76" ht="12.75" customHeight="1">
      <c r="A76" s="18"/>
      <c r="B76" s="51"/>
      <c r="C76" s="52" t="s">
        <v>65</v>
      </c>
      <c r="D76" s="53"/>
      <c r="E76" s="13">
        <v>0.0</v>
      </c>
      <c r="F76" s="13">
        <v>0.0</v>
      </c>
      <c r="G76" s="13">
        <v>0.0</v>
      </c>
      <c r="H76" s="13">
        <v>1.0</v>
      </c>
      <c r="I76" s="13">
        <v>1.0</v>
      </c>
      <c r="J76" s="13">
        <v>4.0</v>
      </c>
      <c r="K76" s="13">
        <v>0.0</v>
      </c>
      <c r="L76" s="13">
        <v>0.0</v>
      </c>
      <c r="M76" s="13">
        <v>0.0</v>
      </c>
      <c r="N76" s="13">
        <v>0.0</v>
      </c>
      <c r="O76" s="13">
        <v>0.0</v>
      </c>
      <c r="P76" s="13">
        <v>1.0</v>
      </c>
      <c r="Q76" s="13">
        <v>12.0</v>
      </c>
      <c r="R76" s="13">
        <v>1.0</v>
      </c>
      <c r="S76" s="13">
        <v>0.0</v>
      </c>
      <c r="T76" s="6">
        <f t="shared" si="20"/>
        <v>20</v>
      </c>
    </row>
    <row r="77" ht="12.75" customHeight="1">
      <c r="A77" s="18"/>
      <c r="B77" s="51"/>
      <c r="C77" s="52" t="s">
        <v>66</v>
      </c>
      <c r="D77" s="53"/>
      <c r="E77" s="13">
        <v>0.0</v>
      </c>
      <c r="F77" s="13">
        <v>0.0</v>
      </c>
      <c r="G77" s="13">
        <v>0.0</v>
      </c>
      <c r="H77" s="13">
        <v>0.0</v>
      </c>
      <c r="I77" s="13">
        <v>0.0</v>
      </c>
      <c r="J77" s="13">
        <v>0.0</v>
      </c>
      <c r="K77" s="13">
        <v>1.0</v>
      </c>
      <c r="L77" s="13">
        <v>0.0</v>
      </c>
      <c r="M77" s="13">
        <v>0.0</v>
      </c>
      <c r="N77" s="13">
        <v>1.0</v>
      </c>
      <c r="O77" s="13">
        <v>0.0</v>
      </c>
      <c r="P77" s="13">
        <v>1.0</v>
      </c>
      <c r="Q77" s="13">
        <v>0.0</v>
      </c>
      <c r="R77" s="13">
        <v>0.0</v>
      </c>
      <c r="S77" s="13">
        <v>0.0</v>
      </c>
      <c r="T77" s="6">
        <f t="shared" si="20"/>
        <v>3</v>
      </c>
    </row>
    <row r="78" ht="12.75" customHeight="1">
      <c r="A78" s="18"/>
      <c r="B78" s="51"/>
      <c r="C78" s="52" t="s">
        <v>67</v>
      </c>
      <c r="D78" s="53"/>
      <c r="E78" s="13">
        <v>0.0</v>
      </c>
      <c r="F78" s="13">
        <v>0.0</v>
      </c>
      <c r="G78" s="13">
        <v>1.0</v>
      </c>
      <c r="H78" s="13">
        <v>0.0</v>
      </c>
      <c r="I78" s="13">
        <v>0.0</v>
      </c>
      <c r="J78" s="13">
        <v>0.0</v>
      </c>
      <c r="K78" s="13">
        <v>0.0</v>
      </c>
      <c r="L78" s="13">
        <v>0.0</v>
      </c>
      <c r="M78" s="13">
        <v>0.0</v>
      </c>
      <c r="N78" s="13">
        <v>0.0</v>
      </c>
      <c r="O78" s="13">
        <v>0.0</v>
      </c>
      <c r="P78" s="13">
        <v>0.0</v>
      </c>
      <c r="Q78" s="13">
        <v>0.0</v>
      </c>
      <c r="R78" s="13">
        <v>0.0</v>
      </c>
      <c r="S78" s="13">
        <v>0.0</v>
      </c>
      <c r="T78" s="6">
        <f t="shared" si="20"/>
        <v>1</v>
      </c>
    </row>
    <row r="79" ht="12.75" customHeight="1">
      <c r="A79" s="13" t="s">
        <v>15</v>
      </c>
      <c r="B79" s="49" t="s">
        <v>46</v>
      </c>
      <c r="C79" s="8"/>
      <c r="D79" s="9"/>
      <c r="E79" s="60">
        <f t="shared" ref="E79:S79" si="21">SUM(E72:E78)</f>
        <v>3</v>
      </c>
      <c r="F79" s="60">
        <f t="shared" si="21"/>
        <v>45</v>
      </c>
      <c r="G79" s="60">
        <f t="shared" si="21"/>
        <v>49</v>
      </c>
      <c r="H79" s="60">
        <f t="shared" si="21"/>
        <v>14</v>
      </c>
      <c r="I79" s="60">
        <f t="shared" si="21"/>
        <v>20</v>
      </c>
      <c r="J79" s="60">
        <f t="shared" si="21"/>
        <v>13</v>
      </c>
      <c r="K79" s="60">
        <f t="shared" si="21"/>
        <v>9</v>
      </c>
      <c r="L79" s="60">
        <f t="shared" si="21"/>
        <v>7</v>
      </c>
      <c r="M79" s="60">
        <f t="shared" si="21"/>
        <v>15</v>
      </c>
      <c r="N79" s="60">
        <f t="shared" si="21"/>
        <v>38</v>
      </c>
      <c r="O79" s="60">
        <f t="shared" si="21"/>
        <v>18</v>
      </c>
      <c r="P79" s="60">
        <f t="shared" si="21"/>
        <v>82</v>
      </c>
      <c r="Q79" s="60">
        <f t="shared" si="21"/>
        <v>160</v>
      </c>
      <c r="R79" s="60">
        <f t="shared" si="21"/>
        <v>49</v>
      </c>
      <c r="S79" s="60">
        <f t="shared" si="21"/>
        <v>11</v>
      </c>
      <c r="T79" s="6">
        <f t="shared" si="20"/>
        <v>533</v>
      </c>
    </row>
    <row r="80" ht="12.75" customHeight="1">
      <c r="A80" s="54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6"/>
    </row>
    <row r="81" ht="12.75" customHeight="1">
      <c r="A81" s="32" t="s">
        <v>37</v>
      </c>
      <c r="B81" s="49" t="s">
        <v>68</v>
      </c>
      <c r="C81" s="50" t="s">
        <v>69</v>
      </c>
      <c r="D81" s="9"/>
      <c r="E81" s="13">
        <v>0.0</v>
      </c>
      <c r="F81" s="13">
        <v>1.0</v>
      </c>
      <c r="G81" s="13">
        <v>1.0</v>
      </c>
      <c r="H81" s="13">
        <v>0.0</v>
      </c>
      <c r="I81" s="13">
        <v>0.0</v>
      </c>
      <c r="J81" s="13">
        <v>1.0</v>
      </c>
      <c r="K81" s="13">
        <v>0.0</v>
      </c>
      <c r="L81" s="13">
        <v>0.0</v>
      </c>
      <c r="M81" s="13">
        <v>0.0</v>
      </c>
      <c r="N81" s="13">
        <v>0.0</v>
      </c>
      <c r="O81" s="13">
        <v>0.0</v>
      </c>
      <c r="P81" s="13">
        <v>0.0</v>
      </c>
      <c r="Q81" s="13">
        <v>0.0</v>
      </c>
      <c r="R81" s="13">
        <v>0.0</v>
      </c>
      <c r="S81" s="13">
        <v>0.0</v>
      </c>
      <c r="T81" s="6">
        <f t="shared" ref="T81:T88" si="22">SUM(E81:S81)</f>
        <v>3</v>
      </c>
    </row>
    <row r="82" ht="12.75" customHeight="1">
      <c r="A82" s="32" t="s">
        <v>39</v>
      </c>
      <c r="B82" s="51"/>
      <c r="C82" s="52" t="s">
        <v>70</v>
      </c>
      <c r="D82" s="53"/>
      <c r="E82" s="13">
        <v>62.0</v>
      </c>
      <c r="F82" s="13">
        <v>13.0</v>
      </c>
      <c r="G82" s="13">
        <v>6.0</v>
      </c>
      <c r="H82" s="13">
        <v>8.0</v>
      </c>
      <c r="I82" s="13">
        <v>14.0</v>
      </c>
      <c r="J82" s="13">
        <v>9.0</v>
      </c>
      <c r="K82" s="13">
        <v>12.0</v>
      </c>
      <c r="L82" s="13">
        <v>3.0</v>
      </c>
      <c r="M82" s="13">
        <v>3.0</v>
      </c>
      <c r="N82" s="13">
        <v>13.0</v>
      </c>
      <c r="O82" s="13">
        <v>11.0</v>
      </c>
      <c r="P82" s="13">
        <v>7.0</v>
      </c>
      <c r="Q82" s="13">
        <v>43.0</v>
      </c>
      <c r="R82" s="13">
        <v>11.0</v>
      </c>
      <c r="S82" s="13">
        <v>2.0</v>
      </c>
      <c r="T82" s="6">
        <f t="shared" si="22"/>
        <v>217</v>
      </c>
    </row>
    <row r="83" ht="12.75" customHeight="1">
      <c r="A83" s="18"/>
      <c r="B83" s="51"/>
      <c r="C83" s="52" t="s">
        <v>71</v>
      </c>
      <c r="D83" s="53"/>
      <c r="E83" s="13">
        <v>2.0</v>
      </c>
      <c r="F83" s="13">
        <v>0.0</v>
      </c>
      <c r="G83" s="13">
        <v>0.0</v>
      </c>
      <c r="H83" s="13">
        <v>1.0</v>
      </c>
      <c r="I83" s="13">
        <v>0.0</v>
      </c>
      <c r="J83" s="13">
        <v>0.0</v>
      </c>
      <c r="K83" s="13">
        <v>0.0</v>
      </c>
      <c r="L83" s="13">
        <v>0.0</v>
      </c>
      <c r="M83" s="13">
        <v>0.0</v>
      </c>
      <c r="N83" s="13">
        <v>0.0</v>
      </c>
      <c r="O83" s="13">
        <v>1.0</v>
      </c>
      <c r="P83" s="13">
        <v>0.0</v>
      </c>
      <c r="Q83" s="13">
        <v>0.0</v>
      </c>
      <c r="R83" s="13">
        <v>0.0</v>
      </c>
      <c r="S83" s="13">
        <v>0.0</v>
      </c>
      <c r="T83" s="6">
        <f t="shared" si="22"/>
        <v>4</v>
      </c>
    </row>
    <row r="84" ht="12.75" customHeight="1">
      <c r="A84" s="18"/>
      <c r="B84" s="51"/>
      <c r="C84" s="52" t="s">
        <v>72</v>
      </c>
      <c r="D84" s="53"/>
      <c r="E84" s="13">
        <v>2.0</v>
      </c>
      <c r="F84" s="13">
        <v>0.0</v>
      </c>
      <c r="G84" s="13">
        <v>0.0</v>
      </c>
      <c r="H84" s="13">
        <v>0.0</v>
      </c>
      <c r="I84" s="13">
        <v>0.0</v>
      </c>
      <c r="J84" s="13">
        <v>0.0</v>
      </c>
      <c r="K84" s="13">
        <v>2.0</v>
      </c>
      <c r="L84" s="13">
        <v>1.0</v>
      </c>
      <c r="M84" s="13">
        <v>0.0</v>
      </c>
      <c r="N84" s="13">
        <v>0.0</v>
      </c>
      <c r="O84" s="13">
        <v>1.0</v>
      </c>
      <c r="P84" s="13">
        <v>0.0</v>
      </c>
      <c r="Q84" s="13">
        <v>0.0</v>
      </c>
      <c r="R84" s="13">
        <v>0.0</v>
      </c>
      <c r="S84" s="13">
        <v>0.0</v>
      </c>
      <c r="T84" s="6">
        <f t="shared" si="22"/>
        <v>6</v>
      </c>
    </row>
    <row r="85" ht="12.75" customHeight="1">
      <c r="A85" s="18"/>
      <c r="B85" s="51"/>
      <c r="C85" s="52" t="s">
        <v>73</v>
      </c>
      <c r="D85" s="53"/>
      <c r="E85" s="13">
        <v>0.0</v>
      </c>
      <c r="F85" s="13">
        <v>0.0</v>
      </c>
      <c r="G85" s="13">
        <v>0.0</v>
      </c>
      <c r="H85" s="13">
        <v>0.0</v>
      </c>
      <c r="I85" s="13">
        <v>1.0</v>
      </c>
      <c r="J85" s="13">
        <v>0.0</v>
      </c>
      <c r="K85" s="13">
        <v>0.0</v>
      </c>
      <c r="L85" s="13">
        <v>0.0</v>
      </c>
      <c r="M85" s="13">
        <v>0.0</v>
      </c>
      <c r="N85" s="13">
        <v>0.0</v>
      </c>
      <c r="O85" s="13">
        <v>0.0</v>
      </c>
      <c r="P85" s="13">
        <v>0.0</v>
      </c>
      <c r="Q85" s="13">
        <v>0.0</v>
      </c>
      <c r="R85" s="13">
        <v>0.0</v>
      </c>
      <c r="S85" s="13">
        <v>0.0</v>
      </c>
      <c r="T85" s="6">
        <f t="shared" si="22"/>
        <v>1</v>
      </c>
    </row>
    <row r="86" ht="12.75" customHeight="1">
      <c r="A86" s="18"/>
      <c r="B86" s="51"/>
      <c r="C86" s="52" t="s">
        <v>74</v>
      </c>
      <c r="D86" s="53"/>
      <c r="E86" s="13">
        <v>0.0</v>
      </c>
      <c r="F86" s="13">
        <v>0.0</v>
      </c>
      <c r="G86" s="13">
        <v>0.0</v>
      </c>
      <c r="H86" s="13">
        <v>0.0</v>
      </c>
      <c r="I86" s="13">
        <v>0.0</v>
      </c>
      <c r="J86" s="13">
        <v>0.0</v>
      </c>
      <c r="K86" s="13">
        <v>0.0</v>
      </c>
      <c r="L86" s="13">
        <v>0.0</v>
      </c>
      <c r="M86" s="13">
        <v>0.0</v>
      </c>
      <c r="N86" s="13">
        <v>0.0</v>
      </c>
      <c r="O86" s="13">
        <v>0.0</v>
      </c>
      <c r="P86" s="13">
        <v>3.0</v>
      </c>
      <c r="Q86" s="13">
        <v>2.0</v>
      </c>
      <c r="R86" s="13">
        <v>1.0</v>
      </c>
      <c r="S86" s="13">
        <v>0.0</v>
      </c>
      <c r="T86" s="6">
        <f t="shared" si="22"/>
        <v>6</v>
      </c>
    </row>
    <row r="87" ht="12.75" customHeight="1">
      <c r="A87" s="18"/>
      <c r="B87" s="51"/>
      <c r="C87" s="52" t="s">
        <v>75</v>
      </c>
      <c r="D87" s="53"/>
      <c r="E87" s="13">
        <v>1.0</v>
      </c>
      <c r="F87" s="13">
        <v>0.0</v>
      </c>
      <c r="G87" s="13">
        <v>0.0</v>
      </c>
      <c r="H87" s="13">
        <v>0.0</v>
      </c>
      <c r="I87" s="13">
        <v>0.0</v>
      </c>
      <c r="J87" s="13">
        <v>0.0</v>
      </c>
      <c r="K87" s="13">
        <v>0.0</v>
      </c>
      <c r="L87" s="13">
        <v>0.0</v>
      </c>
      <c r="M87" s="13">
        <v>0.0</v>
      </c>
      <c r="N87" s="13">
        <v>0.0</v>
      </c>
      <c r="O87" s="13">
        <v>0.0</v>
      </c>
      <c r="P87" s="13">
        <v>0.0</v>
      </c>
      <c r="Q87" s="13">
        <v>1.0</v>
      </c>
      <c r="R87" s="13">
        <v>0.0</v>
      </c>
      <c r="S87" s="13">
        <v>0.0</v>
      </c>
      <c r="T87" s="6">
        <f t="shared" si="22"/>
        <v>2</v>
      </c>
    </row>
    <row r="88" ht="12.75" customHeight="1">
      <c r="A88" s="13" t="s">
        <v>15</v>
      </c>
      <c r="B88" s="49" t="s">
        <v>46</v>
      </c>
      <c r="C88" s="8"/>
      <c r="D88" s="9"/>
      <c r="E88" s="60">
        <f t="shared" ref="E88:S88" si="23">SUM(E81:E87)</f>
        <v>67</v>
      </c>
      <c r="F88" s="60">
        <f t="shared" si="23"/>
        <v>14</v>
      </c>
      <c r="G88" s="60">
        <f t="shared" si="23"/>
        <v>7</v>
      </c>
      <c r="H88" s="60">
        <f t="shared" si="23"/>
        <v>9</v>
      </c>
      <c r="I88" s="60">
        <f t="shared" si="23"/>
        <v>15</v>
      </c>
      <c r="J88" s="60">
        <f t="shared" si="23"/>
        <v>10</v>
      </c>
      <c r="K88" s="60">
        <f t="shared" si="23"/>
        <v>14</v>
      </c>
      <c r="L88" s="60">
        <f t="shared" si="23"/>
        <v>4</v>
      </c>
      <c r="M88" s="60">
        <f t="shared" si="23"/>
        <v>3</v>
      </c>
      <c r="N88" s="60">
        <f t="shared" si="23"/>
        <v>13</v>
      </c>
      <c r="O88" s="60">
        <f t="shared" si="23"/>
        <v>13</v>
      </c>
      <c r="P88" s="60">
        <f t="shared" si="23"/>
        <v>10</v>
      </c>
      <c r="Q88" s="60">
        <f t="shared" si="23"/>
        <v>46</v>
      </c>
      <c r="R88" s="60">
        <f t="shared" si="23"/>
        <v>12</v>
      </c>
      <c r="S88" s="60">
        <f t="shared" si="23"/>
        <v>2</v>
      </c>
      <c r="T88" s="6">
        <f t="shared" si="22"/>
        <v>239</v>
      </c>
    </row>
    <row r="89" ht="12.75" customHeight="1">
      <c r="A89" s="54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6"/>
    </row>
    <row r="90" ht="12.75" customHeight="1">
      <c r="A90" s="32" t="s">
        <v>37</v>
      </c>
      <c r="B90" s="49" t="s">
        <v>76</v>
      </c>
      <c r="C90" s="50" t="s">
        <v>77</v>
      </c>
      <c r="D90" s="9"/>
      <c r="E90" s="13">
        <v>0.0</v>
      </c>
      <c r="F90" s="13">
        <v>1.0</v>
      </c>
      <c r="G90" s="13">
        <v>3.0</v>
      </c>
      <c r="H90" s="13">
        <v>0.0</v>
      </c>
      <c r="I90" s="13">
        <v>3.0</v>
      </c>
      <c r="J90" s="13">
        <v>0.0</v>
      </c>
      <c r="K90" s="13">
        <v>1.0</v>
      </c>
      <c r="L90" s="13">
        <v>2.0</v>
      </c>
      <c r="M90" s="13">
        <v>1.0</v>
      </c>
      <c r="N90" s="13">
        <v>0.0</v>
      </c>
      <c r="O90" s="13">
        <v>0.0</v>
      </c>
      <c r="P90" s="13">
        <v>0.0</v>
      </c>
      <c r="Q90" s="13">
        <v>1.0</v>
      </c>
      <c r="R90" s="13">
        <v>2.0</v>
      </c>
      <c r="S90" s="13">
        <v>0.0</v>
      </c>
      <c r="T90" s="6">
        <f t="shared" ref="T90:T92" si="24">SUM(E90:S90)</f>
        <v>14</v>
      </c>
    </row>
    <row r="91" ht="12.75" customHeight="1">
      <c r="A91" s="32" t="s">
        <v>39</v>
      </c>
      <c r="B91" s="51"/>
      <c r="C91" s="52" t="s">
        <v>78</v>
      </c>
      <c r="D91" s="61"/>
      <c r="E91" s="13">
        <v>0.0</v>
      </c>
      <c r="F91" s="13">
        <v>1.0</v>
      </c>
      <c r="G91" s="13">
        <v>0.0</v>
      </c>
      <c r="H91" s="13">
        <v>0.0</v>
      </c>
      <c r="I91" s="13">
        <v>0.0</v>
      </c>
      <c r="J91" s="13">
        <v>0.0</v>
      </c>
      <c r="K91" s="13">
        <v>0.0</v>
      </c>
      <c r="L91" s="13">
        <v>0.0</v>
      </c>
      <c r="M91" s="13">
        <v>1.0</v>
      </c>
      <c r="N91" s="13">
        <v>0.0</v>
      </c>
      <c r="O91" s="13">
        <v>0.0</v>
      </c>
      <c r="P91" s="13">
        <v>0.0</v>
      </c>
      <c r="Q91" s="13">
        <v>0.0</v>
      </c>
      <c r="R91" s="13">
        <v>0.0</v>
      </c>
      <c r="S91" s="13">
        <v>0.0</v>
      </c>
      <c r="T91" s="6">
        <f t="shared" si="24"/>
        <v>2</v>
      </c>
    </row>
    <row r="92" ht="12.75" customHeight="1">
      <c r="A92" s="13" t="s">
        <v>15</v>
      </c>
      <c r="B92" s="49" t="s">
        <v>46</v>
      </c>
      <c r="C92" s="8"/>
      <c r="D92" s="9"/>
      <c r="E92" s="60">
        <f t="shared" ref="E92:S92" si="25">SUM(E90:E91)</f>
        <v>0</v>
      </c>
      <c r="F92" s="60">
        <f t="shared" si="25"/>
        <v>2</v>
      </c>
      <c r="G92" s="60">
        <f t="shared" si="25"/>
        <v>3</v>
      </c>
      <c r="H92" s="60">
        <f t="shared" si="25"/>
        <v>0</v>
      </c>
      <c r="I92" s="60">
        <f t="shared" si="25"/>
        <v>3</v>
      </c>
      <c r="J92" s="60">
        <f t="shared" si="25"/>
        <v>0</v>
      </c>
      <c r="K92" s="60">
        <f t="shared" si="25"/>
        <v>1</v>
      </c>
      <c r="L92" s="60">
        <f t="shared" si="25"/>
        <v>2</v>
      </c>
      <c r="M92" s="60">
        <f t="shared" si="25"/>
        <v>2</v>
      </c>
      <c r="N92" s="60">
        <f t="shared" si="25"/>
        <v>0</v>
      </c>
      <c r="O92" s="60">
        <f t="shared" si="25"/>
        <v>0</v>
      </c>
      <c r="P92" s="60">
        <f t="shared" si="25"/>
        <v>0</v>
      </c>
      <c r="Q92" s="60">
        <f t="shared" si="25"/>
        <v>1</v>
      </c>
      <c r="R92" s="60">
        <f t="shared" si="25"/>
        <v>2</v>
      </c>
      <c r="S92" s="60">
        <f t="shared" si="25"/>
        <v>0</v>
      </c>
      <c r="T92" s="6">
        <f t="shared" si="24"/>
        <v>16</v>
      </c>
    </row>
    <row r="93" ht="12.75" customHeight="1">
      <c r="A93" s="54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6"/>
    </row>
    <row r="94" ht="12.75" customHeight="1">
      <c r="A94" s="32" t="s">
        <v>37</v>
      </c>
      <c r="B94" s="49" t="s">
        <v>79</v>
      </c>
      <c r="C94" s="50" t="s">
        <v>80</v>
      </c>
      <c r="D94" s="9"/>
      <c r="E94" s="13">
        <v>0.0</v>
      </c>
      <c r="F94" s="13">
        <v>0.0</v>
      </c>
      <c r="G94" s="13">
        <v>0.0</v>
      </c>
      <c r="H94" s="13">
        <v>4.0</v>
      </c>
      <c r="I94" s="13">
        <v>2.0</v>
      </c>
      <c r="J94" s="13">
        <v>5.0</v>
      </c>
      <c r="K94" s="13">
        <v>4.0</v>
      </c>
      <c r="L94" s="13">
        <v>2.0</v>
      </c>
      <c r="M94" s="13">
        <v>0.0</v>
      </c>
      <c r="N94" s="13">
        <v>5.0</v>
      </c>
      <c r="O94" s="13">
        <v>1.0</v>
      </c>
      <c r="P94" s="13">
        <v>1.0</v>
      </c>
      <c r="Q94" s="13">
        <v>0.0</v>
      </c>
      <c r="R94" s="13">
        <v>2.0</v>
      </c>
      <c r="S94" s="13">
        <v>1.0</v>
      </c>
      <c r="T94" s="6">
        <f t="shared" ref="T94:T101" si="26">SUM(E94:S94)</f>
        <v>27</v>
      </c>
    </row>
    <row r="95" ht="12.75" customHeight="1">
      <c r="A95" s="32" t="s">
        <v>39</v>
      </c>
      <c r="B95" s="51"/>
      <c r="C95" s="52" t="s">
        <v>81</v>
      </c>
      <c r="D95" s="53"/>
      <c r="E95" s="13">
        <v>0.0</v>
      </c>
      <c r="F95" s="13">
        <v>0.0</v>
      </c>
      <c r="G95" s="13">
        <v>1.0</v>
      </c>
      <c r="H95" s="13">
        <v>10.0</v>
      </c>
      <c r="I95" s="13">
        <v>5.0</v>
      </c>
      <c r="J95" s="13">
        <v>12.0</v>
      </c>
      <c r="K95" s="13">
        <v>13.0</v>
      </c>
      <c r="L95" s="13">
        <v>0.0</v>
      </c>
      <c r="M95" s="13">
        <v>0.0</v>
      </c>
      <c r="N95" s="13">
        <v>16.0</v>
      </c>
      <c r="O95" s="13">
        <v>15.0</v>
      </c>
      <c r="P95" s="13">
        <v>11.0</v>
      </c>
      <c r="Q95" s="13">
        <v>0.0</v>
      </c>
      <c r="R95" s="13">
        <v>29.0</v>
      </c>
      <c r="S95" s="13">
        <v>1.0</v>
      </c>
      <c r="T95" s="6">
        <f t="shared" si="26"/>
        <v>113</v>
      </c>
    </row>
    <row r="96" ht="12.75" customHeight="1">
      <c r="A96" s="32"/>
      <c r="B96" s="51"/>
      <c r="C96" s="52" t="s">
        <v>82</v>
      </c>
      <c r="D96" s="53"/>
      <c r="E96" s="13">
        <v>1.0</v>
      </c>
      <c r="F96" s="13">
        <v>0.0</v>
      </c>
      <c r="G96" s="13">
        <v>0.0</v>
      </c>
      <c r="H96" s="13">
        <v>0.0</v>
      </c>
      <c r="I96" s="13">
        <v>1.0</v>
      </c>
      <c r="J96" s="13">
        <v>0.0</v>
      </c>
      <c r="K96" s="13">
        <v>0.0</v>
      </c>
      <c r="L96" s="13">
        <v>0.0</v>
      </c>
      <c r="M96" s="13">
        <v>0.0</v>
      </c>
      <c r="N96" s="13">
        <v>0.0</v>
      </c>
      <c r="O96" s="13">
        <v>0.0</v>
      </c>
      <c r="P96" s="13">
        <v>1.0</v>
      </c>
      <c r="Q96" s="13">
        <v>0.0</v>
      </c>
      <c r="R96" s="13">
        <v>0.0</v>
      </c>
      <c r="S96" s="13">
        <v>0.0</v>
      </c>
      <c r="T96" s="6">
        <f t="shared" si="26"/>
        <v>3</v>
      </c>
    </row>
    <row r="97" ht="12.75" customHeight="1">
      <c r="A97" s="32"/>
      <c r="B97" s="51"/>
      <c r="C97" s="52" t="s">
        <v>83</v>
      </c>
      <c r="D97" s="53"/>
      <c r="E97" s="13">
        <v>0.0</v>
      </c>
      <c r="F97" s="13">
        <v>0.0</v>
      </c>
      <c r="G97" s="13">
        <v>0.0</v>
      </c>
      <c r="H97" s="13">
        <v>0.0</v>
      </c>
      <c r="I97" s="13">
        <v>0.0</v>
      </c>
      <c r="J97" s="13">
        <v>0.0</v>
      </c>
      <c r="K97" s="72">
        <v>1.0</v>
      </c>
      <c r="L97" s="13">
        <v>0.0</v>
      </c>
      <c r="M97" s="13">
        <v>0.0</v>
      </c>
      <c r="N97" s="13">
        <v>0.0</v>
      </c>
      <c r="O97" s="13">
        <v>1.0</v>
      </c>
      <c r="P97" s="13">
        <v>0.0</v>
      </c>
      <c r="Q97" s="13">
        <v>0.0</v>
      </c>
      <c r="R97" s="13">
        <v>0.0</v>
      </c>
      <c r="S97" s="13">
        <v>0.0</v>
      </c>
      <c r="T97" s="6">
        <f t="shared" si="26"/>
        <v>2</v>
      </c>
    </row>
    <row r="98" ht="12.75" customHeight="1">
      <c r="A98" s="32"/>
      <c r="B98" s="51"/>
      <c r="C98" s="52" t="s">
        <v>84</v>
      </c>
      <c r="D98" s="53"/>
      <c r="E98" s="13">
        <v>0.0</v>
      </c>
      <c r="F98" s="13">
        <v>0.0</v>
      </c>
      <c r="G98" s="13">
        <v>0.0</v>
      </c>
      <c r="H98" s="13">
        <v>0.0</v>
      </c>
      <c r="I98" s="13">
        <v>0.0</v>
      </c>
      <c r="J98" s="13">
        <v>0.0</v>
      </c>
      <c r="K98" s="13">
        <v>0.0</v>
      </c>
      <c r="L98" s="13">
        <v>0.0</v>
      </c>
      <c r="M98" s="13">
        <v>0.0</v>
      </c>
      <c r="N98" s="13">
        <v>0.0</v>
      </c>
      <c r="O98" s="13">
        <v>0.0</v>
      </c>
      <c r="P98" s="13">
        <v>0.0</v>
      </c>
      <c r="Q98" s="13">
        <v>0.0</v>
      </c>
      <c r="R98" s="13">
        <v>0.0</v>
      </c>
      <c r="S98" s="13">
        <v>0.0</v>
      </c>
      <c r="T98" s="6">
        <f t="shared" si="26"/>
        <v>0</v>
      </c>
    </row>
    <row r="99" ht="12.75" customHeight="1">
      <c r="A99" s="32"/>
      <c r="B99" s="51"/>
      <c r="C99" s="52" t="s">
        <v>85</v>
      </c>
      <c r="D99" s="53"/>
      <c r="E99" s="13">
        <v>0.0</v>
      </c>
      <c r="F99" s="13">
        <v>0.0</v>
      </c>
      <c r="G99" s="13">
        <v>2.0</v>
      </c>
      <c r="H99" s="13">
        <v>0.0</v>
      </c>
      <c r="I99" s="13">
        <v>0.0</v>
      </c>
      <c r="J99" s="13">
        <v>0.0</v>
      </c>
      <c r="K99" s="13">
        <v>0.0</v>
      </c>
      <c r="L99" s="13">
        <v>0.0</v>
      </c>
      <c r="M99" s="13">
        <v>0.0</v>
      </c>
      <c r="N99" s="13">
        <v>0.0</v>
      </c>
      <c r="O99" s="13">
        <v>0.0</v>
      </c>
      <c r="P99" s="13">
        <v>0.0</v>
      </c>
      <c r="Q99" s="13">
        <v>0.0</v>
      </c>
      <c r="R99" s="13">
        <v>0.0</v>
      </c>
      <c r="S99" s="13">
        <v>0.0</v>
      </c>
      <c r="T99" s="6">
        <f t="shared" si="26"/>
        <v>2</v>
      </c>
    </row>
    <row r="100" ht="12.75" customHeight="1">
      <c r="A100" s="32"/>
      <c r="B100" s="51"/>
      <c r="C100" s="52" t="s">
        <v>86</v>
      </c>
      <c r="D100" s="53"/>
      <c r="E100" s="13">
        <v>0.0</v>
      </c>
      <c r="F100" s="13">
        <v>0.0</v>
      </c>
      <c r="G100" s="13">
        <v>0.0</v>
      </c>
      <c r="H100" s="13">
        <v>0.0</v>
      </c>
      <c r="I100" s="13">
        <v>0.0</v>
      </c>
      <c r="J100" s="13">
        <v>0.0</v>
      </c>
      <c r="K100" s="13">
        <v>0.0</v>
      </c>
      <c r="L100" s="13">
        <v>0.0</v>
      </c>
      <c r="M100" s="13">
        <v>0.0</v>
      </c>
      <c r="N100" s="13">
        <v>0.0</v>
      </c>
      <c r="O100" s="13">
        <v>0.0</v>
      </c>
      <c r="P100" s="13">
        <v>0.0</v>
      </c>
      <c r="Q100" s="13">
        <v>0.0</v>
      </c>
      <c r="R100" s="13">
        <v>0.0</v>
      </c>
      <c r="S100" s="13">
        <v>0.0</v>
      </c>
      <c r="T100" s="6">
        <f t="shared" si="26"/>
        <v>0</v>
      </c>
    </row>
    <row r="101" ht="12.75" customHeight="1">
      <c r="A101" s="13" t="s">
        <v>15</v>
      </c>
      <c r="B101" s="49" t="s">
        <v>46</v>
      </c>
      <c r="C101" s="8"/>
      <c r="D101" s="9"/>
      <c r="E101" s="60">
        <f t="shared" ref="E101:S101" si="27">SUM(E94:E100)</f>
        <v>1</v>
      </c>
      <c r="F101" s="60">
        <f t="shared" si="27"/>
        <v>0</v>
      </c>
      <c r="G101" s="60">
        <f t="shared" si="27"/>
        <v>3</v>
      </c>
      <c r="H101" s="60">
        <f t="shared" si="27"/>
        <v>14</v>
      </c>
      <c r="I101" s="60">
        <f t="shared" si="27"/>
        <v>8</v>
      </c>
      <c r="J101" s="60">
        <f t="shared" si="27"/>
        <v>17</v>
      </c>
      <c r="K101" s="60">
        <f t="shared" si="27"/>
        <v>18</v>
      </c>
      <c r="L101" s="60">
        <f t="shared" si="27"/>
        <v>2</v>
      </c>
      <c r="M101" s="60">
        <f t="shared" si="27"/>
        <v>0</v>
      </c>
      <c r="N101" s="60">
        <f t="shared" si="27"/>
        <v>21</v>
      </c>
      <c r="O101" s="60">
        <f t="shared" si="27"/>
        <v>17</v>
      </c>
      <c r="P101" s="60">
        <f t="shared" si="27"/>
        <v>13</v>
      </c>
      <c r="Q101" s="60">
        <f t="shared" si="27"/>
        <v>0</v>
      </c>
      <c r="R101" s="60">
        <f t="shared" si="27"/>
        <v>31</v>
      </c>
      <c r="S101" s="60">
        <f t="shared" si="27"/>
        <v>2</v>
      </c>
      <c r="T101" s="6">
        <f t="shared" si="26"/>
        <v>147</v>
      </c>
    </row>
    <row r="102" ht="12.75" customHeight="1">
      <c r="A102" s="54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6"/>
    </row>
    <row r="103" ht="12.75" customHeight="1">
      <c r="A103" s="32" t="s">
        <v>37</v>
      </c>
      <c r="B103" s="49" t="s">
        <v>87</v>
      </c>
      <c r="C103" s="50" t="s">
        <v>88</v>
      </c>
      <c r="D103" s="9"/>
      <c r="E103" s="13">
        <v>9.0</v>
      </c>
      <c r="F103" s="13">
        <v>13.0</v>
      </c>
      <c r="G103" s="13">
        <v>11.0</v>
      </c>
      <c r="H103" s="13">
        <v>0.0</v>
      </c>
      <c r="I103" s="13">
        <v>0.0</v>
      </c>
      <c r="J103" s="13">
        <v>0.0</v>
      </c>
      <c r="K103" s="13">
        <v>16.0</v>
      </c>
      <c r="L103" s="13">
        <v>9.0</v>
      </c>
      <c r="M103" s="13">
        <v>6.0</v>
      </c>
      <c r="N103" s="13">
        <v>14.0</v>
      </c>
      <c r="O103" s="13">
        <v>0.0</v>
      </c>
      <c r="P103" s="13">
        <v>0.0</v>
      </c>
      <c r="Q103" s="13">
        <v>0.0</v>
      </c>
      <c r="R103" s="13">
        <v>3.0</v>
      </c>
      <c r="S103" s="13">
        <v>9.0</v>
      </c>
      <c r="T103" s="6">
        <f t="shared" ref="T103:T110" si="28">SUM(E103:S103)</f>
        <v>90</v>
      </c>
    </row>
    <row r="104" ht="12.75" customHeight="1">
      <c r="A104" s="32" t="s">
        <v>39</v>
      </c>
      <c r="B104" s="51"/>
      <c r="C104" s="52" t="s">
        <v>89</v>
      </c>
      <c r="D104" s="53"/>
      <c r="E104" s="13">
        <v>72.0</v>
      </c>
      <c r="F104" s="13">
        <v>67.0</v>
      </c>
      <c r="G104" s="13">
        <v>47.0</v>
      </c>
      <c r="H104" s="13">
        <v>2.0</v>
      </c>
      <c r="I104" s="13">
        <v>5.0</v>
      </c>
      <c r="J104" s="13">
        <v>13.0</v>
      </c>
      <c r="K104" s="13">
        <v>40.0</v>
      </c>
      <c r="L104" s="13">
        <v>71.0</v>
      </c>
      <c r="M104" s="13">
        <v>27.0</v>
      </c>
      <c r="N104" s="13">
        <v>82.0</v>
      </c>
      <c r="O104" s="13">
        <v>11.0</v>
      </c>
      <c r="P104" s="13">
        <v>0.0</v>
      </c>
      <c r="Q104" s="13">
        <v>0.0</v>
      </c>
      <c r="R104" s="13">
        <v>12.0</v>
      </c>
      <c r="S104" s="13">
        <v>46.0</v>
      </c>
      <c r="T104" s="6">
        <f t="shared" si="28"/>
        <v>495</v>
      </c>
    </row>
    <row r="105" ht="12.75" customHeight="1">
      <c r="A105" s="18"/>
      <c r="B105" s="51"/>
      <c r="C105" s="52" t="s">
        <v>90</v>
      </c>
      <c r="D105" s="53"/>
      <c r="E105" s="13">
        <v>1.0</v>
      </c>
      <c r="F105" s="13">
        <v>0.0</v>
      </c>
      <c r="G105" s="13">
        <v>0.0</v>
      </c>
      <c r="H105" s="13">
        <v>0.0</v>
      </c>
      <c r="I105" s="13">
        <v>0.0</v>
      </c>
      <c r="J105" s="13">
        <v>0.0</v>
      </c>
      <c r="K105" s="13">
        <v>0.0</v>
      </c>
      <c r="L105" s="13">
        <v>0.0</v>
      </c>
      <c r="M105" s="13">
        <v>0.0</v>
      </c>
      <c r="N105" s="13">
        <v>0.0</v>
      </c>
      <c r="O105" s="13">
        <v>0.0</v>
      </c>
      <c r="P105" s="13">
        <v>0.0</v>
      </c>
      <c r="Q105" s="13">
        <v>0.0</v>
      </c>
      <c r="R105" s="13">
        <v>0.0</v>
      </c>
      <c r="S105" s="13">
        <v>0.0</v>
      </c>
      <c r="T105" s="6">
        <f t="shared" si="28"/>
        <v>1</v>
      </c>
    </row>
    <row r="106" ht="12.75" customHeight="1">
      <c r="A106" s="18"/>
      <c r="B106" s="51"/>
      <c r="C106" s="52" t="s">
        <v>91</v>
      </c>
      <c r="D106" s="53"/>
      <c r="E106" s="13">
        <v>0.0</v>
      </c>
      <c r="F106" s="13">
        <v>0.0</v>
      </c>
      <c r="G106" s="13">
        <v>0.0</v>
      </c>
      <c r="H106" s="13">
        <v>0.0</v>
      </c>
      <c r="I106" s="13">
        <v>0.0</v>
      </c>
      <c r="J106" s="13">
        <v>0.0</v>
      </c>
      <c r="K106" s="13">
        <v>1.0</v>
      </c>
      <c r="L106" s="13">
        <v>0.0</v>
      </c>
      <c r="M106" s="13">
        <v>0.0</v>
      </c>
      <c r="N106" s="13">
        <v>0.0</v>
      </c>
      <c r="O106" s="13">
        <v>0.0</v>
      </c>
      <c r="P106" s="13">
        <v>0.0</v>
      </c>
      <c r="Q106" s="13">
        <v>0.0</v>
      </c>
      <c r="R106" s="13">
        <v>0.0</v>
      </c>
      <c r="S106" s="13">
        <v>0.0</v>
      </c>
      <c r="T106" s="6">
        <f t="shared" si="28"/>
        <v>1</v>
      </c>
    </row>
    <row r="107" ht="12.75" customHeight="1">
      <c r="A107" s="18"/>
      <c r="B107" s="51"/>
      <c r="C107" s="52" t="s">
        <v>92</v>
      </c>
      <c r="D107" s="53"/>
      <c r="E107" s="13">
        <v>0.0</v>
      </c>
      <c r="F107" s="13">
        <v>0.0</v>
      </c>
      <c r="G107" s="13">
        <v>0.0</v>
      </c>
      <c r="H107" s="13">
        <v>0.0</v>
      </c>
      <c r="I107" s="13">
        <v>0.0</v>
      </c>
      <c r="J107" s="13">
        <v>1.0</v>
      </c>
      <c r="K107" s="13">
        <v>3.0</v>
      </c>
      <c r="L107" s="13">
        <v>2.0</v>
      </c>
      <c r="M107" s="13">
        <v>0.0</v>
      </c>
      <c r="N107" s="13">
        <v>0.0</v>
      </c>
      <c r="O107" s="13">
        <v>3.0</v>
      </c>
      <c r="P107" s="13">
        <v>0.0</v>
      </c>
      <c r="Q107" s="13">
        <v>0.0</v>
      </c>
      <c r="R107" s="13">
        <v>0.0</v>
      </c>
      <c r="S107" s="13">
        <v>0.0</v>
      </c>
      <c r="T107" s="6">
        <f t="shared" si="28"/>
        <v>9</v>
      </c>
    </row>
    <row r="108" ht="12.75" customHeight="1">
      <c r="A108" s="18"/>
      <c r="B108" s="51"/>
      <c r="C108" s="52" t="s">
        <v>93</v>
      </c>
      <c r="D108" s="53"/>
      <c r="E108" s="13">
        <v>0.0</v>
      </c>
      <c r="F108" s="13">
        <v>0.0</v>
      </c>
      <c r="G108" s="13">
        <v>1.0</v>
      </c>
      <c r="H108" s="13">
        <v>0.0</v>
      </c>
      <c r="I108" s="13">
        <v>0.0</v>
      </c>
      <c r="J108" s="13">
        <v>1.0</v>
      </c>
      <c r="K108" s="13">
        <v>0.0</v>
      </c>
      <c r="L108" s="13">
        <v>0.0</v>
      </c>
      <c r="M108" s="13">
        <v>5.0</v>
      </c>
      <c r="N108" s="13">
        <v>0.0</v>
      </c>
      <c r="O108" s="13">
        <v>0.0</v>
      </c>
      <c r="P108" s="13">
        <v>0.0</v>
      </c>
      <c r="Q108" s="13">
        <v>0.0</v>
      </c>
      <c r="R108" s="13">
        <v>0.0</v>
      </c>
      <c r="S108" s="13">
        <v>0.0</v>
      </c>
      <c r="T108" s="6">
        <f t="shared" si="28"/>
        <v>7</v>
      </c>
    </row>
    <row r="109" ht="12.75" customHeight="1">
      <c r="A109" s="18"/>
      <c r="B109" s="51"/>
      <c r="C109" s="52" t="s">
        <v>94</v>
      </c>
      <c r="D109" s="53"/>
      <c r="E109" s="13">
        <v>10.0</v>
      </c>
      <c r="F109" s="13">
        <v>0.0</v>
      </c>
      <c r="G109" s="13">
        <v>2.0</v>
      </c>
      <c r="H109" s="13">
        <v>0.0</v>
      </c>
      <c r="I109" s="13">
        <v>0.0</v>
      </c>
      <c r="J109" s="13">
        <v>0.0</v>
      </c>
      <c r="K109" s="13">
        <v>0.0</v>
      </c>
      <c r="L109" s="13">
        <v>0.0</v>
      </c>
      <c r="M109" s="13">
        <v>0.0</v>
      </c>
      <c r="N109" s="13">
        <v>1.0</v>
      </c>
      <c r="O109" s="13">
        <v>1.0</v>
      </c>
      <c r="P109" s="13">
        <v>0.0</v>
      </c>
      <c r="Q109" s="13">
        <v>3.0</v>
      </c>
      <c r="R109" s="13">
        <v>3.0</v>
      </c>
      <c r="S109" s="13">
        <v>2.0</v>
      </c>
      <c r="T109" s="6">
        <f t="shared" si="28"/>
        <v>22</v>
      </c>
    </row>
    <row r="110" ht="12.75" customHeight="1">
      <c r="A110" s="13" t="s">
        <v>15</v>
      </c>
      <c r="B110" s="49" t="s">
        <v>46</v>
      </c>
      <c r="C110" s="8"/>
      <c r="D110" s="9"/>
      <c r="E110" s="60">
        <f t="shared" ref="E110:S110" si="29">SUM(E103:E109)</f>
        <v>92</v>
      </c>
      <c r="F110" s="60">
        <f t="shared" si="29"/>
        <v>80</v>
      </c>
      <c r="G110" s="60">
        <f t="shared" si="29"/>
        <v>61</v>
      </c>
      <c r="H110" s="60">
        <f t="shared" si="29"/>
        <v>2</v>
      </c>
      <c r="I110" s="60">
        <f t="shared" si="29"/>
        <v>5</v>
      </c>
      <c r="J110" s="60">
        <f t="shared" si="29"/>
        <v>15</v>
      </c>
      <c r="K110" s="60">
        <f t="shared" si="29"/>
        <v>60</v>
      </c>
      <c r="L110" s="60">
        <f t="shared" si="29"/>
        <v>82</v>
      </c>
      <c r="M110" s="60">
        <f t="shared" si="29"/>
        <v>38</v>
      </c>
      <c r="N110" s="60">
        <f t="shared" si="29"/>
        <v>97</v>
      </c>
      <c r="O110" s="60">
        <f t="shared" si="29"/>
        <v>15</v>
      </c>
      <c r="P110" s="60">
        <f t="shared" si="29"/>
        <v>0</v>
      </c>
      <c r="Q110" s="60">
        <f t="shared" si="29"/>
        <v>3</v>
      </c>
      <c r="R110" s="60">
        <f t="shared" si="29"/>
        <v>18</v>
      </c>
      <c r="S110" s="60">
        <f t="shared" si="29"/>
        <v>57</v>
      </c>
      <c r="T110" s="6">
        <f t="shared" si="28"/>
        <v>625</v>
      </c>
    </row>
    <row r="111" ht="12.75" customHeight="1">
      <c r="A111" s="54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6"/>
    </row>
    <row r="112" ht="12.75" customHeight="1">
      <c r="A112" s="32" t="s">
        <v>37</v>
      </c>
      <c r="B112" s="49" t="s">
        <v>95</v>
      </c>
      <c r="C112" s="50" t="s">
        <v>96</v>
      </c>
      <c r="D112" s="9"/>
      <c r="E112" s="13">
        <v>0.0</v>
      </c>
      <c r="F112" s="13">
        <v>0.0</v>
      </c>
      <c r="G112" s="13">
        <v>1.0</v>
      </c>
      <c r="H112" s="13">
        <v>0.0</v>
      </c>
      <c r="I112" s="13">
        <v>0.0</v>
      </c>
      <c r="J112" s="13">
        <v>0.0</v>
      </c>
      <c r="K112" s="13">
        <v>0.0</v>
      </c>
      <c r="L112" s="13">
        <v>0.0</v>
      </c>
      <c r="M112" s="13">
        <v>0.0</v>
      </c>
      <c r="N112" s="13">
        <v>1.0</v>
      </c>
      <c r="O112" s="13">
        <v>0.0</v>
      </c>
      <c r="P112" s="13">
        <v>0.0</v>
      </c>
      <c r="Q112" s="13">
        <v>0.0</v>
      </c>
      <c r="R112" s="13">
        <v>0.0</v>
      </c>
      <c r="S112" s="13">
        <v>0.0</v>
      </c>
      <c r="T112" s="6">
        <f t="shared" ref="T112:T114" si="30">SUM(E112:S112)</f>
        <v>2</v>
      </c>
    </row>
    <row r="113" ht="12.75" customHeight="1">
      <c r="A113" s="32" t="s">
        <v>39</v>
      </c>
      <c r="B113" s="49"/>
      <c r="C113" s="52" t="s">
        <v>97</v>
      </c>
      <c r="D113" s="61"/>
      <c r="E113" s="13">
        <v>0.0</v>
      </c>
      <c r="F113" s="13">
        <v>0.0</v>
      </c>
      <c r="G113" s="13">
        <v>0.0</v>
      </c>
      <c r="H113" s="13">
        <v>0.0</v>
      </c>
      <c r="I113" s="13">
        <v>0.0</v>
      </c>
      <c r="J113" s="13">
        <v>1.0</v>
      </c>
      <c r="K113" s="13">
        <v>0.0</v>
      </c>
      <c r="L113" s="13">
        <v>0.0</v>
      </c>
      <c r="M113" s="13">
        <v>0.0</v>
      </c>
      <c r="N113" s="13">
        <v>0.0</v>
      </c>
      <c r="O113" s="13">
        <v>0.0</v>
      </c>
      <c r="P113" s="13">
        <v>0.0</v>
      </c>
      <c r="Q113" s="13">
        <v>0.0</v>
      </c>
      <c r="R113" s="13">
        <v>0.0</v>
      </c>
      <c r="S113" s="13">
        <v>0.0</v>
      </c>
      <c r="T113" s="6">
        <f t="shared" si="30"/>
        <v>1</v>
      </c>
    </row>
    <row r="114" ht="12.75" customHeight="1">
      <c r="A114" s="13" t="s">
        <v>15</v>
      </c>
      <c r="B114" s="49" t="s">
        <v>46</v>
      </c>
      <c r="C114" s="8"/>
      <c r="D114" s="9"/>
      <c r="E114" s="60">
        <f t="shared" ref="E114:S114" si="31">SUM(E112:E113)</f>
        <v>0</v>
      </c>
      <c r="F114" s="60">
        <f t="shared" si="31"/>
        <v>0</v>
      </c>
      <c r="G114" s="60">
        <f t="shared" si="31"/>
        <v>1</v>
      </c>
      <c r="H114" s="60">
        <f t="shared" si="31"/>
        <v>0</v>
      </c>
      <c r="I114" s="60">
        <f t="shared" si="31"/>
        <v>0</v>
      </c>
      <c r="J114" s="60">
        <f t="shared" si="31"/>
        <v>1</v>
      </c>
      <c r="K114" s="60">
        <f t="shared" si="31"/>
        <v>0</v>
      </c>
      <c r="L114" s="60">
        <f t="shared" si="31"/>
        <v>0</v>
      </c>
      <c r="M114" s="60">
        <f t="shared" si="31"/>
        <v>0</v>
      </c>
      <c r="N114" s="60">
        <f t="shared" si="31"/>
        <v>1</v>
      </c>
      <c r="O114" s="60">
        <f t="shared" si="31"/>
        <v>0</v>
      </c>
      <c r="P114" s="60">
        <f t="shared" si="31"/>
        <v>0</v>
      </c>
      <c r="Q114" s="60">
        <f t="shared" si="31"/>
        <v>0</v>
      </c>
      <c r="R114" s="60">
        <f t="shared" si="31"/>
        <v>0</v>
      </c>
      <c r="S114" s="60">
        <f t="shared" si="31"/>
        <v>0</v>
      </c>
      <c r="T114" s="6">
        <f t="shared" si="30"/>
        <v>3</v>
      </c>
    </row>
    <row r="115" ht="12.75" customHeight="1">
      <c r="A115" s="54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6"/>
    </row>
    <row r="116" ht="12.75" customHeight="1">
      <c r="A116" s="32" t="s">
        <v>37</v>
      </c>
      <c r="B116" s="49" t="s">
        <v>98</v>
      </c>
      <c r="C116" s="50" t="s">
        <v>99</v>
      </c>
      <c r="D116" s="9"/>
      <c r="E116" s="13">
        <v>0.0</v>
      </c>
      <c r="F116" s="13">
        <v>1.0</v>
      </c>
      <c r="G116" s="13">
        <v>1.0</v>
      </c>
      <c r="H116" s="13">
        <v>1.0</v>
      </c>
      <c r="I116" s="13">
        <v>1.0</v>
      </c>
      <c r="J116" s="13">
        <v>3.0</v>
      </c>
      <c r="K116" s="13">
        <v>3.0</v>
      </c>
      <c r="L116" s="13">
        <v>3.0</v>
      </c>
      <c r="M116" s="13">
        <v>8.0</v>
      </c>
      <c r="N116" s="13">
        <v>0.0</v>
      </c>
      <c r="O116" s="13">
        <v>0.0</v>
      </c>
      <c r="P116" s="13">
        <v>0.0</v>
      </c>
      <c r="Q116" s="13">
        <v>0.0</v>
      </c>
      <c r="R116" s="13">
        <v>0.0</v>
      </c>
      <c r="S116" s="13">
        <v>1.0</v>
      </c>
      <c r="T116" s="6">
        <f t="shared" ref="T116:T123" si="32">SUM(E116:S116)</f>
        <v>22</v>
      </c>
    </row>
    <row r="117" ht="12.75" customHeight="1">
      <c r="A117" s="32" t="s">
        <v>39</v>
      </c>
      <c r="B117" s="51"/>
      <c r="C117" s="52" t="s">
        <v>100</v>
      </c>
      <c r="D117" s="53"/>
      <c r="E117" s="13">
        <v>0.0</v>
      </c>
      <c r="F117" s="13">
        <v>0.0</v>
      </c>
      <c r="G117" s="13">
        <v>0.0</v>
      </c>
      <c r="H117" s="13">
        <v>9.0</v>
      </c>
      <c r="I117" s="13">
        <v>7.0</v>
      </c>
      <c r="J117" s="13">
        <v>17.0</v>
      </c>
      <c r="K117" s="13">
        <v>6.0</v>
      </c>
      <c r="L117" s="13">
        <v>4.0</v>
      </c>
      <c r="M117" s="13">
        <v>18.0</v>
      </c>
      <c r="N117" s="13">
        <v>2.0</v>
      </c>
      <c r="O117" s="13">
        <v>8.0</v>
      </c>
      <c r="P117" s="13">
        <v>0.0</v>
      </c>
      <c r="Q117" s="13">
        <v>1.0</v>
      </c>
      <c r="R117" s="13">
        <v>1.0</v>
      </c>
      <c r="S117" s="13">
        <v>0.0</v>
      </c>
      <c r="T117" s="6">
        <f t="shared" si="32"/>
        <v>73</v>
      </c>
    </row>
    <row r="118" ht="12.75" customHeight="1">
      <c r="A118" s="18"/>
      <c r="B118" s="51"/>
      <c r="C118" s="52" t="s">
        <v>101</v>
      </c>
      <c r="D118" s="53"/>
      <c r="E118" s="13">
        <v>0.0</v>
      </c>
      <c r="F118" s="13">
        <v>0.0</v>
      </c>
      <c r="G118" s="13">
        <v>0.0</v>
      </c>
      <c r="H118" s="13">
        <v>0.0</v>
      </c>
      <c r="I118" s="13">
        <v>0.0</v>
      </c>
      <c r="J118" s="13">
        <v>0.0</v>
      </c>
      <c r="K118" s="13">
        <v>0.0</v>
      </c>
      <c r="L118" s="13">
        <v>0.0</v>
      </c>
      <c r="M118" s="13">
        <v>0.0</v>
      </c>
      <c r="N118" s="13">
        <v>0.0</v>
      </c>
      <c r="O118" s="13">
        <v>0.0</v>
      </c>
      <c r="P118" s="13">
        <v>0.0</v>
      </c>
      <c r="Q118" s="13">
        <v>0.0</v>
      </c>
      <c r="R118" s="13">
        <v>0.0</v>
      </c>
      <c r="S118" s="13">
        <v>0.0</v>
      </c>
      <c r="T118" s="6">
        <f t="shared" si="32"/>
        <v>0</v>
      </c>
    </row>
    <row r="119" ht="12.75" customHeight="1">
      <c r="A119" s="18"/>
      <c r="B119" s="51"/>
      <c r="C119" s="52" t="s">
        <v>102</v>
      </c>
      <c r="D119" s="53"/>
      <c r="E119" s="13">
        <v>0.0</v>
      </c>
      <c r="F119" s="13">
        <v>0.0</v>
      </c>
      <c r="G119" s="13">
        <v>1.0</v>
      </c>
      <c r="H119" s="13">
        <v>1.0</v>
      </c>
      <c r="I119" s="13">
        <v>0.0</v>
      </c>
      <c r="J119" s="13">
        <v>0.0</v>
      </c>
      <c r="K119" s="13">
        <v>0.0</v>
      </c>
      <c r="L119" s="13">
        <v>0.0</v>
      </c>
      <c r="M119" s="13">
        <v>0.0</v>
      </c>
      <c r="N119" s="13">
        <v>0.0</v>
      </c>
      <c r="O119" s="13">
        <v>0.0</v>
      </c>
      <c r="P119" s="13">
        <v>0.0</v>
      </c>
      <c r="Q119" s="13">
        <v>0.0</v>
      </c>
      <c r="R119" s="13">
        <v>0.0</v>
      </c>
      <c r="S119" s="13">
        <v>0.0</v>
      </c>
      <c r="T119" s="6">
        <f t="shared" si="32"/>
        <v>2</v>
      </c>
    </row>
    <row r="120" ht="12.75" customHeight="1">
      <c r="A120" s="18"/>
      <c r="B120" s="51"/>
      <c r="C120" s="52" t="s">
        <v>103</v>
      </c>
      <c r="D120" s="53"/>
      <c r="E120" s="13">
        <v>0.0</v>
      </c>
      <c r="F120" s="13">
        <v>0.0</v>
      </c>
      <c r="G120" s="13">
        <v>0.0</v>
      </c>
      <c r="H120" s="13">
        <v>0.0</v>
      </c>
      <c r="I120" s="13">
        <v>0.0</v>
      </c>
      <c r="J120" s="13">
        <v>0.0</v>
      </c>
      <c r="K120" s="13">
        <v>0.0</v>
      </c>
      <c r="L120" s="13">
        <v>0.0</v>
      </c>
      <c r="M120" s="13">
        <v>0.0</v>
      </c>
      <c r="N120" s="13">
        <v>0.0</v>
      </c>
      <c r="O120" s="13">
        <v>0.0</v>
      </c>
      <c r="P120" s="13">
        <v>0.0</v>
      </c>
      <c r="Q120" s="13">
        <v>0.0</v>
      </c>
      <c r="R120" s="13">
        <v>0.0</v>
      </c>
      <c r="S120" s="13">
        <v>0.0</v>
      </c>
      <c r="T120" s="6">
        <f t="shared" si="32"/>
        <v>0</v>
      </c>
    </row>
    <row r="121" ht="12.75" customHeight="1">
      <c r="A121" s="18"/>
      <c r="B121" s="51"/>
      <c r="C121" s="52" t="s">
        <v>104</v>
      </c>
      <c r="D121" s="53"/>
      <c r="E121" s="13">
        <v>0.0</v>
      </c>
      <c r="F121" s="13">
        <v>0.0</v>
      </c>
      <c r="G121" s="13">
        <v>0.0</v>
      </c>
      <c r="H121" s="13">
        <v>0.0</v>
      </c>
      <c r="I121" s="13">
        <v>0.0</v>
      </c>
      <c r="J121" s="13">
        <v>0.0</v>
      </c>
      <c r="K121" s="13">
        <v>0.0</v>
      </c>
      <c r="L121" s="13">
        <v>0.0</v>
      </c>
      <c r="M121" s="13">
        <v>0.0</v>
      </c>
      <c r="N121" s="13">
        <v>0.0</v>
      </c>
      <c r="O121" s="13">
        <v>0.0</v>
      </c>
      <c r="P121" s="13">
        <v>0.0</v>
      </c>
      <c r="Q121" s="13">
        <v>0.0</v>
      </c>
      <c r="R121" s="13">
        <v>0.0</v>
      </c>
      <c r="S121" s="13">
        <v>0.0</v>
      </c>
      <c r="T121" s="6">
        <f t="shared" si="32"/>
        <v>0</v>
      </c>
    </row>
    <row r="122" ht="12.75" customHeight="1">
      <c r="A122" s="18"/>
      <c r="B122" s="51"/>
      <c r="C122" s="52" t="s">
        <v>105</v>
      </c>
      <c r="D122" s="53"/>
      <c r="E122" s="13">
        <v>5.0</v>
      </c>
      <c r="F122" s="13">
        <v>2.0</v>
      </c>
      <c r="G122" s="13">
        <v>6.0</v>
      </c>
      <c r="H122" s="13">
        <v>1.0</v>
      </c>
      <c r="I122" s="13">
        <v>3.0</v>
      </c>
      <c r="J122" s="13">
        <v>5.0</v>
      </c>
      <c r="K122" s="13">
        <v>3.0</v>
      </c>
      <c r="L122" s="13">
        <v>0.0</v>
      </c>
      <c r="M122" s="13">
        <v>11.0</v>
      </c>
      <c r="N122" s="13">
        <v>1.0</v>
      </c>
      <c r="O122" s="13">
        <v>2.0</v>
      </c>
      <c r="P122" s="13">
        <v>10.0</v>
      </c>
      <c r="Q122" s="13">
        <v>1.0</v>
      </c>
      <c r="R122" s="13">
        <v>11.0</v>
      </c>
      <c r="S122" s="13">
        <v>4.0</v>
      </c>
      <c r="T122" s="6">
        <f t="shared" si="32"/>
        <v>65</v>
      </c>
    </row>
    <row r="123" ht="12.75" customHeight="1">
      <c r="A123" s="13" t="s">
        <v>15</v>
      </c>
      <c r="B123" s="49" t="s">
        <v>46</v>
      </c>
      <c r="C123" s="8"/>
      <c r="D123" s="9"/>
      <c r="E123" s="60">
        <f t="shared" ref="E123:S123" si="33">SUM(E116:E122)</f>
        <v>5</v>
      </c>
      <c r="F123" s="60">
        <f t="shared" si="33"/>
        <v>3</v>
      </c>
      <c r="G123" s="60">
        <f t="shared" si="33"/>
        <v>8</v>
      </c>
      <c r="H123" s="60">
        <f t="shared" si="33"/>
        <v>12</v>
      </c>
      <c r="I123" s="60">
        <f t="shared" si="33"/>
        <v>11</v>
      </c>
      <c r="J123" s="60">
        <f t="shared" si="33"/>
        <v>25</v>
      </c>
      <c r="K123" s="60">
        <f t="shared" si="33"/>
        <v>12</v>
      </c>
      <c r="L123" s="60">
        <f t="shared" si="33"/>
        <v>7</v>
      </c>
      <c r="M123" s="60">
        <f t="shared" si="33"/>
        <v>37</v>
      </c>
      <c r="N123" s="60">
        <f t="shared" si="33"/>
        <v>3</v>
      </c>
      <c r="O123" s="60">
        <f t="shared" si="33"/>
        <v>10</v>
      </c>
      <c r="P123" s="60">
        <f t="shared" si="33"/>
        <v>10</v>
      </c>
      <c r="Q123" s="60">
        <f t="shared" si="33"/>
        <v>2</v>
      </c>
      <c r="R123" s="60">
        <f t="shared" si="33"/>
        <v>12</v>
      </c>
      <c r="S123" s="60">
        <f t="shared" si="33"/>
        <v>5</v>
      </c>
      <c r="T123" s="6">
        <f t="shared" si="32"/>
        <v>162</v>
      </c>
    </row>
    <row r="124" ht="12.75" customHeight="1">
      <c r="A124" s="54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6"/>
    </row>
    <row r="125" ht="12.75" customHeight="1">
      <c r="A125" s="32" t="s">
        <v>37</v>
      </c>
      <c r="B125" s="49" t="s">
        <v>106</v>
      </c>
      <c r="C125" s="50" t="s">
        <v>107</v>
      </c>
      <c r="D125" s="9"/>
      <c r="E125" s="13">
        <v>0.0</v>
      </c>
      <c r="F125" s="13">
        <v>1.0</v>
      </c>
      <c r="G125" s="13">
        <v>0.0</v>
      </c>
      <c r="H125" s="13">
        <v>0.0</v>
      </c>
      <c r="I125" s="13">
        <v>0.0</v>
      </c>
      <c r="J125" s="13">
        <v>0.0</v>
      </c>
      <c r="K125" s="13">
        <v>0.0</v>
      </c>
      <c r="L125" s="13">
        <v>0.0</v>
      </c>
      <c r="M125" s="13">
        <v>1.0</v>
      </c>
      <c r="N125" s="13">
        <v>0.0</v>
      </c>
      <c r="O125" s="13">
        <v>0.0</v>
      </c>
      <c r="P125" s="13">
        <v>0.0</v>
      </c>
      <c r="Q125" s="13">
        <v>1.0</v>
      </c>
      <c r="R125" s="13">
        <v>0.0</v>
      </c>
      <c r="S125" s="13">
        <v>0.0</v>
      </c>
      <c r="T125" s="6">
        <f t="shared" ref="T125:T127" si="34">SUM(E125:S125)</f>
        <v>3</v>
      </c>
    </row>
    <row r="126" ht="12.75" customHeight="1">
      <c r="A126" s="32" t="s">
        <v>39</v>
      </c>
      <c r="B126" s="51"/>
      <c r="C126" s="52" t="s">
        <v>108</v>
      </c>
      <c r="D126" s="5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6">
        <f t="shared" si="34"/>
        <v>0</v>
      </c>
    </row>
    <row r="127" ht="12.75" customHeight="1">
      <c r="A127" s="13" t="s">
        <v>15</v>
      </c>
      <c r="B127" s="49" t="s">
        <v>46</v>
      </c>
      <c r="C127" s="8"/>
      <c r="D127" s="9"/>
      <c r="E127" s="60">
        <f t="shared" ref="E127:S127" si="35">SUM(E125:E126)</f>
        <v>0</v>
      </c>
      <c r="F127" s="60">
        <f t="shared" si="35"/>
        <v>1</v>
      </c>
      <c r="G127" s="60">
        <f t="shared" si="35"/>
        <v>0</v>
      </c>
      <c r="H127" s="60">
        <f t="shared" si="35"/>
        <v>0</v>
      </c>
      <c r="I127" s="60">
        <f t="shared" si="35"/>
        <v>0</v>
      </c>
      <c r="J127" s="60">
        <f t="shared" si="35"/>
        <v>0</v>
      </c>
      <c r="K127" s="60">
        <f t="shared" si="35"/>
        <v>0</v>
      </c>
      <c r="L127" s="60">
        <f t="shared" si="35"/>
        <v>0</v>
      </c>
      <c r="M127" s="60">
        <f t="shared" si="35"/>
        <v>1</v>
      </c>
      <c r="N127" s="60">
        <f t="shared" si="35"/>
        <v>0</v>
      </c>
      <c r="O127" s="60">
        <f t="shared" si="35"/>
        <v>0</v>
      </c>
      <c r="P127" s="60">
        <f t="shared" si="35"/>
        <v>0</v>
      </c>
      <c r="Q127" s="60">
        <f t="shared" si="35"/>
        <v>1</v>
      </c>
      <c r="R127" s="60">
        <f t="shared" si="35"/>
        <v>0</v>
      </c>
      <c r="S127" s="60">
        <f t="shared" si="35"/>
        <v>0</v>
      </c>
      <c r="T127" s="6">
        <f t="shared" si="34"/>
        <v>3</v>
      </c>
    </row>
    <row r="128" ht="12.75" customHeight="1">
      <c r="A128" s="54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6"/>
    </row>
    <row r="129" ht="12.75" customHeight="1">
      <c r="A129" s="32" t="s">
        <v>37</v>
      </c>
      <c r="B129" s="49" t="s">
        <v>109</v>
      </c>
      <c r="C129" s="50" t="s">
        <v>110</v>
      </c>
      <c r="D129" s="9"/>
      <c r="E129" s="13">
        <v>0.0</v>
      </c>
      <c r="F129" s="13">
        <v>0.0</v>
      </c>
      <c r="G129" s="13">
        <v>1.0</v>
      </c>
      <c r="H129" s="13">
        <v>0.0</v>
      </c>
      <c r="I129" s="13">
        <v>0.0</v>
      </c>
      <c r="J129" s="13">
        <v>0.0</v>
      </c>
      <c r="K129" s="13">
        <v>0.0</v>
      </c>
      <c r="L129" s="13">
        <v>1.0</v>
      </c>
      <c r="M129" s="13">
        <v>0.0</v>
      </c>
      <c r="N129" s="13">
        <v>0.0</v>
      </c>
      <c r="O129" s="13">
        <v>0.0</v>
      </c>
      <c r="P129" s="13">
        <v>0.0</v>
      </c>
      <c r="Q129" s="13">
        <v>0.0</v>
      </c>
      <c r="R129" s="13">
        <v>0.0</v>
      </c>
      <c r="S129" s="13">
        <v>0.0</v>
      </c>
      <c r="T129" s="6">
        <f t="shared" ref="T129:T136" si="36">SUM(E129:S129)</f>
        <v>2</v>
      </c>
    </row>
    <row r="130" ht="12.75" customHeight="1">
      <c r="A130" s="32" t="s">
        <v>39</v>
      </c>
      <c r="B130" s="51"/>
      <c r="C130" s="52" t="s">
        <v>111</v>
      </c>
      <c r="D130" s="53"/>
      <c r="E130" s="13">
        <v>0.0</v>
      </c>
      <c r="F130" s="13">
        <v>0.0</v>
      </c>
      <c r="G130" s="13">
        <v>0.0</v>
      </c>
      <c r="H130" s="13">
        <v>0.0</v>
      </c>
      <c r="I130" s="13">
        <v>1.0</v>
      </c>
      <c r="J130" s="13">
        <v>1.0</v>
      </c>
      <c r="K130" s="13">
        <v>0.0</v>
      </c>
      <c r="L130" s="13">
        <v>1.0</v>
      </c>
      <c r="M130" s="13">
        <v>0.0</v>
      </c>
      <c r="N130" s="13">
        <v>0.0</v>
      </c>
      <c r="O130" s="13">
        <v>0.0</v>
      </c>
      <c r="P130" s="13">
        <v>0.0</v>
      </c>
      <c r="Q130" s="13">
        <v>0.0</v>
      </c>
      <c r="R130" s="13">
        <v>1.0</v>
      </c>
      <c r="S130" s="13">
        <v>0.0</v>
      </c>
      <c r="T130" s="6">
        <f t="shared" si="36"/>
        <v>4</v>
      </c>
    </row>
    <row r="131" ht="12.75" customHeight="1">
      <c r="A131" s="18"/>
      <c r="B131" s="51"/>
      <c r="C131" s="52" t="s">
        <v>112</v>
      </c>
      <c r="D131" s="53"/>
      <c r="E131" s="13">
        <v>0.0</v>
      </c>
      <c r="F131" s="13">
        <v>0.0</v>
      </c>
      <c r="G131" s="13">
        <v>0.0</v>
      </c>
      <c r="H131" s="13">
        <v>0.0</v>
      </c>
      <c r="I131" s="13">
        <v>0.0</v>
      </c>
      <c r="J131" s="13">
        <v>0.0</v>
      </c>
      <c r="K131" s="13">
        <v>0.0</v>
      </c>
      <c r="L131" s="13">
        <v>0.0</v>
      </c>
      <c r="M131" s="13">
        <v>0.0</v>
      </c>
      <c r="N131" s="13">
        <v>0.0</v>
      </c>
      <c r="O131" s="13">
        <v>0.0</v>
      </c>
      <c r="P131" s="13">
        <v>0.0</v>
      </c>
      <c r="Q131" s="13">
        <v>0.0</v>
      </c>
      <c r="R131" s="13">
        <v>0.0</v>
      </c>
      <c r="S131" s="13">
        <v>0.0</v>
      </c>
      <c r="T131" s="6">
        <f t="shared" si="36"/>
        <v>0</v>
      </c>
    </row>
    <row r="132" ht="12.75" customHeight="1">
      <c r="A132" s="18"/>
      <c r="B132" s="51"/>
      <c r="C132" s="52" t="s">
        <v>113</v>
      </c>
      <c r="D132" s="53"/>
      <c r="E132" s="13">
        <v>0.0</v>
      </c>
      <c r="F132" s="13">
        <v>1.0</v>
      </c>
      <c r="G132" s="13">
        <v>0.0</v>
      </c>
      <c r="H132" s="13">
        <v>0.0</v>
      </c>
      <c r="I132" s="13">
        <v>0.0</v>
      </c>
      <c r="J132" s="13">
        <v>0.0</v>
      </c>
      <c r="K132" s="13">
        <v>0.0</v>
      </c>
      <c r="L132" s="13">
        <v>0.0</v>
      </c>
      <c r="M132" s="13">
        <v>0.0</v>
      </c>
      <c r="N132" s="13">
        <v>0.0</v>
      </c>
      <c r="O132" s="13">
        <v>0.0</v>
      </c>
      <c r="P132" s="13">
        <v>0.0</v>
      </c>
      <c r="Q132" s="13">
        <v>0.0</v>
      </c>
      <c r="R132" s="13">
        <v>0.0</v>
      </c>
      <c r="S132" s="13">
        <v>0.0</v>
      </c>
      <c r="T132" s="6">
        <f t="shared" si="36"/>
        <v>1</v>
      </c>
    </row>
    <row r="133" ht="12.75" customHeight="1">
      <c r="A133" s="18"/>
      <c r="B133" s="51"/>
      <c r="C133" s="52" t="s">
        <v>114</v>
      </c>
      <c r="D133" s="53"/>
      <c r="E133" s="13">
        <v>0.0</v>
      </c>
      <c r="F133" s="13">
        <v>0.0</v>
      </c>
      <c r="G133" s="13">
        <v>0.0</v>
      </c>
      <c r="H133" s="13">
        <v>0.0</v>
      </c>
      <c r="I133" s="13">
        <v>0.0</v>
      </c>
      <c r="J133" s="13">
        <v>0.0</v>
      </c>
      <c r="K133" s="13">
        <v>0.0</v>
      </c>
      <c r="L133" s="13">
        <v>0.0</v>
      </c>
      <c r="M133" s="13">
        <v>0.0</v>
      </c>
      <c r="N133" s="13">
        <v>0.0</v>
      </c>
      <c r="O133" s="13">
        <v>0.0</v>
      </c>
      <c r="P133" s="13">
        <v>0.0</v>
      </c>
      <c r="Q133" s="13">
        <v>0.0</v>
      </c>
      <c r="R133" s="13">
        <v>0.0</v>
      </c>
      <c r="S133" s="13">
        <v>0.0</v>
      </c>
      <c r="T133" s="6">
        <f t="shared" si="36"/>
        <v>0</v>
      </c>
    </row>
    <row r="134" ht="12.75" customHeight="1">
      <c r="A134" s="18"/>
      <c r="B134" s="51"/>
      <c r="C134" s="52" t="s">
        <v>115</v>
      </c>
      <c r="D134" s="53"/>
      <c r="E134" s="13">
        <v>1.0</v>
      </c>
      <c r="F134" s="13">
        <v>0.0</v>
      </c>
      <c r="G134" s="13">
        <v>0.0</v>
      </c>
      <c r="H134" s="13">
        <v>0.0</v>
      </c>
      <c r="I134" s="13">
        <v>0.0</v>
      </c>
      <c r="J134" s="13">
        <v>0.0</v>
      </c>
      <c r="K134" s="13">
        <v>0.0</v>
      </c>
      <c r="L134" s="13">
        <v>0.0</v>
      </c>
      <c r="M134" s="13">
        <v>0.0</v>
      </c>
      <c r="N134" s="13">
        <v>0.0</v>
      </c>
      <c r="O134" s="13">
        <v>0.0</v>
      </c>
      <c r="P134" s="13">
        <v>0.0</v>
      </c>
      <c r="Q134" s="13">
        <v>1.0</v>
      </c>
      <c r="R134" s="13">
        <v>0.0</v>
      </c>
      <c r="S134" s="13">
        <v>0.0</v>
      </c>
      <c r="T134" s="6">
        <f t="shared" si="36"/>
        <v>2</v>
      </c>
    </row>
    <row r="135" ht="12.75" customHeight="1">
      <c r="A135" s="18"/>
      <c r="B135" s="51"/>
      <c r="C135" s="52" t="s">
        <v>116</v>
      </c>
      <c r="D135" s="53"/>
      <c r="E135" s="13">
        <v>0.0</v>
      </c>
      <c r="F135" s="13">
        <v>0.0</v>
      </c>
      <c r="G135" s="13">
        <v>0.0</v>
      </c>
      <c r="H135" s="13">
        <v>0.0</v>
      </c>
      <c r="I135" s="13">
        <v>0.0</v>
      </c>
      <c r="J135" s="13">
        <v>0.0</v>
      </c>
      <c r="K135" s="13">
        <v>0.0</v>
      </c>
      <c r="L135" s="13">
        <v>0.0</v>
      </c>
      <c r="M135" s="13">
        <v>0.0</v>
      </c>
      <c r="N135" s="13">
        <v>0.0</v>
      </c>
      <c r="O135" s="13">
        <v>0.0</v>
      </c>
      <c r="P135" s="13">
        <v>0.0</v>
      </c>
      <c r="Q135" s="13">
        <v>0.0</v>
      </c>
      <c r="R135" s="13">
        <v>0.0</v>
      </c>
      <c r="S135" s="13">
        <v>0.0</v>
      </c>
      <c r="T135" s="6">
        <f t="shared" si="36"/>
        <v>0</v>
      </c>
    </row>
    <row r="136" ht="12.75" customHeight="1">
      <c r="A136" s="13" t="s">
        <v>15</v>
      </c>
      <c r="B136" s="49" t="s">
        <v>46</v>
      </c>
      <c r="C136" s="8"/>
      <c r="D136" s="9"/>
      <c r="E136" s="60">
        <f t="shared" ref="E136:S136" si="37">SUM(E129:E135)</f>
        <v>1</v>
      </c>
      <c r="F136" s="60">
        <f t="shared" si="37"/>
        <v>1</v>
      </c>
      <c r="G136" s="60">
        <f t="shared" si="37"/>
        <v>1</v>
      </c>
      <c r="H136" s="60">
        <f t="shared" si="37"/>
        <v>0</v>
      </c>
      <c r="I136" s="60">
        <f t="shared" si="37"/>
        <v>1</v>
      </c>
      <c r="J136" s="60">
        <f t="shared" si="37"/>
        <v>1</v>
      </c>
      <c r="K136" s="60">
        <f t="shared" si="37"/>
        <v>0</v>
      </c>
      <c r="L136" s="60">
        <f t="shared" si="37"/>
        <v>2</v>
      </c>
      <c r="M136" s="60">
        <f t="shared" si="37"/>
        <v>0</v>
      </c>
      <c r="N136" s="60">
        <f t="shared" si="37"/>
        <v>0</v>
      </c>
      <c r="O136" s="60">
        <f t="shared" si="37"/>
        <v>0</v>
      </c>
      <c r="P136" s="60">
        <f t="shared" si="37"/>
        <v>0</v>
      </c>
      <c r="Q136" s="60">
        <f t="shared" si="37"/>
        <v>1</v>
      </c>
      <c r="R136" s="60">
        <f t="shared" si="37"/>
        <v>1</v>
      </c>
      <c r="S136" s="60">
        <f t="shared" si="37"/>
        <v>0</v>
      </c>
      <c r="T136" s="6">
        <f t="shared" si="36"/>
        <v>9</v>
      </c>
    </row>
    <row r="137" ht="12.75" customHeight="1">
      <c r="A137" s="54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6"/>
    </row>
    <row r="138" ht="12.75" customHeight="1">
      <c r="A138" s="32" t="s">
        <v>37</v>
      </c>
      <c r="B138" s="49" t="s">
        <v>117</v>
      </c>
      <c r="C138" s="50" t="s">
        <v>118</v>
      </c>
      <c r="D138" s="9"/>
      <c r="E138" s="13">
        <v>0.0</v>
      </c>
      <c r="F138" s="13">
        <v>0.0</v>
      </c>
      <c r="G138" s="13">
        <v>0.0</v>
      </c>
      <c r="H138" s="13">
        <v>0.0</v>
      </c>
      <c r="I138" s="13">
        <v>1.0</v>
      </c>
      <c r="J138" s="13">
        <v>1.0</v>
      </c>
      <c r="K138" s="13">
        <v>0.0</v>
      </c>
      <c r="L138" s="13">
        <v>0.0</v>
      </c>
      <c r="M138" s="13">
        <v>0.0</v>
      </c>
      <c r="N138" s="13">
        <v>1.0</v>
      </c>
      <c r="O138" s="13">
        <v>0.0</v>
      </c>
      <c r="P138" s="13">
        <v>0.0</v>
      </c>
      <c r="Q138" s="13">
        <v>0.0</v>
      </c>
      <c r="R138" s="13">
        <v>0.0</v>
      </c>
      <c r="S138" s="13">
        <v>0.0</v>
      </c>
      <c r="T138" s="6">
        <f t="shared" ref="T138:T145" si="38">SUM(E138:S138)</f>
        <v>3</v>
      </c>
    </row>
    <row r="139" ht="12.75" customHeight="1">
      <c r="A139" s="32" t="s">
        <v>39</v>
      </c>
      <c r="B139" s="51"/>
      <c r="C139" s="52" t="s">
        <v>119</v>
      </c>
      <c r="D139" s="53"/>
      <c r="E139" s="13">
        <v>0.0</v>
      </c>
      <c r="F139" s="13">
        <v>0.0</v>
      </c>
      <c r="G139" s="13">
        <v>0.0</v>
      </c>
      <c r="H139" s="13">
        <v>0.0</v>
      </c>
      <c r="I139" s="13">
        <v>0.0</v>
      </c>
      <c r="J139" s="13">
        <v>0.0</v>
      </c>
      <c r="K139" s="13">
        <v>0.0</v>
      </c>
      <c r="L139" s="13">
        <v>0.0</v>
      </c>
      <c r="M139" s="13">
        <v>0.0</v>
      </c>
      <c r="N139" s="13">
        <v>0.0</v>
      </c>
      <c r="O139" s="13">
        <v>0.0</v>
      </c>
      <c r="P139" s="13">
        <v>0.0</v>
      </c>
      <c r="Q139" s="13">
        <v>0.0</v>
      </c>
      <c r="R139" s="13">
        <v>2.0</v>
      </c>
      <c r="S139" s="13">
        <v>0.0</v>
      </c>
      <c r="T139" s="6">
        <f t="shared" si="38"/>
        <v>2</v>
      </c>
    </row>
    <row r="140" ht="12.75" customHeight="1">
      <c r="A140" s="18"/>
      <c r="B140" s="51"/>
      <c r="C140" s="52" t="s">
        <v>120</v>
      </c>
      <c r="D140" s="53"/>
      <c r="E140" s="13">
        <v>0.0</v>
      </c>
      <c r="F140" s="13">
        <v>0.0</v>
      </c>
      <c r="G140" s="13">
        <v>0.0</v>
      </c>
      <c r="H140" s="13">
        <v>0.0</v>
      </c>
      <c r="I140" s="13">
        <v>0.0</v>
      </c>
      <c r="J140" s="13">
        <v>0.0</v>
      </c>
      <c r="K140" s="13">
        <v>0.0</v>
      </c>
      <c r="L140" s="13">
        <v>0.0</v>
      </c>
      <c r="M140" s="13">
        <v>0.0</v>
      </c>
      <c r="N140" s="13">
        <v>0.0</v>
      </c>
      <c r="O140" s="13">
        <v>0.0</v>
      </c>
      <c r="P140" s="13">
        <v>0.0</v>
      </c>
      <c r="Q140" s="13">
        <v>0.0</v>
      </c>
      <c r="R140" s="13">
        <v>0.0</v>
      </c>
      <c r="S140" s="13">
        <v>0.0</v>
      </c>
      <c r="T140" s="6">
        <f t="shared" si="38"/>
        <v>0</v>
      </c>
    </row>
    <row r="141" ht="12.75" customHeight="1">
      <c r="A141" s="18"/>
      <c r="B141" s="51"/>
      <c r="C141" s="52" t="s">
        <v>121</v>
      </c>
      <c r="D141" s="53"/>
      <c r="E141" s="13">
        <v>0.0</v>
      </c>
      <c r="F141" s="13">
        <v>0.0</v>
      </c>
      <c r="G141" s="13">
        <v>0.0</v>
      </c>
      <c r="H141" s="13">
        <v>0.0</v>
      </c>
      <c r="I141" s="13">
        <v>0.0</v>
      </c>
      <c r="J141" s="13">
        <v>0.0</v>
      </c>
      <c r="K141" s="13">
        <v>0.0</v>
      </c>
      <c r="L141" s="13">
        <v>0.0</v>
      </c>
      <c r="M141" s="13">
        <v>0.0</v>
      </c>
      <c r="N141" s="13">
        <v>0.0</v>
      </c>
      <c r="O141" s="13">
        <v>0.0</v>
      </c>
      <c r="P141" s="13">
        <v>0.0</v>
      </c>
      <c r="Q141" s="13">
        <v>0.0</v>
      </c>
      <c r="R141" s="13">
        <v>0.0</v>
      </c>
      <c r="S141" s="13">
        <v>0.0</v>
      </c>
      <c r="T141" s="6">
        <f t="shared" si="38"/>
        <v>0</v>
      </c>
    </row>
    <row r="142" ht="12.75" customHeight="1">
      <c r="A142" s="18"/>
      <c r="B142" s="51"/>
      <c r="C142" s="52" t="s">
        <v>122</v>
      </c>
      <c r="D142" s="53"/>
      <c r="E142" s="13">
        <v>0.0</v>
      </c>
      <c r="F142" s="13">
        <v>0.0</v>
      </c>
      <c r="G142" s="13">
        <v>0.0</v>
      </c>
      <c r="H142" s="13">
        <v>0.0</v>
      </c>
      <c r="I142" s="13">
        <v>0.0</v>
      </c>
      <c r="J142" s="13">
        <v>0.0</v>
      </c>
      <c r="K142" s="13">
        <v>0.0</v>
      </c>
      <c r="L142" s="13">
        <v>0.0</v>
      </c>
      <c r="M142" s="13">
        <v>0.0</v>
      </c>
      <c r="N142" s="13">
        <v>0.0</v>
      </c>
      <c r="O142" s="13">
        <v>0.0</v>
      </c>
      <c r="P142" s="13">
        <v>0.0</v>
      </c>
      <c r="Q142" s="13">
        <v>0.0</v>
      </c>
      <c r="R142" s="13">
        <v>0.0</v>
      </c>
      <c r="S142" s="13">
        <v>0.0</v>
      </c>
      <c r="T142" s="6">
        <f t="shared" si="38"/>
        <v>0</v>
      </c>
    </row>
    <row r="143" ht="12.75" customHeight="1">
      <c r="A143" s="18"/>
      <c r="B143" s="51"/>
      <c r="C143" s="52" t="s">
        <v>123</v>
      </c>
      <c r="D143" s="53"/>
      <c r="E143" s="13">
        <v>0.0</v>
      </c>
      <c r="F143" s="13">
        <v>0.0</v>
      </c>
      <c r="G143" s="13">
        <v>0.0</v>
      </c>
      <c r="H143" s="13">
        <v>0.0</v>
      </c>
      <c r="I143" s="13">
        <v>0.0</v>
      </c>
      <c r="J143" s="13">
        <v>0.0</v>
      </c>
      <c r="K143" s="13">
        <v>0.0</v>
      </c>
      <c r="L143" s="13">
        <v>0.0</v>
      </c>
      <c r="M143" s="13">
        <v>0.0</v>
      </c>
      <c r="N143" s="13">
        <v>0.0</v>
      </c>
      <c r="O143" s="13">
        <v>0.0</v>
      </c>
      <c r="P143" s="13">
        <v>0.0</v>
      </c>
      <c r="Q143" s="13">
        <v>0.0</v>
      </c>
      <c r="R143" s="13">
        <v>0.0</v>
      </c>
      <c r="S143" s="13">
        <v>0.0</v>
      </c>
      <c r="T143" s="6">
        <f t="shared" si="38"/>
        <v>0</v>
      </c>
    </row>
    <row r="144" ht="12.75" customHeight="1">
      <c r="A144" s="18"/>
      <c r="B144" s="51"/>
      <c r="C144" s="52" t="s">
        <v>124</v>
      </c>
      <c r="D144" s="53"/>
      <c r="E144" s="13">
        <v>0.0</v>
      </c>
      <c r="F144" s="13">
        <v>0.0</v>
      </c>
      <c r="G144" s="13">
        <v>3.0</v>
      </c>
      <c r="H144" s="13">
        <v>0.0</v>
      </c>
      <c r="I144" s="13">
        <v>0.0</v>
      </c>
      <c r="J144" s="13">
        <v>0.0</v>
      </c>
      <c r="K144" s="13">
        <v>0.0</v>
      </c>
      <c r="L144" s="13">
        <v>0.0</v>
      </c>
      <c r="M144" s="13">
        <v>0.0</v>
      </c>
      <c r="N144" s="13">
        <v>0.0</v>
      </c>
      <c r="O144" s="13">
        <v>0.0</v>
      </c>
      <c r="P144" s="13">
        <v>0.0</v>
      </c>
      <c r="Q144" s="13">
        <v>0.0</v>
      </c>
      <c r="R144" s="13">
        <v>0.0</v>
      </c>
      <c r="S144" s="13">
        <v>0.0</v>
      </c>
      <c r="T144" s="6">
        <f t="shared" si="38"/>
        <v>3</v>
      </c>
    </row>
    <row r="145" ht="12.75" customHeight="1">
      <c r="A145" s="13" t="s">
        <v>15</v>
      </c>
      <c r="B145" s="49" t="s">
        <v>46</v>
      </c>
      <c r="C145" s="8"/>
      <c r="D145" s="9"/>
      <c r="E145" s="60">
        <f t="shared" ref="E145:S145" si="39">SUM(E138:E144)</f>
        <v>0</v>
      </c>
      <c r="F145" s="60">
        <f t="shared" si="39"/>
        <v>0</v>
      </c>
      <c r="G145" s="60">
        <f t="shared" si="39"/>
        <v>3</v>
      </c>
      <c r="H145" s="60">
        <f t="shared" si="39"/>
        <v>0</v>
      </c>
      <c r="I145" s="60">
        <f t="shared" si="39"/>
        <v>1</v>
      </c>
      <c r="J145" s="60">
        <f t="shared" si="39"/>
        <v>1</v>
      </c>
      <c r="K145" s="60">
        <f t="shared" si="39"/>
        <v>0</v>
      </c>
      <c r="L145" s="60">
        <f t="shared" si="39"/>
        <v>0</v>
      </c>
      <c r="M145" s="60">
        <f t="shared" si="39"/>
        <v>0</v>
      </c>
      <c r="N145" s="60">
        <f t="shared" si="39"/>
        <v>1</v>
      </c>
      <c r="O145" s="60">
        <f t="shared" si="39"/>
        <v>0</v>
      </c>
      <c r="P145" s="60">
        <f t="shared" si="39"/>
        <v>0</v>
      </c>
      <c r="Q145" s="60">
        <f t="shared" si="39"/>
        <v>0</v>
      </c>
      <c r="R145" s="60">
        <f t="shared" si="39"/>
        <v>2</v>
      </c>
      <c r="S145" s="60">
        <f t="shared" si="39"/>
        <v>0</v>
      </c>
      <c r="T145" s="6">
        <f t="shared" si="38"/>
        <v>8</v>
      </c>
    </row>
    <row r="146" ht="12.75" customHeight="1">
      <c r="A146" s="54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6"/>
    </row>
    <row r="147" ht="12.75" customHeight="1">
      <c r="A147" s="32" t="s">
        <v>37</v>
      </c>
      <c r="B147" s="49" t="s">
        <v>125</v>
      </c>
      <c r="C147" s="50" t="s">
        <v>126</v>
      </c>
      <c r="D147" s="9"/>
      <c r="E147" s="13">
        <v>1.0</v>
      </c>
      <c r="F147" s="13">
        <v>1.0</v>
      </c>
      <c r="G147" s="13">
        <v>0.0</v>
      </c>
      <c r="H147" s="13">
        <v>2.0</v>
      </c>
      <c r="I147" s="13">
        <v>0.0</v>
      </c>
      <c r="J147" s="13">
        <v>5.0</v>
      </c>
      <c r="K147" s="13">
        <v>3.0</v>
      </c>
      <c r="L147" s="13">
        <v>7.0</v>
      </c>
      <c r="M147" s="13">
        <v>1.0</v>
      </c>
      <c r="N147" s="13">
        <v>3.0</v>
      </c>
      <c r="O147" s="13">
        <v>6.0</v>
      </c>
      <c r="P147" s="13">
        <v>1.0</v>
      </c>
      <c r="Q147" s="13">
        <v>0.0</v>
      </c>
      <c r="R147" s="13">
        <v>3.0</v>
      </c>
      <c r="S147" s="13">
        <v>0.0</v>
      </c>
      <c r="T147" s="6">
        <f t="shared" ref="T147:T154" si="40">SUM(E147:S147)</f>
        <v>33</v>
      </c>
    </row>
    <row r="148" ht="12.75" customHeight="1">
      <c r="A148" s="32" t="s">
        <v>39</v>
      </c>
      <c r="B148" s="51"/>
      <c r="C148" s="52" t="s">
        <v>127</v>
      </c>
      <c r="D148" s="53"/>
      <c r="E148" s="13">
        <v>1.0</v>
      </c>
      <c r="F148" s="13">
        <v>2.0</v>
      </c>
      <c r="G148" s="13">
        <v>3.0</v>
      </c>
      <c r="H148" s="13">
        <v>7.0</v>
      </c>
      <c r="I148" s="13">
        <v>2.0</v>
      </c>
      <c r="J148" s="13">
        <v>4.0</v>
      </c>
      <c r="K148" s="13">
        <v>1.0</v>
      </c>
      <c r="L148" s="13">
        <v>1.0</v>
      </c>
      <c r="M148" s="13">
        <v>1.0</v>
      </c>
      <c r="N148" s="13">
        <v>6.0</v>
      </c>
      <c r="O148" s="13">
        <v>24.0</v>
      </c>
      <c r="P148" s="13">
        <v>3.0</v>
      </c>
      <c r="Q148" s="13">
        <v>2.0</v>
      </c>
      <c r="R148" s="13">
        <v>0.0</v>
      </c>
      <c r="S148" s="13">
        <v>1.0</v>
      </c>
      <c r="T148" s="6">
        <f t="shared" si="40"/>
        <v>58</v>
      </c>
    </row>
    <row r="149" ht="12.75" customHeight="1">
      <c r="A149" s="18"/>
      <c r="B149" s="51"/>
      <c r="C149" s="52" t="s">
        <v>128</v>
      </c>
      <c r="D149" s="53"/>
      <c r="E149" s="13">
        <v>0.0</v>
      </c>
      <c r="F149" s="13">
        <v>0.0</v>
      </c>
      <c r="G149" s="13">
        <v>0.0</v>
      </c>
      <c r="H149" s="13">
        <v>0.0</v>
      </c>
      <c r="I149" s="13">
        <v>0.0</v>
      </c>
      <c r="J149" s="13">
        <v>0.0</v>
      </c>
      <c r="K149" s="13">
        <v>0.0</v>
      </c>
      <c r="L149" s="13">
        <v>0.0</v>
      </c>
      <c r="M149" s="13">
        <v>0.0</v>
      </c>
      <c r="N149" s="13">
        <v>2.0</v>
      </c>
      <c r="O149" s="13">
        <v>11.0</v>
      </c>
      <c r="P149" s="13">
        <v>5.0</v>
      </c>
      <c r="Q149" s="13">
        <v>0.0</v>
      </c>
      <c r="R149" s="13">
        <v>1.0</v>
      </c>
      <c r="S149" s="13">
        <v>0.0</v>
      </c>
      <c r="T149" s="6">
        <f t="shared" si="40"/>
        <v>19</v>
      </c>
    </row>
    <row r="150" ht="12.75" customHeight="1">
      <c r="A150" s="18"/>
      <c r="B150" s="51"/>
      <c r="C150" s="52" t="s">
        <v>129</v>
      </c>
      <c r="D150" s="53"/>
      <c r="E150" s="13">
        <v>4.0</v>
      </c>
      <c r="F150" s="13">
        <v>1.0</v>
      </c>
      <c r="G150" s="13">
        <v>4.0</v>
      </c>
      <c r="H150" s="13">
        <v>14.0</v>
      </c>
      <c r="I150" s="13">
        <v>31.0</v>
      </c>
      <c r="J150" s="13">
        <v>13.0</v>
      </c>
      <c r="K150" s="13">
        <v>1.0</v>
      </c>
      <c r="L150" s="13">
        <v>2.0</v>
      </c>
      <c r="M150" s="13">
        <v>0.0</v>
      </c>
      <c r="N150" s="13">
        <v>10.0</v>
      </c>
      <c r="O150" s="13">
        <v>4.0</v>
      </c>
      <c r="P150" s="13">
        <v>1.0</v>
      </c>
      <c r="Q150" s="13">
        <v>4.0</v>
      </c>
      <c r="R150" s="13">
        <v>0.0</v>
      </c>
      <c r="S150" s="13">
        <v>0.0</v>
      </c>
      <c r="T150" s="6">
        <f t="shared" si="40"/>
        <v>89</v>
      </c>
    </row>
    <row r="151" ht="12.75" customHeight="1">
      <c r="A151" s="18"/>
      <c r="B151" s="51"/>
      <c r="C151" s="52" t="s">
        <v>130</v>
      </c>
      <c r="D151" s="53"/>
      <c r="E151" s="13">
        <v>0.0</v>
      </c>
      <c r="F151" s="13">
        <v>0.0</v>
      </c>
      <c r="G151" s="13">
        <v>0.0</v>
      </c>
      <c r="H151" s="13">
        <v>0.0</v>
      </c>
      <c r="I151" s="13">
        <v>0.0</v>
      </c>
      <c r="J151" s="13">
        <v>0.0</v>
      </c>
      <c r="K151" s="13">
        <v>0.0</v>
      </c>
      <c r="L151" s="13">
        <v>0.0</v>
      </c>
      <c r="M151" s="13">
        <v>1.0</v>
      </c>
      <c r="N151" s="13">
        <v>0.0</v>
      </c>
      <c r="O151" s="13">
        <v>0.0</v>
      </c>
      <c r="P151" s="13">
        <v>0.0</v>
      </c>
      <c r="Q151" s="13">
        <v>0.0</v>
      </c>
      <c r="R151" s="13">
        <v>0.0</v>
      </c>
      <c r="S151" s="13">
        <v>0.0</v>
      </c>
      <c r="T151" s="6">
        <f t="shared" si="40"/>
        <v>1</v>
      </c>
    </row>
    <row r="152" ht="12.75" customHeight="1">
      <c r="A152" s="18"/>
      <c r="B152" s="51"/>
      <c r="C152" s="52" t="s">
        <v>131</v>
      </c>
      <c r="D152" s="53"/>
      <c r="E152" s="13">
        <v>0.0</v>
      </c>
      <c r="F152" s="13">
        <v>0.0</v>
      </c>
      <c r="G152" s="13">
        <v>0.0</v>
      </c>
      <c r="H152" s="13">
        <v>0.0</v>
      </c>
      <c r="I152" s="13">
        <v>0.0</v>
      </c>
      <c r="J152" s="13">
        <v>0.0</v>
      </c>
      <c r="K152" s="13">
        <v>0.0</v>
      </c>
      <c r="L152" s="13">
        <v>0.0</v>
      </c>
      <c r="M152" s="13">
        <v>0.0</v>
      </c>
      <c r="N152" s="13">
        <v>0.0</v>
      </c>
      <c r="O152" s="13">
        <v>0.0</v>
      </c>
      <c r="P152" s="13">
        <v>0.0</v>
      </c>
      <c r="Q152" s="13">
        <v>0.0</v>
      </c>
      <c r="R152" s="13">
        <v>0.0</v>
      </c>
      <c r="S152" s="13">
        <v>1.0</v>
      </c>
      <c r="T152" s="6">
        <f t="shared" si="40"/>
        <v>1</v>
      </c>
    </row>
    <row r="153" ht="12.75" customHeight="1">
      <c r="A153" s="18"/>
      <c r="B153" s="51"/>
      <c r="C153" s="52" t="s">
        <v>132</v>
      </c>
      <c r="D153" s="53"/>
      <c r="E153" s="13">
        <v>0.0</v>
      </c>
      <c r="F153" s="13">
        <v>1.0</v>
      </c>
      <c r="G153" s="13">
        <v>0.0</v>
      </c>
      <c r="H153" s="13">
        <v>0.0</v>
      </c>
      <c r="I153" s="13">
        <v>0.0</v>
      </c>
      <c r="J153" s="13">
        <v>0.0</v>
      </c>
      <c r="K153" s="13">
        <v>0.0</v>
      </c>
      <c r="L153" s="13">
        <v>0.0</v>
      </c>
      <c r="M153" s="13">
        <v>0.0</v>
      </c>
      <c r="N153" s="13">
        <v>0.0</v>
      </c>
      <c r="O153" s="13">
        <v>0.0</v>
      </c>
      <c r="P153" s="13">
        <v>0.0</v>
      </c>
      <c r="Q153" s="13">
        <v>0.0</v>
      </c>
      <c r="R153" s="13">
        <v>0.0</v>
      </c>
      <c r="S153" s="13">
        <v>0.0</v>
      </c>
      <c r="T153" s="6">
        <f t="shared" si="40"/>
        <v>1</v>
      </c>
    </row>
    <row r="154" ht="12.75" customHeight="1">
      <c r="A154" s="13" t="s">
        <v>15</v>
      </c>
      <c r="B154" s="49" t="s">
        <v>46</v>
      </c>
      <c r="C154" s="8"/>
      <c r="D154" s="9"/>
      <c r="E154" s="60">
        <f t="shared" ref="E154:S154" si="41">SUM(E147:E153)</f>
        <v>6</v>
      </c>
      <c r="F154" s="60">
        <f t="shared" si="41"/>
        <v>5</v>
      </c>
      <c r="G154" s="60">
        <f t="shared" si="41"/>
        <v>7</v>
      </c>
      <c r="H154" s="60">
        <f t="shared" si="41"/>
        <v>23</v>
      </c>
      <c r="I154" s="60">
        <f t="shared" si="41"/>
        <v>33</v>
      </c>
      <c r="J154" s="60">
        <f t="shared" si="41"/>
        <v>22</v>
      </c>
      <c r="K154" s="60">
        <f t="shared" si="41"/>
        <v>5</v>
      </c>
      <c r="L154" s="60">
        <f t="shared" si="41"/>
        <v>10</v>
      </c>
      <c r="M154" s="60">
        <f t="shared" si="41"/>
        <v>3</v>
      </c>
      <c r="N154" s="60">
        <f t="shared" si="41"/>
        <v>21</v>
      </c>
      <c r="O154" s="60">
        <f t="shared" si="41"/>
        <v>45</v>
      </c>
      <c r="P154" s="60">
        <f t="shared" si="41"/>
        <v>10</v>
      </c>
      <c r="Q154" s="60">
        <f t="shared" si="41"/>
        <v>6</v>
      </c>
      <c r="R154" s="60">
        <f t="shared" si="41"/>
        <v>4</v>
      </c>
      <c r="S154" s="60">
        <f t="shared" si="41"/>
        <v>2</v>
      </c>
      <c r="T154" s="6">
        <f t="shared" si="40"/>
        <v>202</v>
      </c>
    </row>
    <row r="155" ht="12.75" customHeight="1">
      <c r="A155" s="54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6"/>
    </row>
    <row r="156" ht="12.75" customHeight="1">
      <c r="A156" s="32" t="s">
        <v>37</v>
      </c>
      <c r="B156" s="49" t="s">
        <v>133</v>
      </c>
      <c r="C156" s="50" t="s">
        <v>134</v>
      </c>
      <c r="D156" s="9"/>
      <c r="E156" s="13">
        <v>0.0</v>
      </c>
      <c r="F156" s="13">
        <v>0.0</v>
      </c>
      <c r="G156" s="13">
        <v>2.0</v>
      </c>
      <c r="H156" s="13">
        <v>0.0</v>
      </c>
      <c r="I156" s="13">
        <v>1.0</v>
      </c>
      <c r="J156" s="13">
        <v>2.0</v>
      </c>
      <c r="K156" s="13">
        <v>0.0</v>
      </c>
      <c r="L156" s="13">
        <v>2.0</v>
      </c>
      <c r="M156" s="13">
        <v>2.0</v>
      </c>
      <c r="N156" s="13">
        <v>0.0</v>
      </c>
      <c r="O156" s="13">
        <v>0.0</v>
      </c>
      <c r="P156" s="13">
        <v>0.0</v>
      </c>
      <c r="Q156" s="13">
        <v>0.0</v>
      </c>
      <c r="R156" s="13">
        <v>0.0</v>
      </c>
      <c r="S156" s="13">
        <v>0.0</v>
      </c>
      <c r="T156" s="6">
        <f t="shared" ref="T156:T162" si="42">SUM(E156:S156)</f>
        <v>9</v>
      </c>
    </row>
    <row r="157" ht="12.75" customHeight="1">
      <c r="A157" s="32"/>
      <c r="B157" s="49"/>
      <c r="C157" s="52" t="s">
        <v>135</v>
      </c>
      <c r="D157" s="61"/>
      <c r="E157" s="13">
        <v>0.0</v>
      </c>
      <c r="F157" s="13">
        <v>1.0</v>
      </c>
      <c r="G157" s="13">
        <v>1.0</v>
      </c>
      <c r="H157" s="13">
        <v>0.0</v>
      </c>
      <c r="I157" s="13">
        <v>0.0</v>
      </c>
      <c r="J157" s="13">
        <v>0.0</v>
      </c>
      <c r="K157" s="13">
        <v>0.0</v>
      </c>
      <c r="L157" s="13">
        <v>0.0</v>
      </c>
      <c r="M157" s="13">
        <v>0.0</v>
      </c>
      <c r="N157" s="13">
        <v>0.0</v>
      </c>
      <c r="O157" s="13">
        <v>0.0</v>
      </c>
      <c r="P157" s="13">
        <v>0.0</v>
      </c>
      <c r="Q157" s="13">
        <v>1.0</v>
      </c>
      <c r="R157" s="13">
        <v>0.0</v>
      </c>
      <c r="S157" s="13">
        <v>1.0</v>
      </c>
      <c r="T157" s="6">
        <f t="shared" si="42"/>
        <v>4</v>
      </c>
    </row>
    <row r="158" ht="12.75" customHeight="1">
      <c r="A158" s="32"/>
      <c r="B158" s="49"/>
      <c r="C158" s="52" t="s">
        <v>136</v>
      </c>
      <c r="D158" s="61"/>
      <c r="E158" s="13">
        <v>0.0</v>
      </c>
      <c r="F158" s="13">
        <v>0.0</v>
      </c>
      <c r="G158" s="13">
        <v>0.0</v>
      </c>
      <c r="H158" s="13">
        <v>0.0</v>
      </c>
      <c r="I158" s="13">
        <v>1.0</v>
      </c>
      <c r="J158" s="13">
        <v>0.0</v>
      </c>
      <c r="K158" s="13">
        <v>0.0</v>
      </c>
      <c r="L158" s="13">
        <v>0.0</v>
      </c>
      <c r="M158" s="13">
        <v>0.0</v>
      </c>
      <c r="N158" s="13">
        <v>0.0</v>
      </c>
      <c r="O158" s="13">
        <v>0.0</v>
      </c>
      <c r="P158" s="13">
        <v>0.0</v>
      </c>
      <c r="Q158" s="13">
        <v>1.0</v>
      </c>
      <c r="R158" s="13">
        <v>1.0</v>
      </c>
      <c r="S158" s="13">
        <v>0.0</v>
      </c>
      <c r="T158" s="6">
        <f t="shared" si="42"/>
        <v>3</v>
      </c>
    </row>
    <row r="159" ht="12.75" customHeight="1">
      <c r="A159" s="32"/>
      <c r="B159" s="49"/>
      <c r="C159" s="52" t="s">
        <v>137</v>
      </c>
      <c r="D159" s="61"/>
      <c r="E159" s="13">
        <v>0.0</v>
      </c>
      <c r="F159" s="13">
        <v>0.0</v>
      </c>
      <c r="G159" s="13">
        <v>0.0</v>
      </c>
      <c r="H159" s="13">
        <v>0.0</v>
      </c>
      <c r="I159" s="13">
        <v>0.0</v>
      </c>
      <c r="J159" s="13">
        <v>0.0</v>
      </c>
      <c r="K159" s="13">
        <v>0.0</v>
      </c>
      <c r="L159" s="13">
        <v>0.0</v>
      </c>
      <c r="M159" s="13">
        <v>0.0</v>
      </c>
      <c r="N159" s="13">
        <v>0.0</v>
      </c>
      <c r="O159" s="13">
        <v>0.0</v>
      </c>
      <c r="P159" s="13">
        <v>0.0</v>
      </c>
      <c r="Q159" s="13">
        <v>0.0</v>
      </c>
      <c r="R159" s="13">
        <v>0.0</v>
      </c>
      <c r="S159" s="13">
        <v>0.0</v>
      </c>
      <c r="T159" s="6">
        <f t="shared" si="42"/>
        <v>0</v>
      </c>
    </row>
    <row r="160" ht="12.75" customHeight="1">
      <c r="A160" s="32" t="s">
        <v>39</v>
      </c>
      <c r="B160" s="51"/>
      <c r="C160" s="52" t="s">
        <v>138</v>
      </c>
      <c r="D160" s="53"/>
      <c r="E160" s="13">
        <v>0.0</v>
      </c>
      <c r="F160" s="13">
        <v>0.0</v>
      </c>
      <c r="G160" s="13">
        <v>1.0</v>
      </c>
      <c r="H160" s="13">
        <v>0.0</v>
      </c>
      <c r="I160" s="13">
        <v>0.0</v>
      </c>
      <c r="J160" s="13">
        <v>0.0</v>
      </c>
      <c r="K160" s="13">
        <v>0.0</v>
      </c>
      <c r="L160" s="13">
        <v>0.0</v>
      </c>
      <c r="M160" s="13">
        <v>0.0</v>
      </c>
      <c r="N160" s="13">
        <v>0.0</v>
      </c>
      <c r="O160" s="13">
        <v>1.0</v>
      </c>
      <c r="P160" s="13">
        <v>0.0</v>
      </c>
      <c r="Q160" s="13">
        <v>0.0</v>
      </c>
      <c r="R160" s="13">
        <v>0.0</v>
      </c>
      <c r="S160" s="13">
        <v>0.0</v>
      </c>
      <c r="T160" s="6">
        <f t="shared" si="42"/>
        <v>2</v>
      </c>
    </row>
    <row r="161" ht="12.75" customHeight="1">
      <c r="A161" s="32"/>
      <c r="B161" s="51"/>
      <c r="C161" s="52" t="s">
        <v>139</v>
      </c>
      <c r="D161" s="53"/>
      <c r="E161" s="13">
        <v>0.0</v>
      </c>
      <c r="F161" s="13">
        <v>0.0</v>
      </c>
      <c r="G161" s="13">
        <v>0.0</v>
      </c>
      <c r="H161" s="13">
        <v>0.0</v>
      </c>
      <c r="I161" s="13">
        <v>0.0</v>
      </c>
      <c r="J161" s="13">
        <v>0.0</v>
      </c>
      <c r="K161" s="13">
        <v>0.0</v>
      </c>
      <c r="L161" s="13">
        <v>0.0</v>
      </c>
      <c r="M161" s="13">
        <v>0.0</v>
      </c>
      <c r="N161" s="13">
        <v>0.0</v>
      </c>
      <c r="O161" s="13">
        <v>0.0</v>
      </c>
      <c r="P161" s="13">
        <v>0.0</v>
      </c>
      <c r="Q161" s="13">
        <v>0.0</v>
      </c>
      <c r="R161" s="13">
        <v>0.0</v>
      </c>
      <c r="S161" s="13">
        <v>0.0</v>
      </c>
      <c r="T161" s="6">
        <f t="shared" si="42"/>
        <v>0</v>
      </c>
    </row>
    <row r="162" ht="12.75" customHeight="1">
      <c r="A162" s="13" t="s">
        <v>15</v>
      </c>
      <c r="B162" s="49" t="s">
        <v>46</v>
      </c>
      <c r="C162" s="8"/>
      <c r="D162" s="9"/>
      <c r="E162" s="60">
        <f t="shared" ref="E162:S162" si="43">SUM(E156:E161)</f>
        <v>0</v>
      </c>
      <c r="F162" s="60">
        <f t="shared" si="43"/>
        <v>1</v>
      </c>
      <c r="G162" s="60">
        <f t="shared" si="43"/>
        <v>4</v>
      </c>
      <c r="H162" s="60">
        <f t="shared" si="43"/>
        <v>0</v>
      </c>
      <c r="I162" s="60">
        <f t="shared" si="43"/>
        <v>2</v>
      </c>
      <c r="J162" s="60">
        <f t="shared" si="43"/>
        <v>2</v>
      </c>
      <c r="K162" s="60">
        <f t="shared" si="43"/>
        <v>0</v>
      </c>
      <c r="L162" s="60">
        <f t="shared" si="43"/>
        <v>2</v>
      </c>
      <c r="M162" s="60">
        <f t="shared" si="43"/>
        <v>2</v>
      </c>
      <c r="N162" s="60">
        <f t="shared" si="43"/>
        <v>0</v>
      </c>
      <c r="O162" s="60">
        <f t="shared" si="43"/>
        <v>1</v>
      </c>
      <c r="P162" s="60">
        <f t="shared" si="43"/>
        <v>0</v>
      </c>
      <c r="Q162" s="60">
        <f t="shared" si="43"/>
        <v>2</v>
      </c>
      <c r="R162" s="60">
        <f t="shared" si="43"/>
        <v>1</v>
      </c>
      <c r="S162" s="60">
        <f t="shared" si="43"/>
        <v>1</v>
      </c>
      <c r="T162" s="6">
        <f t="shared" si="42"/>
        <v>18</v>
      </c>
    </row>
    <row r="163" ht="12.75" customHeight="1">
      <c r="A163" s="54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6"/>
    </row>
    <row r="164" ht="12.75" customHeight="1">
      <c r="A164" s="32" t="s">
        <v>37</v>
      </c>
      <c r="B164" s="49" t="s">
        <v>140</v>
      </c>
      <c r="C164" s="50" t="s">
        <v>141</v>
      </c>
      <c r="D164" s="9"/>
      <c r="E164" s="13">
        <v>0.0</v>
      </c>
      <c r="F164" s="13">
        <v>1.0</v>
      </c>
      <c r="G164" s="13">
        <v>1.0</v>
      </c>
      <c r="H164" s="13">
        <v>0.0</v>
      </c>
      <c r="I164" s="13">
        <v>0.0</v>
      </c>
      <c r="J164" s="13">
        <v>1.0</v>
      </c>
      <c r="K164" s="13">
        <v>2.0</v>
      </c>
      <c r="L164" s="13">
        <v>0.0</v>
      </c>
      <c r="M164" s="13">
        <v>1.0</v>
      </c>
      <c r="N164" s="13">
        <v>0.0</v>
      </c>
      <c r="O164" s="13">
        <v>1.0</v>
      </c>
      <c r="P164" s="13">
        <v>0.0</v>
      </c>
      <c r="Q164" s="13">
        <v>0.0</v>
      </c>
      <c r="R164" s="13">
        <v>1.0</v>
      </c>
      <c r="S164" s="13">
        <v>1.0</v>
      </c>
      <c r="T164" s="6">
        <f t="shared" ref="T164:T171" si="44">SUM(E164:S164)</f>
        <v>9</v>
      </c>
    </row>
    <row r="165" ht="12.75" customHeight="1">
      <c r="A165" s="32"/>
      <c r="B165" s="49"/>
      <c r="C165" s="52" t="s">
        <v>142</v>
      </c>
      <c r="D165" s="61"/>
      <c r="E165" s="13">
        <v>0.0</v>
      </c>
      <c r="F165" s="13">
        <v>0.0</v>
      </c>
      <c r="G165" s="13">
        <v>0.0</v>
      </c>
      <c r="H165" s="13">
        <v>0.0</v>
      </c>
      <c r="I165" s="13">
        <v>0.0</v>
      </c>
      <c r="J165" s="13">
        <v>0.0</v>
      </c>
      <c r="K165" s="13">
        <v>0.0</v>
      </c>
      <c r="L165" s="13">
        <v>0.0</v>
      </c>
      <c r="M165" s="13">
        <v>0.0</v>
      </c>
      <c r="N165" s="13">
        <v>0.0</v>
      </c>
      <c r="O165" s="13">
        <v>0.0</v>
      </c>
      <c r="P165" s="13">
        <v>0.0</v>
      </c>
      <c r="Q165" s="13">
        <v>0.0</v>
      </c>
      <c r="R165" s="13">
        <v>1.0</v>
      </c>
      <c r="S165" s="13">
        <v>0.0</v>
      </c>
      <c r="T165" s="6">
        <f t="shared" si="44"/>
        <v>1</v>
      </c>
    </row>
    <row r="166" ht="12.75" customHeight="1">
      <c r="A166" s="32"/>
      <c r="B166" s="49"/>
      <c r="C166" s="52" t="s">
        <v>143</v>
      </c>
      <c r="D166" s="61"/>
      <c r="E166" s="13">
        <v>0.0</v>
      </c>
      <c r="F166" s="13">
        <v>0.0</v>
      </c>
      <c r="G166" s="13">
        <v>0.0</v>
      </c>
      <c r="H166" s="13">
        <v>0.0</v>
      </c>
      <c r="I166" s="13">
        <v>0.0</v>
      </c>
      <c r="J166" s="13">
        <v>0.0</v>
      </c>
      <c r="K166" s="13">
        <v>0.0</v>
      </c>
      <c r="L166" s="13">
        <v>0.0</v>
      </c>
      <c r="M166" s="13">
        <v>0.0</v>
      </c>
      <c r="N166" s="13">
        <v>0.0</v>
      </c>
      <c r="O166" s="13">
        <v>0.0</v>
      </c>
      <c r="P166" s="13">
        <v>0.0</v>
      </c>
      <c r="Q166" s="13">
        <v>0.0</v>
      </c>
      <c r="R166" s="13">
        <v>0.0</v>
      </c>
      <c r="S166" s="13">
        <v>0.0</v>
      </c>
      <c r="T166" s="6">
        <f t="shared" si="44"/>
        <v>0</v>
      </c>
    </row>
    <row r="167" ht="12.75" customHeight="1">
      <c r="A167" s="32"/>
      <c r="B167" s="49"/>
      <c r="C167" s="52" t="s">
        <v>144</v>
      </c>
      <c r="D167" s="61"/>
      <c r="E167" s="13">
        <v>0.0</v>
      </c>
      <c r="F167" s="13">
        <v>1.0</v>
      </c>
      <c r="G167" s="13">
        <v>0.0</v>
      </c>
      <c r="H167" s="13">
        <v>0.0</v>
      </c>
      <c r="I167" s="13">
        <v>0.0</v>
      </c>
      <c r="J167" s="13">
        <v>0.0</v>
      </c>
      <c r="K167" s="13">
        <v>0.0</v>
      </c>
      <c r="L167" s="13">
        <v>0.0</v>
      </c>
      <c r="M167" s="13">
        <v>0.0</v>
      </c>
      <c r="N167" s="13">
        <v>0.0</v>
      </c>
      <c r="O167" s="13">
        <v>0.0</v>
      </c>
      <c r="P167" s="13">
        <v>0.0</v>
      </c>
      <c r="Q167" s="13">
        <v>0.0</v>
      </c>
      <c r="R167" s="13">
        <v>0.0</v>
      </c>
      <c r="S167" s="13">
        <v>0.0</v>
      </c>
      <c r="T167" s="6">
        <f t="shared" si="44"/>
        <v>1</v>
      </c>
    </row>
    <row r="168" ht="12.75" customHeight="1">
      <c r="A168" s="32" t="s">
        <v>39</v>
      </c>
      <c r="B168" s="51"/>
      <c r="C168" s="52" t="s">
        <v>145</v>
      </c>
      <c r="D168" s="53"/>
      <c r="E168" s="13">
        <v>0.0</v>
      </c>
      <c r="F168" s="13">
        <v>0.0</v>
      </c>
      <c r="G168" s="13">
        <v>0.0</v>
      </c>
      <c r="H168" s="13">
        <v>0.0</v>
      </c>
      <c r="I168" s="13">
        <v>0.0</v>
      </c>
      <c r="J168" s="13">
        <v>0.0</v>
      </c>
      <c r="K168" s="13">
        <v>0.0</v>
      </c>
      <c r="L168" s="13">
        <v>0.0</v>
      </c>
      <c r="M168" s="13">
        <v>0.0</v>
      </c>
      <c r="N168" s="13">
        <v>1.0</v>
      </c>
      <c r="O168" s="13">
        <v>1.0</v>
      </c>
      <c r="P168" s="13">
        <v>1.0</v>
      </c>
      <c r="Q168" s="13">
        <v>0.0</v>
      </c>
      <c r="R168" s="13">
        <v>0.0</v>
      </c>
      <c r="S168" s="13">
        <v>0.0</v>
      </c>
      <c r="T168" s="6">
        <f t="shared" si="44"/>
        <v>3</v>
      </c>
    </row>
    <row r="169" ht="12.75" customHeight="1">
      <c r="A169" s="18"/>
      <c r="B169" s="51"/>
      <c r="C169" s="52" t="s">
        <v>146</v>
      </c>
      <c r="D169" s="53"/>
      <c r="E169" s="13">
        <v>5.0</v>
      </c>
      <c r="F169" s="13">
        <v>2.0</v>
      </c>
      <c r="G169" s="13">
        <v>2.0</v>
      </c>
      <c r="H169" s="13">
        <v>0.0</v>
      </c>
      <c r="I169" s="13">
        <v>1.0</v>
      </c>
      <c r="J169" s="13">
        <v>3.0</v>
      </c>
      <c r="K169" s="13">
        <v>4.0</v>
      </c>
      <c r="L169" s="13">
        <v>9.0</v>
      </c>
      <c r="M169" s="13">
        <v>6.0</v>
      </c>
      <c r="N169" s="13">
        <v>2.0</v>
      </c>
      <c r="O169" s="13">
        <v>0.0</v>
      </c>
      <c r="P169" s="13">
        <v>0.0</v>
      </c>
      <c r="Q169" s="13">
        <v>0.0</v>
      </c>
      <c r="R169" s="13">
        <v>0.0</v>
      </c>
      <c r="S169" s="13">
        <v>3.0</v>
      </c>
      <c r="T169" s="6">
        <f t="shared" si="44"/>
        <v>37</v>
      </c>
    </row>
    <row r="170" ht="12.75" customHeight="1">
      <c r="A170" s="18"/>
      <c r="B170" s="51"/>
      <c r="C170" s="52" t="s">
        <v>147</v>
      </c>
      <c r="D170" s="53"/>
      <c r="E170" s="13">
        <v>0.0</v>
      </c>
      <c r="F170" s="13">
        <v>0.0</v>
      </c>
      <c r="G170" s="13">
        <v>0.0</v>
      </c>
      <c r="H170" s="13">
        <v>0.0</v>
      </c>
      <c r="I170" s="13">
        <v>0.0</v>
      </c>
      <c r="J170" s="13">
        <v>1.0</v>
      </c>
      <c r="K170" s="13">
        <v>0.0</v>
      </c>
      <c r="L170" s="13">
        <v>0.0</v>
      </c>
      <c r="M170" s="13">
        <v>0.0</v>
      </c>
      <c r="N170" s="13">
        <v>0.0</v>
      </c>
      <c r="O170" s="13">
        <v>0.0</v>
      </c>
      <c r="P170" s="13">
        <v>0.0</v>
      </c>
      <c r="Q170" s="13">
        <v>0.0</v>
      </c>
      <c r="R170" s="13">
        <v>0.0</v>
      </c>
      <c r="S170" s="13">
        <v>0.0</v>
      </c>
      <c r="T170" s="6">
        <f t="shared" si="44"/>
        <v>1</v>
      </c>
    </row>
    <row r="171" ht="12.75" customHeight="1">
      <c r="A171" s="13" t="s">
        <v>15</v>
      </c>
      <c r="B171" s="49" t="s">
        <v>46</v>
      </c>
      <c r="C171" s="8"/>
      <c r="D171" s="9"/>
      <c r="E171" s="60">
        <f t="shared" ref="E171:S171" si="45">SUM(E164:E170)</f>
        <v>5</v>
      </c>
      <c r="F171" s="60">
        <f t="shared" si="45"/>
        <v>4</v>
      </c>
      <c r="G171" s="60">
        <f t="shared" si="45"/>
        <v>3</v>
      </c>
      <c r="H171" s="60">
        <f t="shared" si="45"/>
        <v>0</v>
      </c>
      <c r="I171" s="60">
        <f t="shared" si="45"/>
        <v>1</v>
      </c>
      <c r="J171" s="60">
        <f t="shared" si="45"/>
        <v>5</v>
      </c>
      <c r="K171" s="60">
        <f t="shared" si="45"/>
        <v>6</v>
      </c>
      <c r="L171" s="60">
        <f t="shared" si="45"/>
        <v>9</v>
      </c>
      <c r="M171" s="60">
        <f t="shared" si="45"/>
        <v>7</v>
      </c>
      <c r="N171" s="60">
        <f t="shared" si="45"/>
        <v>3</v>
      </c>
      <c r="O171" s="60">
        <f t="shared" si="45"/>
        <v>2</v>
      </c>
      <c r="P171" s="60">
        <f t="shared" si="45"/>
        <v>1</v>
      </c>
      <c r="Q171" s="60">
        <f t="shared" si="45"/>
        <v>0</v>
      </c>
      <c r="R171" s="60">
        <f t="shared" si="45"/>
        <v>2</v>
      </c>
      <c r="S171" s="60">
        <f t="shared" si="45"/>
        <v>4</v>
      </c>
      <c r="T171" s="6">
        <f t="shared" si="44"/>
        <v>52</v>
      </c>
    </row>
    <row r="172" ht="12.75" customHeight="1">
      <c r="A172" s="54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6"/>
    </row>
    <row r="173" ht="12.75" customHeight="1">
      <c r="A173" s="32" t="s">
        <v>37</v>
      </c>
      <c r="B173" s="49" t="s">
        <v>148</v>
      </c>
      <c r="C173" s="50" t="s">
        <v>149</v>
      </c>
      <c r="D173" s="9"/>
      <c r="E173" s="13">
        <v>0.0</v>
      </c>
      <c r="F173" s="13">
        <v>1.0</v>
      </c>
      <c r="G173" s="13">
        <v>2.0</v>
      </c>
      <c r="H173" s="13">
        <v>0.0</v>
      </c>
      <c r="I173" s="13">
        <v>1.0</v>
      </c>
      <c r="J173" s="13">
        <v>0.0</v>
      </c>
      <c r="K173" s="13">
        <v>1.0</v>
      </c>
      <c r="L173" s="13">
        <v>3.0</v>
      </c>
      <c r="M173" s="13">
        <v>0.0</v>
      </c>
      <c r="N173" s="13">
        <v>0.0</v>
      </c>
      <c r="O173" s="13">
        <v>0.0</v>
      </c>
      <c r="P173" s="13">
        <v>0.0</v>
      </c>
      <c r="Q173" s="13">
        <v>1.0</v>
      </c>
      <c r="R173" s="13">
        <v>0.0</v>
      </c>
      <c r="S173" s="13">
        <v>0.0</v>
      </c>
      <c r="T173" s="6">
        <f t="shared" ref="T173:T180" si="46">SUM(E173:S173)</f>
        <v>9</v>
      </c>
    </row>
    <row r="174" ht="12.75" customHeight="1">
      <c r="A174" s="32" t="s">
        <v>39</v>
      </c>
      <c r="B174" s="51"/>
      <c r="C174" s="52" t="s">
        <v>150</v>
      </c>
      <c r="D174" s="53"/>
      <c r="E174" s="13">
        <v>0.0</v>
      </c>
      <c r="F174" s="13">
        <v>3.0</v>
      </c>
      <c r="G174" s="13">
        <v>4.0</v>
      </c>
      <c r="H174" s="13">
        <v>0.0</v>
      </c>
      <c r="I174" s="13">
        <v>0.0</v>
      </c>
      <c r="J174" s="13">
        <v>1.0</v>
      </c>
      <c r="K174" s="13">
        <v>0.0</v>
      </c>
      <c r="L174" s="13">
        <v>2.0</v>
      </c>
      <c r="M174" s="13">
        <v>1.0</v>
      </c>
      <c r="N174" s="13">
        <v>0.0</v>
      </c>
      <c r="O174" s="13">
        <v>0.0</v>
      </c>
      <c r="P174" s="13">
        <v>0.0</v>
      </c>
      <c r="Q174" s="13">
        <v>0.0</v>
      </c>
      <c r="R174" s="13">
        <v>0.0</v>
      </c>
      <c r="S174" s="13">
        <v>0.0</v>
      </c>
      <c r="T174" s="6">
        <f t="shared" si="46"/>
        <v>11</v>
      </c>
    </row>
    <row r="175" ht="12.75" customHeight="1">
      <c r="A175" s="18"/>
      <c r="B175" s="51"/>
      <c r="C175" s="52" t="s">
        <v>151</v>
      </c>
      <c r="D175" s="53"/>
      <c r="E175" s="13">
        <v>0.0</v>
      </c>
      <c r="F175" s="13">
        <v>0.0</v>
      </c>
      <c r="G175" s="13">
        <v>0.0</v>
      </c>
      <c r="H175" s="13">
        <v>0.0</v>
      </c>
      <c r="I175" s="13">
        <v>0.0</v>
      </c>
      <c r="J175" s="13">
        <v>0.0</v>
      </c>
      <c r="K175" s="13">
        <v>0.0</v>
      </c>
      <c r="L175" s="13">
        <v>0.0</v>
      </c>
      <c r="M175" s="13">
        <v>0.0</v>
      </c>
      <c r="N175" s="13">
        <v>0.0</v>
      </c>
      <c r="O175" s="13">
        <v>0.0</v>
      </c>
      <c r="P175" s="13">
        <v>0.0</v>
      </c>
      <c r="Q175" s="13">
        <v>0.0</v>
      </c>
      <c r="R175" s="13">
        <v>0.0</v>
      </c>
      <c r="S175" s="13">
        <v>0.0</v>
      </c>
      <c r="T175" s="6">
        <f t="shared" si="46"/>
        <v>0</v>
      </c>
    </row>
    <row r="176" ht="12.75" customHeight="1">
      <c r="A176" s="18"/>
      <c r="B176" s="51"/>
      <c r="C176" s="52" t="s">
        <v>152</v>
      </c>
      <c r="D176" s="53"/>
      <c r="E176" s="13">
        <v>0.0</v>
      </c>
      <c r="F176" s="13">
        <v>0.0</v>
      </c>
      <c r="G176" s="13">
        <v>1.0</v>
      </c>
      <c r="H176" s="13">
        <v>0.0</v>
      </c>
      <c r="I176" s="13">
        <v>0.0</v>
      </c>
      <c r="J176" s="13">
        <v>0.0</v>
      </c>
      <c r="K176" s="13">
        <v>0.0</v>
      </c>
      <c r="L176" s="13">
        <v>0.0</v>
      </c>
      <c r="M176" s="13">
        <v>0.0</v>
      </c>
      <c r="N176" s="13">
        <v>0.0</v>
      </c>
      <c r="O176" s="13">
        <v>0.0</v>
      </c>
      <c r="P176" s="13">
        <v>0.0</v>
      </c>
      <c r="Q176" s="13">
        <v>0.0</v>
      </c>
      <c r="R176" s="13">
        <v>0.0</v>
      </c>
      <c r="S176" s="13">
        <v>0.0</v>
      </c>
      <c r="T176" s="6">
        <f t="shared" si="46"/>
        <v>1</v>
      </c>
    </row>
    <row r="177" ht="12.75" customHeight="1">
      <c r="A177" s="18"/>
      <c r="B177" s="51"/>
      <c r="C177" s="52" t="s">
        <v>153</v>
      </c>
      <c r="D177" s="53"/>
      <c r="E177" s="13">
        <v>0.0</v>
      </c>
      <c r="F177" s="13">
        <v>0.0</v>
      </c>
      <c r="G177" s="13">
        <v>0.0</v>
      </c>
      <c r="H177" s="13">
        <v>0.0</v>
      </c>
      <c r="I177" s="13">
        <v>0.0</v>
      </c>
      <c r="J177" s="13">
        <v>0.0</v>
      </c>
      <c r="K177" s="13">
        <v>0.0</v>
      </c>
      <c r="L177" s="13">
        <v>0.0</v>
      </c>
      <c r="M177" s="13">
        <v>0.0</v>
      </c>
      <c r="N177" s="13">
        <v>0.0</v>
      </c>
      <c r="O177" s="13">
        <v>0.0</v>
      </c>
      <c r="P177" s="13">
        <v>0.0</v>
      </c>
      <c r="Q177" s="13">
        <v>0.0</v>
      </c>
      <c r="R177" s="13">
        <v>0.0</v>
      </c>
      <c r="S177" s="13">
        <v>0.0</v>
      </c>
      <c r="T177" s="6">
        <f t="shared" si="46"/>
        <v>0</v>
      </c>
    </row>
    <row r="178" ht="12.75" customHeight="1">
      <c r="A178" s="18"/>
      <c r="B178" s="51"/>
      <c r="C178" s="52" t="s">
        <v>154</v>
      </c>
      <c r="D178" s="53"/>
      <c r="E178" s="13">
        <v>0.0</v>
      </c>
      <c r="F178" s="13">
        <v>0.0</v>
      </c>
      <c r="G178" s="13">
        <v>0.0</v>
      </c>
      <c r="H178" s="13">
        <v>0.0</v>
      </c>
      <c r="I178" s="13">
        <v>0.0</v>
      </c>
      <c r="J178" s="13">
        <v>0.0</v>
      </c>
      <c r="K178" s="13">
        <v>0.0</v>
      </c>
      <c r="L178" s="13">
        <v>0.0</v>
      </c>
      <c r="M178" s="13">
        <v>0.0</v>
      </c>
      <c r="N178" s="13">
        <v>0.0</v>
      </c>
      <c r="O178" s="13">
        <v>0.0</v>
      </c>
      <c r="P178" s="13">
        <v>0.0</v>
      </c>
      <c r="Q178" s="13">
        <v>1.0</v>
      </c>
      <c r="R178" s="13">
        <v>0.0</v>
      </c>
      <c r="S178" s="13">
        <v>0.0</v>
      </c>
      <c r="T178" s="6">
        <f t="shared" si="46"/>
        <v>1</v>
      </c>
    </row>
    <row r="179" ht="12.75" customHeight="1">
      <c r="A179" s="18"/>
      <c r="B179" s="51"/>
      <c r="C179" s="52" t="s">
        <v>155</v>
      </c>
      <c r="D179" s="53"/>
      <c r="E179" s="13">
        <v>0.0</v>
      </c>
      <c r="F179" s="13">
        <v>0.0</v>
      </c>
      <c r="G179" s="13">
        <v>0.0</v>
      </c>
      <c r="H179" s="13">
        <v>0.0</v>
      </c>
      <c r="I179" s="13">
        <v>0.0</v>
      </c>
      <c r="J179" s="13">
        <v>0.0</v>
      </c>
      <c r="K179" s="13">
        <v>0.0</v>
      </c>
      <c r="L179" s="13">
        <v>0.0</v>
      </c>
      <c r="M179" s="13">
        <v>0.0</v>
      </c>
      <c r="N179" s="13">
        <v>0.0</v>
      </c>
      <c r="O179" s="13">
        <v>0.0</v>
      </c>
      <c r="P179" s="13">
        <v>0.0</v>
      </c>
      <c r="Q179" s="13">
        <v>0.0</v>
      </c>
      <c r="R179" s="13">
        <v>0.0</v>
      </c>
      <c r="S179" s="13">
        <v>0.0</v>
      </c>
      <c r="T179" s="6">
        <f t="shared" si="46"/>
        <v>0</v>
      </c>
    </row>
    <row r="180" ht="12.75" customHeight="1">
      <c r="A180" s="13" t="s">
        <v>15</v>
      </c>
      <c r="B180" s="49" t="s">
        <v>46</v>
      </c>
      <c r="C180" s="8"/>
      <c r="D180" s="9"/>
      <c r="E180" s="60">
        <f t="shared" ref="E180:S180" si="47">SUM(E173:E179)</f>
        <v>0</v>
      </c>
      <c r="F180" s="60">
        <f t="shared" si="47"/>
        <v>4</v>
      </c>
      <c r="G180" s="60">
        <f t="shared" si="47"/>
        <v>7</v>
      </c>
      <c r="H180" s="60">
        <f t="shared" si="47"/>
        <v>0</v>
      </c>
      <c r="I180" s="60">
        <f t="shared" si="47"/>
        <v>1</v>
      </c>
      <c r="J180" s="60">
        <f t="shared" si="47"/>
        <v>1</v>
      </c>
      <c r="K180" s="60">
        <f t="shared" si="47"/>
        <v>1</v>
      </c>
      <c r="L180" s="60">
        <f t="shared" si="47"/>
        <v>5</v>
      </c>
      <c r="M180" s="60">
        <f t="shared" si="47"/>
        <v>1</v>
      </c>
      <c r="N180" s="60">
        <f t="shared" si="47"/>
        <v>0</v>
      </c>
      <c r="O180" s="60">
        <f t="shared" si="47"/>
        <v>0</v>
      </c>
      <c r="P180" s="60">
        <f t="shared" si="47"/>
        <v>0</v>
      </c>
      <c r="Q180" s="60">
        <f t="shared" si="47"/>
        <v>2</v>
      </c>
      <c r="R180" s="60">
        <f t="shared" si="47"/>
        <v>0</v>
      </c>
      <c r="S180" s="60">
        <f t="shared" si="47"/>
        <v>0</v>
      </c>
      <c r="T180" s="6">
        <f t="shared" si="46"/>
        <v>22</v>
      </c>
    </row>
    <row r="181" ht="12.75" customHeight="1">
      <c r="A181" s="54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6"/>
    </row>
    <row r="182" ht="12.75" customHeight="1">
      <c r="A182" s="32" t="s">
        <v>37</v>
      </c>
      <c r="B182" s="49" t="s">
        <v>156</v>
      </c>
      <c r="C182" s="50" t="s">
        <v>157</v>
      </c>
      <c r="D182" s="9"/>
      <c r="E182" s="13">
        <v>0.0</v>
      </c>
      <c r="F182" s="13">
        <v>1.0</v>
      </c>
      <c r="G182" s="13">
        <v>0.0</v>
      </c>
      <c r="H182" s="13">
        <v>0.0</v>
      </c>
      <c r="I182" s="13">
        <v>0.0</v>
      </c>
      <c r="J182" s="13">
        <v>1.0</v>
      </c>
      <c r="K182" s="13">
        <v>0.0</v>
      </c>
      <c r="L182" s="13">
        <v>1.0</v>
      </c>
      <c r="M182" s="13">
        <v>0.0</v>
      </c>
      <c r="N182" s="13">
        <v>0.0</v>
      </c>
      <c r="O182" s="13">
        <v>0.0</v>
      </c>
      <c r="P182" s="13">
        <v>0.0</v>
      </c>
      <c r="Q182" s="13">
        <v>1.0</v>
      </c>
      <c r="R182" s="13">
        <v>0.0</v>
      </c>
      <c r="S182" s="13">
        <v>0.0</v>
      </c>
      <c r="T182" s="6">
        <f t="shared" ref="T182:T187" si="48">SUM(E182:S182)</f>
        <v>4</v>
      </c>
    </row>
    <row r="183" ht="12.75" customHeight="1">
      <c r="A183" s="32"/>
      <c r="B183" s="49"/>
      <c r="C183" s="52" t="s">
        <v>158</v>
      </c>
      <c r="D183" s="61"/>
      <c r="E183" s="13">
        <v>0.0</v>
      </c>
      <c r="F183" s="13">
        <v>0.0</v>
      </c>
      <c r="G183" s="13">
        <v>0.0</v>
      </c>
      <c r="H183" s="13">
        <v>0.0</v>
      </c>
      <c r="I183" s="13">
        <v>0.0</v>
      </c>
      <c r="J183" s="13">
        <v>0.0</v>
      </c>
      <c r="K183" s="13">
        <v>0.0</v>
      </c>
      <c r="L183" s="13">
        <v>0.0</v>
      </c>
      <c r="M183" s="13">
        <v>0.0</v>
      </c>
      <c r="N183" s="13">
        <v>0.0</v>
      </c>
      <c r="O183" s="13">
        <v>1.0</v>
      </c>
      <c r="P183" s="13">
        <v>0.0</v>
      </c>
      <c r="Q183" s="13">
        <v>0.0</v>
      </c>
      <c r="R183" s="13">
        <v>0.0</v>
      </c>
      <c r="S183" s="13">
        <v>0.0</v>
      </c>
      <c r="T183" s="6">
        <f t="shared" si="48"/>
        <v>1</v>
      </c>
    </row>
    <row r="184" ht="12.75" customHeight="1">
      <c r="A184" s="32"/>
      <c r="B184" s="49"/>
      <c r="C184" s="52" t="s">
        <v>159</v>
      </c>
      <c r="D184" s="61"/>
      <c r="E184" s="13">
        <v>0.0</v>
      </c>
      <c r="F184" s="13">
        <v>0.0</v>
      </c>
      <c r="G184" s="13">
        <v>0.0</v>
      </c>
      <c r="H184" s="13">
        <v>0.0</v>
      </c>
      <c r="I184" s="13">
        <v>0.0</v>
      </c>
      <c r="J184" s="13">
        <v>0.0</v>
      </c>
      <c r="K184" s="13">
        <v>0.0</v>
      </c>
      <c r="L184" s="13">
        <v>1.0</v>
      </c>
      <c r="M184" s="13">
        <v>0.0</v>
      </c>
      <c r="N184" s="13">
        <v>0.0</v>
      </c>
      <c r="O184" s="13">
        <v>0.0</v>
      </c>
      <c r="P184" s="13">
        <v>0.0</v>
      </c>
      <c r="Q184" s="13">
        <v>0.0</v>
      </c>
      <c r="R184" s="13">
        <v>0.0</v>
      </c>
      <c r="S184" s="13">
        <v>0.0</v>
      </c>
      <c r="T184" s="6">
        <f t="shared" si="48"/>
        <v>1</v>
      </c>
    </row>
    <row r="185" ht="12.75" customHeight="1">
      <c r="A185" s="32"/>
      <c r="B185" s="49"/>
      <c r="C185" s="52" t="s">
        <v>160</v>
      </c>
      <c r="D185" s="61"/>
      <c r="E185" s="13">
        <v>0.0</v>
      </c>
      <c r="F185" s="13">
        <v>0.0</v>
      </c>
      <c r="G185" s="13">
        <v>0.0</v>
      </c>
      <c r="H185" s="13">
        <v>0.0</v>
      </c>
      <c r="I185" s="13">
        <v>0.0</v>
      </c>
      <c r="J185" s="13">
        <v>0.0</v>
      </c>
      <c r="K185" s="13">
        <v>0.0</v>
      </c>
      <c r="L185" s="13">
        <v>0.0</v>
      </c>
      <c r="M185" s="13">
        <v>0.0</v>
      </c>
      <c r="N185" s="13">
        <v>0.0</v>
      </c>
      <c r="O185" s="13">
        <v>0.0</v>
      </c>
      <c r="P185" s="13">
        <v>0.0</v>
      </c>
      <c r="Q185" s="13">
        <v>0.0</v>
      </c>
      <c r="R185" s="13">
        <v>0.0</v>
      </c>
      <c r="S185" s="13">
        <v>0.0</v>
      </c>
      <c r="T185" s="6">
        <f t="shared" si="48"/>
        <v>0</v>
      </c>
    </row>
    <row r="186" ht="12.75" customHeight="1">
      <c r="A186" s="32" t="s">
        <v>39</v>
      </c>
      <c r="B186" s="51"/>
      <c r="C186" s="52" t="s">
        <v>161</v>
      </c>
      <c r="D186" s="53"/>
      <c r="E186" s="13">
        <v>0.0</v>
      </c>
      <c r="F186" s="13">
        <v>0.0</v>
      </c>
      <c r="G186" s="13">
        <v>0.0</v>
      </c>
      <c r="H186" s="13">
        <v>0.0</v>
      </c>
      <c r="I186" s="13">
        <v>0.0</v>
      </c>
      <c r="J186" s="13">
        <v>0.0</v>
      </c>
      <c r="K186" s="13">
        <v>0.0</v>
      </c>
      <c r="L186" s="13">
        <v>0.0</v>
      </c>
      <c r="M186" s="13">
        <v>0.0</v>
      </c>
      <c r="N186" s="13">
        <v>0.0</v>
      </c>
      <c r="O186" s="13">
        <v>0.0</v>
      </c>
      <c r="P186" s="13">
        <v>0.0</v>
      </c>
      <c r="Q186" s="13">
        <v>0.0</v>
      </c>
      <c r="R186" s="13">
        <v>0.0</v>
      </c>
      <c r="S186" s="13">
        <v>0.0</v>
      </c>
      <c r="T186" s="6">
        <f t="shared" si="48"/>
        <v>0</v>
      </c>
    </row>
    <row r="187" ht="12.75" customHeight="1">
      <c r="A187" s="13" t="s">
        <v>15</v>
      </c>
      <c r="B187" s="49" t="s">
        <v>46</v>
      </c>
      <c r="C187" s="8"/>
      <c r="D187" s="9"/>
      <c r="E187" s="60">
        <f t="shared" ref="E187:S187" si="49">SUM(E182:E186)</f>
        <v>0</v>
      </c>
      <c r="F187" s="60">
        <f t="shared" si="49"/>
        <v>1</v>
      </c>
      <c r="G187" s="60">
        <f t="shared" si="49"/>
        <v>0</v>
      </c>
      <c r="H187" s="60">
        <f t="shared" si="49"/>
        <v>0</v>
      </c>
      <c r="I187" s="60">
        <f t="shared" si="49"/>
        <v>0</v>
      </c>
      <c r="J187" s="60">
        <f t="shared" si="49"/>
        <v>1</v>
      </c>
      <c r="K187" s="60">
        <f t="shared" si="49"/>
        <v>0</v>
      </c>
      <c r="L187" s="60">
        <f t="shared" si="49"/>
        <v>2</v>
      </c>
      <c r="M187" s="60">
        <f t="shared" si="49"/>
        <v>0</v>
      </c>
      <c r="N187" s="60">
        <f t="shared" si="49"/>
        <v>0</v>
      </c>
      <c r="O187" s="60">
        <f t="shared" si="49"/>
        <v>1</v>
      </c>
      <c r="P187" s="60">
        <f t="shared" si="49"/>
        <v>0</v>
      </c>
      <c r="Q187" s="60">
        <f t="shared" si="49"/>
        <v>1</v>
      </c>
      <c r="R187" s="60">
        <f t="shared" si="49"/>
        <v>0</v>
      </c>
      <c r="S187" s="60">
        <f t="shared" si="49"/>
        <v>0</v>
      </c>
      <c r="T187" s="6">
        <f t="shared" si="48"/>
        <v>6</v>
      </c>
    </row>
    <row r="188" ht="12.75" customHeight="1">
      <c r="A188" s="21"/>
      <c r="B188" s="8"/>
      <c r="C188" s="8"/>
      <c r="D188" s="9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6"/>
    </row>
    <row r="189" ht="12.75" customHeight="1">
      <c r="A189" s="47"/>
      <c r="B189" s="46"/>
      <c r="C189" s="46"/>
      <c r="D189" s="27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6"/>
    </row>
    <row r="190" ht="12.75" customHeight="1">
      <c r="A190" s="44" t="s">
        <v>162</v>
      </c>
      <c r="B190" s="7" t="s">
        <v>163</v>
      </c>
      <c r="C190" s="8"/>
      <c r="D190" s="9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ht="12.75" customHeight="1">
      <c r="A191" s="44"/>
      <c r="B191" s="63" t="s">
        <v>164</v>
      </c>
      <c r="C191" s="64" t="s">
        <v>165</v>
      </c>
      <c r="D191" s="9"/>
      <c r="E191" s="13">
        <f t="shared" ref="E191:S191" si="50">E187+E180+E171+E162+E154+E145+E136+E127+E123+E114+E110+E101+E92+E88+E79+E70+E61+E52</f>
        <v>198</v>
      </c>
      <c r="F191" s="13">
        <f t="shared" si="50"/>
        <v>212</v>
      </c>
      <c r="G191" s="13">
        <f t="shared" si="50"/>
        <v>217</v>
      </c>
      <c r="H191" s="13">
        <f t="shared" si="50"/>
        <v>141</v>
      </c>
      <c r="I191" s="13">
        <f t="shared" si="50"/>
        <v>172</v>
      </c>
      <c r="J191" s="13">
        <f t="shared" si="50"/>
        <v>198</v>
      </c>
      <c r="K191" s="13">
        <f t="shared" si="50"/>
        <v>163</v>
      </c>
      <c r="L191" s="13">
        <f t="shared" si="50"/>
        <v>174</v>
      </c>
      <c r="M191" s="13">
        <f t="shared" si="50"/>
        <v>168</v>
      </c>
      <c r="N191" s="13">
        <f t="shared" si="50"/>
        <v>224</v>
      </c>
      <c r="O191" s="13">
        <f t="shared" si="50"/>
        <v>191</v>
      </c>
      <c r="P191" s="13">
        <f t="shared" si="50"/>
        <v>158</v>
      </c>
      <c r="Q191" s="13">
        <f t="shared" si="50"/>
        <v>255</v>
      </c>
      <c r="R191" s="13">
        <f t="shared" si="50"/>
        <v>165</v>
      </c>
      <c r="S191" s="13">
        <f t="shared" si="50"/>
        <v>106</v>
      </c>
      <c r="T191" s="6">
        <f t="shared" ref="T191:T193" si="51">SUM(E191:S191)</f>
        <v>2742</v>
      </c>
    </row>
    <row r="192" ht="12.75" customHeight="1">
      <c r="A192" s="37"/>
      <c r="B192" s="63" t="s">
        <v>166</v>
      </c>
      <c r="C192" s="64" t="s">
        <v>167</v>
      </c>
      <c r="D192" s="9"/>
      <c r="E192" s="13">
        <v>13.0</v>
      </c>
      <c r="F192" s="13">
        <v>24.0</v>
      </c>
      <c r="G192" s="13">
        <v>25.0</v>
      </c>
      <c r="H192" s="13">
        <v>9.0</v>
      </c>
      <c r="I192" s="13">
        <v>5.0</v>
      </c>
      <c r="J192" s="13">
        <v>12.0</v>
      </c>
      <c r="K192" s="13">
        <v>17.0</v>
      </c>
      <c r="L192" s="13">
        <v>13.0</v>
      </c>
      <c r="M192" s="13">
        <v>8.0</v>
      </c>
      <c r="N192" s="13">
        <v>12.0</v>
      </c>
      <c r="O192" s="13">
        <v>29.0</v>
      </c>
      <c r="P192" s="13">
        <v>6.0</v>
      </c>
      <c r="Q192" s="13">
        <v>18.0</v>
      </c>
      <c r="R192" s="13">
        <v>13.0</v>
      </c>
      <c r="S192" s="13">
        <v>0.0</v>
      </c>
      <c r="T192" s="6">
        <f t="shared" si="51"/>
        <v>204</v>
      </c>
    </row>
    <row r="193" ht="12.75" customHeight="1">
      <c r="A193" s="42"/>
      <c r="B193" s="63" t="s">
        <v>168</v>
      </c>
      <c r="C193" s="64" t="s">
        <v>169</v>
      </c>
      <c r="D193" s="9"/>
      <c r="E193" s="6">
        <f t="shared" ref="E193:S193" si="52">SUM(E191:E192)</f>
        <v>211</v>
      </c>
      <c r="F193" s="6">
        <f t="shared" si="52"/>
        <v>236</v>
      </c>
      <c r="G193" s="6">
        <f t="shared" si="52"/>
        <v>242</v>
      </c>
      <c r="H193" s="6">
        <f t="shared" si="52"/>
        <v>150</v>
      </c>
      <c r="I193" s="6">
        <f t="shared" si="52"/>
        <v>177</v>
      </c>
      <c r="J193" s="6">
        <f t="shared" si="52"/>
        <v>210</v>
      </c>
      <c r="K193" s="6">
        <f t="shared" si="52"/>
        <v>180</v>
      </c>
      <c r="L193" s="6">
        <f t="shared" si="52"/>
        <v>187</v>
      </c>
      <c r="M193" s="6">
        <f t="shared" si="52"/>
        <v>176</v>
      </c>
      <c r="N193" s="6">
        <f t="shared" si="52"/>
        <v>236</v>
      </c>
      <c r="O193" s="6">
        <f t="shared" si="52"/>
        <v>220</v>
      </c>
      <c r="P193" s="6">
        <f t="shared" si="52"/>
        <v>164</v>
      </c>
      <c r="Q193" s="6">
        <f t="shared" si="52"/>
        <v>273</v>
      </c>
      <c r="R193" s="6">
        <f t="shared" si="52"/>
        <v>178</v>
      </c>
      <c r="S193" s="6">
        <f t="shared" si="52"/>
        <v>106</v>
      </c>
      <c r="T193" s="6">
        <f t="shared" si="51"/>
        <v>2946</v>
      </c>
    </row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1">
    <mergeCell ref="B110:D110"/>
    <mergeCell ref="C112:D112"/>
    <mergeCell ref="B114:D114"/>
    <mergeCell ref="C116:D116"/>
    <mergeCell ref="B123:D123"/>
    <mergeCell ref="C125:D125"/>
    <mergeCell ref="B127:D127"/>
    <mergeCell ref="C129:D129"/>
    <mergeCell ref="B136:D136"/>
    <mergeCell ref="C138:D138"/>
    <mergeCell ref="B145:D145"/>
    <mergeCell ref="C147:D147"/>
    <mergeCell ref="B154:D154"/>
    <mergeCell ref="C156:D156"/>
    <mergeCell ref="A188:D188"/>
    <mergeCell ref="A189:D189"/>
    <mergeCell ref="B190:D190"/>
    <mergeCell ref="C191:D191"/>
    <mergeCell ref="C192:D192"/>
    <mergeCell ref="C193:D193"/>
    <mergeCell ref="B162:D162"/>
    <mergeCell ref="C164:D164"/>
    <mergeCell ref="B171:D171"/>
    <mergeCell ref="C173:D173"/>
    <mergeCell ref="B180:D180"/>
    <mergeCell ref="C182:D182"/>
    <mergeCell ref="B187:D187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B52:D52"/>
    <mergeCell ref="C54:D54"/>
    <mergeCell ref="B61:D61"/>
    <mergeCell ref="C63:D63"/>
    <mergeCell ref="B70:D70"/>
    <mergeCell ref="C72:D72"/>
    <mergeCell ref="B79:D79"/>
    <mergeCell ref="C81:D81"/>
    <mergeCell ref="B88:D88"/>
    <mergeCell ref="C90:D90"/>
    <mergeCell ref="B92:D92"/>
    <mergeCell ref="C94:D94"/>
    <mergeCell ref="B101:D101"/>
    <mergeCell ref="C103:D103"/>
  </mergeCells>
  <conditionalFormatting sqref="E30:S30">
    <cfRule type="expression" dxfId="0" priority="1">
      <formula>E30&lt;&gt;E62</formula>
    </cfRule>
  </conditionalFormatting>
  <conditionalFormatting sqref="E34:S34">
    <cfRule type="expression" dxfId="0" priority="2">
      <formula>E34&lt;&gt;E62</formula>
    </cfRule>
  </conditionalFormatting>
  <conditionalFormatting sqref="E14:S15">
    <cfRule type="containsBlanks" dxfId="1" priority="3">
      <formula>LEN(TRIM(E14))=0</formula>
    </cfRule>
  </conditionalFormatting>
  <conditionalFormatting sqref="E19:S20">
    <cfRule type="containsBlanks" dxfId="1" priority="4">
      <formula>LEN(TRIM(E19))=0</formula>
    </cfRule>
  </conditionalFormatting>
  <conditionalFormatting sqref="E22:S23 E25:S26 E33:S33 E35:S35 E39:S40">
    <cfRule type="containsBlanks" dxfId="1" priority="5">
      <formula>LEN(TRIM(E22))=0</formula>
    </cfRule>
  </conditionalFormatting>
  <conditionalFormatting sqref="E30:S30">
    <cfRule type="expression" dxfId="0" priority="6">
      <formula>E30&lt;&gt;E34</formula>
    </cfRule>
  </conditionalFormatting>
  <conditionalFormatting sqref="E34:S34">
    <cfRule type="expression" dxfId="2" priority="7">
      <formula>E30&lt;&gt;E34</formula>
    </cfRule>
  </conditionalFormatting>
  <conditionalFormatting sqref="E34:S34">
    <cfRule type="expression" dxfId="3" priority="8">
      <formula>E30=E34</formula>
    </cfRule>
  </conditionalFormatting>
  <conditionalFormatting sqref="E34:S34">
    <cfRule type="expression" dxfId="0" priority="9">
      <formula>E34&lt;&gt;E30</formula>
    </cfRule>
  </conditionalFormatting>
  <conditionalFormatting sqref="E45:S51">
    <cfRule type="containsBlanks" dxfId="1" priority="10">
      <formula>LEN(TRIM(E45))=0</formula>
    </cfRule>
  </conditionalFormatting>
  <conditionalFormatting sqref="E54:S60">
    <cfRule type="containsBlanks" dxfId="1" priority="11">
      <formula>LEN(TRIM(E54))=0</formula>
    </cfRule>
  </conditionalFormatting>
  <conditionalFormatting sqref="E63:S69">
    <cfRule type="containsBlanks" dxfId="1" priority="12">
      <formula>LEN(TRIM(E63))=0</formula>
    </cfRule>
  </conditionalFormatting>
  <conditionalFormatting sqref="E72:S78">
    <cfRule type="containsBlanks" dxfId="1" priority="13">
      <formula>LEN(TRIM(E72))=0</formula>
    </cfRule>
  </conditionalFormatting>
  <conditionalFormatting sqref="E81:S87">
    <cfRule type="containsBlanks" dxfId="1" priority="14">
      <formula>LEN(TRIM(E81))=0</formula>
    </cfRule>
  </conditionalFormatting>
  <conditionalFormatting sqref="E90:S91">
    <cfRule type="containsBlanks" dxfId="1" priority="15">
      <formula>LEN(TRIM(E90))=0</formula>
    </cfRule>
  </conditionalFormatting>
  <conditionalFormatting sqref="E94:S100">
    <cfRule type="containsBlanks" dxfId="1" priority="16">
      <formula>LEN(TRIM(E94))=0</formula>
    </cfRule>
  </conditionalFormatting>
  <conditionalFormatting sqref="E103:S109">
    <cfRule type="containsBlanks" dxfId="1" priority="17">
      <formula>LEN(TRIM(E103))=0</formula>
    </cfRule>
  </conditionalFormatting>
  <conditionalFormatting sqref="E112:S113">
    <cfRule type="containsBlanks" dxfId="1" priority="18">
      <formula>LEN(TRIM(E112))=0</formula>
    </cfRule>
  </conditionalFormatting>
  <conditionalFormatting sqref="E116:S122">
    <cfRule type="containsBlanks" dxfId="1" priority="19">
      <formula>LEN(TRIM(E116))=0</formula>
    </cfRule>
  </conditionalFormatting>
  <conditionalFormatting sqref="E125:S126">
    <cfRule type="containsBlanks" dxfId="1" priority="20">
      <formula>LEN(TRIM(E125))=0</formula>
    </cfRule>
  </conditionalFormatting>
  <conditionalFormatting sqref="E129:S135">
    <cfRule type="containsBlanks" dxfId="1" priority="21">
      <formula>LEN(TRIM(E129))=0</formula>
    </cfRule>
  </conditionalFormatting>
  <conditionalFormatting sqref="E138:S144">
    <cfRule type="containsBlanks" dxfId="1" priority="22">
      <formula>LEN(TRIM(E138))=0</formula>
    </cfRule>
  </conditionalFormatting>
  <conditionalFormatting sqref="E147:S153">
    <cfRule type="containsBlanks" dxfId="1" priority="23">
      <formula>LEN(TRIM(E147))=0</formula>
    </cfRule>
  </conditionalFormatting>
  <conditionalFormatting sqref="E156:S161">
    <cfRule type="containsBlanks" dxfId="1" priority="24">
      <formula>LEN(TRIM(E156))=0</formula>
    </cfRule>
  </conditionalFormatting>
  <conditionalFormatting sqref="E164:S170">
    <cfRule type="containsBlanks" dxfId="1" priority="25">
      <formula>LEN(TRIM(E164))=0</formula>
    </cfRule>
  </conditionalFormatting>
  <conditionalFormatting sqref="E173:S179">
    <cfRule type="containsBlanks" dxfId="1" priority="26">
      <formula>LEN(TRIM(E173))=0</formula>
    </cfRule>
  </conditionalFormatting>
  <conditionalFormatting sqref="E182:S186">
    <cfRule type="containsBlanks" dxfId="1" priority="27">
      <formula>LEN(TRIM(E182))=0</formula>
    </cfRule>
  </conditionalFormatting>
  <conditionalFormatting sqref="E191:S192">
    <cfRule type="containsBlanks" dxfId="1" priority="28">
      <formula>LEN(TRIM(E191))=0</formula>
    </cfRule>
  </conditionalFormatting>
  <conditionalFormatting sqref="E193:S193">
    <cfRule type="expression" dxfId="0" priority="29">
      <formula>E193&lt;&gt;#REF!</formula>
    </cfRule>
  </conditionalFormatting>
  <conditionalFormatting sqref="E193:S193">
    <cfRule type="expression" dxfId="2" priority="30">
      <formula>#REF!&lt;&gt;E193</formula>
    </cfRule>
  </conditionalFormatting>
  <conditionalFormatting sqref="E193:S193">
    <cfRule type="expression" dxfId="3" priority="31">
      <formula>#REF!=E193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2026-01-14T02:26:54Z</dcterms:created>
  <dc:creator>TEKHUM KPU BWI</dc:creator>
</cp:coreProperties>
</file>